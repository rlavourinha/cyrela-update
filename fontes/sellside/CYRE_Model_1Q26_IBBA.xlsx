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Real Estate\0. Housing\CYRE\"/>
    </mc:Choice>
  </mc:AlternateContent>
  <xr:revisionPtr revIDLastSave="0" documentId="8_{B59902D1-6615-4F0E-A5A3-21E0EA9BC652}" xr6:coauthVersionLast="47" xr6:coauthVersionMax="47" xr10:uidLastSave="{00000000-0000-0000-0000-000000000000}"/>
  <bookViews>
    <workbookView xWindow="13770" yWindow="-16320" windowWidth="29040" windowHeight="15720" activeTab="2" xr2:uid="{8CA04BC2-3042-4019-8D7D-1CB4FD7D4590}"/>
  </bookViews>
  <sheets>
    <sheet name="Cover" sheetId="10" r:id="rId1"/>
    <sheet name="Macro" sheetId="1" r:id="rId2"/>
    <sheet name="IS" sheetId="2" r:id="rId3"/>
    <sheet name="BS &amp; FCF" sheetId="3" r:id="rId4"/>
    <sheet name="Operating" sheetId="4" r:id="rId5"/>
    <sheet name="Business lines" sheetId="11" r:id="rId6"/>
    <sheet name="Joint-Ventures" sheetId="14" r:id="rId7"/>
    <sheet name="Valuation" sheetId="13" r:id="rId8"/>
    <sheet name="SOTP" sheetId="12" r:id="rId9"/>
    <sheet name="Report Tables" sheetId="9" state="hidden" r:id="rId10"/>
    <sheet name="Mask-UploadModel" sheetId="15" state="hidden" r:id="rId11"/>
  </sheets>
  <externalReferences>
    <externalReference r:id="rId12"/>
    <externalReference r:id="rId13"/>
    <externalReference r:id="rId14"/>
    <externalReference r:id="rId15"/>
  </externalReference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43" i="2" l="1"/>
  <c r="CK43" i="2"/>
  <c r="CJ43" i="2"/>
  <c r="CI43" i="2"/>
  <c r="CQ43" i="2"/>
  <c r="CP43" i="2"/>
  <c r="CO43" i="2"/>
  <c r="CN43" i="2"/>
  <c r="CR43" i="2" s="1"/>
  <c r="DA43" i="2"/>
  <c r="CZ43" i="2"/>
  <c r="CY43" i="2"/>
  <c r="CX43" i="2"/>
  <c r="DB43" i="2" s="1"/>
  <c r="CV43" i="2"/>
  <c r="CU43" i="2"/>
  <c r="CT43" i="2"/>
  <c r="CS43" i="2"/>
  <c r="CW43" i="2"/>
  <c r="CO129" i="11"/>
  <c r="CP129" i="11" s="1"/>
  <c r="CQ129" i="11" s="1"/>
  <c r="CJ129" i="11"/>
  <c r="CK129" i="11" s="1"/>
  <c r="CL129" i="11" s="1"/>
  <c r="CG4" i="4"/>
  <c r="CF4" i="4"/>
  <c r="CT18" i="4"/>
  <c r="CU18" i="4" s="1"/>
  <c r="CV18" i="4" s="1"/>
  <c r="CJ18" i="4"/>
  <c r="CK18" i="4" s="1"/>
  <c r="CL18" i="4" s="1"/>
  <c r="CO18" i="4"/>
  <c r="CP18" i="4" s="1"/>
  <c r="CQ18" i="4" s="1"/>
  <c r="CN8" i="4"/>
  <c r="CK8" i="4"/>
  <c r="CL8" i="4" s="1"/>
  <c r="CJ8" i="4"/>
  <c r="CI8" i="4"/>
  <c r="CF8" i="4"/>
  <c r="CE62" i="11"/>
  <c r="CE63" i="11" s="1"/>
  <c r="CE60" i="11"/>
  <c r="CE61" i="11" s="1"/>
  <c r="CE59" i="11"/>
  <c r="CE106" i="11"/>
  <c r="CE107" i="11" s="1"/>
  <c r="CE104" i="11"/>
  <c r="CE105" i="11" s="1"/>
  <c r="CE103" i="11"/>
  <c r="CE53" i="11"/>
  <c r="CE54" i="11"/>
  <c r="CE56" i="11"/>
  <c r="D46" i="12" l="1"/>
  <c r="C10" i="12" l="1"/>
  <c r="E10" i="12"/>
  <c r="F10" i="12"/>
  <c r="F13" i="12"/>
  <c r="F9" i="12"/>
  <c r="F6" i="12"/>
  <c r="E6" i="12"/>
  <c r="D6" i="12"/>
  <c r="G13" i="12"/>
  <c r="C13" i="12"/>
  <c r="G9" i="12"/>
  <c r="C9" i="12"/>
  <c r="F5" i="12"/>
  <c r="E5" i="12"/>
  <c r="D5" i="12"/>
  <c r="H9" i="12" l="1"/>
  <c r="H11" i="12" s="1"/>
  <c r="H7" i="12"/>
  <c r="H8" i="12" s="1"/>
  <c r="C55" i="12"/>
  <c r="C65" i="12"/>
  <c r="C48" i="12"/>
  <c r="C46" i="12"/>
  <c r="C47" i="12" s="1"/>
  <c r="C45" i="12"/>
  <c r="C44" i="12"/>
  <c r="C38" i="12"/>
  <c r="C37" i="12"/>
  <c r="C30" i="12"/>
  <c r="C32" i="12" s="1"/>
  <c r="C34" i="12" s="1"/>
  <c r="CE154" i="3"/>
  <c r="BZ154" i="3"/>
  <c r="DC84" i="11"/>
  <c r="CE75" i="2"/>
  <c r="DC73" i="11"/>
  <c r="CE25" i="11"/>
  <c r="DD71" i="11"/>
  <c r="DC72" i="11"/>
  <c r="DC71" i="11"/>
  <c r="DC68" i="11"/>
  <c r="DC67" i="11"/>
  <c r="CE132" i="11"/>
  <c r="C36" i="12" l="1"/>
  <c r="C35" i="12" s="1"/>
  <c r="C49" i="12"/>
  <c r="C61" i="12" s="1"/>
  <c r="C68" i="12" s="1"/>
  <c r="CE67" i="14"/>
  <c r="CE57" i="14"/>
  <c r="CE37" i="14"/>
  <c r="CE39" i="14" s="1"/>
  <c r="CE35" i="14"/>
  <c r="CE32" i="14"/>
  <c r="CE34" i="14" s="1"/>
  <c r="CE22" i="14"/>
  <c r="CE12" i="14"/>
  <c r="CE73" i="14"/>
  <c r="CE6" i="14" s="1"/>
  <c r="CE69" i="14"/>
  <c r="CE64" i="14"/>
  <c r="CE59" i="14"/>
  <c r="CE54" i="14"/>
  <c r="CE49" i="14"/>
  <c r="CE44" i="14"/>
  <c r="CE29" i="14"/>
  <c r="CE24" i="14"/>
  <c r="CE19" i="14"/>
  <c r="CE72" i="14"/>
  <c r="CE9" i="14"/>
  <c r="CE10" i="14" s="1"/>
  <c r="CE8" i="14"/>
  <c r="CE112" i="11"/>
  <c r="CE111" i="11"/>
  <c r="CE125" i="11"/>
  <c r="CE115" i="11"/>
  <c r="CE116" i="11" s="1"/>
  <c r="CE114" i="11"/>
  <c r="CE129" i="11" s="1"/>
  <c r="CE109" i="11"/>
  <c r="CE110" i="11" s="1"/>
  <c r="CE72" i="11"/>
  <c r="CE68" i="11"/>
  <c r="CE67" i="11"/>
  <c r="CE70" i="11" s="1"/>
  <c r="CE81" i="11"/>
  <c r="CE71" i="11"/>
  <c r="CE65" i="11"/>
  <c r="CE66" i="11" s="1"/>
  <c r="CE38" i="11"/>
  <c r="CE35" i="11"/>
  <c r="CE34" i="11"/>
  <c r="CE33" i="11"/>
  <c r="CE32" i="11"/>
  <c r="CE31" i="11"/>
  <c r="CE30" i="11"/>
  <c r="CE20" i="11"/>
  <c r="CE12" i="11"/>
  <c r="CE10" i="11"/>
  <c r="CE11" i="11" s="1"/>
  <c r="CE9" i="11"/>
  <c r="CE18" i="11" s="1"/>
  <c r="CE7" i="11"/>
  <c r="CE8" i="11" s="1"/>
  <c r="CE5" i="11"/>
  <c r="CE6" i="11" s="1"/>
  <c r="CE4" i="11"/>
  <c r="CE16" i="11" s="1"/>
  <c r="CE42" i="4"/>
  <c r="CE41" i="4"/>
  <c r="CE39" i="4"/>
  <c r="CE38" i="4"/>
  <c r="CE37" i="4"/>
  <c r="CE36" i="4"/>
  <c r="CE35" i="4"/>
  <c r="CE34" i="4"/>
  <c r="CE33" i="4"/>
  <c r="CE32" i="4"/>
  <c r="CE25" i="4"/>
  <c r="CD58" i="3"/>
  <c r="CE58" i="3"/>
  <c r="CE57" i="3"/>
  <c r="CD57" i="3"/>
  <c r="CE74" i="3"/>
  <c r="CE64" i="3"/>
  <c r="CE150" i="3"/>
  <c r="CE149" i="3"/>
  <c r="CE151" i="3" s="1"/>
  <c r="CE146" i="3"/>
  <c r="CE147" i="3" s="1"/>
  <c r="CE142" i="3"/>
  <c r="CE141" i="3"/>
  <c r="CE140" i="3"/>
  <c r="CE139" i="3"/>
  <c r="CE138" i="3"/>
  <c r="CE137" i="3"/>
  <c r="CE136" i="3"/>
  <c r="CE135" i="3"/>
  <c r="CE134" i="3"/>
  <c r="CE132" i="3"/>
  <c r="CE133" i="3" s="1"/>
  <c r="CE129" i="3"/>
  <c r="CE128" i="3"/>
  <c r="CE127" i="3"/>
  <c r="CE126" i="3"/>
  <c r="CE125" i="3"/>
  <c r="CE124" i="3"/>
  <c r="CE123" i="3"/>
  <c r="CE122" i="3"/>
  <c r="CE121" i="3"/>
  <c r="CE120" i="3"/>
  <c r="CE119" i="3"/>
  <c r="CE118" i="3"/>
  <c r="CE117" i="3"/>
  <c r="CE116" i="3"/>
  <c r="CE115" i="3"/>
  <c r="CE114" i="3"/>
  <c r="CE113" i="3"/>
  <c r="CE112" i="3"/>
  <c r="CE111" i="3"/>
  <c r="CE110" i="3"/>
  <c r="CE109" i="3"/>
  <c r="CE107" i="3"/>
  <c r="CE105" i="3"/>
  <c r="CE104" i="3"/>
  <c r="CE103" i="3"/>
  <c r="CE102" i="3"/>
  <c r="CE101" i="3"/>
  <c r="CE100" i="3"/>
  <c r="CE99" i="3"/>
  <c r="CE98" i="3"/>
  <c r="CE97" i="3"/>
  <c r="CE96" i="3"/>
  <c r="CE95" i="3"/>
  <c r="CE94" i="3"/>
  <c r="CE93" i="3"/>
  <c r="CE87" i="3"/>
  <c r="CE86" i="3"/>
  <c r="CE90" i="3" s="1"/>
  <c r="CE85" i="3"/>
  <c r="CE84" i="3"/>
  <c r="CE83" i="3"/>
  <c r="CE82" i="3"/>
  <c r="CE81" i="3"/>
  <c r="CE80" i="3"/>
  <c r="CE79" i="3"/>
  <c r="CE78" i="3"/>
  <c r="CE77" i="3"/>
  <c r="CD74" i="3"/>
  <c r="CE68" i="3"/>
  <c r="CE66" i="3"/>
  <c r="CE65" i="3"/>
  <c r="CE60" i="3"/>
  <c r="CE61" i="3" s="1"/>
  <c r="CE63" i="3" s="1"/>
  <c r="CE59" i="3"/>
  <c r="CE56" i="3"/>
  <c r="CE55" i="3"/>
  <c r="CE54" i="3"/>
  <c r="CE53" i="3"/>
  <c r="CE52" i="3"/>
  <c r="CE51" i="3"/>
  <c r="CE44" i="3"/>
  <c r="CE47" i="3"/>
  <c r="CE41" i="3"/>
  <c r="CE40" i="3"/>
  <c r="CE38" i="3"/>
  <c r="CE37" i="3"/>
  <c r="CE36" i="3"/>
  <c r="CE35" i="3"/>
  <c r="CE33" i="3"/>
  <c r="CE30" i="3"/>
  <c r="CE29" i="3"/>
  <c r="CE43" i="3"/>
  <c r="CE28" i="3"/>
  <c r="CE18" i="3"/>
  <c r="CE17" i="3"/>
  <c r="CE16" i="3"/>
  <c r="CE14" i="3"/>
  <c r="CE10" i="3"/>
  <c r="CE6" i="3"/>
  <c r="CE20" i="3"/>
  <c r="CE12" i="3"/>
  <c r="CE8" i="3"/>
  <c r="CE19" i="3" s="1"/>
  <c r="CE5" i="3" s="1"/>
  <c r="CE4" i="3" s="1"/>
  <c r="CE3" i="3"/>
  <c r="CE115" i="2"/>
  <c r="CE117" i="2" s="1"/>
  <c r="CE114" i="2"/>
  <c r="CE113" i="2"/>
  <c r="CE112" i="2"/>
  <c r="CE116" i="2" s="1"/>
  <c r="CE118" i="2" s="1"/>
  <c r="CE111" i="2"/>
  <c r="CE110" i="2"/>
  <c r="CE109" i="2"/>
  <c r="CE102" i="2"/>
  <c r="CE100" i="2"/>
  <c r="CE98" i="2"/>
  <c r="CE95" i="2"/>
  <c r="CE91" i="2"/>
  <c r="CE90" i="2"/>
  <c r="CE89" i="2"/>
  <c r="CE88" i="2"/>
  <c r="CE87" i="2"/>
  <c r="CE86" i="2"/>
  <c r="CE85" i="2"/>
  <c r="CE83" i="2"/>
  <c r="CE82" i="2"/>
  <c r="CE81" i="2"/>
  <c r="CE80" i="2"/>
  <c r="CE79" i="2"/>
  <c r="CE78" i="2"/>
  <c r="CE77" i="2"/>
  <c r="CE64" i="2"/>
  <c r="CE72" i="2"/>
  <c r="CE71" i="2"/>
  <c r="CE69" i="2"/>
  <c r="CE68" i="2"/>
  <c r="CE67" i="2"/>
  <c r="CE66" i="2"/>
  <c r="CE60" i="2"/>
  <c r="CE59" i="2"/>
  <c r="CE61" i="2" s="1"/>
  <c r="CE48" i="2"/>
  <c r="CE53" i="2"/>
  <c r="CE31" i="2"/>
  <c r="CE24" i="2"/>
  <c r="CE14" i="2"/>
  <c r="CE13" i="2"/>
  <c r="CE11" i="2"/>
  <c r="CE7" i="2"/>
  <c r="CE6" i="2"/>
  <c r="CE5" i="2"/>
  <c r="CE41" i="2"/>
  <c r="CE32" i="2"/>
  <c r="CE21" i="2" s="1"/>
  <c r="CE29" i="2"/>
  <c r="CE23" i="2"/>
  <c r="CE20" i="2"/>
  <c r="CE15" i="2"/>
  <c r="CE12" i="2"/>
  <c r="CE10" i="2"/>
  <c r="CE9" i="2"/>
  <c r="CE19" i="2" s="1"/>
  <c r="CE8" i="2"/>
  <c r="CE4" i="2"/>
  <c r="CE3" i="2"/>
  <c r="CE74" i="14" l="1"/>
  <c r="CE5" i="14"/>
  <c r="CE7" i="14" s="1"/>
  <c r="CE14" i="14"/>
  <c r="CE117" i="11"/>
  <c r="CE124" i="11" s="1"/>
  <c r="CE127" i="11" s="1"/>
  <c r="CE85" i="11"/>
  <c r="CE13" i="11"/>
  <c r="CE17" i="11"/>
  <c r="CE88" i="3"/>
  <c r="CE89" i="3"/>
  <c r="CE67" i="3"/>
  <c r="CE27" i="3"/>
  <c r="CE26" i="3" s="1"/>
  <c r="CE48" i="3" s="1"/>
  <c r="CE30" i="2"/>
  <c r="CE62" i="2"/>
  <c r="CE22" i="2"/>
  <c r="CE63" i="2"/>
  <c r="CE65" i="2" s="1"/>
  <c r="CE17" i="2"/>
  <c r="CE16" i="2"/>
  <c r="CE35" i="2" s="1"/>
  <c r="CE37" i="2" s="1"/>
  <c r="CE130" i="11" l="1"/>
  <c r="CE128" i="11"/>
  <c r="CE42" i="2"/>
  <c r="CE70" i="2"/>
  <c r="CE45" i="2"/>
  <c r="CE44" i="2"/>
  <c r="CE73" i="2" l="1"/>
  <c r="CE56" i="2"/>
  <c r="CE74" i="2" l="1"/>
  <c r="CE52" i="2" s="1"/>
  <c r="CE51" i="2"/>
  <c r="BZ2" i="14" l="1"/>
  <c r="C11" i="12" l="1"/>
  <c r="CE101" i="11"/>
  <c r="CE99" i="11"/>
  <c r="CE96" i="11"/>
  <c r="CE94" i="11"/>
  <c r="CE57" i="11"/>
  <c r="CE52" i="11"/>
  <c r="CE50" i="11"/>
  <c r="CE55" i="11" l="1"/>
  <c r="CE17" i="4" l="1"/>
  <c r="CE16" i="4"/>
  <c r="CE13" i="4"/>
  <c r="CE11" i="4"/>
  <c r="CE8" i="4"/>
  <c r="CE6" i="4"/>
  <c r="BS72" i="14"/>
  <c r="BS5" i="14" s="1"/>
  <c r="CE21" i="4" l="1"/>
  <c r="CE14" i="4"/>
  <c r="CE18" i="4"/>
  <c r="D7" i="12"/>
  <c r="CI12" i="1" l="1"/>
  <c r="CD48" i="2" l="1"/>
  <c r="CQ107" i="11" l="1"/>
  <c r="CV107" i="11" s="1"/>
  <c r="DA107" i="11" s="1"/>
  <c r="CP107" i="11"/>
  <c r="CU107" i="11" s="1"/>
  <c r="CZ107" i="11" s="1"/>
  <c r="CO107" i="11"/>
  <c r="CT107" i="11" s="1"/>
  <c r="CY107" i="11" s="1"/>
  <c r="CN107" i="11"/>
  <c r="CS107" i="11" s="1"/>
  <c r="CX107" i="11" s="1"/>
  <c r="H19" i="12" l="1"/>
  <c r="H20" i="12"/>
  <c r="F11" i="12"/>
  <c r="F7" i="12"/>
  <c r="H13" i="12"/>
  <c r="H15" i="12" s="1"/>
  <c r="H12" i="12"/>
  <c r="G11" i="12"/>
  <c r="G14" i="12"/>
  <c r="F14" i="12" l="1"/>
  <c r="F15" i="12"/>
  <c r="F8" i="12"/>
  <c r="F12" i="12"/>
  <c r="H14" i="12"/>
  <c r="CG12" i="1" l="1"/>
  <c r="CF12" i="1"/>
  <c r="CI85" i="11" l="1"/>
  <c r="CJ85" i="11" s="1"/>
  <c r="CK85" i="11" s="1"/>
  <c r="CL85" i="11" s="1"/>
  <c r="CN85" i="11" s="1"/>
  <c r="CO85" i="11" s="1"/>
  <c r="CP85" i="11" s="1"/>
  <c r="CQ85" i="11" s="1"/>
  <c r="CS85" i="11" s="1"/>
  <c r="CT85" i="11" s="1"/>
  <c r="CU85" i="11" s="1"/>
  <c r="CV85" i="11" s="1"/>
  <c r="CX85" i="11" s="1"/>
  <c r="CY85" i="11" s="1"/>
  <c r="CZ85" i="11" s="1"/>
  <c r="DA85" i="11" s="1"/>
  <c r="CD96" i="11"/>
  <c r="CD94" i="11"/>
  <c r="CB106" i="11"/>
  <c r="CB104" i="11"/>
  <c r="CB105" i="11" s="1"/>
  <c r="CB103" i="11"/>
  <c r="CD106" i="11"/>
  <c r="CD103" i="11"/>
  <c r="CD101" i="11"/>
  <c r="CD99" i="11"/>
  <c r="CB60" i="11"/>
  <c r="CD57" i="11"/>
  <c r="CD55" i="11"/>
  <c r="CD52" i="11" l="1"/>
  <c r="CD50" i="11"/>
  <c r="CD8" i="4" l="1"/>
  <c r="CD6" i="4"/>
  <c r="CD13" i="4"/>
  <c r="CD11" i="4"/>
  <c r="CD17" i="4"/>
  <c r="CD21" i="4" s="1"/>
  <c r="CD16" i="4"/>
  <c r="J3" i="9" l="1"/>
  <c r="CD35" i="3" l="1"/>
  <c r="CD73" i="14"/>
  <c r="CD72" i="14"/>
  <c r="CD74" i="14" s="1"/>
  <c r="CD69" i="14"/>
  <c r="CD64" i="14"/>
  <c r="CD59" i="14"/>
  <c r="CD54" i="14"/>
  <c r="CD49" i="14"/>
  <c r="CD44" i="14"/>
  <c r="CD39" i="14"/>
  <c r="CD34" i="14"/>
  <c r="CD29" i="14"/>
  <c r="CD24" i="14"/>
  <c r="CD19" i="14"/>
  <c r="CD14" i="14"/>
  <c r="CD9" i="14"/>
  <c r="CD8" i="14"/>
  <c r="CD125" i="11"/>
  <c r="CD115" i="11"/>
  <c r="CD116" i="11" s="1"/>
  <c r="CD114" i="11"/>
  <c r="CD129" i="11" s="1"/>
  <c r="CD110" i="11"/>
  <c r="CD109" i="11"/>
  <c r="CD107" i="11" s="1"/>
  <c r="CD81" i="11"/>
  <c r="CD71" i="11"/>
  <c r="CD72" i="11" s="1"/>
  <c r="CD70" i="11"/>
  <c r="CD85" i="11" s="1"/>
  <c r="CD65" i="11"/>
  <c r="CD66" i="11" s="1"/>
  <c r="CD38" i="11"/>
  <c r="CD35" i="11"/>
  <c r="CD32" i="11"/>
  <c r="CD31" i="11"/>
  <c r="CD5" i="11"/>
  <c r="CD4" i="11"/>
  <c r="CD41" i="4"/>
  <c r="CD32" i="4"/>
  <c r="CD25" i="4"/>
  <c r="CD26" i="4" s="1"/>
  <c r="CD150" i="3"/>
  <c r="CD120" i="3"/>
  <c r="CD115" i="3"/>
  <c r="CD114" i="3"/>
  <c r="CD109" i="3"/>
  <c r="CD110" i="3" s="1"/>
  <c r="CD105" i="3"/>
  <c r="CD106" i="3" s="1"/>
  <c r="CD97" i="3"/>
  <c r="CD59" i="3"/>
  <c r="CD47" i="3"/>
  <c r="CD44" i="3"/>
  <c r="CD43" i="3" s="1"/>
  <c r="CD65" i="3" s="1"/>
  <c r="CD33" i="3"/>
  <c r="CD117" i="3" s="1"/>
  <c r="CD36" i="3"/>
  <c r="CD111" i="3" s="1"/>
  <c r="CD37" i="3"/>
  <c r="CD128" i="3" s="1"/>
  <c r="CD129" i="3" s="1"/>
  <c r="CD40" i="3"/>
  <c r="CD38" i="3"/>
  <c r="CD30" i="3"/>
  <c r="CD54" i="3" s="1"/>
  <c r="CD29" i="3"/>
  <c r="CD28" i="3" s="1"/>
  <c r="CD41" i="3"/>
  <c r="CD34" i="3"/>
  <c r="CD19" i="3"/>
  <c r="CD18" i="3"/>
  <c r="CD124" i="3" s="1"/>
  <c r="CD17" i="3"/>
  <c r="CD14" i="3"/>
  <c r="CD12" i="3" s="1"/>
  <c r="CD10" i="3"/>
  <c r="CD99" i="3" s="1"/>
  <c r="CD6" i="3"/>
  <c r="CD56" i="3" s="1"/>
  <c r="CD16" i="3"/>
  <c r="CD126" i="3" s="1"/>
  <c r="CD20" i="3"/>
  <c r="CD109" i="2"/>
  <c r="CD110" i="2" s="1"/>
  <c r="CD95" i="2"/>
  <c r="CD102" i="2" s="1"/>
  <c r="CD80" i="2"/>
  <c r="CD64" i="2"/>
  <c r="CD78" i="3" s="1"/>
  <c r="CD72" i="2"/>
  <c r="CD71" i="2"/>
  <c r="CD69" i="2"/>
  <c r="CD68" i="2"/>
  <c r="CD67" i="2"/>
  <c r="CD66" i="2" s="1"/>
  <c r="CD31" i="2"/>
  <c r="CD11" i="2"/>
  <c r="CD5" i="2"/>
  <c r="CD35" i="4" s="1"/>
  <c r="CD32" i="2"/>
  <c r="CD34" i="11" s="1"/>
  <c r="CD15" i="2"/>
  <c r="CD10" i="2"/>
  <c r="CD10" i="14" l="1"/>
  <c r="CE28" i="11"/>
  <c r="CE73" i="11"/>
  <c r="CE80" i="11" s="1"/>
  <c r="CE83" i="11" s="1"/>
  <c r="CD6" i="11"/>
  <c r="CD107" i="3"/>
  <c r="CD121" i="3"/>
  <c r="CD123" i="3" s="1"/>
  <c r="CD8" i="3"/>
  <c r="CD27" i="3"/>
  <c r="CD26" i="3" s="1"/>
  <c r="CD33" i="11"/>
  <c r="CD125" i="3"/>
  <c r="CD127" i="3"/>
  <c r="CD42" i="4"/>
  <c r="CD12" i="2"/>
  <c r="CD79" i="2"/>
  <c r="CD52" i="3"/>
  <c r="CD53" i="3" s="1"/>
  <c r="CD6" i="14"/>
  <c r="CD51" i="3"/>
  <c r="CD4" i="2"/>
  <c r="CD112" i="3"/>
  <c r="CD113" i="3" s="1"/>
  <c r="CD134" i="3"/>
  <c r="CD116" i="3"/>
  <c r="CD30" i="2"/>
  <c r="CD101" i="3"/>
  <c r="CD117" i="11"/>
  <c r="CD124" i="11" s="1"/>
  <c r="CD127" i="11" s="1"/>
  <c r="CD130" i="11" s="1"/>
  <c r="CD73" i="11"/>
  <c r="CD80" i="11" s="1"/>
  <c r="CD83" i="11" s="1"/>
  <c r="CD30" i="11"/>
  <c r="CD108" i="3"/>
  <c r="CD98" i="2"/>
  <c r="CD60" i="2"/>
  <c r="CD21" i="2"/>
  <c r="CD62" i="2" s="1"/>
  <c r="CD9" i="2"/>
  <c r="CD8" i="2"/>
  <c r="CD22" i="2"/>
  <c r="CD23" i="2"/>
  <c r="BU127" i="2"/>
  <c r="BV123" i="2" s="1"/>
  <c r="CE86" i="11" l="1"/>
  <c r="CE84" i="11"/>
  <c r="CE88" i="11" s="1"/>
  <c r="CD93" i="3"/>
  <c r="CE20" i="4"/>
  <c r="CD135" i="3"/>
  <c r="CD153" i="3" s="1"/>
  <c r="CD5" i="3"/>
  <c r="CD4" i="3" s="1"/>
  <c r="CD140" i="3" s="1"/>
  <c r="CD28" i="11"/>
  <c r="CD64" i="3"/>
  <c r="CD132" i="3"/>
  <c r="CD17" i="2"/>
  <c r="I14" i="9"/>
  <c r="CD59" i="2"/>
  <c r="CD61" i="2" s="1"/>
  <c r="CD66" i="3"/>
  <c r="CD146" i="3"/>
  <c r="CD128" i="11"/>
  <c r="CD86" i="11"/>
  <c r="CD84" i="11"/>
  <c r="CD41" i="2"/>
  <c r="CD16" i="2"/>
  <c r="CD19" i="2"/>
  <c r="BV124" i="2"/>
  <c r="BV126" i="2"/>
  <c r="BV125" i="2"/>
  <c r="CD67" i="3" l="1"/>
  <c r="CE71" i="3"/>
  <c r="CE75" i="3" s="1"/>
  <c r="CD147" i="3"/>
  <c r="CD154" i="3" s="1"/>
  <c r="CD48" i="3"/>
  <c r="CD63" i="2"/>
  <c r="CD77" i="2"/>
  <c r="CD35" i="2"/>
  <c r="CD37" i="2" s="1"/>
  <c r="CD78" i="2"/>
  <c r="CD139" i="3"/>
  <c r="CD133" i="3"/>
  <c r="CD42" i="2"/>
  <c r="CD45" i="2" s="1"/>
  <c r="CD70" i="2"/>
  <c r="BV48" i="2"/>
  <c r="BU48" i="2"/>
  <c r="BT48" i="2"/>
  <c r="BW48" i="2"/>
  <c r="BY48" i="2"/>
  <c r="BZ48" i="2"/>
  <c r="CA48" i="2"/>
  <c r="N19" i="9"/>
  <c r="N18" i="9"/>
  <c r="N16" i="9"/>
  <c r="N12" i="9"/>
  <c r="N8" i="9"/>
  <c r="N7" i="9"/>
  <c r="N6" i="9"/>
  <c r="N5" i="9"/>
  <c r="L7" i="9"/>
  <c r="L5" i="9"/>
  <c r="I8" i="9"/>
  <c r="I7" i="9"/>
  <c r="I6" i="9"/>
  <c r="I5" i="9"/>
  <c r="CD5" i="14" l="1"/>
  <c r="CD7" i="14" s="1"/>
  <c r="CD77" i="3"/>
  <c r="CD44" i="2"/>
  <c r="CD65" i="2"/>
  <c r="CD82" i="2"/>
  <c r="CD73" i="2"/>
  <c r="CD56" i="2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B10" i="13" s="1"/>
  <c r="CS10" i="1"/>
  <c r="CT10" i="1"/>
  <c r="CU10" i="1"/>
  <c r="CV10" i="1"/>
  <c r="CW10" i="1"/>
  <c r="CX10" i="1"/>
  <c r="CY10" i="1"/>
  <c r="CZ10" i="1"/>
  <c r="DA10" i="1"/>
  <c r="DB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E2" i="14" s="1"/>
  <c r="CF11" i="1"/>
  <c r="CF10" i="14" s="1"/>
  <c r="CG11" i="1"/>
  <c r="CG10" i="14" s="1"/>
  <c r="CH11" i="1"/>
  <c r="CI11" i="1"/>
  <c r="CI21" i="2" s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E101" i="2" s="1"/>
  <c r="CH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CD10" i="11"/>
  <c r="CD9" i="11"/>
  <c r="CD20" i="2"/>
  <c r="CD74" i="2" l="1"/>
  <c r="CD83" i="2" s="1"/>
  <c r="CD11" i="11"/>
  <c r="CD81" i="2"/>
  <c r="CD68" i="3"/>
  <c r="CD14" i="4"/>
  <c r="CD33" i="4" s="1"/>
  <c r="CD138" i="3" l="1"/>
  <c r="CB74" i="3" l="1"/>
  <c r="CB133" i="2"/>
  <c r="CB132" i="2"/>
  <c r="CB131" i="2"/>
  <c r="CB130" i="2"/>
  <c r="CB129" i="2"/>
  <c r="CB128" i="2"/>
  <c r="CB68" i="14"/>
  <c r="CB58" i="14"/>
  <c r="CB38" i="14"/>
  <c r="CB33" i="14"/>
  <c r="CB23" i="14"/>
  <c r="CB13" i="14"/>
  <c r="CC69" i="14"/>
  <c r="CB70" i="14"/>
  <c r="CB60" i="14"/>
  <c r="CB40" i="14"/>
  <c r="CB40" i="2"/>
  <c r="CB14" i="11"/>
  <c r="CB12" i="11"/>
  <c r="CB7" i="11"/>
  <c r="CB4" i="11"/>
  <c r="CB34" i="4"/>
  <c r="CB32" i="4"/>
  <c r="CB28" i="4"/>
  <c r="CB29" i="4" s="1"/>
  <c r="CB25" i="4"/>
  <c r="CB26" i="4" s="1"/>
  <c r="CB150" i="3"/>
  <c r="CB149" i="3"/>
  <c r="CB126" i="3"/>
  <c r="CB120" i="3"/>
  <c r="CD122" i="3" s="1"/>
  <c r="CB115" i="3"/>
  <c r="CB109" i="3"/>
  <c r="CB110" i="3" s="1"/>
  <c r="CB105" i="3"/>
  <c r="CB106" i="3" s="1"/>
  <c r="CB99" i="3"/>
  <c r="CB97" i="3"/>
  <c r="CB59" i="3"/>
  <c r="CB58" i="3"/>
  <c r="CB47" i="3"/>
  <c r="CB43" i="3" s="1"/>
  <c r="CB44" i="3"/>
  <c r="CB41" i="3"/>
  <c r="CB40" i="3"/>
  <c r="CB38" i="3"/>
  <c r="CB37" i="3"/>
  <c r="CB128" i="3" s="1"/>
  <c r="CB35" i="3"/>
  <c r="CB36" i="3" s="1"/>
  <c r="CB111" i="3" s="1"/>
  <c r="CB30" i="3"/>
  <c r="CB54" i="3" s="1"/>
  <c r="CB29" i="3"/>
  <c r="CB52" i="3" s="1"/>
  <c r="CB33" i="3"/>
  <c r="CB117" i="3" s="1"/>
  <c r="CB18" i="3"/>
  <c r="CB124" i="3" s="1"/>
  <c r="CB17" i="3"/>
  <c r="CB16" i="3"/>
  <c r="CB14" i="3"/>
  <c r="CB107" i="3" s="1"/>
  <c r="CB10" i="3"/>
  <c r="CB6" i="3"/>
  <c r="CB56" i="3" s="1"/>
  <c r="CB20" i="3"/>
  <c r="CB12" i="3"/>
  <c r="CB101" i="3" s="1"/>
  <c r="CB8" i="3"/>
  <c r="CB93" i="3" s="1"/>
  <c r="CB109" i="2"/>
  <c r="CB110" i="2" s="1"/>
  <c r="CB94" i="2"/>
  <c r="CB100" i="2"/>
  <c r="CB101" i="2" s="1"/>
  <c r="CB48" i="2"/>
  <c r="CD50" i="2" s="1"/>
  <c r="CB43" i="2"/>
  <c r="CB38" i="2"/>
  <c r="L18" i="9" s="1"/>
  <c r="CB34" i="2"/>
  <c r="CB26" i="2"/>
  <c r="CB32" i="11" s="1"/>
  <c r="CB18" i="2"/>
  <c r="L12" i="9" s="1"/>
  <c r="CB19" i="3" l="1"/>
  <c r="CB95" i="2"/>
  <c r="CB98" i="2" s="1"/>
  <c r="CB53" i="3"/>
  <c r="CB8" i="11"/>
  <c r="CB129" i="3"/>
  <c r="CB108" i="3"/>
  <c r="CB127" i="3"/>
  <c r="CB125" i="3"/>
  <c r="CB112" i="3"/>
  <c r="CB113" i="3" s="1"/>
  <c r="CB65" i="3"/>
  <c r="CB43" i="11" s="1"/>
  <c r="CB134" i="3"/>
  <c r="CB135" i="3" s="1"/>
  <c r="CB153" i="3" s="1"/>
  <c r="CB114" i="3"/>
  <c r="CB116" i="3" s="1"/>
  <c r="CB69" i="2"/>
  <c r="L16" i="9"/>
  <c r="CB72" i="2"/>
  <c r="L19" i="9"/>
  <c r="CB8" i="14"/>
  <c r="CB71" i="2"/>
  <c r="CB35" i="11"/>
  <c r="CB38" i="11"/>
  <c r="CB102" i="2"/>
  <c r="I62" i="9"/>
  <c r="N62" i="9" s="1"/>
  <c r="Q62" i="9" s="1"/>
  <c r="CO20" i="2" l="1"/>
  <c r="CP20" i="2" s="1"/>
  <c r="CQ20" i="2" s="1"/>
  <c r="K7" i="9" l="1"/>
  <c r="O5" i="9" l="1"/>
  <c r="K5" i="9"/>
  <c r="O7" i="9"/>
  <c r="M7" i="9"/>
  <c r="M5" i="9"/>
  <c r="CB101" i="11" l="1"/>
  <c r="CB99" i="11"/>
  <c r="CB96" i="11"/>
  <c r="CB94" i="11"/>
  <c r="CB53" i="11"/>
  <c r="CB52" i="11"/>
  <c r="CB50" i="11"/>
  <c r="CB10" i="4"/>
  <c r="CB5" i="4"/>
  <c r="CB17" i="4"/>
  <c r="CB20" i="2" s="1"/>
  <c r="CB16" i="4"/>
  <c r="CB13" i="4"/>
  <c r="CB8" i="4"/>
  <c r="CD62" i="11" l="1"/>
  <c r="CD63" i="11" s="1"/>
  <c r="CB62" i="11"/>
  <c r="CD59" i="11"/>
  <c r="CB59" i="11"/>
  <c r="CB61" i="11"/>
  <c r="L8" i="9"/>
  <c r="CB10" i="11"/>
  <c r="K6" i="9"/>
  <c r="L6" i="9"/>
  <c r="M6" i="9" s="1"/>
  <c r="CB5" i="11"/>
  <c r="CB6" i="11" s="1"/>
  <c r="CB57" i="11"/>
  <c r="CB9" i="11"/>
  <c r="CB21" i="4"/>
  <c r="CB6" i="4"/>
  <c r="CB55" i="11"/>
  <c r="CB11" i="4"/>
  <c r="K8" i="9"/>
  <c r="O6" i="9"/>
  <c r="CB14" i="4"/>
  <c r="CB33" i="4" s="1"/>
  <c r="CB18" i="4"/>
  <c r="CB11" i="11" l="1"/>
  <c r="CB13" i="11"/>
  <c r="O8" i="9"/>
  <c r="M8" i="9"/>
  <c r="O20" i="15" l="1"/>
  <c r="N20" i="15"/>
  <c r="M20" i="15"/>
  <c r="T14" i="15"/>
  <c r="S14" i="15"/>
  <c r="R14" i="15"/>
  <c r="P14" i="15"/>
  <c r="O14" i="15"/>
  <c r="N14" i="15"/>
  <c r="M14" i="15"/>
  <c r="M2" i="15"/>
  <c r="CA10" i="3"/>
  <c r="BV33" i="2" l="1"/>
  <c r="BV31" i="2" s="1"/>
  <c r="CA31" i="2"/>
  <c r="CA8" i="14"/>
  <c r="CA73" i="14"/>
  <c r="CA60" i="11"/>
  <c r="CA61" i="11" s="1"/>
  <c r="CA57" i="11"/>
  <c r="CA55" i="11"/>
  <c r="CA52" i="11"/>
  <c r="CA50" i="11"/>
  <c r="CA74" i="3"/>
  <c r="CA104" i="11"/>
  <c r="CA34" i="4"/>
  <c r="CA32" i="4"/>
  <c r="CB39" i="4" s="1"/>
  <c r="CB111" i="2" s="1"/>
  <c r="CB112" i="2" s="1"/>
  <c r="CA28" i="4"/>
  <c r="CA29" i="4" s="1"/>
  <c r="CA25" i="4"/>
  <c r="CA26" i="4" s="1"/>
  <c r="CA150" i="3"/>
  <c r="CA149" i="3"/>
  <c r="CA120" i="3"/>
  <c r="CA111" i="3"/>
  <c r="CA109" i="3"/>
  <c r="CA110" i="3" s="1"/>
  <c r="CA99" i="3"/>
  <c r="CA97" i="3"/>
  <c r="CA59" i="3"/>
  <c r="CB60" i="3" s="1"/>
  <c r="CB61" i="3" s="1"/>
  <c r="CB63" i="3" s="1"/>
  <c r="CA58" i="3"/>
  <c r="CA40" i="3"/>
  <c r="CA36" i="3"/>
  <c r="CA47" i="3"/>
  <c r="CA33" i="3"/>
  <c r="CA117" i="3" s="1"/>
  <c r="CA38" i="3"/>
  <c r="CA30" i="3"/>
  <c r="CA54" i="3" s="1"/>
  <c r="CB55" i="3" s="1"/>
  <c r="CA29" i="3"/>
  <c r="CA52" i="3" s="1"/>
  <c r="CA41" i="3"/>
  <c r="CA35" i="3"/>
  <c r="CA114" i="3" s="1"/>
  <c r="CA37" i="3"/>
  <c r="CA128" i="3" s="1"/>
  <c r="CA34" i="3"/>
  <c r="CA44" i="3"/>
  <c r="CA13" i="3"/>
  <c r="CA14" i="3" s="1"/>
  <c r="CA16" i="3"/>
  <c r="CA126" i="3" s="1"/>
  <c r="CA19" i="3"/>
  <c r="CA18" i="3"/>
  <c r="CA124" i="3" s="1"/>
  <c r="CA17" i="3"/>
  <c r="CA6" i="3"/>
  <c r="CA20" i="3"/>
  <c r="O23" i="15" s="1"/>
  <c r="CA8" i="3"/>
  <c r="CA109" i="2"/>
  <c r="CA110" i="2" s="1"/>
  <c r="CA100" i="2"/>
  <c r="CA95" i="2"/>
  <c r="CA72" i="2"/>
  <c r="CA71" i="2"/>
  <c r="CA69" i="2"/>
  <c r="CA67" i="2"/>
  <c r="CA29" i="2"/>
  <c r="CA23" i="2"/>
  <c r="O25" i="15" l="1"/>
  <c r="CB87" i="3"/>
  <c r="CB53" i="2"/>
  <c r="CB50" i="2"/>
  <c r="CA43" i="3"/>
  <c r="CA65" i="3" s="1"/>
  <c r="O16" i="15" s="1"/>
  <c r="CA134" i="3"/>
  <c r="CA107" i="3"/>
  <c r="CA108" i="3" s="1"/>
  <c r="CA112" i="3"/>
  <c r="CA113" i="3" s="1"/>
  <c r="CA135" i="3"/>
  <c r="CA105" i="11"/>
  <c r="CA28" i="3"/>
  <c r="CA51" i="3" s="1"/>
  <c r="CA53" i="3"/>
  <c r="CA93" i="3"/>
  <c r="CB96" i="3" s="1"/>
  <c r="CB20" i="4"/>
  <c r="CA12" i="3"/>
  <c r="CA101" i="3" s="1"/>
  <c r="CB104" i="3" s="1"/>
  <c r="CA56" i="3"/>
  <c r="CA105" i="3"/>
  <c r="CA146" i="3"/>
  <c r="CA6" i="14"/>
  <c r="CA98" i="2"/>
  <c r="CA102" i="2"/>
  <c r="CB79" i="3" l="1"/>
  <c r="CA147" i="3"/>
  <c r="CA57" i="3" l="1"/>
  <c r="CA132" i="3"/>
  <c r="CA66" i="3" l="1"/>
  <c r="CA64" i="3"/>
  <c r="BY72" i="14"/>
  <c r="BX72" i="14"/>
  <c r="BN72" i="14"/>
  <c r="BI72" i="14"/>
  <c r="BD72" i="14"/>
  <c r="AY72" i="14"/>
  <c r="AT72" i="14"/>
  <c r="AO72" i="14"/>
  <c r="BY73" i="14"/>
  <c r="BX73" i="14"/>
  <c r="BW73" i="14"/>
  <c r="BV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BW72" i="14"/>
  <c r="BV72" i="14"/>
  <c r="BU72" i="14"/>
  <c r="BT72" i="14"/>
  <c r="BR72" i="14"/>
  <c r="BQ72" i="14"/>
  <c r="BP72" i="14"/>
  <c r="BO72" i="14"/>
  <c r="BM72" i="14"/>
  <c r="BL72" i="14"/>
  <c r="BK72" i="14"/>
  <c r="BJ72" i="14"/>
  <c r="BH72" i="14"/>
  <c r="BG72" i="14"/>
  <c r="BF72" i="14"/>
  <c r="BE72" i="14"/>
  <c r="BC72" i="14"/>
  <c r="BB72" i="14"/>
  <c r="BA72" i="14"/>
  <c r="AZ72" i="14"/>
  <c r="AX72" i="14"/>
  <c r="AW72" i="14"/>
  <c r="AV72" i="14"/>
  <c r="AU72" i="14"/>
  <c r="AS72" i="14"/>
  <c r="AR72" i="14"/>
  <c r="AQ72" i="14"/>
  <c r="AP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O15" i="15" l="1"/>
  <c r="CA67" i="3"/>
  <c r="E7" i="12" l="1"/>
  <c r="D8" i="12" l="1"/>
  <c r="CI50" i="11" l="1"/>
  <c r="CJ50" i="11" s="1"/>
  <c r="CK50" i="11" s="1"/>
  <c r="CL50" i="11" s="1"/>
  <c r="CN50" i="11" s="1"/>
  <c r="CO50" i="11" s="1"/>
  <c r="CP50" i="11" s="1"/>
  <c r="CQ50" i="11" s="1"/>
  <c r="CS50" i="11" s="1"/>
  <c r="CT50" i="11" s="1"/>
  <c r="CU50" i="11" s="1"/>
  <c r="CV50" i="11" s="1"/>
  <c r="CX50" i="11" s="1"/>
  <c r="CY50" i="11" s="1"/>
  <c r="CZ50" i="11" s="1"/>
  <c r="DA50" i="11" s="1"/>
  <c r="CG25" i="2" l="1"/>
  <c r="CF25" i="2"/>
  <c r="CA101" i="2"/>
  <c r="J4" i="1"/>
  <c r="O4" i="1" s="1"/>
  <c r="I4" i="1"/>
  <c r="I3" i="1" s="1"/>
  <c r="H4" i="1"/>
  <c r="H3" i="1" s="1"/>
  <c r="G4" i="1"/>
  <c r="L4" i="1" s="1"/>
  <c r="F4" i="1"/>
  <c r="F3" i="1" s="1"/>
  <c r="E3" i="1"/>
  <c r="D3" i="1"/>
  <c r="C3" i="1"/>
  <c r="B3" i="1"/>
  <c r="K4" i="1" l="1"/>
  <c r="K3" i="1" s="1"/>
  <c r="J3" i="1"/>
  <c r="L3" i="1"/>
  <c r="Q4" i="1"/>
  <c r="P4" i="1"/>
  <c r="P3" i="1" s="1"/>
  <c r="O3" i="1"/>
  <c r="T4" i="1"/>
  <c r="M4" i="1"/>
  <c r="G3" i="1"/>
  <c r="N4" i="1"/>
  <c r="N3" i="1" l="1"/>
  <c r="S4" i="1"/>
  <c r="M3" i="1"/>
  <c r="R4" i="1"/>
  <c r="T3" i="1"/>
  <c r="Y4" i="1"/>
  <c r="U4" i="1"/>
  <c r="U3" i="1" s="1"/>
  <c r="Q3" i="1"/>
  <c r="V4" i="1"/>
  <c r="R3" i="1" l="1"/>
  <c r="W4" i="1"/>
  <c r="S3" i="1"/>
  <c r="X4" i="1"/>
  <c r="AA4" i="1"/>
  <c r="V3" i="1"/>
  <c r="Z4" i="1"/>
  <c r="Z3" i="1" s="1"/>
  <c r="Y3" i="1"/>
  <c r="AD4" i="1"/>
  <c r="X3" i="1" l="1"/>
  <c r="AC4" i="1"/>
  <c r="AE4" i="1"/>
  <c r="AE3" i="1" s="1"/>
  <c r="AD3" i="1"/>
  <c r="AI4" i="1"/>
  <c r="AA3" i="1"/>
  <c r="AF4" i="1"/>
  <c r="AB4" i="1"/>
  <c r="W3" i="1"/>
  <c r="AB3" i="1" l="1"/>
  <c r="AG4" i="1"/>
  <c r="AF3" i="1"/>
  <c r="AK4" i="1"/>
  <c r="AN4" i="1"/>
  <c r="AJ4" i="1"/>
  <c r="AJ3" i="1" s="1"/>
  <c r="AI3" i="1"/>
  <c r="AC3" i="1"/>
  <c r="AH4" i="1"/>
  <c r="AN3" i="1" l="1"/>
  <c r="AS4" i="1"/>
  <c r="AO4" i="1"/>
  <c r="AO3" i="1" s="1"/>
  <c r="AM4" i="1"/>
  <c r="AH3" i="1"/>
  <c r="AK3" i="1"/>
  <c r="AP4" i="1"/>
  <c r="AG3" i="1"/>
  <c r="AL4" i="1"/>
  <c r="AL3" i="1" l="1"/>
  <c r="AQ4" i="1"/>
  <c r="AP3" i="1"/>
  <c r="AU4" i="1"/>
  <c r="AM3" i="1"/>
  <c r="AR4" i="1"/>
  <c r="AS3" i="1"/>
  <c r="AX4" i="1"/>
  <c r="AT4" i="1"/>
  <c r="AT3" i="1" s="1"/>
  <c r="AY4" i="1" l="1"/>
  <c r="AY3" i="1" s="1"/>
  <c r="AX3" i="1"/>
  <c r="BC4" i="1"/>
  <c r="AZ4" i="1"/>
  <c r="AU3" i="1"/>
  <c r="AV4" i="1"/>
  <c r="AQ3" i="1"/>
  <c r="AR3" i="1"/>
  <c r="AW4" i="1"/>
  <c r="AV3" i="1" l="1"/>
  <c r="BA4" i="1"/>
  <c r="BC3" i="1"/>
  <c r="BH4" i="1"/>
  <c r="BD4" i="1"/>
  <c r="BD3" i="1" s="1"/>
  <c r="AW3" i="1"/>
  <c r="BB4" i="1"/>
  <c r="AZ3" i="1"/>
  <c r="BE4" i="1"/>
  <c r="BB3" i="1" l="1"/>
  <c r="BG4" i="1"/>
  <c r="BE3" i="1"/>
  <c r="BJ4" i="1"/>
  <c r="BI4" i="1"/>
  <c r="BI3" i="1" s="1"/>
  <c r="BH3" i="1"/>
  <c r="BM4" i="1"/>
  <c r="BA3" i="1"/>
  <c r="BF4" i="1"/>
  <c r="BM3" i="1" l="1"/>
  <c r="BR4" i="1"/>
  <c r="BN4" i="1"/>
  <c r="BN3" i="1" s="1"/>
  <c r="BK4" i="1"/>
  <c r="BF3" i="1"/>
  <c r="BJ3" i="1"/>
  <c r="BO4" i="1"/>
  <c r="BL4" i="1"/>
  <c r="BG3" i="1"/>
  <c r="BO3" i="1" l="1"/>
  <c r="BT4" i="1"/>
  <c r="BW4" i="1"/>
  <c r="BS4" i="1"/>
  <c r="BS3" i="1" s="1"/>
  <c r="BR3" i="1"/>
  <c r="BL3" i="1"/>
  <c r="BQ4" i="1"/>
  <c r="BK3" i="1"/>
  <c r="BP4" i="1"/>
  <c r="BP3" i="1" l="1"/>
  <c r="BU4" i="1"/>
  <c r="BT3" i="1"/>
  <c r="BY4" i="1"/>
  <c r="BQ3" i="1"/>
  <c r="BV4" i="1"/>
  <c r="BX4" i="1"/>
  <c r="BX3" i="1" s="1"/>
  <c r="BW3" i="1"/>
  <c r="CB4" i="1"/>
  <c r="BV3" i="1" l="1"/>
  <c r="CA4" i="1"/>
  <c r="CB3" i="1"/>
  <c r="CG4" i="1"/>
  <c r="CC4" i="1"/>
  <c r="CC3" i="1" s="1"/>
  <c r="BY3" i="1"/>
  <c r="CD4" i="1"/>
  <c r="BU3" i="1"/>
  <c r="BZ4" i="1"/>
  <c r="CB20" i="11" l="1"/>
  <c r="CB142" i="3"/>
  <c r="BZ3" i="1"/>
  <c r="CE4" i="1"/>
  <c r="CI4" i="1"/>
  <c r="CD3" i="1"/>
  <c r="CH4" i="1"/>
  <c r="CH3" i="1" s="1"/>
  <c r="CG3" i="1"/>
  <c r="CL4" i="1"/>
  <c r="CF4" i="1"/>
  <c r="CA3" i="1"/>
  <c r="CA142" i="3" s="1"/>
  <c r="CD20" i="11" l="1"/>
  <c r="CD48" i="4"/>
  <c r="CD142" i="3"/>
  <c r="CF3" i="1"/>
  <c r="CK4" i="1"/>
  <c r="CL3" i="1"/>
  <c r="CQ4" i="1"/>
  <c r="CM4" i="1"/>
  <c r="CM3" i="1" s="1"/>
  <c r="CI3" i="1"/>
  <c r="CI3" i="11" s="1"/>
  <c r="CN4" i="1"/>
  <c r="CJ4" i="1"/>
  <c r="CE3" i="1"/>
  <c r="CJ3" i="1" l="1"/>
  <c r="CO4" i="1"/>
  <c r="CV4" i="1"/>
  <c r="CR4" i="1"/>
  <c r="CR3" i="1" s="1"/>
  <c r="CQ3" i="1"/>
  <c r="CK3" i="1"/>
  <c r="CP4" i="1"/>
  <c r="CN3" i="1"/>
  <c r="CS4" i="1"/>
  <c r="CO3" i="1" l="1"/>
  <c r="CT4" i="1"/>
  <c r="CS3" i="1"/>
  <c r="CX4" i="1"/>
  <c r="CX3" i="1" s="1"/>
  <c r="CU4" i="1"/>
  <c r="CP3" i="1"/>
  <c r="CV3" i="1"/>
  <c r="DA4" i="1"/>
  <c r="CW4" i="1"/>
  <c r="CW3" i="1" s="1"/>
  <c r="DA3" i="1" l="1"/>
  <c r="DB4" i="1"/>
  <c r="CU3" i="1"/>
  <c r="CZ4" i="1"/>
  <c r="CZ3" i="1" s="1"/>
  <c r="CT3" i="1"/>
  <c r="CY4" i="1"/>
  <c r="CY3" i="1" s="1"/>
  <c r="DB3" i="1" l="1"/>
  <c r="CJ20" i="2"/>
  <c r="CK20" i="2" s="1"/>
  <c r="CL20" i="2" s="1"/>
  <c r="BQ38" i="11"/>
  <c r="BP38" i="11"/>
  <c r="BO38" i="11"/>
  <c r="BL38" i="11"/>
  <c r="BK38" i="11"/>
  <c r="BJ38" i="11"/>
  <c r="BG38" i="11"/>
  <c r="BF38" i="11"/>
  <c r="BE38" i="11"/>
  <c r="BB38" i="11"/>
  <c r="BA38" i="11"/>
  <c r="AZ38" i="11"/>
  <c r="BQ35" i="11"/>
  <c r="BP35" i="11"/>
  <c r="BO35" i="11"/>
  <c r="BL35" i="11"/>
  <c r="BK35" i="11"/>
  <c r="BJ35" i="11"/>
  <c r="BG35" i="11"/>
  <c r="BF35" i="11"/>
  <c r="BE35" i="11"/>
  <c r="BA35" i="11"/>
  <c r="AZ35" i="11"/>
  <c r="BQ32" i="11"/>
  <c r="BP32" i="11"/>
  <c r="BO32" i="11"/>
  <c r="BL32" i="11"/>
  <c r="BK32" i="11"/>
  <c r="BJ32" i="11"/>
  <c r="BG32" i="11"/>
  <c r="BF32" i="11"/>
  <c r="BE32" i="11"/>
  <c r="BB32" i="11"/>
  <c r="BA32" i="11"/>
  <c r="AZ32" i="11"/>
  <c r="BB27" i="11"/>
  <c r="BA27" i="11"/>
  <c r="AZ27" i="11"/>
  <c r="BO25" i="11"/>
  <c r="BJ25" i="11"/>
  <c r="BE25" i="11"/>
  <c r="AZ25" i="11"/>
  <c r="CA38" i="11"/>
  <c r="BZ38" i="11"/>
  <c r="BY38" i="11"/>
  <c r="BV38" i="11"/>
  <c r="BU38" i="11"/>
  <c r="BZ35" i="11"/>
  <c r="BY35" i="11"/>
  <c r="BV35" i="11"/>
  <c r="BU35" i="11"/>
  <c r="BZ32" i="11"/>
  <c r="BY32" i="11"/>
  <c r="BV32" i="11"/>
  <c r="BU32" i="11"/>
  <c r="BY25" i="11"/>
  <c r="H72" i="3"/>
  <c r="I72" i="3" s="1"/>
  <c r="J72" i="3" s="1"/>
  <c r="I73" i="3"/>
  <c r="J73" i="3" s="1"/>
  <c r="M73" i="3" l="1"/>
  <c r="N73" i="3" s="1"/>
  <c r="O73" i="3" s="1"/>
  <c r="M72" i="3"/>
  <c r="N72" i="3" s="1"/>
  <c r="O72" i="3" s="1"/>
  <c r="R73" i="3"/>
  <c r="S73" i="3" s="1"/>
  <c r="T73" i="3" s="1"/>
  <c r="R72" i="3"/>
  <c r="S72" i="3" s="1"/>
  <c r="T72" i="3" s="1"/>
  <c r="W73" i="3"/>
  <c r="X73" i="3" s="1"/>
  <c r="Y73" i="3" s="1"/>
  <c r="W72" i="3"/>
  <c r="X72" i="3" s="1"/>
  <c r="Y72" i="3" s="1"/>
  <c r="AA73" i="3"/>
  <c r="AB73" i="3" s="1"/>
  <c r="AC73" i="3" s="1"/>
  <c r="AD73" i="3" s="1"/>
  <c r="AB72" i="3"/>
  <c r="AC72" i="3" s="1"/>
  <c r="AD72" i="3" s="1"/>
  <c r="AG72" i="3"/>
  <c r="AH72" i="3" s="1"/>
  <c r="AI72" i="3" s="1"/>
  <c r="AL72" i="3"/>
  <c r="AM72" i="3" s="1"/>
  <c r="AN72" i="3" s="1"/>
  <c r="AR72" i="3"/>
  <c r="AS72" i="3" s="1"/>
  <c r="AW72" i="3"/>
  <c r="AX72" i="3" s="1"/>
  <c r="BC72" i="3"/>
  <c r="BF72" i="3"/>
  <c r="BG72" i="3" s="1"/>
  <c r="BH72" i="3" s="1"/>
  <c r="BZ74" i="3"/>
  <c r="BM74" i="3"/>
  <c r="BM72" i="3"/>
  <c r="BO74" i="3"/>
  <c r="BP72" i="3"/>
  <c r="BQ72" i="3" s="1"/>
  <c r="BR72" i="3" s="1"/>
  <c r="BP74" i="3"/>
  <c r="BQ74" i="3"/>
  <c r="BR73" i="3"/>
  <c r="BT74" i="3" l="1"/>
  <c r="BU74" i="3"/>
  <c r="BV74" i="3"/>
  <c r="BW72" i="3"/>
  <c r="CS129" i="11" l="1"/>
  <c r="CT129" i="11" s="1"/>
  <c r="CU129" i="11" s="1"/>
  <c r="CV129" i="11" s="1"/>
  <c r="CX129" i="11" s="1"/>
  <c r="CY129" i="11" s="1"/>
  <c r="CZ129" i="11" s="1"/>
  <c r="DA129" i="11" s="1"/>
  <c r="CG129" i="11"/>
  <c r="BD87" i="11"/>
  <c r="BD131" i="11"/>
  <c r="BD111" i="11"/>
  <c r="BD112" i="11"/>
  <c r="BD113" i="11"/>
  <c r="BD115" i="11"/>
  <c r="BD116" i="11"/>
  <c r="BD118" i="11"/>
  <c r="BD119" i="11"/>
  <c r="BD120" i="11"/>
  <c r="BD121" i="11"/>
  <c r="BD122" i="11"/>
  <c r="BD126" i="11"/>
  <c r="BD67" i="11"/>
  <c r="BD68" i="11"/>
  <c r="BD69" i="11"/>
  <c r="BD71" i="11"/>
  <c r="BD72" i="11"/>
  <c r="BD74" i="11"/>
  <c r="BD75" i="11"/>
  <c r="BD76" i="11"/>
  <c r="BD77" i="11"/>
  <c r="BD78" i="11"/>
  <c r="BD82" i="11"/>
  <c r="DB126" i="11"/>
  <c r="CW126" i="11"/>
  <c r="CR126" i="11"/>
  <c r="CM126" i="11"/>
  <c r="CH126" i="11"/>
  <c r="CC126" i="11"/>
  <c r="BX126" i="11"/>
  <c r="BS126" i="11"/>
  <c r="BN126" i="11"/>
  <c r="BI126" i="11"/>
  <c r="DB122" i="11"/>
  <c r="CW122" i="11"/>
  <c r="CR122" i="11"/>
  <c r="CM122" i="11"/>
  <c r="CH122" i="11"/>
  <c r="CC122" i="11"/>
  <c r="BX122" i="11"/>
  <c r="BS122" i="11"/>
  <c r="BN122" i="11"/>
  <c r="BI122" i="11"/>
  <c r="DB121" i="11"/>
  <c r="CW121" i="11"/>
  <c r="CR121" i="11"/>
  <c r="CM121" i="11"/>
  <c r="CH121" i="11"/>
  <c r="CC121" i="11"/>
  <c r="BX121" i="11"/>
  <c r="BS121" i="11"/>
  <c r="BN121" i="11"/>
  <c r="BI121" i="11"/>
  <c r="DB120" i="11"/>
  <c r="CW120" i="11"/>
  <c r="CR120" i="11"/>
  <c r="CM120" i="11"/>
  <c r="CH120" i="11"/>
  <c r="CC120" i="11"/>
  <c r="BX120" i="11"/>
  <c r="BS120" i="11"/>
  <c r="BN120" i="11"/>
  <c r="BI120" i="11"/>
  <c r="DB119" i="11"/>
  <c r="CW119" i="11"/>
  <c r="CR119" i="11"/>
  <c r="CM119" i="11"/>
  <c r="CH119" i="11"/>
  <c r="CC119" i="11"/>
  <c r="BX119" i="11"/>
  <c r="BS119" i="11"/>
  <c r="BN119" i="11"/>
  <c r="BI119" i="11"/>
  <c r="DB118" i="11"/>
  <c r="CW118" i="11"/>
  <c r="CR118" i="11"/>
  <c r="CM118" i="11"/>
  <c r="CH118" i="11"/>
  <c r="CC118" i="11"/>
  <c r="BX118" i="11"/>
  <c r="BS118" i="11"/>
  <c r="BN118" i="11"/>
  <c r="BI118" i="11"/>
  <c r="DB74" i="11"/>
  <c r="CW74" i="11"/>
  <c r="CR74" i="11"/>
  <c r="CM74" i="11"/>
  <c r="CH74" i="11"/>
  <c r="CC74" i="11"/>
  <c r="BX74" i="11"/>
  <c r="BS74" i="11"/>
  <c r="BN74" i="11"/>
  <c r="BI74" i="11"/>
  <c r="DB82" i="11"/>
  <c r="CW82" i="11"/>
  <c r="CR82" i="11"/>
  <c r="CM82" i="11"/>
  <c r="CH82" i="11"/>
  <c r="CC82" i="11"/>
  <c r="BX82" i="11"/>
  <c r="BS82" i="11"/>
  <c r="BN82" i="11"/>
  <c r="BI82" i="11"/>
  <c r="DB78" i="11"/>
  <c r="CW78" i="11"/>
  <c r="CR78" i="11"/>
  <c r="CM78" i="11"/>
  <c r="CH78" i="11"/>
  <c r="DB77" i="11"/>
  <c r="CW77" i="11"/>
  <c r="CR77" i="11"/>
  <c r="CM77" i="11"/>
  <c r="CH77" i="11"/>
  <c r="DB76" i="11"/>
  <c r="CW76" i="11"/>
  <c r="CR76" i="11"/>
  <c r="CM76" i="11"/>
  <c r="CH76" i="11"/>
  <c r="DB75" i="11"/>
  <c r="CW75" i="11"/>
  <c r="CR75" i="11"/>
  <c r="CM75" i="11"/>
  <c r="CH75" i="11"/>
  <c r="CA13" i="4"/>
  <c r="CA8" i="4"/>
  <c r="BZ103" i="11"/>
  <c r="BY103" i="11"/>
  <c r="BW103" i="11"/>
  <c r="BV103" i="11"/>
  <c r="BU103" i="11"/>
  <c r="BT103" i="11"/>
  <c r="BR103" i="11"/>
  <c r="BQ103" i="11"/>
  <c r="BP103" i="11"/>
  <c r="BO103" i="11"/>
  <c r="BM103" i="11"/>
  <c r="BL103" i="11"/>
  <c r="BK103" i="11"/>
  <c r="BJ103" i="11"/>
  <c r="BH103" i="11"/>
  <c r="BG103" i="11"/>
  <c r="BF103" i="11"/>
  <c r="BE103" i="11"/>
  <c r="BC103" i="11"/>
  <c r="BB103" i="11"/>
  <c r="BA103" i="11"/>
  <c r="AZ103" i="11"/>
  <c r="BZ59" i="11"/>
  <c r="BY59" i="11"/>
  <c r="BW59" i="11"/>
  <c r="BV59" i="11"/>
  <c r="BU59" i="11"/>
  <c r="BT59" i="11"/>
  <c r="BR59" i="11"/>
  <c r="BQ59" i="11"/>
  <c r="BP59" i="11"/>
  <c r="BO59" i="11"/>
  <c r="BM59" i="11"/>
  <c r="BL59" i="11"/>
  <c r="BK59" i="11"/>
  <c r="BJ59" i="11"/>
  <c r="BH59" i="11"/>
  <c r="BG59" i="11"/>
  <c r="BF59" i="11"/>
  <c r="BE59" i="11"/>
  <c r="BC59" i="11"/>
  <c r="BB59" i="11"/>
  <c r="BA59" i="11"/>
  <c r="AZ59" i="11"/>
  <c r="BT35" i="11"/>
  <c r="BD9" i="14"/>
  <c r="BI9" i="14"/>
  <c r="BN9" i="14"/>
  <c r="BS9" i="14"/>
  <c r="BX9" i="14"/>
  <c r="BY9" i="14"/>
  <c r="BY8" i="14"/>
  <c r="BZ8" i="14"/>
  <c r="BZ35" i="14"/>
  <c r="BZ73" i="14" l="1"/>
  <c r="BY10" i="14"/>
  <c r="BD70" i="11"/>
  <c r="BD114" i="11"/>
  <c r="BD129" i="11" s="1"/>
  <c r="BD85" i="11"/>
  <c r="BD73" i="11"/>
  <c r="BD117" i="11"/>
  <c r="CI10" i="14" l="1"/>
  <c r="CN10" i="14" s="1"/>
  <c r="CS10" i="14" s="1"/>
  <c r="CX10" i="14" l="1"/>
  <c r="CF15" i="14" l="1"/>
  <c r="CG15" i="14" s="1"/>
  <c r="CI15" i="14" s="1"/>
  <c r="BZ106" i="11"/>
  <c r="BY106" i="11"/>
  <c r="BW106" i="11"/>
  <c r="BV106" i="11"/>
  <c r="BU106" i="11"/>
  <c r="BT106" i="11"/>
  <c r="BR106" i="11"/>
  <c r="BQ106" i="11"/>
  <c r="BP106" i="11"/>
  <c r="BO106" i="11"/>
  <c r="BM106" i="11"/>
  <c r="CC92" i="11"/>
  <c r="DB108" i="11"/>
  <c r="DA108" i="11"/>
  <c r="CZ108" i="11"/>
  <c r="CY108" i="11"/>
  <c r="CX108" i="11"/>
  <c r="CW108" i="11"/>
  <c r="CV108" i="11"/>
  <c r="CU108" i="11"/>
  <c r="CT108" i="11"/>
  <c r="CS108" i="11"/>
  <c r="CR108" i="11"/>
  <c r="CQ108" i="11"/>
  <c r="CP108" i="11"/>
  <c r="CO108" i="11"/>
  <c r="CN108" i="11"/>
  <c r="CM108" i="11"/>
  <c r="CL108" i="11"/>
  <c r="CK108" i="11"/>
  <c r="CJ108" i="11"/>
  <c r="CI108" i="11"/>
  <c r="CJ105" i="11"/>
  <c r="CK105" i="11" s="1"/>
  <c r="CL105" i="11" s="1"/>
  <c r="CN105" i="11" s="1"/>
  <c r="CO105" i="11" s="1"/>
  <c r="CP105" i="11" s="1"/>
  <c r="CQ105" i="11" s="1"/>
  <c r="CS105" i="11" s="1"/>
  <c r="CT105" i="11" s="1"/>
  <c r="CU105" i="11" s="1"/>
  <c r="CV105" i="11" s="1"/>
  <c r="CX105" i="11" s="1"/>
  <c r="CY105" i="11" s="1"/>
  <c r="CZ105" i="11" s="1"/>
  <c r="DA105" i="11" s="1"/>
  <c r="CY94" i="11"/>
  <c r="CT94" i="11"/>
  <c r="CO94" i="11"/>
  <c r="CJ94" i="11"/>
  <c r="CF94" i="11"/>
  <c r="CG94" i="11" s="1"/>
  <c r="CA101" i="11"/>
  <c r="CA99" i="11"/>
  <c r="CA96" i="11"/>
  <c r="CA94" i="11"/>
  <c r="CJ61" i="11"/>
  <c r="CK61" i="11" s="1"/>
  <c r="CL61" i="11" s="1"/>
  <c r="CO61" i="11" s="1"/>
  <c r="CP61" i="11" s="1"/>
  <c r="CQ61" i="11" s="1"/>
  <c r="CS61" i="11" s="1"/>
  <c r="CT61" i="11" s="1"/>
  <c r="CU61" i="11" s="1"/>
  <c r="CV61" i="11" s="1"/>
  <c r="CX61" i="11" s="1"/>
  <c r="CY61" i="11" s="1"/>
  <c r="CZ61" i="11" s="1"/>
  <c r="DA61" i="11" s="1"/>
  <c r="DA55" i="11"/>
  <c r="CZ55" i="11"/>
  <c r="CY55" i="11"/>
  <c r="CX55" i="11"/>
  <c r="CV55" i="11"/>
  <c r="CU55" i="11"/>
  <c r="CT55" i="11"/>
  <c r="CS55" i="11"/>
  <c r="CQ55" i="11"/>
  <c r="CP55" i="11"/>
  <c r="CO55" i="11"/>
  <c r="CN55" i="11"/>
  <c r="CL55" i="11"/>
  <c r="CK55" i="11"/>
  <c r="CJ55" i="11"/>
  <c r="CF92" i="11" l="1"/>
  <c r="CG92" i="11"/>
  <c r="CG93" i="11" s="1"/>
  <c r="CJ15" i="14"/>
  <c r="CK15" i="14" s="1"/>
  <c r="CL15" i="14" s="1"/>
  <c r="CN15" i="14" s="1"/>
  <c r="CH15" i="14"/>
  <c r="CC93" i="11"/>
  <c r="CC94" i="11" s="1"/>
  <c r="CU94" i="11"/>
  <c r="CV94" i="11" s="1"/>
  <c r="CP94" i="11"/>
  <c r="CQ94" i="11" s="1"/>
  <c r="CK94" i="11"/>
  <c r="CK99" i="11" s="1"/>
  <c r="CZ94" i="11"/>
  <c r="DA94" i="11" s="1"/>
  <c r="CJ99" i="11"/>
  <c r="BM62" i="11"/>
  <c r="BR62" i="11"/>
  <c r="BQ62" i="11"/>
  <c r="BP62" i="11"/>
  <c r="BO62" i="11"/>
  <c r="BW62" i="11"/>
  <c r="BV62" i="11"/>
  <c r="BU62" i="11"/>
  <c r="BT62" i="11"/>
  <c r="BY62" i="11"/>
  <c r="BZ62" i="11"/>
  <c r="CA17" i="4"/>
  <c r="CA20" i="2" s="1"/>
  <c r="CA16" i="4"/>
  <c r="CA11" i="4"/>
  <c r="CA6" i="4"/>
  <c r="BT38" i="11"/>
  <c r="BT32" i="11"/>
  <c r="BT25" i="11"/>
  <c r="CC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Z14" i="11"/>
  <c r="BY14" i="11"/>
  <c r="BW14" i="11"/>
  <c r="BV14" i="11"/>
  <c r="BU14" i="11"/>
  <c r="BT14" i="11"/>
  <c r="BR14" i="11"/>
  <c r="BQ14" i="11"/>
  <c r="BP14" i="11"/>
  <c r="BO14" i="11"/>
  <c r="BM14" i="11"/>
  <c r="BL14" i="11"/>
  <c r="BK14" i="11"/>
  <c r="BJ14" i="11"/>
  <c r="BH14" i="11"/>
  <c r="BG14" i="11"/>
  <c r="BF14" i="11"/>
  <c r="BE14" i="11"/>
  <c r="BZ12" i="11"/>
  <c r="BY12" i="11"/>
  <c r="BW12" i="11"/>
  <c r="BV12" i="11"/>
  <c r="BU12" i="11"/>
  <c r="BT12" i="11"/>
  <c r="BR12" i="11"/>
  <c r="BQ12" i="11"/>
  <c r="BP12" i="11"/>
  <c r="BO12" i="11"/>
  <c r="BM12" i="11"/>
  <c r="BL12" i="11"/>
  <c r="BK12" i="11"/>
  <c r="BJ12" i="11"/>
  <c r="BH12" i="11"/>
  <c r="BG12" i="11"/>
  <c r="BF12" i="11"/>
  <c r="BE12" i="11"/>
  <c r="BZ10" i="11"/>
  <c r="BY10" i="11"/>
  <c r="BW10" i="11"/>
  <c r="BV10" i="11"/>
  <c r="BU10" i="11"/>
  <c r="BT10" i="11"/>
  <c r="BR10" i="11"/>
  <c r="BQ10" i="11"/>
  <c r="BP10" i="11"/>
  <c r="BO10" i="11"/>
  <c r="BM10" i="11"/>
  <c r="BL10" i="11"/>
  <c r="BK10" i="11"/>
  <c r="BJ10" i="11"/>
  <c r="BH10" i="11"/>
  <c r="BG10" i="11"/>
  <c r="BF10" i="11"/>
  <c r="BE10" i="11"/>
  <c r="BZ9" i="11"/>
  <c r="BY9" i="11"/>
  <c r="BW9" i="11"/>
  <c r="BW13" i="11" s="1"/>
  <c r="BV9" i="11"/>
  <c r="BU9" i="11"/>
  <c r="BU13" i="11" s="1"/>
  <c r="BT9" i="11"/>
  <c r="BR9" i="11"/>
  <c r="BQ9" i="11"/>
  <c r="BP9" i="11"/>
  <c r="BO9" i="11"/>
  <c r="BM9" i="11"/>
  <c r="BL9" i="11"/>
  <c r="BK9" i="11"/>
  <c r="BJ9" i="11"/>
  <c r="BH9" i="11"/>
  <c r="BG9" i="11"/>
  <c r="BF9" i="11"/>
  <c r="BE9" i="11"/>
  <c r="BZ7" i="11"/>
  <c r="BY7" i="11"/>
  <c r="BW7" i="11"/>
  <c r="BV7" i="11"/>
  <c r="BU7" i="11"/>
  <c r="BT7" i="11"/>
  <c r="BR7" i="11"/>
  <c r="BQ7" i="11"/>
  <c r="BP7" i="11"/>
  <c r="BO7" i="11"/>
  <c r="BM7" i="11"/>
  <c r="BL7" i="11"/>
  <c r="BK7" i="11"/>
  <c r="BJ7" i="11"/>
  <c r="BH7" i="11"/>
  <c r="BG7" i="11"/>
  <c r="BF7" i="11"/>
  <c r="BE7" i="11"/>
  <c r="BZ5" i="11"/>
  <c r="BY5" i="11"/>
  <c r="BW5" i="11"/>
  <c r="BV5" i="11"/>
  <c r="BU5" i="11"/>
  <c r="BT5" i="11"/>
  <c r="BR5" i="11"/>
  <c r="BQ5" i="11"/>
  <c r="BP5" i="11"/>
  <c r="BO5" i="11"/>
  <c r="BM5" i="11"/>
  <c r="BL5" i="11"/>
  <c r="BK5" i="11"/>
  <c r="BJ5" i="11"/>
  <c r="BH5" i="11"/>
  <c r="BG5" i="11"/>
  <c r="BF5" i="11"/>
  <c r="BE5" i="11"/>
  <c r="CA4" i="11"/>
  <c r="BZ4" i="11"/>
  <c r="BY4" i="11"/>
  <c r="BW4" i="11"/>
  <c r="BV4" i="11"/>
  <c r="BU4" i="11"/>
  <c r="BU16" i="11" s="1"/>
  <c r="BT4" i="11"/>
  <c r="BR4" i="11"/>
  <c r="BQ4" i="11"/>
  <c r="BP4" i="11"/>
  <c r="BO4" i="11"/>
  <c r="BM4" i="11"/>
  <c r="BL4" i="11"/>
  <c r="BK4" i="11"/>
  <c r="BJ4" i="11"/>
  <c r="BH4" i="11"/>
  <c r="BG4" i="11"/>
  <c r="BF4" i="11"/>
  <c r="BE4" i="11"/>
  <c r="BD20" i="11"/>
  <c r="BC20" i="11"/>
  <c r="BB20" i="11"/>
  <c r="BA20" i="11"/>
  <c r="AZ20" i="11"/>
  <c r="BC14" i="11"/>
  <c r="BB14" i="11"/>
  <c r="BA14" i="11"/>
  <c r="AZ14" i="11"/>
  <c r="BC12" i="11"/>
  <c r="BB12" i="11"/>
  <c r="BA12" i="11"/>
  <c r="AZ12" i="11"/>
  <c r="BC10" i="11"/>
  <c r="BB10" i="11"/>
  <c r="BA10" i="11"/>
  <c r="AZ10" i="11"/>
  <c r="BC9" i="11"/>
  <c r="BB9" i="11"/>
  <c r="BA9" i="11"/>
  <c r="AZ9" i="11"/>
  <c r="BC7" i="11"/>
  <c r="BB7" i="11"/>
  <c r="BA7" i="11"/>
  <c r="AZ7" i="11"/>
  <c r="BC5" i="11"/>
  <c r="BB5" i="11"/>
  <c r="BA5" i="11"/>
  <c r="AZ5" i="11"/>
  <c r="BC4" i="11"/>
  <c r="BB4" i="11"/>
  <c r="BA4" i="11"/>
  <c r="AZ4" i="11"/>
  <c r="CH92" i="11" l="1"/>
  <c r="CL92" i="11" s="1"/>
  <c r="CM15" i="14"/>
  <c r="BL15" i="11"/>
  <c r="CF93" i="11"/>
  <c r="CH93" i="11" s="1"/>
  <c r="CH94" i="11" s="1"/>
  <c r="CA21" i="4"/>
  <c r="BM18" i="11"/>
  <c r="BZ18" i="11"/>
  <c r="BY18" i="11"/>
  <c r="BP18" i="11"/>
  <c r="BO18" i="11"/>
  <c r="BQ18" i="11"/>
  <c r="BR18" i="11"/>
  <c r="BW11" i="11"/>
  <c r="CI92" i="11"/>
  <c r="BL8" i="11"/>
  <c r="BQ6" i="11"/>
  <c r="BJ15" i="11"/>
  <c r="BY15" i="11"/>
  <c r="BT13" i="11"/>
  <c r="BW18" i="11"/>
  <c r="BV18" i="11"/>
  <c r="BU18" i="11"/>
  <c r="BT18" i="11"/>
  <c r="AZ15" i="11"/>
  <c r="BM8" i="11"/>
  <c r="BR6" i="11"/>
  <c r="BO15" i="11"/>
  <c r="CC102" i="11"/>
  <c r="CD104" i="11" s="1"/>
  <c r="CD105" i="11" s="1"/>
  <c r="BX14" i="11"/>
  <c r="BX15" i="11" s="1"/>
  <c r="BW15" i="11"/>
  <c r="BA15" i="11"/>
  <c r="BO8" i="11"/>
  <c r="BE6" i="11"/>
  <c r="BX5" i="11"/>
  <c r="BK15" i="11"/>
  <c r="BZ15" i="11"/>
  <c r="BP15" i="11"/>
  <c r="BQ15" i="11"/>
  <c r="BI14" i="11"/>
  <c r="BI15" i="11" s="1"/>
  <c r="BH15" i="11"/>
  <c r="BB15" i="11"/>
  <c r="BS14" i="11"/>
  <c r="BS15" i="11" s="1"/>
  <c r="BR15" i="11"/>
  <c r="BE15" i="11"/>
  <c r="BT15" i="11"/>
  <c r="BN14" i="11"/>
  <c r="BN15" i="11" s="1"/>
  <c r="BM15" i="11"/>
  <c r="BF15" i="11"/>
  <c r="BU15" i="11"/>
  <c r="BD14" i="11"/>
  <c r="BC15" i="11"/>
  <c r="BG11" i="11"/>
  <c r="BG15" i="11"/>
  <c r="BV15" i="11"/>
  <c r="BD16" i="11"/>
  <c r="BP8" i="11"/>
  <c r="BQ16" i="11"/>
  <c r="BQ17" i="11" s="1"/>
  <c r="BK6" i="11"/>
  <c r="BQ11" i="11"/>
  <c r="BC6" i="11"/>
  <c r="BR11" i="11"/>
  <c r="BD7" i="11"/>
  <c r="AZ13" i="11"/>
  <c r="BI7" i="11"/>
  <c r="BX7" i="11"/>
  <c r="BA8" i="11"/>
  <c r="BJ8" i="11"/>
  <c r="BY8" i="11"/>
  <c r="BF11" i="11"/>
  <c r="BU11" i="11"/>
  <c r="BN9" i="11"/>
  <c r="BI10" i="11"/>
  <c r="BX10" i="11"/>
  <c r="BA16" i="11"/>
  <c r="BA17" i="11" s="1"/>
  <c r="BJ11" i="11"/>
  <c r="BY11" i="11"/>
  <c r="BZ16" i="11"/>
  <c r="BZ17" i="11" s="1"/>
  <c r="BC16" i="11"/>
  <c r="BC17" i="11" s="1"/>
  <c r="BF6" i="11"/>
  <c r="BQ8" i="11"/>
  <c r="BV6" i="11"/>
  <c r="BM11" i="11"/>
  <c r="BR8" i="11"/>
  <c r="BH6" i="11"/>
  <c r="BS7" i="11"/>
  <c r="BX12" i="11"/>
  <c r="BA6" i="11"/>
  <c r="BA11" i="11"/>
  <c r="CO15" i="14"/>
  <c r="CP15" i="14" s="1"/>
  <c r="CQ15" i="14" s="1"/>
  <c r="CS15" i="14" s="1"/>
  <c r="CC97" i="11"/>
  <c r="CV99" i="11"/>
  <c r="CZ99" i="11"/>
  <c r="CY99" i="11"/>
  <c r="DA99" i="11"/>
  <c r="CL94" i="11"/>
  <c r="CO99" i="11" s="1"/>
  <c r="CX99" i="11"/>
  <c r="CC95" i="11"/>
  <c r="CC96" i="11" s="1"/>
  <c r="BN12" i="11"/>
  <c r="BG6" i="11"/>
  <c r="BU6" i="11"/>
  <c r="BN7" i="11"/>
  <c r="BH11" i="11"/>
  <c r="BV11" i="11"/>
  <c r="BP16" i="11"/>
  <c r="BP17" i="11" s="1"/>
  <c r="BL16" i="11"/>
  <c r="BL17" i="11" s="1"/>
  <c r="BS5" i="11"/>
  <c r="BK13" i="11"/>
  <c r="BB16" i="11"/>
  <c r="BB17" i="11" s="1"/>
  <c r="BE8" i="11"/>
  <c r="BT8" i="11"/>
  <c r="BN5" i="11"/>
  <c r="BW6" i="11"/>
  <c r="BK11" i="11"/>
  <c r="BS12" i="11"/>
  <c r="BR16" i="11"/>
  <c r="BR17" i="11" s="1"/>
  <c r="BZ11" i="11"/>
  <c r="BM16" i="11"/>
  <c r="BM17" i="11" s="1"/>
  <c r="BF8" i="11"/>
  <c r="BL11" i="11"/>
  <c r="BD4" i="11"/>
  <c r="BC11" i="11"/>
  <c r="BG8" i="11"/>
  <c r="BV8" i="11"/>
  <c r="BL6" i="11"/>
  <c r="BZ6" i="11"/>
  <c r="BG16" i="11"/>
  <c r="BG17" i="11" s="1"/>
  <c r="BD5" i="11"/>
  <c r="AZ11" i="11"/>
  <c r="AZ16" i="11"/>
  <c r="AZ17" i="11" s="1"/>
  <c r="BH8" i="11"/>
  <c r="BW8" i="11"/>
  <c r="BM6" i="11"/>
  <c r="BV13" i="11"/>
  <c r="BN10" i="11"/>
  <c r="BH16" i="11"/>
  <c r="BH17" i="11" s="1"/>
  <c r="BU8" i="11"/>
  <c r="BO6" i="11"/>
  <c r="BH13" i="11"/>
  <c r="BS10" i="11"/>
  <c r="BI12" i="11"/>
  <c r="BW16" i="11"/>
  <c r="BW17" i="11" s="1"/>
  <c r="BB8" i="11"/>
  <c r="BF16" i="11"/>
  <c r="BF17" i="11" s="1"/>
  <c r="BB6" i="11"/>
  <c r="BB11" i="11"/>
  <c r="BK8" i="11"/>
  <c r="BZ8" i="11"/>
  <c r="BP6" i="11"/>
  <c r="BJ13" i="11"/>
  <c r="BP11" i="11"/>
  <c r="BK16" i="11"/>
  <c r="BK17" i="11" s="1"/>
  <c r="CA18" i="4"/>
  <c r="CA16" i="11"/>
  <c r="BI4" i="11"/>
  <c r="BL13" i="11"/>
  <c r="BV16" i="11"/>
  <c r="BV17" i="11" s="1"/>
  <c r="BU17" i="11"/>
  <c r="BI16" i="11"/>
  <c r="BI5" i="11"/>
  <c r="BT6" i="11"/>
  <c r="BO11" i="11"/>
  <c r="BM13" i="11"/>
  <c r="BY13" i="11"/>
  <c r="BZ13" i="11"/>
  <c r="BX4" i="11"/>
  <c r="BJ6" i="11"/>
  <c r="BS9" i="11"/>
  <c r="BE11" i="11"/>
  <c r="BO13" i="11"/>
  <c r="BP13" i="11"/>
  <c r="BN4" i="11"/>
  <c r="BI9" i="11"/>
  <c r="BE13" i="11"/>
  <c r="BQ13" i="11"/>
  <c r="BY6" i="11"/>
  <c r="BT11" i="11"/>
  <c r="BF13" i="11"/>
  <c r="BR13" i="11"/>
  <c r="BG13" i="11"/>
  <c r="BX9" i="11"/>
  <c r="BS4" i="11"/>
  <c r="BS8" i="11" s="1"/>
  <c r="BD9" i="11"/>
  <c r="AZ8" i="11"/>
  <c r="BD12" i="11"/>
  <c r="AZ6" i="11"/>
  <c r="BD10" i="11"/>
  <c r="BA13" i="11"/>
  <c r="BC8" i="11"/>
  <c r="BB13" i="11"/>
  <c r="BC13" i="11"/>
  <c r="DB74" i="14"/>
  <c r="DA74" i="14"/>
  <c r="CZ74" i="14"/>
  <c r="CY74" i="14"/>
  <c r="CX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CJ74" i="14"/>
  <c r="CI74" i="14"/>
  <c r="CH74" i="14"/>
  <c r="CG74" i="14"/>
  <c r="CF74" i="14"/>
  <c r="BW74" i="14"/>
  <c r="BV74" i="14"/>
  <c r="BU74" i="14"/>
  <c r="BT74" i="14"/>
  <c r="BR74" i="14"/>
  <c r="BQ74" i="14"/>
  <c r="BP74" i="14"/>
  <c r="BO74" i="14"/>
  <c r="BM74" i="14"/>
  <c r="BL74" i="14"/>
  <c r="BK74" i="14"/>
  <c r="BJ74" i="14"/>
  <c r="BH74" i="14"/>
  <c r="BG74" i="14"/>
  <c r="BF74" i="14"/>
  <c r="BE74" i="14"/>
  <c r="BC74" i="14"/>
  <c r="BB74" i="14"/>
  <c r="BA74" i="14"/>
  <c r="AZ74" i="14"/>
  <c r="AX74" i="14"/>
  <c r="AW74" i="14"/>
  <c r="AV74" i="14"/>
  <c r="AU74" i="14"/>
  <c r="AS74" i="14"/>
  <c r="AR74" i="14"/>
  <c r="AQ74" i="14"/>
  <c r="AP74" i="14"/>
  <c r="AN74" i="14"/>
  <c r="AM74" i="14"/>
  <c r="AL74" i="14"/>
  <c r="AK74" i="14"/>
  <c r="AI74" i="14"/>
  <c r="AH74" i="14"/>
  <c r="AG74" i="14"/>
  <c r="AF74" i="14"/>
  <c r="AD74" i="14"/>
  <c r="AC74" i="14"/>
  <c r="AB74" i="14"/>
  <c r="AA74" i="14"/>
  <c r="Y74" i="14"/>
  <c r="X74" i="14"/>
  <c r="W74" i="14"/>
  <c r="V74" i="14"/>
  <c r="T74" i="14"/>
  <c r="S74" i="14"/>
  <c r="R74" i="14"/>
  <c r="Q74" i="14"/>
  <c r="O74" i="14"/>
  <c r="N74" i="14"/>
  <c r="M74" i="14"/>
  <c r="L74" i="14"/>
  <c r="J74" i="14"/>
  <c r="I74" i="14"/>
  <c r="H74" i="14"/>
  <c r="G74" i="14"/>
  <c r="BN74" i="14"/>
  <c r="F74" i="14"/>
  <c r="DB69" i="14"/>
  <c r="DA69" i="14"/>
  <c r="CZ69" i="14"/>
  <c r="CY69" i="14"/>
  <c r="CX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CJ69" i="14"/>
  <c r="CI69" i="14"/>
  <c r="CH69" i="14"/>
  <c r="CG69" i="14"/>
  <c r="CF69" i="14"/>
  <c r="BY69" i="14"/>
  <c r="BX69" i="14"/>
  <c r="BW69" i="14"/>
  <c r="BV69" i="14"/>
  <c r="BU69" i="14"/>
  <c r="BT69" i="14"/>
  <c r="BS69" i="14"/>
  <c r="BR69" i="14"/>
  <c r="BQ69" i="14"/>
  <c r="BP69" i="14"/>
  <c r="BO69" i="14"/>
  <c r="BN69" i="14"/>
  <c r="BM69" i="14"/>
  <c r="BL69" i="14"/>
  <c r="BK69" i="14"/>
  <c r="BJ69" i="14"/>
  <c r="BI69" i="14"/>
  <c r="BH69" i="14"/>
  <c r="BG69" i="14"/>
  <c r="BF69" i="14"/>
  <c r="BE69" i="14"/>
  <c r="BD69" i="14"/>
  <c r="BC69" i="14"/>
  <c r="BB69" i="14"/>
  <c r="BA69" i="14"/>
  <c r="AZ69" i="14"/>
  <c r="AY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K69" i="14"/>
  <c r="AJ69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BZ67" i="14"/>
  <c r="DB64" i="14"/>
  <c r="DA64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N64" i="14"/>
  <c r="CM64" i="14"/>
  <c r="CL64" i="14"/>
  <c r="CK64" i="14"/>
  <c r="CJ64" i="14"/>
  <c r="CI64" i="14"/>
  <c r="CH64" i="14"/>
  <c r="CG64" i="14"/>
  <c r="CF64" i="14"/>
  <c r="CC64" i="14"/>
  <c r="CB64" i="14"/>
  <c r="CA64" i="14"/>
  <c r="BZ64" i="14"/>
  <c r="BY64" i="14"/>
  <c r="BX64" i="14"/>
  <c r="BW64" i="14"/>
  <c r="BV64" i="14"/>
  <c r="BU64" i="14"/>
  <c r="BT64" i="14"/>
  <c r="BS64" i="14"/>
  <c r="BR64" i="14"/>
  <c r="BQ64" i="14"/>
  <c r="BP64" i="14"/>
  <c r="BO64" i="14"/>
  <c r="BN64" i="14"/>
  <c r="BM64" i="14"/>
  <c r="BL64" i="14"/>
  <c r="BK64" i="14"/>
  <c r="BJ64" i="14"/>
  <c r="BI64" i="14"/>
  <c r="BH64" i="14"/>
  <c r="BG64" i="14"/>
  <c r="BF64" i="14"/>
  <c r="BE64" i="14"/>
  <c r="BD64" i="14"/>
  <c r="BC64" i="14"/>
  <c r="BB64" i="14"/>
  <c r="BA64" i="14"/>
  <c r="AZ64" i="14"/>
  <c r="AY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DB59" i="14"/>
  <c r="DA59" i="14"/>
  <c r="CZ59" i="14"/>
  <c r="CY59" i="14"/>
  <c r="CX59" i="14"/>
  <c r="CW59" i="14"/>
  <c r="CV59" i="14"/>
  <c r="CU59" i="14"/>
  <c r="CT59" i="14"/>
  <c r="CS59" i="14"/>
  <c r="CR59" i="14"/>
  <c r="CQ59" i="14"/>
  <c r="CP59" i="14"/>
  <c r="CO59" i="14"/>
  <c r="CN59" i="14"/>
  <c r="CM59" i="14"/>
  <c r="CL59" i="14"/>
  <c r="CK59" i="14"/>
  <c r="CJ59" i="14"/>
  <c r="CI59" i="14"/>
  <c r="CH59" i="14"/>
  <c r="CG59" i="14"/>
  <c r="CF59" i="14"/>
  <c r="CC59" i="14"/>
  <c r="BY59" i="14"/>
  <c r="BX59" i="14"/>
  <c r="BW59" i="14"/>
  <c r="BV59" i="14"/>
  <c r="BU59" i="14"/>
  <c r="BT59" i="14"/>
  <c r="BS59" i="14"/>
  <c r="BR59" i="14"/>
  <c r="BQ59" i="14"/>
  <c r="BP59" i="14"/>
  <c r="BO59" i="14"/>
  <c r="BN59" i="14"/>
  <c r="BM59" i="14"/>
  <c r="BL59" i="14"/>
  <c r="BK59" i="14"/>
  <c r="BJ59" i="14"/>
  <c r="BI59" i="14"/>
  <c r="BH59" i="14"/>
  <c r="BG59" i="14"/>
  <c r="BF59" i="14"/>
  <c r="BE59" i="14"/>
  <c r="BD59" i="14"/>
  <c r="BC59" i="14"/>
  <c r="BB59" i="14"/>
  <c r="BA59" i="14"/>
  <c r="AZ59" i="14"/>
  <c r="AY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BZ57" i="14"/>
  <c r="DB54" i="14"/>
  <c r="DA54" i="14"/>
  <c r="CZ54" i="14"/>
  <c r="CY54" i="14"/>
  <c r="CX54" i="14"/>
  <c r="CW54" i="14"/>
  <c r="CV54" i="14"/>
  <c r="CU54" i="14"/>
  <c r="CT54" i="14"/>
  <c r="CS54" i="14"/>
  <c r="CR54" i="14"/>
  <c r="CQ54" i="14"/>
  <c r="CP54" i="14"/>
  <c r="CO54" i="14"/>
  <c r="CN54" i="14"/>
  <c r="CM54" i="14"/>
  <c r="CL54" i="14"/>
  <c r="CK54" i="14"/>
  <c r="CJ54" i="14"/>
  <c r="CI54" i="14"/>
  <c r="CH54" i="14"/>
  <c r="CG54" i="14"/>
  <c r="CF54" i="14"/>
  <c r="CC54" i="14"/>
  <c r="CB54" i="14"/>
  <c r="CA54" i="14"/>
  <c r="BZ54" i="14"/>
  <c r="BY54" i="14"/>
  <c r="BX54" i="14"/>
  <c r="BW54" i="14"/>
  <c r="BV54" i="14"/>
  <c r="BU54" i="14"/>
  <c r="BT54" i="14"/>
  <c r="BS54" i="14"/>
  <c r="BR54" i="14"/>
  <c r="BQ54" i="14"/>
  <c r="BP54" i="14"/>
  <c r="BO54" i="14"/>
  <c r="BN54" i="14"/>
  <c r="BM54" i="14"/>
  <c r="BL54" i="14"/>
  <c r="BK54" i="14"/>
  <c r="BJ54" i="14"/>
  <c r="BI54" i="14"/>
  <c r="BH54" i="14"/>
  <c r="BG54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DB49" i="14"/>
  <c r="DA49" i="14"/>
  <c r="CZ49" i="14"/>
  <c r="CY49" i="14"/>
  <c r="CX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CJ49" i="14"/>
  <c r="CI49" i="14"/>
  <c r="CH49" i="14"/>
  <c r="CG49" i="14"/>
  <c r="CF49" i="14"/>
  <c r="CC49" i="14"/>
  <c r="CB49" i="14"/>
  <c r="CA49" i="14"/>
  <c r="BZ49" i="14"/>
  <c r="BY49" i="14"/>
  <c r="BX49" i="14"/>
  <c r="BW49" i="14"/>
  <c r="BV49" i="14"/>
  <c r="BU49" i="14"/>
  <c r="BT49" i="14"/>
  <c r="BS49" i="14"/>
  <c r="BR49" i="14"/>
  <c r="BQ49" i="14"/>
  <c r="BP49" i="14"/>
  <c r="BO49" i="14"/>
  <c r="BN49" i="14"/>
  <c r="BM49" i="14"/>
  <c r="BL49" i="14"/>
  <c r="BK49" i="14"/>
  <c r="BJ49" i="14"/>
  <c r="BI49" i="14"/>
  <c r="BH49" i="14"/>
  <c r="BG49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DB44" i="14"/>
  <c r="DA44" i="14"/>
  <c r="CZ44" i="14"/>
  <c r="CY44" i="14"/>
  <c r="CX44" i="14"/>
  <c r="CW44" i="14"/>
  <c r="CV44" i="14"/>
  <c r="CU44" i="14"/>
  <c r="CT44" i="14"/>
  <c r="CS44" i="14"/>
  <c r="CR44" i="14"/>
  <c r="CQ44" i="14"/>
  <c r="CP44" i="14"/>
  <c r="CO44" i="14"/>
  <c r="CN44" i="14"/>
  <c r="CM44" i="14"/>
  <c r="CL44" i="14"/>
  <c r="CK44" i="14"/>
  <c r="CJ44" i="14"/>
  <c r="CI44" i="14"/>
  <c r="CH44" i="14"/>
  <c r="CG44" i="14"/>
  <c r="CF44" i="14"/>
  <c r="CC44" i="14"/>
  <c r="CB44" i="14"/>
  <c r="CA44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DB39" i="14"/>
  <c r="DA39" i="14"/>
  <c r="CZ39" i="14"/>
  <c r="CY39" i="14"/>
  <c r="CX39" i="14"/>
  <c r="CW39" i="14"/>
  <c r="CV39" i="14"/>
  <c r="CU39" i="14"/>
  <c r="CT39" i="14"/>
  <c r="CS39" i="14"/>
  <c r="CR39" i="14"/>
  <c r="CQ39" i="14"/>
  <c r="CP39" i="14"/>
  <c r="CO39" i="14"/>
  <c r="CN39" i="14"/>
  <c r="CM39" i="14"/>
  <c r="CL39" i="14"/>
  <c r="CK39" i="14"/>
  <c r="CJ39" i="14"/>
  <c r="CI39" i="14"/>
  <c r="CH39" i="14"/>
  <c r="CG39" i="14"/>
  <c r="CF39" i="14"/>
  <c r="CC39" i="14"/>
  <c r="BY39" i="14"/>
  <c r="BX39" i="14"/>
  <c r="BW39" i="14"/>
  <c r="BV39" i="14"/>
  <c r="BU39" i="14"/>
  <c r="BT39" i="14"/>
  <c r="BS39" i="14"/>
  <c r="BR39" i="14"/>
  <c r="BQ39" i="14"/>
  <c r="BP39" i="14"/>
  <c r="BO39" i="14"/>
  <c r="BN39" i="14"/>
  <c r="BM39" i="14"/>
  <c r="BL39" i="14"/>
  <c r="BK39" i="14"/>
  <c r="BJ39" i="14"/>
  <c r="BI39" i="14"/>
  <c r="BH39" i="14"/>
  <c r="BG39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BZ37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BZ32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N29" i="14"/>
  <c r="CM29" i="14"/>
  <c r="CL29" i="14"/>
  <c r="CK29" i="14"/>
  <c r="CJ29" i="14"/>
  <c r="CI29" i="14"/>
  <c r="CH29" i="14"/>
  <c r="CG29" i="14"/>
  <c r="CF29" i="14"/>
  <c r="CC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BY24" i="14"/>
  <c r="BX24" i="14"/>
  <c r="BW24" i="14"/>
  <c r="BV24" i="14"/>
  <c r="BU24" i="14"/>
  <c r="BT24" i="14"/>
  <c r="BS24" i="14"/>
  <c r="BR24" i="14"/>
  <c r="BQ24" i="14"/>
  <c r="BP24" i="14"/>
  <c r="BO24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BZ22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CG19" i="14"/>
  <c r="CF19" i="14"/>
  <c r="CC19" i="14"/>
  <c r="CB19" i="14"/>
  <c r="CA19" i="14"/>
  <c r="BZ19" i="14"/>
  <c r="BY19" i="14"/>
  <c r="BX19" i="14"/>
  <c r="BW19" i="14"/>
  <c r="BV19" i="14"/>
  <c r="BU19" i="14"/>
  <c r="BT19" i="14"/>
  <c r="BS19" i="14"/>
  <c r="BR19" i="14"/>
  <c r="BQ19" i="14"/>
  <c r="BP19" i="14"/>
  <c r="BO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BY14" i="14"/>
  <c r="BX14" i="14"/>
  <c r="BW14" i="14"/>
  <c r="BV14" i="14"/>
  <c r="BU14" i="14"/>
  <c r="BT14" i="14"/>
  <c r="BS14" i="14"/>
  <c r="BR14" i="14"/>
  <c r="BQ14" i="14"/>
  <c r="BP14" i="14"/>
  <c r="BO14" i="14"/>
  <c r="BN14" i="14"/>
  <c r="BM14" i="14"/>
  <c r="BL14" i="14"/>
  <c r="BK14" i="14"/>
  <c r="BJ14" i="14"/>
  <c r="BI14" i="14"/>
  <c r="BH14" i="14"/>
  <c r="BG14" i="14"/>
  <c r="BF14" i="14"/>
  <c r="BE14" i="14"/>
  <c r="BD14" i="14"/>
  <c r="BC14" i="14"/>
  <c r="BB14" i="14"/>
  <c r="BA14" i="14"/>
  <c r="AZ14" i="14"/>
  <c r="AY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BZ12" i="14"/>
  <c r="DB3" i="14"/>
  <c r="DA3" i="14"/>
  <c r="CZ3" i="14"/>
  <c r="CY3" i="14"/>
  <c r="CX3" i="14"/>
  <c r="CW3" i="14"/>
  <c r="CV3" i="14"/>
  <c r="CU3" i="14"/>
  <c r="CT3" i="14"/>
  <c r="CS3" i="14"/>
  <c r="CR3" i="14"/>
  <c r="CQ3" i="14"/>
  <c r="CP3" i="14"/>
  <c r="CO3" i="14"/>
  <c r="CN3" i="14"/>
  <c r="CM3" i="14"/>
  <c r="CL3" i="14"/>
  <c r="CK3" i="14"/>
  <c r="CJ3" i="14"/>
  <c r="CI3" i="14"/>
  <c r="CH3" i="14"/>
  <c r="CG3" i="14"/>
  <c r="CF3" i="14"/>
  <c r="CE3" i="14"/>
  <c r="CD3" i="14"/>
  <c r="CC3" i="14"/>
  <c r="CB3" i="14"/>
  <c r="CA3" i="14"/>
  <c r="BZ3" i="14"/>
  <c r="BY3" i="14"/>
  <c r="BX3" i="14"/>
  <c r="BW3" i="14"/>
  <c r="BV3" i="14"/>
  <c r="BU3" i="14"/>
  <c r="BT3" i="14"/>
  <c r="BS3" i="14"/>
  <c r="BR3" i="14"/>
  <c r="BQ3" i="14"/>
  <c r="BP3" i="14"/>
  <c r="BO3" i="14"/>
  <c r="BN3" i="14"/>
  <c r="BM3" i="14"/>
  <c r="BL3" i="14"/>
  <c r="BK3" i="14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CJ92" i="11" l="1"/>
  <c r="BN13" i="11"/>
  <c r="CC103" i="11"/>
  <c r="BN16" i="11"/>
  <c r="BN17" i="11" s="1"/>
  <c r="CK92" i="11"/>
  <c r="CM92" i="11" s="1"/>
  <c r="CO92" i="11" s="1"/>
  <c r="CA32" i="14"/>
  <c r="CA34" i="14" s="1"/>
  <c r="CB32" i="14"/>
  <c r="CB34" i="14" s="1"/>
  <c r="BJ16" i="11"/>
  <c r="BJ17" i="11" s="1"/>
  <c r="BO16" i="11"/>
  <c r="BO17" i="11" s="1"/>
  <c r="CH104" i="11"/>
  <c r="BZ59" i="14"/>
  <c r="CA57" i="14"/>
  <c r="CA59" i="14" s="1"/>
  <c r="CA12" i="14"/>
  <c r="CB12" i="14" s="1"/>
  <c r="BZ72" i="14"/>
  <c r="BZ39" i="14"/>
  <c r="CA37" i="14"/>
  <c r="CA39" i="14" s="1"/>
  <c r="BZ69" i="14"/>
  <c r="CA67" i="14"/>
  <c r="CA69" i="14" s="1"/>
  <c r="BZ24" i="14"/>
  <c r="CA22" i="14"/>
  <c r="CA24" i="14" s="1"/>
  <c r="U74" i="14"/>
  <c r="BY74" i="14"/>
  <c r="BS18" i="11"/>
  <c r="BI8" i="11"/>
  <c r="BY16" i="11"/>
  <c r="BY17" i="11" s="1"/>
  <c r="BX11" i="11"/>
  <c r="BX18" i="11"/>
  <c r="BX16" i="11"/>
  <c r="BX17" i="11" s="1"/>
  <c r="BT16" i="11"/>
  <c r="BT17" i="11" s="1"/>
  <c r="BN18" i="11"/>
  <c r="BD6" i="11"/>
  <c r="BX8" i="11"/>
  <c r="BS16" i="11"/>
  <c r="BS17" i="11" s="1"/>
  <c r="BN11" i="11"/>
  <c r="CS99" i="11"/>
  <c r="BE16" i="11"/>
  <c r="BE17" i="11" s="1"/>
  <c r="BD15" i="11"/>
  <c r="BD8" i="11"/>
  <c r="CL99" i="11"/>
  <c r="CN99" i="11"/>
  <c r="CP99" i="11"/>
  <c r="CQ99" i="11"/>
  <c r="BZ14" i="14"/>
  <c r="BZ9" i="14"/>
  <c r="BZ10" i="14" s="1"/>
  <c r="Z74" i="14"/>
  <c r="AJ74" i="14"/>
  <c r="CR15" i="14"/>
  <c r="AY74" i="14"/>
  <c r="BI74" i="14"/>
  <c r="AE74" i="14"/>
  <c r="K74" i="14"/>
  <c r="BS74" i="14"/>
  <c r="P74" i="14"/>
  <c r="BX74" i="14"/>
  <c r="AO74" i="14"/>
  <c r="AT74" i="14"/>
  <c r="BD74" i="14"/>
  <c r="CT15" i="14"/>
  <c r="CU15" i="14" s="1"/>
  <c r="CV15" i="14" s="1"/>
  <c r="CX15" i="14" s="1"/>
  <c r="CT99" i="11"/>
  <c r="CI93" i="11"/>
  <c r="CU99" i="11"/>
  <c r="CJ93" i="11"/>
  <c r="CL93" i="11"/>
  <c r="BN8" i="11"/>
  <c r="BI6" i="11"/>
  <c r="BS6" i="11"/>
  <c r="BI13" i="11"/>
  <c r="BI17" i="11"/>
  <c r="BX6" i="11"/>
  <c r="BX13" i="11"/>
  <c r="BI11" i="11"/>
  <c r="BN6" i="11"/>
  <c r="BS13" i="11"/>
  <c r="BS11" i="11"/>
  <c r="BD13" i="11"/>
  <c r="BD17" i="11"/>
  <c r="BD11" i="11"/>
  <c r="BZ34" i="14"/>
  <c r="CK93" i="11" l="1"/>
  <c r="CB57" i="14"/>
  <c r="CB59" i="14" s="1"/>
  <c r="CB67" i="14"/>
  <c r="CB69" i="14" s="1"/>
  <c r="CB22" i="14"/>
  <c r="CB24" i="14" s="1"/>
  <c r="CB37" i="14"/>
  <c r="CB39" i="14" s="1"/>
  <c r="CW15" i="14"/>
  <c r="CA14" i="14"/>
  <c r="CA72" i="14"/>
  <c r="CA74" i="14" s="1"/>
  <c r="CA9" i="14"/>
  <c r="CA10" i="14" s="1"/>
  <c r="CJ10" i="14"/>
  <c r="CN92" i="11"/>
  <c r="CQ92" i="11"/>
  <c r="CP92" i="11"/>
  <c r="BZ74" i="14"/>
  <c r="CY15" i="14"/>
  <c r="CZ15" i="14" s="1"/>
  <c r="DA15" i="14" s="1"/>
  <c r="CM93" i="11"/>
  <c r="CM94" i="11" s="1"/>
  <c r="CF96" i="11"/>
  <c r="CG105" i="11" l="1"/>
  <c r="CA2" i="14"/>
  <c r="CF2" i="14"/>
  <c r="CD21" i="11"/>
  <c r="CD37" i="11"/>
  <c r="CR92" i="11"/>
  <c r="CV92" i="11" s="1"/>
  <c r="DB15" i="14"/>
  <c r="CP93" i="11"/>
  <c r="CN93" i="11"/>
  <c r="CO93" i="11"/>
  <c r="CQ93" i="11"/>
  <c r="CG96" i="11"/>
  <c r="CI96" i="11" s="1"/>
  <c r="CF95" i="11"/>
  <c r="BZ68" i="11"/>
  <c r="BZ67" i="11"/>
  <c r="BY71" i="11"/>
  <c r="BZ111" i="11"/>
  <c r="BY81" i="11"/>
  <c r="BY70" i="11"/>
  <c r="BY85" i="11" s="1"/>
  <c r="BY65" i="11"/>
  <c r="BE81" i="11"/>
  <c r="BE71" i="11"/>
  <c r="BE70" i="11"/>
  <c r="BE65" i="11"/>
  <c r="BJ81" i="11"/>
  <c r="BJ71" i="11"/>
  <c r="BJ70" i="11"/>
  <c r="BJ85" i="11" s="1"/>
  <c r="BJ65" i="11"/>
  <c r="BC81" i="11"/>
  <c r="BC70" i="11"/>
  <c r="BC85" i="11" s="1"/>
  <c r="BC65" i="11"/>
  <c r="BC125" i="11"/>
  <c r="BC114" i="11"/>
  <c r="BC117" i="11" s="1"/>
  <c r="BC124" i="11" s="1"/>
  <c r="BC109" i="11"/>
  <c r="BC110" i="11" s="1"/>
  <c r="BE125" i="11"/>
  <c r="BE115" i="11"/>
  <c r="BE116" i="11" s="1"/>
  <c r="BE114" i="11"/>
  <c r="BE129" i="11" s="1"/>
  <c r="BE109" i="11"/>
  <c r="BE110" i="11" s="1"/>
  <c r="BJ125" i="11"/>
  <c r="BJ115" i="11"/>
  <c r="BJ116" i="11" s="1"/>
  <c r="BJ114" i="11"/>
  <c r="BJ129" i="11" s="1"/>
  <c r="BJ109" i="11"/>
  <c r="BJ110" i="11" s="1"/>
  <c r="BF68" i="11"/>
  <c r="BF67" i="11"/>
  <c r="BK68" i="11"/>
  <c r="BK67" i="11"/>
  <c r="BF112" i="11"/>
  <c r="BG112" i="11" s="1"/>
  <c r="BH112" i="11" s="1"/>
  <c r="BI112" i="11" s="1"/>
  <c r="BF111" i="11"/>
  <c r="BF115" i="11" s="1"/>
  <c r="BK112" i="11"/>
  <c r="BK111" i="11"/>
  <c r="BK125" i="11" s="1"/>
  <c r="BO81" i="11"/>
  <c r="BO71" i="11"/>
  <c r="BO70" i="11"/>
  <c r="BO85" i="11" s="1"/>
  <c r="BO65" i="11"/>
  <c r="BO63" i="11" s="1"/>
  <c r="BT71" i="11"/>
  <c r="BT81" i="11"/>
  <c r="BT70" i="11"/>
  <c r="BT85" i="11" s="1"/>
  <c r="BT65" i="11"/>
  <c r="BT63" i="11" s="1"/>
  <c r="BU68" i="11"/>
  <c r="BU67" i="11"/>
  <c r="BP68" i="11"/>
  <c r="BP67" i="11"/>
  <c r="BP112" i="11"/>
  <c r="BQ112" i="11" s="1"/>
  <c r="BP111" i="11"/>
  <c r="BP125" i="11" s="1"/>
  <c r="BB125" i="11"/>
  <c r="BA125" i="11"/>
  <c r="AZ125" i="11"/>
  <c r="BB114" i="11"/>
  <c r="BB129" i="11" s="1"/>
  <c r="BA114" i="11"/>
  <c r="BA129" i="11" s="1"/>
  <c r="AZ114" i="11"/>
  <c r="AZ129" i="11" s="1"/>
  <c r="BB109" i="11"/>
  <c r="BB110" i="11" s="1"/>
  <c r="BA109" i="11"/>
  <c r="BA110" i="11" s="1"/>
  <c r="AZ109" i="11"/>
  <c r="BI131" i="11"/>
  <c r="BI113" i="11"/>
  <c r="BN131" i="11"/>
  <c r="BN113" i="11"/>
  <c r="BB81" i="11"/>
  <c r="BA81" i="11"/>
  <c r="AZ81" i="11"/>
  <c r="BB70" i="11"/>
  <c r="BB85" i="11" s="1"/>
  <c r="BA70" i="11"/>
  <c r="BA73" i="11" s="1"/>
  <c r="AZ70" i="11"/>
  <c r="AZ85" i="11" s="1"/>
  <c r="BB65" i="11"/>
  <c r="BB66" i="11" s="1"/>
  <c r="BA65" i="11"/>
  <c r="AZ65" i="11"/>
  <c r="BI87" i="11"/>
  <c r="BI78" i="11"/>
  <c r="BI77" i="11"/>
  <c r="BI76" i="11"/>
  <c r="BI75" i="11"/>
  <c r="BI69" i="11"/>
  <c r="BN87" i="11"/>
  <c r="BN78" i="11"/>
  <c r="BN77" i="11"/>
  <c r="BN76" i="11"/>
  <c r="BN75" i="11"/>
  <c r="BN69" i="11"/>
  <c r="BX87" i="11"/>
  <c r="BS87" i="11"/>
  <c r="BS131" i="11"/>
  <c r="BO125" i="11"/>
  <c r="BO115" i="11"/>
  <c r="BO116" i="11" s="1"/>
  <c r="BO114" i="11"/>
  <c r="BO129" i="11" s="1"/>
  <c r="BO109" i="11"/>
  <c r="BX131" i="11"/>
  <c r="BT125" i="11"/>
  <c r="BT115" i="11"/>
  <c r="BT116" i="11" s="1"/>
  <c r="BT114" i="11"/>
  <c r="BT129" i="11" s="1"/>
  <c r="BT109" i="11"/>
  <c r="BY125" i="11"/>
  <c r="BY115" i="11"/>
  <c r="BY109" i="11"/>
  <c r="BU112" i="11"/>
  <c r="BV112" i="11" s="1"/>
  <c r="BW112" i="11" s="1"/>
  <c r="BU111" i="11"/>
  <c r="BU109" i="11" s="1"/>
  <c r="DA73" i="3"/>
  <c r="CZ73" i="3"/>
  <c r="CY73" i="3"/>
  <c r="CX73" i="3"/>
  <c r="CV73" i="3"/>
  <c r="CU73" i="3"/>
  <c r="CT73" i="3"/>
  <c r="CS73" i="3"/>
  <c r="CQ73" i="3"/>
  <c r="CP73" i="3"/>
  <c r="CO73" i="3"/>
  <c r="CN73" i="3"/>
  <c r="CL73" i="3"/>
  <c r="CK73" i="3"/>
  <c r="CJ73" i="3"/>
  <c r="CI73" i="3"/>
  <c r="CG73" i="3"/>
  <c r="CF73" i="3"/>
  <c r="G77" i="13"/>
  <c r="F77" i="13"/>
  <c r="E77" i="13"/>
  <c r="D77" i="13"/>
  <c r="C77" i="13"/>
  <c r="B66" i="13"/>
  <c r="B52" i="13"/>
  <c r="B45" i="13"/>
  <c r="C36" i="13"/>
  <c r="C21" i="13"/>
  <c r="C20" i="13" s="1"/>
  <c r="B14" i="13"/>
  <c r="CF104" i="11" l="1"/>
  <c r="CF97" i="11" s="1"/>
  <c r="CD25" i="11"/>
  <c r="CD24" i="11"/>
  <c r="CD27" i="11"/>
  <c r="CD23" i="11"/>
  <c r="CA111" i="11"/>
  <c r="CA125" i="11" s="1"/>
  <c r="CB111" i="11"/>
  <c r="CA68" i="11"/>
  <c r="CB68" i="11"/>
  <c r="CS92" i="11"/>
  <c r="CK10" i="14"/>
  <c r="CU92" i="11"/>
  <c r="BJ27" i="11"/>
  <c r="BZ81" i="11"/>
  <c r="CA67" i="11"/>
  <c r="CB67" i="11" s="1"/>
  <c r="BJ37" i="11"/>
  <c r="CT92" i="11"/>
  <c r="BE27" i="11"/>
  <c r="BE37" i="11"/>
  <c r="BD81" i="11"/>
  <c r="AZ37" i="11"/>
  <c r="BA37" i="11"/>
  <c r="BD125" i="11"/>
  <c r="BT27" i="11"/>
  <c r="BY37" i="11"/>
  <c r="CO10" i="14"/>
  <c r="BO27" i="11"/>
  <c r="BY72" i="11"/>
  <c r="BY73" i="11" s="1"/>
  <c r="BY80" i="11" s="1"/>
  <c r="BY83" i="11" s="1"/>
  <c r="BY27" i="11"/>
  <c r="BO37" i="11"/>
  <c r="BZ71" i="11"/>
  <c r="DB73" i="3"/>
  <c r="CM73" i="3"/>
  <c r="BD65" i="11"/>
  <c r="AZ110" i="11"/>
  <c r="BD110" i="11" s="1"/>
  <c r="BD109" i="11"/>
  <c r="BC127" i="11"/>
  <c r="BC130" i="11" s="1"/>
  <c r="BK114" i="11"/>
  <c r="BK129" i="11" s="1"/>
  <c r="BT110" i="11"/>
  <c r="BT107" i="11"/>
  <c r="BZ70" i="11"/>
  <c r="BZ85" i="11" s="1"/>
  <c r="BU110" i="11"/>
  <c r="BU107" i="11"/>
  <c r="BB73" i="11"/>
  <c r="BB80" i="11" s="1"/>
  <c r="BB83" i="11" s="1"/>
  <c r="BB84" i="11" s="1"/>
  <c r="BY107" i="11"/>
  <c r="BO110" i="11"/>
  <c r="BO107" i="11"/>
  <c r="BY116" i="11"/>
  <c r="CJ96" i="11"/>
  <c r="CI95" i="11"/>
  <c r="CR93" i="11"/>
  <c r="CR94" i="11" s="1"/>
  <c r="CG95" i="11"/>
  <c r="CH95" i="11" s="1"/>
  <c r="CH96" i="11" s="1"/>
  <c r="CF106" i="11"/>
  <c r="CF109" i="11" s="1"/>
  <c r="CF102" i="11"/>
  <c r="CF103" i="11" s="1"/>
  <c r="BQ68" i="11"/>
  <c r="BR68" i="11" s="1"/>
  <c r="BT37" i="11"/>
  <c r="BF81" i="11"/>
  <c r="BT72" i="11"/>
  <c r="BE66" i="11"/>
  <c r="BO66" i="11"/>
  <c r="BE72" i="11"/>
  <c r="BP81" i="11"/>
  <c r="BP37" i="11" s="1"/>
  <c r="BO72" i="11"/>
  <c r="BC66" i="11"/>
  <c r="BA85" i="11"/>
  <c r="BY66" i="11"/>
  <c r="BY63" i="11"/>
  <c r="BA66" i="11"/>
  <c r="BU81" i="11"/>
  <c r="BP71" i="11"/>
  <c r="BZ65" i="11"/>
  <c r="BV68" i="11"/>
  <c r="BJ66" i="11"/>
  <c r="BG68" i="11"/>
  <c r="BL112" i="11"/>
  <c r="BM112" i="11" s="1"/>
  <c r="BN112" i="11" s="1"/>
  <c r="BK81" i="11"/>
  <c r="BK37" i="11" s="1"/>
  <c r="BJ72" i="11"/>
  <c r="BT66" i="11"/>
  <c r="BL68" i="11"/>
  <c r="BA117" i="11"/>
  <c r="BA124" i="11" s="1"/>
  <c r="BA127" i="11" s="1"/>
  <c r="BA130" i="11" s="1"/>
  <c r="BA80" i="11"/>
  <c r="BA83" i="11" s="1"/>
  <c r="BA84" i="11" s="1"/>
  <c r="BB117" i="11"/>
  <c r="BB124" i="11" s="1"/>
  <c r="BB127" i="11" s="1"/>
  <c r="BB130" i="11" s="1"/>
  <c r="CR73" i="3"/>
  <c r="BP109" i="11"/>
  <c r="CW73" i="3"/>
  <c r="BP114" i="11"/>
  <c r="BP129" i="11" s="1"/>
  <c r="BV111" i="11"/>
  <c r="BV115" i="11" s="1"/>
  <c r="AZ73" i="11"/>
  <c r="AZ80" i="11" s="1"/>
  <c r="BQ111" i="11"/>
  <c r="BQ125" i="11" s="1"/>
  <c r="BF125" i="11"/>
  <c r="BV67" i="11"/>
  <c r="BV65" i="11" s="1"/>
  <c r="BV63" i="11" s="1"/>
  <c r="BU71" i="11"/>
  <c r="BU27" i="11" s="1"/>
  <c r="BU65" i="11"/>
  <c r="BU63" i="11" s="1"/>
  <c r="BE85" i="11"/>
  <c r="BF70" i="11"/>
  <c r="BF85" i="11" s="1"/>
  <c r="BF71" i="11"/>
  <c r="BF27" i="11" s="1"/>
  <c r="BC73" i="11"/>
  <c r="BC80" i="11" s="1"/>
  <c r="BC83" i="11" s="1"/>
  <c r="BC129" i="11"/>
  <c r="BE117" i="11"/>
  <c r="BE124" i="11" s="1"/>
  <c r="BE127" i="11" s="1"/>
  <c r="BF116" i="11"/>
  <c r="BG111" i="11"/>
  <c r="BG109" i="11" s="1"/>
  <c r="BG110" i="11" s="1"/>
  <c r="BJ117" i="11"/>
  <c r="BJ124" i="11" s="1"/>
  <c r="BJ127" i="11" s="1"/>
  <c r="BG67" i="11"/>
  <c r="BF65" i="11"/>
  <c r="BK65" i="11"/>
  <c r="BK70" i="11"/>
  <c r="BL67" i="11"/>
  <c r="BK71" i="11"/>
  <c r="BL111" i="11"/>
  <c r="BK109" i="11"/>
  <c r="BF109" i="11"/>
  <c r="BF110" i="11" s="1"/>
  <c r="BK115" i="11"/>
  <c r="BK116" i="11" s="1"/>
  <c r="BF114" i="11"/>
  <c r="BP70" i="11"/>
  <c r="BP85" i="11" s="1"/>
  <c r="BQ67" i="11"/>
  <c r="BU70" i="11"/>
  <c r="BU85" i="11" s="1"/>
  <c r="BP115" i="11"/>
  <c r="BP116" i="11" s="1"/>
  <c r="BP65" i="11"/>
  <c r="BP63" i="11" s="1"/>
  <c r="AZ117" i="11"/>
  <c r="AZ124" i="11" s="1"/>
  <c r="AZ66" i="11"/>
  <c r="BR112" i="11"/>
  <c r="BT117" i="11"/>
  <c r="BT124" i="11" s="1"/>
  <c r="BT127" i="11" s="1"/>
  <c r="BU115" i="11"/>
  <c r="BU125" i="11"/>
  <c r="BU114" i="11"/>
  <c r="C42" i="13"/>
  <c r="C35" i="13"/>
  <c r="D21" i="13"/>
  <c r="D36" i="13"/>
  <c r="CA109" i="11" l="1"/>
  <c r="CA110" i="11" s="1"/>
  <c r="CA115" i="11"/>
  <c r="BU37" i="11"/>
  <c r="BF37" i="11"/>
  <c r="CD22" i="11"/>
  <c r="CD26" i="11"/>
  <c r="CB81" i="11"/>
  <c r="CB71" i="11"/>
  <c r="CB70" i="11"/>
  <c r="CB65" i="11"/>
  <c r="CB125" i="11"/>
  <c r="CB115" i="11"/>
  <c r="CB109" i="11"/>
  <c r="CB107" i="11" s="1"/>
  <c r="CB110" i="11"/>
  <c r="CW92" i="11"/>
  <c r="CZ92" i="11" s="1"/>
  <c r="CP10" i="14"/>
  <c r="CU10" i="14" s="1"/>
  <c r="CZ10" i="14" s="1"/>
  <c r="CA70" i="11"/>
  <c r="CA81" i="11"/>
  <c r="CA71" i="11"/>
  <c r="CA65" i="11"/>
  <c r="CA66" i="11" s="1"/>
  <c r="BC128" i="11"/>
  <c r="BK27" i="11"/>
  <c r="CT10" i="14"/>
  <c r="BZ72" i="11"/>
  <c r="BZ73" i="11" s="1"/>
  <c r="BZ80" i="11" s="1"/>
  <c r="BZ83" i="11" s="1"/>
  <c r="BZ86" i="11" s="1"/>
  <c r="BP27" i="11"/>
  <c r="BD80" i="11"/>
  <c r="BD66" i="11"/>
  <c r="BD124" i="11"/>
  <c r="BP110" i="11"/>
  <c r="BP107" i="11"/>
  <c r="BA128" i="11"/>
  <c r="CK96" i="11"/>
  <c r="CK101" i="11" s="1"/>
  <c r="CJ95" i="11"/>
  <c r="CF110" i="11"/>
  <c r="CF125" i="11"/>
  <c r="CS93" i="11"/>
  <c r="CJ101" i="11"/>
  <c r="CT93" i="11"/>
  <c r="CU93" i="11"/>
  <c r="CV93" i="11"/>
  <c r="CG104" i="11"/>
  <c r="CG97" i="11" s="1"/>
  <c r="BJ73" i="11"/>
  <c r="BJ80" i="11" s="1"/>
  <c r="BJ83" i="11" s="1"/>
  <c r="BJ86" i="11" s="1"/>
  <c r="BE73" i="11"/>
  <c r="BE80" i="11" s="1"/>
  <c r="BE83" i="11" s="1"/>
  <c r="BE84" i="11" s="1"/>
  <c r="BE88" i="11" s="1"/>
  <c r="BB86" i="11"/>
  <c r="BU72" i="11"/>
  <c r="BV66" i="11"/>
  <c r="BZ66" i="11"/>
  <c r="BZ63" i="11"/>
  <c r="BL65" i="11"/>
  <c r="BU66" i="11"/>
  <c r="BV71" i="11"/>
  <c r="BV27" i="11" s="1"/>
  <c r="BQ71" i="11"/>
  <c r="BP72" i="11"/>
  <c r="BP66" i="11"/>
  <c r="BK66" i="11"/>
  <c r="BF72" i="11"/>
  <c r="BM68" i="11"/>
  <c r="BH68" i="11"/>
  <c r="BT73" i="11"/>
  <c r="BT80" i="11" s="1"/>
  <c r="BT83" i="11" s="1"/>
  <c r="BT86" i="11" s="1"/>
  <c r="BF66" i="11"/>
  <c r="BK72" i="11"/>
  <c r="BO73" i="11"/>
  <c r="BO80" i="11" s="1"/>
  <c r="BO83" i="11" s="1"/>
  <c r="BO86" i="11" s="1"/>
  <c r="BA86" i="11"/>
  <c r="BB128" i="11"/>
  <c r="BQ70" i="11"/>
  <c r="BQ85" i="11" s="1"/>
  <c r="BQ65" i="11"/>
  <c r="BQ63" i="11" s="1"/>
  <c r="BV81" i="11"/>
  <c r="BV37" i="11" s="1"/>
  <c r="BG125" i="11"/>
  <c r="BR67" i="11"/>
  <c r="BR71" i="11" s="1"/>
  <c r="AZ83" i="11"/>
  <c r="BQ114" i="11"/>
  <c r="BQ129" i="11" s="1"/>
  <c r="BW111" i="11"/>
  <c r="BW115" i="11" s="1"/>
  <c r="BG115" i="11"/>
  <c r="BG116" i="11" s="1"/>
  <c r="BQ115" i="11"/>
  <c r="BH111" i="11"/>
  <c r="BH115" i="11" s="1"/>
  <c r="BR111" i="11"/>
  <c r="BR109" i="11" s="1"/>
  <c r="BV125" i="11"/>
  <c r="BQ109" i="11"/>
  <c r="BV109" i="11"/>
  <c r="BW67" i="11"/>
  <c r="BW81" i="11" s="1"/>
  <c r="BG114" i="11"/>
  <c r="BG129" i="11" s="1"/>
  <c r="BV70" i="11"/>
  <c r="BV85" i="11" s="1"/>
  <c r="BY86" i="11"/>
  <c r="BY84" i="11"/>
  <c r="BY88" i="11" s="1"/>
  <c r="BC86" i="11"/>
  <c r="BC84" i="11"/>
  <c r="BE130" i="11"/>
  <c r="BE128" i="11"/>
  <c r="BE132" i="11" s="1"/>
  <c r="BJ130" i="11"/>
  <c r="BJ128" i="11"/>
  <c r="BJ132" i="11" s="1"/>
  <c r="BK85" i="11"/>
  <c r="BL81" i="11"/>
  <c r="BM67" i="11"/>
  <c r="BG65" i="11"/>
  <c r="BH67" i="11"/>
  <c r="BG71" i="11"/>
  <c r="BG70" i="11"/>
  <c r="BG81" i="11"/>
  <c r="BL71" i="11"/>
  <c r="BL70" i="11"/>
  <c r="BL85" i="11" s="1"/>
  <c r="BK110" i="11"/>
  <c r="BF117" i="11"/>
  <c r="BF124" i="11" s="1"/>
  <c r="BF127" i="11" s="1"/>
  <c r="BF129" i="11"/>
  <c r="BL114" i="11"/>
  <c r="BL129" i="11" s="1"/>
  <c r="BL109" i="11"/>
  <c r="BL110" i="11" s="1"/>
  <c r="BM111" i="11"/>
  <c r="BN111" i="11" s="1"/>
  <c r="BN114" i="11" s="1"/>
  <c r="BL125" i="11"/>
  <c r="BL115" i="11"/>
  <c r="BL116" i="11" s="1"/>
  <c r="BK117" i="11"/>
  <c r="BK124" i="11" s="1"/>
  <c r="BK127" i="11" s="1"/>
  <c r="BQ81" i="11"/>
  <c r="BQ37" i="11" s="1"/>
  <c r="AZ127" i="11"/>
  <c r="BD127" i="11" s="1"/>
  <c r="BO117" i="11"/>
  <c r="BO124" i="11" s="1"/>
  <c r="BO127" i="11" s="1"/>
  <c r="BU116" i="11"/>
  <c r="BV116" i="11" s="1"/>
  <c r="BT130" i="11"/>
  <c r="BT128" i="11"/>
  <c r="BT132" i="11" s="1"/>
  <c r="BU129" i="11"/>
  <c r="D42" i="13"/>
  <c r="D35" i="13"/>
  <c r="E36" i="13"/>
  <c r="E21" i="13"/>
  <c r="D20" i="13"/>
  <c r="CB66" i="11" l="1"/>
  <c r="CB63" i="11"/>
  <c r="CD41" i="11"/>
  <c r="CD29" i="11"/>
  <c r="CD36" i="11" s="1"/>
  <c r="CD39" i="11" s="1"/>
  <c r="DA92" i="11"/>
  <c r="CY92" i="11"/>
  <c r="CB85" i="11"/>
  <c r="CX92" i="11"/>
  <c r="CB27" i="11"/>
  <c r="CB37" i="11"/>
  <c r="BG27" i="11"/>
  <c r="BR70" i="11"/>
  <c r="BR85" i="11" s="1"/>
  <c r="CA72" i="11"/>
  <c r="CA73" i="11" s="1"/>
  <c r="CA80" i="11" s="1"/>
  <c r="CA83" i="11" s="1"/>
  <c r="CA85" i="11"/>
  <c r="BL37" i="11"/>
  <c r="BV72" i="11"/>
  <c r="BV73" i="11" s="1"/>
  <c r="BV80" i="11" s="1"/>
  <c r="BV83" i="11" s="1"/>
  <c r="BV86" i="11" s="1"/>
  <c r="BL27" i="11"/>
  <c r="BQ27" i="11"/>
  <c r="BG37" i="11"/>
  <c r="CY10" i="14"/>
  <c r="BE86" i="11"/>
  <c r="AZ86" i="11"/>
  <c r="BD83" i="11"/>
  <c r="BD132" i="11"/>
  <c r="BD130" i="11"/>
  <c r="BZ84" i="11"/>
  <c r="BZ88" i="11" s="1"/>
  <c r="BW65" i="11"/>
  <c r="BW63" i="11" s="1"/>
  <c r="BJ84" i="11"/>
  <c r="BJ88" i="11" s="1"/>
  <c r="BT84" i="11"/>
  <c r="BT88" i="11" s="1"/>
  <c r="BR81" i="11"/>
  <c r="BR65" i="11"/>
  <c r="BR63" i="11" s="1"/>
  <c r="BV107" i="11"/>
  <c r="BQ110" i="11"/>
  <c r="BQ107" i="11"/>
  <c r="BI111" i="11"/>
  <c r="BI114" i="11" s="1"/>
  <c r="BI129" i="11" s="1"/>
  <c r="BR110" i="11"/>
  <c r="BR107" i="11"/>
  <c r="BK73" i="11"/>
  <c r="BK80" i="11" s="1"/>
  <c r="BK83" i="11" s="1"/>
  <c r="BK86" i="11" s="1"/>
  <c r="CF111" i="11"/>
  <c r="CF115" i="11" s="1"/>
  <c r="CW93" i="11"/>
  <c r="CW94" i="11" s="1"/>
  <c r="CL96" i="11"/>
  <c r="CK95" i="11"/>
  <c r="CG106" i="11"/>
  <c r="CG109" i="11" s="1"/>
  <c r="CH97" i="11"/>
  <c r="CG102" i="11"/>
  <c r="BH114" i="11"/>
  <c r="BH129" i="11" s="1"/>
  <c r="BF73" i="11"/>
  <c r="BF80" i="11" s="1"/>
  <c r="BF83" i="11" s="1"/>
  <c r="BF86" i="11" s="1"/>
  <c r="BQ72" i="11"/>
  <c r="BR72" i="11" s="1"/>
  <c r="BL72" i="11"/>
  <c r="BW71" i="11"/>
  <c r="BP73" i="11"/>
  <c r="BP80" i="11" s="1"/>
  <c r="BP83" i="11" s="1"/>
  <c r="BL66" i="11"/>
  <c r="BN68" i="11"/>
  <c r="BW109" i="11"/>
  <c r="BM70" i="11"/>
  <c r="BM85" i="11" s="1"/>
  <c r="BO84" i="11"/>
  <c r="BO88" i="11" s="1"/>
  <c r="BU73" i="11"/>
  <c r="BU80" i="11" s="1"/>
  <c r="BU83" i="11" s="1"/>
  <c r="BU86" i="11" s="1"/>
  <c r="BI115" i="11"/>
  <c r="BQ66" i="11"/>
  <c r="BG72" i="11"/>
  <c r="BI67" i="11"/>
  <c r="BI68" i="11"/>
  <c r="AZ84" i="11"/>
  <c r="BD84" i="11" s="1"/>
  <c r="BR114" i="11"/>
  <c r="BR129" i="11" s="1"/>
  <c r="BR125" i="11"/>
  <c r="BR115" i="11"/>
  <c r="BH116" i="11"/>
  <c r="BI116" i="11" s="1"/>
  <c r="BG117" i="11"/>
  <c r="BG124" i="11" s="1"/>
  <c r="BG127" i="11" s="1"/>
  <c r="BG130" i="11" s="1"/>
  <c r="BW125" i="11"/>
  <c r="BH125" i="11"/>
  <c r="BI125" i="11" s="1"/>
  <c r="BH109" i="11"/>
  <c r="BH110" i="11" s="1"/>
  <c r="BI110" i="11" s="1"/>
  <c r="BW116" i="11"/>
  <c r="BL117" i="11"/>
  <c r="BL124" i="11" s="1"/>
  <c r="BL127" i="11" s="1"/>
  <c r="BL128" i="11" s="1"/>
  <c r="BL132" i="11" s="1"/>
  <c r="BU117" i="11"/>
  <c r="BU124" i="11" s="1"/>
  <c r="BU127" i="11" s="1"/>
  <c r="BU128" i="11" s="1"/>
  <c r="BU132" i="11" s="1"/>
  <c r="BG85" i="11"/>
  <c r="BG66" i="11"/>
  <c r="BH65" i="11"/>
  <c r="BH71" i="11"/>
  <c r="BH70" i="11"/>
  <c r="BH81" i="11"/>
  <c r="BN67" i="11"/>
  <c r="BM71" i="11"/>
  <c r="BN71" i="11" s="1"/>
  <c r="BM81" i="11"/>
  <c r="BM65" i="11"/>
  <c r="BM63" i="11" s="1"/>
  <c r="BK128" i="11"/>
  <c r="BK132" i="11" s="1"/>
  <c r="BK130" i="11"/>
  <c r="BF130" i="11"/>
  <c r="BF128" i="11"/>
  <c r="BF132" i="11" s="1"/>
  <c r="BN129" i="11"/>
  <c r="BM115" i="11"/>
  <c r="BN115" i="11" s="1"/>
  <c r="BM109" i="11"/>
  <c r="BM114" i="11"/>
  <c r="BM125" i="11"/>
  <c r="BN125" i="11" s="1"/>
  <c r="BP117" i="11"/>
  <c r="BP124" i="11" s="1"/>
  <c r="BP127" i="11" s="1"/>
  <c r="BP128" i="11" s="1"/>
  <c r="BP132" i="11" s="1"/>
  <c r="BQ116" i="11"/>
  <c r="BQ117" i="11" s="1"/>
  <c r="BQ124" i="11" s="1"/>
  <c r="BQ127" i="11" s="1"/>
  <c r="AZ128" i="11"/>
  <c r="BD128" i="11" s="1"/>
  <c r="AZ130" i="11"/>
  <c r="BO128" i="11"/>
  <c r="BO132" i="11" s="1"/>
  <c r="BO130" i="11"/>
  <c r="E35" i="13"/>
  <c r="F36" i="13"/>
  <c r="E42" i="13"/>
  <c r="F21" i="13"/>
  <c r="E20" i="13"/>
  <c r="DB92" i="11" l="1"/>
  <c r="CD42" i="11"/>
  <c r="CD40" i="11"/>
  <c r="CB72" i="11"/>
  <c r="CA84" i="11"/>
  <c r="CA88" i="11" s="1"/>
  <c r="CA86" i="11"/>
  <c r="BU84" i="11"/>
  <c r="BU88" i="11" s="1"/>
  <c r="BW66" i="11"/>
  <c r="BD86" i="11"/>
  <c r="BD88" i="11"/>
  <c r="BK84" i="11"/>
  <c r="BK88" i="11" s="1"/>
  <c r="CH102" i="11"/>
  <c r="CH103" i="11" s="1"/>
  <c r="CG103" i="11"/>
  <c r="BR66" i="11"/>
  <c r="BN70" i="11"/>
  <c r="BN85" i="11" s="1"/>
  <c r="BI70" i="11"/>
  <c r="BI85" i="11" s="1"/>
  <c r="BI117" i="11"/>
  <c r="BF84" i="11"/>
  <c r="BF88" i="11" s="1"/>
  <c r="BQ73" i="11"/>
  <c r="BQ80" i="11" s="1"/>
  <c r="BQ83" i="11" s="1"/>
  <c r="BQ86" i="11" s="1"/>
  <c r="BM110" i="11"/>
  <c r="BN110" i="11" s="1"/>
  <c r="BM107" i="11"/>
  <c r="BW107" i="11"/>
  <c r="BW72" i="11"/>
  <c r="DA93" i="11"/>
  <c r="CX93" i="11"/>
  <c r="CY93" i="11"/>
  <c r="CN96" i="11"/>
  <c r="CN101" i="11" s="1"/>
  <c r="CL95" i="11"/>
  <c r="CM95" i="11" s="1"/>
  <c r="CM96" i="11" s="1"/>
  <c r="CL101" i="11"/>
  <c r="CZ93" i="11"/>
  <c r="CF112" i="11"/>
  <c r="CG110" i="11"/>
  <c r="CG125" i="11"/>
  <c r="CH105" i="11"/>
  <c r="BH117" i="11"/>
  <c r="BH124" i="11" s="1"/>
  <c r="BH127" i="11" s="1"/>
  <c r="BG128" i="11"/>
  <c r="BG132" i="11" s="1"/>
  <c r="BI81" i="11"/>
  <c r="BP84" i="11"/>
  <c r="BP88" i="11" s="1"/>
  <c r="BP86" i="11"/>
  <c r="BH66" i="11"/>
  <c r="BI66" i="11" s="1"/>
  <c r="BI71" i="11"/>
  <c r="BN65" i="11"/>
  <c r="BG73" i="11"/>
  <c r="BG80" i="11" s="1"/>
  <c r="BG83" i="11" s="1"/>
  <c r="BN81" i="11"/>
  <c r="BR73" i="11"/>
  <c r="BR80" i="11" s="1"/>
  <c r="BR83" i="11" s="1"/>
  <c r="BM72" i="11"/>
  <c r="BL73" i="11"/>
  <c r="BL80" i="11" s="1"/>
  <c r="BL83" i="11" s="1"/>
  <c r="BL86" i="11" s="1"/>
  <c r="BI109" i="11"/>
  <c r="BU130" i="11"/>
  <c r="BV84" i="11"/>
  <c r="BV88" i="11" s="1"/>
  <c r="BL130" i="11"/>
  <c r="BP130" i="11"/>
  <c r="BH72" i="11"/>
  <c r="BN109" i="11"/>
  <c r="BI65" i="11"/>
  <c r="BM66" i="11"/>
  <c r="BN66" i="11" s="1"/>
  <c r="BH85" i="11"/>
  <c r="BM129" i="11"/>
  <c r="BM116" i="11"/>
  <c r="BN116" i="11" s="1"/>
  <c r="BN117" i="11" s="1"/>
  <c r="BR116" i="11"/>
  <c r="BR117" i="11" s="1"/>
  <c r="BR124" i="11" s="1"/>
  <c r="BR127" i="11" s="1"/>
  <c r="BR130" i="11" s="1"/>
  <c r="BQ128" i="11"/>
  <c r="BQ132" i="11" s="1"/>
  <c r="BQ130" i="11"/>
  <c r="G36" i="13"/>
  <c r="F42" i="13"/>
  <c r="F35" i="13"/>
  <c r="F20" i="13"/>
  <c r="CB73" i="11" l="1"/>
  <c r="CB80" i="11" s="1"/>
  <c r="CB83" i="11" s="1"/>
  <c r="CI104" i="11"/>
  <c r="CI97" i="11" s="1"/>
  <c r="CI106" i="11" s="1"/>
  <c r="CI109" i="11" s="1"/>
  <c r="CM104" i="11"/>
  <c r="BQ84" i="11"/>
  <c r="BQ88" i="11" s="1"/>
  <c r="BI124" i="11"/>
  <c r="DB93" i="11"/>
  <c r="DB94" i="11" s="1"/>
  <c r="CG111" i="11"/>
  <c r="CG115" i="11" s="1"/>
  <c r="CF113" i="11"/>
  <c r="CO96" i="11"/>
  <c r="CN95" i="11"/>
  <c r="BR86" i="11"/>
  <c r="BR84" i="11"/>
  <c r="BR88" i="11" s="1"/>
  <c r="BN72" i="11"/>
  <c r="BN73" i="11" s="1"/>
  <c r="BI72" i="11"/>
  <c r="BI73" i="11" s="1"/>
  <c r="BM73" i="11"/>
  <c r="BM80" i="11" s="1"/>
  <c r="BL84" i="11"/>
  <c r="BL88" i="11" s="1"/>
  <c r="BH73" i="11"/>
  <c r="BH80" i="11" s="1"/>
  <c r="BH83" i="11" s="1"/>
  <c r="BI83" i="11" s="1"/>
  <c r="BG86" i="11"/>
  <c r="BG84" i="11"/>
  <c r="BH128" i="11"/>
  <c r="BH132" i="11" s="1"/>
  <c r="BI127" i="11"/>
  <c r="BI132" i="11" s="1"/>
  <c r="BH130" i="11"/>
  <c r="BM117" i="11"/>
  <c r="BM124" i="11" s="1"/>
  <c r="BR128" i="11"/>
  <c r="BR132" i="11" s="1"/>
  <c r="G42" i="13"/>
  <c r="H36" i="13"/>
  <c r="G35" i="13"/>
  <c r="CB84" i="11" l="1"/>
  <c r="CB88" i="11" s="1"/>
  <c r="CB86" i="11"/>
  <c r="CI102" i="11"/>
  <c r="CI103" i="11" s="1"/>
  <c r="CG112" i="11"/>
  <c r="CF114" i="11"/>
  <c r="CI125" i="11"/>
  <c r="CI110" i="11"/>
  <c r="CI111" i="11" s="1"/>
  <c r="CI115" i="11" s="1"/>
  <c r="CP96" i="11"/>
  <c r="CO95" i="11"/>
  <c r="CP101" i="11"/>
  <c r="CO101" i="11"/>
  <c r="BN80" i="11"/>
  <c r="BM83" i="11"/>
  <c r="BH84" i="11"/>
  <c r="BH88" i="11" s="1"/>
  <c r="BH86" i="11"/>
  <c r="BI80" i="11"/>
  <c r="BG88" i="11"/>
  <c r="BI88" i="11"/>
  <c r="BI86" i="11"/>
  <c r="BM127" i="11"/>
  <c r="BN124" i="11"/>
  <c r="BI130" i="11"/>
  <c r="BI128" i="11"/>
  <c r="I36" i="13"/>
  <c r="H42" i="13"/>
  <c r="H35" i="13"/>
  <c r="CJ104" i="11" l="1"/>
  <c r="CJ97" i="11" s="1"/>
  <c r="CJ102" i="11" s="1"/>
  <c r="CJ103" i="11" s="1"/>
  <c r="CG113" i="11"/>
  <c r="CJ100" i="11"/>
  <c r="CJ98" i="11"/>
  <c r="CJ106" i="11"/>
  <c r="CJ109" i="11" s="1"/>
  <c r="CQ96" i="11"/>
  <c r="CP95" i="11"/>
  <c r="CI112" i="11"/>
  <c r="CI113" i="11" s="1"/>
  <c r="CK104" i="11"/>
  <c r="CK97" i="11" s="1"/>
  <c r="BI84" i="11"/>
  <c r="BM84" i="11"/>
  <c r="BM86" i="11"/>
  <c r="BN83" i="11"/>
  <c r="BN127" i="11"/>
  <c r="BN132" i="11" s="1"/>
  <c r="BM128" i="11"/>
  <c r="BM132" i="11" s="1"/>
  <c r="BM130" i="11"/>
  <c r="J36" i="13"/>
  <c r="I42" i="13"/>
  <c r="I35" i="13"/>
  <c r="CI114" i="11" l="1"/>
  <c r="CK106" i="11"/>
  <c r="CK109" i="11" s="1"/>
  <c r="CJ125" i="11"/>
  <c r="CJ110" i="11"/>
  <c r="CS96" i="11"/>
  <c r="CS101" i="11" s="1"/>
  <c r="CQ95" i="11"/>
  <c r="CR95" i="11" s="1"/>
  <c r="CR96" i="11" s="1"/>
  <c r="CQ101" i="11"/>
  <c r="CG114" i="11"/>
  <c r="CK100" i="11"/>
  <c r="CK98" i="11"/>
  <c r="CK102" i="11"/>
  <c r="CK103" i="11" s="1"/>
  <c r="BN88" i="11"/>
  <c r="BN86" i="11"/>
  <c r="BM88" i="11"/>
  <c r="BN84" i="11"/>
  <c r="BN128" i="11"/>
  <c r="BN130" i="11"/>
  <c r="J42" i="13"/>
  <c r="J35" i="13"/>
  <c r="K36" i="13"/>
  <c r="CT96" i="11" l="1"/>
  <c r="CS95" i="11"/>
  <c r="CK125" i="11"/>
  <c r="CK110" i="11"/>
  <c r="CK111" i="11" s="1"/>
  <c r="CK115" i="11" s="1"/>
  <c r="CL104" i="11"/>
  <c r="CL97" i="11" s="1"/>
  <c r="CL102" i="11" s="1"/>
  <c r="CJ111" i="11"/>
  <c r="CJ115" i="11" s="1"/>
  <c r="K42" i="13"/>
  <c r="K35" i="13"/>
  <c r="L36" i="13"/>
  <c r="CM102" i="11" l="1"/>
  <c r="CM103" i="11" s="1"/>
  <c r="CL103" i="11"/>
  <c r="CU96" i="11"/>
  <c r="CT95" i="11"/>
  <c r="CT101" i="11"/>
  <c r="CK112" i="11"/>
  <c r="CK113" i="11" s="1"/>
  <c r="CJ112" i="11"/>
  <c r="CJ113" i="11" s="1"/>
  <c r="CJ114" i="11" s="1"/>
  <c r="CL100" i="11"/>
  <c r="CL98" i="11"/>
  <c r="CM97" i="11"/>
  <c r="CL106" i="11"/>
  <c r="CL109" i="11" s="1"/>
  <c r="M36" i="13"/>
  <c r="L35" i="13"/>
  <c r="L42" i="13"/>
  <c r="CN104" i="11" l="1"/>
  <c r="CN97" i="11" s="1"/>
  <c r="CN102" i="11" s="1"/>
  <c r="CN103" i="11" s="1"/>
  <c r="CR104" i="11"/>
  <c r="CK114" i="11"/>
  <c r="CM105" i="11"/>
  <c r="CM106" i="11"/>
  <c r="CL125" i="11"/>
  <c r="CM125" i="11" s="1"/>
  <c r="CL110" i="11"/>
  <c r="CM110" i="11" s="1"/>
  <c r="CM109" i="11"/>
  <c r="CN98" i="11"/>
  <c r="CV96" i="11"/>
  <c r="CU95" i="11"/>
  <c r="CU101" i="11"/>
  <c r="N36" i="13"/>
  <c r="M42" i="13"/>
  <c r="M35" i="13"/>
  <c r="CN100" i="11" l="1"/>
  <c r="CN106" i="11"/>
  <c r="CN109" i="11" s="1"/>
  <c r="CN125" i="11" s="1"/>
  <c r="CO104" i="11"/>
  <c r="CO97" i="11" s="1"/>
  <c r="CO100" i="11" s="1"/>
  <c r="CL111" i="11"/>
  <c r="CL115" i="11" s="1"/>
  <c r="CM115" i="11" s="1"/>
  <c r="CX96" i="11"/>
  <c r="CX101" i="11" s="1"/>
  <c r="CV95" i="11"/>
  <c r="CW95" i="11" s="1"/>
  <c r="CW96" i="11" s="1"/>
  <c r="CV101" i="11"/>
  <c r="CL112" i="11"/>
  <c r="CM112" i="11" s="1"/>
  <c r="CM111" i="11"/>
  <c r="CM107" i="11"/>
  <c r="N42" i="13"/>
  <c r="N35" i="13"/>
  <c r="CO106" i="11" l="1"/>
  <c r="CO109" i="11" s="1"/>
  <c r="CN110" i="11"/>
  <c r="CN111" i="11" s="1"/>
  <c r="CN115" i="11" s="1"/>
  <c r="CO102" i="11"/>
  <c r="CO103" i="11" s="1"/>
  <c r="CO98" i="11"/>
  <c r="CL113" i="11"/>
  <c r="CP104" i="11"/>
  <c r="CP97" i="11" s="1"/>
  <c r="CO125" i="11"/>
  <c r="CO110" i="11"/>
  <c r="CO111" i="11" s="1"/>
  <c r="CO115" i="11" s="1"/>
  <c r="CN112" i="11"/>
  <c r="CY96" i="11"/>
  <c r="CY101" i="11" s="1"/>
  <c r="CX95" i="11"/>
  <c r="CM113" i="11" l="1"/>
  <c r="CM114" i="11" s="1"/>
  <c r="CL114" i="11"/>
  <c r="CO112" i="11"/>
  <c r="CO113" i="11" s="1"/>
  <c r="CZ96" i="11"/>
  <c r="CZ101" i="11" s="1"/>
  <c r="CY95" i="11"/>
  <c r="CP100" i="11"/>
  <c r="CP98" i="11"/>
  <c r="CP106" i="11"/>
  <c r="CP109" i="11" s="1"/>
  <c r="CN113" i="11"/>
  <c r="CN114" i="11" s="1"/>
  <c r="CP102" i="11"/>
  <c r="CP103" i="11" s="1"/>
  <c r="BY110" i="11"/>
  <c r="BZ55" i="11"/>
  <c r="BY55" i="11"/>
  <c r="BW55" i="11"/>
  <c r="BV55" i="11"/>
  <c r="BU55" i="11"/>
  <c r="BT55" i="11"/>
  <c r="BR55" i="11"/>
  <c r="BQ55" i="11"/>
  <c r="BP55" i="11"/>
  <c r="BO55" i="11"/>
  <c r="BM55" i="11"/>
  <c r="BL55" i="11"/>
  <c r="BK55" i="11"/>
  <c r="BJ55" i="11"/>
  <c r="BH55" i="11"/>
  <c r="BG55" i="11"/>
  <c r="BF55" i="11"/>
  <c r="BE55" i="11"/>
  <c r="BC55" i="11"/>
  <c r="BB55" i="11"/>
  <c r="BA55" i="11"/>
  <c r="AZ55" i="11"/>
  <c r="BZ50" i="11"/>
  <c r="CI55" i="11" s="1"/>
  <c r="BY50" i="11"/>
  <c r="BW50" i="11"/>
  <c r="BV50" i="11"/>
  <c r="BU50" i="11"/>
  <c r="BT50" i="11"/>
  <c r="BR50" i="11"/>
  <c r="BQ50" i="11"/>
  <c r="BP50" i="11"/>
  <c r="BO50" i="11"/>
  <c r="BM50" i="11"/>
  <c r="BL50" i="11"/>
  <c r="BK50" i="11"/>
  <c r="BJ50" i="11"/>
  <c r="BH50" i="11"/>
  <c r="BG50" i="11"/>
  <c r="BF50" i="11"/>
  <c r="BE50" i="11"/>
  <c r="BC50" i="11"/>
  <c r="BB50" i="11"/>
  <c r="BA50" i="11"/>
  <c r="AZ50" i="11"/>
  <c r="BZ99" i="11"/>
  <c r="BY99" i="11"/>
  <c r="BW99" i="11"/>
  <c r="BV99" i="11"/>
  <c r="BU99" i="11"/>
  <c r="BT99" i="11"/>
  <c r="BR99" i="11"/>
  <c r="BQ99" i="11"/>
  <c r="BP99" i="11"/>
  <c r="BO99" i="11"/>
  <c r="BM99" i="11"/>
  <c r="BL99" i="11"/>
  <c r="BK99" i="11"/>
  <c r="BJ99" i="11"/>
  <c r="BH99" i="11"/>
  <c r="BG99" i="11"/>
  <c r="BF99" i="11"/>
  <c r="BE99" i="11"/>
  <c r="BC99" i="11"/>
  <c r="BB99" i="11"/>
  <c r="BA99" i="11"/>
  <c r="AZ99" i="11"/>
  <c r="BZ94" i="11"/>
  <c r="CI99" i="11" s="1"/>
  <c r="CI98" i="11" s="1"/>
  <c r="CM98" i="11" s="1"/>
  <c r="BY94" i="11"/>
  <c r="BW94" i="11"/>
  <c r="BV94" i="11"/>
  <c r="BU94" i="11"/>
  <c r="BT94" i="11"/>
  <c r="BR94" i="11"/>
  <c r="BQ94" i="11"/>
  <c r="BP94" i="11"/>
  <c r="BO94" i="11"/>
  <c r="BM94" i="11"/>
  <c r="BL94" i="11"/>
  <c r="BK94" i="11"/>
  <c r="BJ94" i="11"/>
  <c r="BH94" i="11"/>
  <c r="BG94" i="11"/>
  <c r="BF94" i="11"/>
  <c r="BE94" i="11"/>
  <c r="BC94" i="11"/>
  <c r="BB94" i="11"/>
  <c r="BA94" i="11"/>
  <c r="AZ94" i="11"/>
  <c r="CC49" i="11"/>
  <c r="CC48" i="11"/>
  <c r="BX58" i="11"/>
  <c r="BX59" i="11" s="1"/>
  <c r="BX56" i="11"/>
  <c r="BX54" i="11"/>
  <c r="BX53" i="11"/>
  <c r="BX51" i="11"/>
  <c r="BX49" i="11"/>
  <c r="BX48" i="11"/>
  <c r="BS58" i="11"/>
  <c r="BS59" i="11" s="1"/>
  <c r="BS56" i="11"/>
  <c r="BS54" i="11"/>
  <c r="BS53" i="11"/>
  <c r="BS51" i="11"/>
  <c r="BS49" i="11"/>
  <c r="BS48" i="11"/>
  <c r="BN58" i="11"/>
  <c r="BN59" i="11" s="1"/>
  <c r="BN56" i="11"/>
  <c r="BN54" i="11"/>
  <c r="BN53" i="11"/>
  <c r="BN51" i="11"/>
  <c r="BN49" i="11"/>
  <c r="BN48" i="11"/>
  <c r="BI58" i="11"/>
  <c r="BI59" i="11" s="1"/>
  <c r="BI56" i="11"/>
  <c r="BI54" i="11"/>
  <c r="BI53" i="11"/>
  <c r="BI51" i="11"/>
  <c r="BI49" i="11"/>
  <c r="BI48" i="11"/>
  <c r="BD58" i="11"/>
  <c r="BD59" i="11" s="1"/>
  <c r="BD56" i="11"/>
  <c r="BD54" i="11"/>
  <c r="BD53" i="11"/>
  <c r="BD51" i="11"/>
  <c r="BD49" i="11"/>
  <c r="BD48" i="11"/>
  <c r="BZ60" i="11"/>
  <c r="BZ61" i="11" s="1"/>
  <c r="BW60" i="11"/>
  <c r="BW61" i="11" s="1"/>
  <c r="BV60" i="11"/>
  <c r="BV61" i="11" s="1"/>
  <c r="BU60" i="11"/>
  <c r="BU61" i="11" s="1"/>
  <c r="BR60" i="11"/>
  <c r="BR61" i="11" s="1"/>
  <c r="BQ60" i="11"/>
  <c r="BQ61" i="11" s="1"/>
  <c r="BP60" i="11"/>
  <c r="BP61" i="11" s="1"/>
  <c r="BM60" i="11"/>
  <c r="BM61" i="11" s="1"/>
  <c r="BL60" i="11"/>
  <c r="BL61" i="11" s="1"/>
  <c r="BK60" i="11"/>
  <c r="BK61" i="11" s="1"/>
  <c r="BH60" i="11"/>
  <c r="BH61" i="11" s="1"/>
  <c r="BG60" i="11"/>
  <c r="BG61" i="11" s="1"/>
  <c r="BF60" i="11"/>
  <c r="BF61" i="11" s="1"/>
  <c r="BC60" i="11"/>
  <c r="BC61" i="11" s="1"/>
  <c r="BB60" i="11"/>
  <c r="BB61" i="11" s="1"/>
  <c r="BA60" i="11"/>
  <c r="BA61" i="11" s="1"/>
  <c r="BZ57" i="11"/>
  <c r="BY57" i="11"/>
  <c r="BW57" i="11"/>
  <c r="BV57" i="11"/>
  <c r="BU57" i="11"/>
  <c r="BT57" i="11"/>
  <c r="BR57" i="11"/>
  <c r="BQ57" i="11"/>
  <c r="BP57" i="11"/>
  <c r="BO57" i="11"/>
  <c r="BM57" i="11"/>
  <c r="BL57" i="11"/>
  <c r="BK57" i="11"/>
  <c r="BJ57" i="11"/>
  <c r="BH57" i="11"/>
  <c r="BG57" i="11"/>
  <c r="BF57" i="11"/>
  <c r="BE57" i="11"/>
  <c r="BC57" i="11"/>
  <c r="BB57" i="11"/>
  <c r="BA57" i="11"/>
  <c r="AZ57" i="11"/>
  <c r="BZ52" i="11"/>
  <c r="BY52" i="11"/>
  <c r="BW52" i="11"/>
  <c r="BV52" i="11"/>
  <c r="BU52" i="11"/>
  <c r="BT52" i="11"/>
  <c r="BR52" i="11"/>
  <c r="BQ52" i="11"/>
  <c r="BP52" i="11"/>
  <c r="BO52" i="11"/>
  <c r="BM52" i="11"/>
  <c r="BL52" i="11"/>
  <c r="BK52" i="11"/>
  <c r="BJ52" i="11"/>
  <c r="BH52" i="11"/>
  <c r="BG52" i="11"/>
  <c r="BF52" i="11"/>
  <c r="BE52" i="11"/>
  <c r="BC52" i="11"/>
  <c r="BB52" i="11"/>
  <c r="BA52" i="11"/>
  <c r="AZ52" i="11"/>
  <c r="BD104" i="11"/>
  <c r="BC104" i="11"/>
  <c r="BC105" i="11" s="1"/>
  <c r="BB104" i="11"/>
  <c r="BB105" i="11" s="1"/>
  <c r="BA104" i="11"/>
  <c r="BA105" i="11" s="1"/>
  <c r="BX102" i="11"/>
  <c r="BX103" i="11" s="1"/>
  <c r="BS102" i="11"/>
  <c r="BN102" i="11"/>
  <c r="BI102" i="11"/>
  <c r="BD102" i="11"/>
  <c r="BD103" i="11" s="1"/>
  <c r="BX100" i="11"/>
  <c r="BX98" i="11"/>
  <c r="BX97" i="11"/>
  <c r="BS100" i="11"/>
  <c r="BS98" i="11"/>
  <c r="BS97" i="11"/>
  <c r="BN100" i="11"/>
  <c r="BN98" i="11"/>
  <c r="BN97" i="11"/>
  <c r="BC101" i="11"/>
  <c r="BB101" i="11"/>
  <c r="BA101" i="11"/>
  <c r="AZ101" i="11"/>
  <c r="BI100" i="11"/>
  <c r="BI98" i="11"/>
  <c r="BI97" i="11"/>
  <c r="BD98" i="11"/>
  <c r="BX95" i="11"/>
  <c r="BX93" i="11"/>
  <c r="BX92" i="11"/>
  <c r="BS95" i="11"/>
  <c r="BS93" i="11"/>
  <c r="BS92" i="11"/>
  <c r="BN95" i="11"/>
  <c r="BN93" i="11"/>
  <c r="BN92" i="11"/>
  <c r="BI95" i="11"/>
  <c r="BI93" i="11"/>
  <c r="BI92" i="11"/>
  <c r="BD93" i="11"/>
  <c r="BC96" i="11"/>
  <c r="BB96" i="11"/>
  <c r="BA96" i="11"/>
  <c r="AZ96" i="11"/>
  <c r="BD95" i="11"/>
  <c r="BD100" i="11"/>
  <c r="BD97" i="11"/>
  <c r="BD92" i="11"/>
  <c r="BX125" i="11"/>
  <c r="BS125" i="11"/>
  <c r="BX116" i="11"/>
  <c r="BS116" i="11"/>
  <c r="BX115" i="11"/>
  <c r="BS115" i="11"/>
  <c r="BX113" i="11"/>
  <c r="BS113" i="11"/>
  <c r="BZ112" i="11"/>
  <c r="BW114" i="11"/>
  <c r="BW117" i="11" s="1"/>
  <c r="BV114" i="11"/>
  <c r="BX111" i="11"/>
  <c r="BS111" i="11"/>
  <c r="BW110" i="11"/>
  <c r="BV110" i="11"/>
  <c r="BX109" i="11"/>
  <c r="BS109" i="11"/>
  <c r="BZ104" i="11"/>
  <c r="BZ105" i="11" s="1"/>
  <c r="BW104" i="11"/>
  <c r="BW105" i="11" s="1"/>
  <c r="BV104" i="11"/>
  <c r="BV105" i="11" s="1"/>
  <c r="BU104" i="11"/>
  <c r="BU105" i="11" s="1"/>
  <c r="BR104" i="11"/>
  <c r="BR105" i="11" s="1"/>
  <c r="BQ104" i="11"/>
  <c r="BQ105" i="11" s="1"/>
  <c r="BP104" i="11"/>
  <c r="BP105" i="11" s="1"/>
  <c r="BM104" i="11"/>
  <c r="BM105" i="11" s="1"/>
  <c r="BL104" i="11"/>
  <c r="BL105" i="11" s="1"/>
  <c r="BK104" i="11"/>
  <c r="BK105" i="11" s="1"/>
  <c r="BH104" i="11"/>
  <c r="BH105" i="11" s="1"/>
  <c r="BG104" i="11"/>
  <c r="BG105" i="11" s="1"/>
  <c r="BF104" i="11"/>
  <c r="BF105" i="11" s="1"/>
  <c r="BZ101" i="11"/>
  <c r="BY101" i="11"/>
  <c r="BW101" i="11"/>
  <c r="BV101" i="11"/>
  <c r="BU101" i="11"/>
  <c r="BT101" i="11"/>
  <c r="BR101" i="11"/>
  <c r="BQ101" i="11"/>
  <c r="BP101" i="11"/>
  <c r="BO101" i="11"/>
  <c r="BM101" i="11"/>
  <c r="BL101" i="11"/>
  <c r="BK101" i="11"/>
  <c r="BJ101" i="11"/>
  <c r="BH101" i="11"/>
  <c r="BG101" i="11"/>
  <c r="BF101" i="11"/>
  <c r="BE101" i="11"/>
  <c r="BZ96" i="11"/>
  <c r="CI101" i="11" s="1"/>
  <c r="CI100" i="11" s="1"/>
  <c r="CM100" i="11" s="1"/>
  <c r="CM101" i="11" s="1"/>
  <c r="BY96" i="11"/>
  <c r="BW96" i="11"/>
  <c r="BV96" i="11"/>
  <c r="BU96" i="11"/>
  <c r="BT96" i="11"/>
  <c r="BR96" i="11"/>
  <c r="BQ96" i="11"/>
  <c r="BP96" i="11"/>
  <c r="BO96" i="11"/>
  <c r="BM96" i="11"/>
  <c r="BL96" i="11"/>
  <c r="BK96" i="11"/>
  <c r="BJ96" i="11"/>
  <c r="BH96" i="11"/>
  <c r="BG96" i="11"/>
  <c r="BF96" i="11"/>
  <c r="BE96" i="11"/>
  <c r="BX81" i="11"/>
  <c r="BS81" i="11"/>
  <c r="BX78" i="11"/>
  <c r="BS78" i="11"/>
  <c r="BX77" i="11"/>
  <c r="BS77" i="11"/>
  <c r="CC76" i="11"/>
  <c r="BX76" i="11"/>
  <c r="BS76" i="11"/>
  <c r="BX75" i="11"/>
  <c r="BS75" i="11"/>
  <c r="BX72" i="11"/>
  <c r="BS72" i="11"/>
  <c r="BX71" i="11"/>
  <c r="BS71" i="11"/>
  <c r="BX69" i="11"/>
  <c r="BS69" i="11"/>
  <c r="BX67" i="11"/>
  <c r="BS67" i="11"/>
  <c r="BS66" i="11"/>
  <c r="BX65" i="11"/>
  <c r="BS65" i="11"/>
  <c r="CA112" i="11" l="1"/>
  <c r="CA114" i="11" s="1"/>
  <c r="CB112" i="11"/>
  <c r="CB114" i="11" s="1"/>
  <c r="CA129" i="11"/>
  <c r="CA62" i="11"/>
  <c r="CA59" i="11"/>
  <c r="CA106" i="11"/>
  <c r="CA103" i="11"/>
  <c r="CC50" i="11"/>
  <c r="BN106" i="11"/>
  <c r="BN107" i="11" s="1"/>
  <c r="BD94" i="11"/>
  <c r="BN104" i="11"/>
  <c r="BN105" i="11" s="1"/>
  <c r="BI103" i="11"/>
  <c r="BT104" i="11"/>
  <c r="BT105" i="11" s="1"/>
  <c r="BS103" i="11"/>
  <c r="BS104" i="11"/>
  <c r="BS105" i="11" s="1"/>
  <c r="BN103" i="11"/>
  <c r="BE60" i="11"/>
  <c r="BE61" i="11" s="1"/>
  <c r="BT60" i="11"/>
  <c r="BT61" i="11" s="1"/>
  <c r="BO60" i="11"/>
  <c r="BO61" i="11" s="1"/>
  <c r="CC60" i="11"/>
  <c r="BN60" i="11"/>
  <c r="BN61" i="11" s="1"/>
  <c r="BS96" i="11"/>
  <c r="CC100" i="11"/>
  <c r="CC101" i="11" s="1"/>
  <c r="BY104" i="11"/>
  <c r="BY105" i="11" s="1"/>
  <c r="CC104" i="11"/>
  <c r="CC105" i="11" s="1"/>
  <c r="BX62" i="11"/>
  <c r="BX63" i="11" s="1"/>
  <c r="CF101" i="11"/>
  <c r="CF100" i="11" s="1"/>
  <c r="CG101" i="11"/>
  <c r="CG100" i="11" s="1"/>
  <c r="BS106" i="11"/>
  <c r="BS107" i="11" s="1"/>
  <c r="CG99" i="11"/>
  <c r="CG98" i="11" s="1"/>
  <c r="CF99" i="11"/>
  <c r="CF98" i="11" s="1"/>
  <c r="CC98" i="11"/>
  <c r="BO104" i="11"/>
  <c r="BO105" i="11" s="1"/>
  <c r="BX106" i="11"/>
  <c r="BX107" i="11" s="1"/>
  <c r="CC106" i="11"/>
  <c r="CH106" i="11"/>
  <c r="CM117" i="11"/>
  <c r="CM129" i="11"/>
  <c r="CP125" i="11"/>
  <c r="CP110" i="11"/>
  <c r="DA96" i="11"/>
  <c r="CZ95" i="11"/>
  <c r="CO114" i="11"/>
  <c r="CQ104" i="11"/>
  <c r="CQ97" i="11" s="1"/>
  <c r="CQ102" i="11" s="1"/>
  <c r="BS99" i="11"/>
  <c r="BN62" i="11"/>
  <c r="BN63" i="11" s="1"/>
  <c r="CG55" i="11"/>
  <c r="CF55" i="11"/>
  <c r="BI55" i="11"/>
  <c r="BS62" i="11"/>
  <c r="BS63" i="11" s="1"/>
  <c r="CG48" i="11"/>
  <c r="CF48" i="11"/>
  <c r="BN50" i="11"/>
  <c r="BX52" i="11"/>
  <c r="BI50" i="11"/>
  <c r="BN55" i="11"/>
  <c r="BX94" i="11"/>
  <c r="BX50" i="11"/>
  <c r="BI94" i="11"/>
  <c r="BX99" i="11"/>
  <c r="BD55" i="11"/>
  <c r="BD50" i="11"/>
  <c r="BS55" i="11"/>
  <c r="BN94" i="11"/>
  <c r="BN99" i="11"/>
  <c r="BN52" i="11"/>
  <c r="BS94" i="11"/>
  <c r="BD99" i="11"/>
  <c r="BI99" i="11"/>
  <c r="BJ60" i="11"/>
  <c r="BJ61" i="11" s="1"/>
  <c r="BX55" i="11"/>
  <c r="BX104" i="11"/>
  <c r="BX105" i="11" s="1"/>
  <c r="BD101" i="11"/>
  <c r="BN96" i="11"/>
  <c r="BX96" i="11"/>
  <c r="BS52" i="11"/>
  <c r="BS50" i="11"/>
  <c r="BW68" i="11"/>
  <c r="BW129" i="11"/>
  <c r="BZ109" i="11"/>
  <c r="BZ125" i="11"/>
  <c r="BZ37" i="11" s="1"/>
  <c r="BZ115" i="11"/>
  <c r="BZ27" i="11" s="1"/>
  <c r="BZ114" i="11"/>
  <c r="BZ129" i="11" s="1"/>
  <c r="BW124" i="11"/>
  <c r="BW127" i="11" s="1"/>
  <c r="BW128" i="11" s="1"/>
  <c r="BW132" i="11" s="1"/>
  <c r="BX101" i="11"/>
  <c r="BD105" i="11"/>
  <c r="BD52" i="11"/>
  <c r="BX66" i="11"/>
  <c r="BJ104" i="11"/>
  <c r="BJ105" i="11" s="1"/>
  <c r="BI96" i="11"/>
  <c r="BN101" i="11"/>
  <c r="BI104" i="11"/>
  <c r="BI105" i="11" s="1"/>
  <c r="BE104" i="11"/>
  <c r="BE105" i="11" s="1"/>
  <c r="BI101" i="11"/>
  <c r="BI52" i="11"/>
  <c r="BX57" i="11"/>
  <c r="CC72" i="11"/>
  <c r="BS110" i="11"/>
  <c r="BD96" i="11"/>
  <c r="BS57" i="11"/>
  <c r="BN57" i="11"/>
  <c r="BX60" i="11"/>
  <c r="BX61" i="11" s="1"/>
  <c r="BI57" i="11"/>
  <c r="BS60" i="11"/>
  <c r="BS61" i="11" s="1"/>
  <c r="BD57" i="11"/>
  <c r="BI60" i="11"/>
  <c r="BI61" i="11" s="1"/>
  <c r="BY60" i="11"/>
  <c r="BY61" i="11" s="1"/>
  <c r="BS101" i="11"/>
  <c r="BS68" i="11"/>
  <c r="BS70" i="11" s="1"/>
  <c r="BS73" i="11" s="1"/>
  <c r="BY114" i="11"/>
  <c r="BX112" i="11"/>
  <c r="BX114" i="11" s="1"/>
  <c r="BX117" i="11" s="1"/>
  <c r="BX110" i="11"/>
  <c r="BS112" i="11"/>
  <c r="BS114" i="11" s="1"/>
  <c r="BS117" i="11" s="1"/>
  <c r="BV129" i="11"/>
  <c r="BV117" i="11"/>
  <c r="BV124" i="11" s="1"/>
  <c r="BV127" i="11" s="1"/>
  <c r="CB129" i="11" l="1"/>
  <c r="CF72" i="11"/>
  <c r="CG72" i="11" s="1"/>
  <c r="CH100" i="11"/>
  <c r="CH101" i="11" s="1"/>
  <c r="CR102" i="11"/>
  <c r="CR103" i="11" s="1"/>
  <c r="CQ103" i="11"/>
  <c r="CH98" i="11"/>
  <c r="BZ107" i="11"/>
  <c r="DA95" i="11"/>
  <c r="DB95" i="11" s="1"/>
  <c r="DB96" i="11" s="1"/>
  <c r="DA101" i="11"/>
  <c r="CQ100" i="11"/>
  <c r="CR100" i="11" s="1"/>
  <c r="CQ98" i="11"/>
  <c r="CR98" i="11" s="1"/>
  <c r="CR97" i="11"/>
  <c r="CQ106" i="11"/>
  <c r="CQ109" i="11" s="1"/>
  <c r="CP111" i="11"/>
  <c r="CP115" i="11" s="1"/>
  <c r="CF49" i="11"/>
  <c r="CG49" i="11"/>
  <c r="CH48" i="11"/>
  <c r="BZ110" i="11"/>
  <c r="BW70" i="11"/>
  <c r="BW85" i="11" s="1"/>
  <c r="BW130" i="11"/>
  <c r="BZ116" i="11"/>
  <c r="BX68" i="11"/>
  <c r="BX70" i="11" s="1"/>
  <c r="BX73" i="11" s="1"/>
  <c r="CC78" i="11"/>
  <c r="BX129" i="11"/>
  <c r="BS85" i="11"/>
  <c r="BX127" i="11"/>
  <c r="BX132" i="11" s="1"/>
  <c r="BX124" i="11"/>
  <c r="BV128" i="11"/>
  <c r="BV132" i="11" s="1"/>
  <c r="BV130" i="11"/>
  <c r="BS129" i="11"/>
  <c r="BY129" i="11"/>
  <c r="BY117" i="11"/>
  <c r="BY124" i="11" s="1"/>
  <c r="CA116" i="11" l="1"/>
  <c r="CA117" i="11" s="1"/>
  <c r="CA124" i="11" s="1"/>
  <c r="CA127" i="11" s="1"/>
  <c r="CA130" i="11" s="1"/>
  <c r="CW104" i="11"/>
  <c r="CS104" i="11"/>
  <c r="CS97" i="11" s="1"/>
  <c r="CS102" i="11" s="1"/>
  <c r="CS103" i="11" s="1"/>
  <c r="CI72" i="11"/>
  <c r="CJ72" i="11" s="1"/>
  <c r="CH72" i="11"/>
  <c r="CP112" i="11"/>
  <c r="CQ110" i="11"/>
  <c r="CR110" i="11" s="1"/>
  <c r="CQ125" i="11"/>
  <c r="CR125" i="11" s="1"/>
  <c r="CR109" i="11"/>
  <c r="CR106" i="11"/>
  <c r="CR101" i="11"/>
  <c r="CR105" i="11"/>
  <c r="CL48" i="11"/>
  <c r="CK48" i="11"/>
  <c r="CJ48" i="11"/>
  <c r="CI48" i="11"/>
  <c r="CC56" i="11"/>
  <c r="CC54" i="11"/>
  <c r="CC55" i="11" s="1"/>
  <c r="CH49" i="11"/>
  <c r="CH50" i="11" s="1"/>
  <c r="BW73" i="11"/>
  <c r="BW80" i="11" s="1"/>
  <c r="BW83" i="11" s="1"/>
  <c r="BW84" i="11" s="1"/>
  <c r="BW88" i="11" s="1"/>
  <c r="BZ117" i="11"/>
  <c r="BZ124" i="11" s="1"/>
  <c r="BZ127" i="11" s="1"/>
  <c r="BZ128" i="11" s="1"/>
  <c r="BZ132" i="11" s="1"/>
  <c r="BX85" i="11"/>
  <c r="BX130" i="11"/>
  <c r="CC53" i="11"/>
  <c r="BY127" i="11"/>
  <c r="BX128" i="11"/>
  <c r="BS124" i="11"/>
  <c r="BS80" i="11"/>
  <c r="CA128" i="11" l="1"/>
  <c r="CA132" i="11" s="1"/>
  <c r="CB116" i="11"/>
  <c r="CB117" i="11" s="1"/>
  <c r="CB124" i="11" s="1"/>
  <c r="CB127" i="11" s="1"/>
  <c r="CB130" i="11" s="1"/>
  <c r="CT104" i="11"/>
  <c r="CT97" i="11" s="1"/>
  <c r="CT102" i="11" s="1"/>
  <c r="CT103" i="11" s="1"/>
  <c r="CS98" i="11"/>
  <c r="CS100" i="11"/>
  <c r="CS106" i="11"/>
  <c r="CS109" i="11" s="1"/>
  <c r="CS125" i="11" s="1"/>
  <c r="CK72" i="11"/>
  <c r="CQ111" i="11"/>
  <c r="CQ112" i="11" s="1"/>
  <c r="CQ113" i="11" s="1"/>
  <c r="CQ114" i="11" s="1"/>
  <c r="CC58" i="11"/>
  <c r="BZ130" i="11"/>
  <c r="BX83" i="11"/>
  <c r="BX86" i="11" s="1"/>
  <c r="CP113" i="11"/>
  <c r="CR107" i="11"/>
  <c r="CM48" i="11"/>
  <c r="CI49" i="11"/>
  <c r="CK49" i="11"/>
  <c r="CJ49" i="11"/>
  <c r="CL49" i="11"/>
  <c r="BW86" i="11"/>
  <c r="BX80" i="11"/>
  <c r="CC61" i="11"/>
  <c r="CC62" i="11"/>
  <c r="CC51" i="11"/>
  <c r="CC52" i="11" s="1"/>
  <c r="CC57" i="11"/>
  <c r="BX84" i="11"/>
  <c r="BY130" i="11"/>
  <c r="BY128" i="11"/>
  <c r="BY132" i="11" s="1"/>
  <c r="BS128" i="11"/>
  <c r="BS127" i="11"/>
  <c r="BS132" i="11" s="1"/>
  <c r="BS83" i="11"/>
  <c r="BS84" i="11"/>
  <c r="CB128" i="11" l="1"/>
  <c r="CB132" i="11" s="1"/>
  <c r="CC59" i="11"/>
  <c r="CD60" i="11"/>
  <c r="CD61" i="11" s="1"/>
  <c r="CT106" i="11"/>
  <c r="CT109" i="11" s="1"/>
  <c r="CT110" i="11" s="1"/>
  <c r="CT111" i="11" s="1"/>
  <c r="CT115" i="11" s="1"/>
  <c r="CT98" i="11"/>
  <c r="CU104" i="11"/>
  <c r="CU97" i="11" s="1"/>
  <c r="CU102" i="11" s="1"/>
  <c r="CU103" i="11" s="1"/>
  <c r="CT100" i="11"/>
  <c r="CS110" i="11"/>
  <c r="CS111" i="11" s="1"/>
  <c r="CS115" i="11" s="1"/>
  <c r="CL72" i="11"/>
  <c r="CR111" i="11"/>
  <c r="CQ115" i="11"/>
  <c r="CR115" i="11" s="1"/>
  <c r="CH60" i="11"/>
  <c r="BX88" i="11"/>
  <c r="CC116" i="11"/>
  <c r="CC77" i="11"/>
  <c r="CR112" i="11"/>
  <c r="CR113" i="11"/>
  <c r="CP114" i="11"/>
  <c r="CU100" i="11"/>
  <c r="CU106" i="11"/>
  <c r="CU109" i="11" s="1"/>
  <c r="CM49" i="11"/>
  <c r="CM50" i="11" s="1"/>
  <c r="CQ48" i="11"/>
  <c r="CO48" i="11"/>
  <c r="CN48" i="11"/>
  <c r="CP48" i="11"/>
  <c r="CD14" i="11"/>
  <c r="BS86" i="11"/>
  <c r="BS88" i="11"/>
  <c r="BS130" i="11"/>
  <c r="CF52" i="11"/>
  <c r="CU98" i="11" l="1"/>
  <c r="CT125" i="11"/>
  <c r="CV104" i="11"/>
  <c r="CV97" i="11" s="1"/>
  <c r="CV98" i="11" s="1"/>
  <c r="CW98" i="11" s="1"/>
  <c r="CN72" i="11"/>
  <c r="CM72" i="11"/>
  <c r="CT112" i="11"/>
  <c r="CT113" i="11" s="1"/>
  <c r="CT114" i="11" s="1"/>
  <c r="CG61" i="11"/>
  <c r="CR114" i="11"/>
  <c r="CR129" i="11" s="1"/>
  <c r="CS112" i="11"/>
  <c r="CU125" i="11"/>
  <c r="CU110" i="11"/>
  <c r="CU111" i="11" s="1"/>
  <c r="CU115" i="11" s="1"/>
  <c r="CN49" i="11"/>
  <c r="CR48" i="11"/>
  <c r="CQ49" i="11"/>
  <c r="CP49" i="11"/>
  <c r="CO49" i="11"/>
  <c r="CF57" i="11"/>
  <c r="CG52" i="11"/>
  <c r="CI52" i="11" s="1"/>
  <c r="CF51" i="11"/>
  <c r="CV102" i="11" l="1"/>
  <c r="CV103" i="11" s="1"/>
  <c r="CW97" i="11"/>
  <c r="CW105" i="11" s="1"/>
  <c r="CV106" i="11"/>
  <c r="CV109" i="11" s="1"/>
  <c r="CW109" i="11" s="1"/>
  <c r="CV100" i="11"/>
  <c r="CW100" i="11" s="1"/>
  <c r="CW101" i="11" s="1"/>
  <c r="CE14" i="11"/>
  <c r="CE15" i="11" s="1"/>
  <c r="CO72" i="11"/>
  <c r="CW102" i="11"/>
  <c r="CW103" i="11" s="1"/>
  <c r="CR117" i="11"/>
  <c r="CF116" i="11"/>
  <c r="CS113" i="11"/>
  <c r="CS114" i="11" s="1"/>
  <c r="CU112" i="11"/>
  <c r="CU113" i="11" s="1"/>
  <c r="CJ52" i="11"/>
  <c r="CJ57" i="11" s="1"/>
  <c r="CI51" i="11"/>
  <c r="CI57" i="11"/>
  <c r="CS48" i="11"/>
  <c r="CV48" i="11"/>
  <c r="CU48" i="11"/>
  <c r="CT48" i="11"/>
  <c r="CR49" i="11"/>
  <c r="CR50" i="11" s="1"/>
  <c r="CG57" i="11"/>
  <c r="CG51" i="11"/>
  <c r="CH51" i="11" s="1"/>
  <c r="CH52" i="11" s="1"/>
  <c r="CW106" i="11" l="1"/>
  <c r="CW107" i="11" s="1"/>
  <c r="CF60" i="11"/>
  <c r="CF53" i="11" s="1"/>
  <c r="CF54" i="11" s="1"/>
  <c r="CV110" i="11"/>
  <c r="CW110" i="11" s="1"/>
  <c r="CV125" i="11"/>
  <c r="CW125" i="11" s="1"/>
  <c r="CX104" i="11"/>
  <c r="CX97" i="11" s="1"/>
  <c r="CX106" i="11" s="1"/>
  <c r="CX109" i="11" s="1"/>
  <c r="DB104" i="11"/>
  <c r="CP72" i="11"/>
  <c r="CG116" i="11"/>
  <c r="CH116" i="11" s="1"/>
  <c r="CI116" i="11" s="1"/>
  <c r="CF117" i="11"/>
  <c r="CF124" i="11" s="1"/>
  <c r="CF127" i="11" s="1"/>
  <c r="CU114" i="11"/>
  <c r="CW48" i="11"/>
  <c r="CS49" i="11"/>
  <c r="CU49" i="11"/>
  <c r="CV49" i="11"/>
  <c r="CK52" i="11"/>
  <c r="CJ51" i="11"/>
  <c r="CT49" i="11"/>
  <c r="CV111" i="11" l="1"/>
  <c r="CV115" i="11" s="1"/>
  <c r="CW115" i="11" s="1"/>
  <c r="CF58" i="11"/>
  <c r="CF59" i="11" s="1"/>
  <c r="CF56" i="11"/>
  <c r="CF62" i="11"/>
  <c r="CF65" i="11" s="1"/>
  <c r="CF81" i="11" s="1"/>
  <c r="CX102" i="11"/>
  <c r="CX103" i="11" s="1"/>
  <c r="CX98" i="11"/>
  <c r="CX100" i="11"/>
  <c r="CV112" i="11"/>
  <c r="CW112" i="11" s="1"/>
  <c r="CW111" i="11"/>
  <c r="CQ72" i="11"/>
  <c r="CF128" i="11"/>
  <c r="CF130" i="11"/>
  <c r="CG117" i="11"/>
  <c r="CG124" i="11" s="1"/>
  <c r="CX125" i="11"/>
  <c r="CX110" i="11"/>
  <c r="CX111" i="11" s="1"/>
  <c r="CX115" i="11" s="1"/>
  <c r="CL52" i="11"/>
  <c r="CL57" i="11" s="1"/>
  <c r="CK51" i="11"/>
  <c r="CW49" i="11"/>
  <c r="CW50" i="11" s="1"/>
  <c r="CK57" i="11"/>
  <c r="CY48" i="11"/>
  <c r="CX48" i="11"/>
  <c r="DA48" i="11"/>
  <c r="CZ48" i="11"/>
  <c r="CF66" i="11" l="1"/>
  <c r="CF67" i="11" s="1"/>
  <c r="CF71" i="11" s="1"/>
  <c r="CY104" i="11"/>
  <c r="CY97" i="11" s="1"/>
  <c r="CY102" i="11" s="1"/>
  <c r="CY103" i="11" s="1"/>
  <c r="CG60" i="11"/>
  <c r="CG53" i="11" s="1"/>
  <c r="CG62" i="11" s="1"/>
  <c r="CG65" i="11" s="1"/>
  <c r="CG66" i="11" s="1"/>
  <c r="CF68" i="11"/>
  <c r="CV113" i="11"/>
  <c r="CW113" i="11" s="1"/>
  <c r="CW114" i="11" s="1"/>
  <c r="CW129" i="11" s="1"/>
  <c r="CH53" i="11"/>
  <c r="CH62" i="11" s="1"/>
  <c r="CS72" i="11"/>
  <c r="CR72" i="11"/>
  <c r="CG58" i="11"/>
  <c r="CG59" i="11" s="1"/>
  <c r="CG56" i="11"/>
  <c r="CH56" i="11" s="1"/>
  <c r="CH57" i="11" s="1"/>
  <c r="CG54" i="11"/>
  <c r="CH54" i="11" s="1"/>
  <c r="CV114" i="11"/>
  <c r="CG127" i="11"/>
  <c r="CJ116" i="11"/>
  <c r="CI117" i="11"/>
  <c r="CI124" i="11" s="1"/>
  <c r="CZ104" i="11"/>
  <c r="CZ97" i="11" s="1"/>
  <c r="CZ106" i="11" s="1"/>
  <c r="CZ109" i="11" s="1"/>
  <c r="CX112" i="11"/>
  <c r="CY100" i="11"/>
  <c r="CY98" i="11"/>
  <c r="CY106" i="11"/>
  <c r="CY109" i="11" s="1"/>
  <c r="CY49" i="11"/>
  <c r="CZ49" i="11"/>
  <c r="DB48" i="11"/>
  <c r="CX49" i="11"/>
  <c r="CN52" i="11"/>
  <c r="CL51" i="11"/>
  <c r="CM51" i="11" s="1"/>
  <c r="CM52" i="11" s="1"/>
  <c r="DA49" i="11"/>
  <c r="CG81" i="11"/>
  <c r="CF69" i="11"/>
  <c r="CH61" i="11" l="1"/>
  <c r="CH58" i="11"/>
  <c r="CH59" i="11" s="1"/>
  <c r="CI60" i="11"/>
  <c r="CI53" i="11" s="1"/>
  <c r="CI58" i="11" s="1"/>
  <c r="CI59" i="11" s="1"/>
  <c r="CW117" i="11"/>
  <c r="CT72" i="11"/>
  <c r="CF70" i="11"/>
  <c r="CF73" i="11" s="1"/>
  <c r="CM60" i="11"/>
  <c r="DB49" i="11"/>
  <c r="DB50" i="11" s="1"/>
  <c r="CK116" i="11"/>
  <c r="CJ117" i="11"/>
  <c r="CJ124" i="11" s="1"/>
  <c r="CJ127" i="11" s="1"/>
  <c r="CG128" i="11"/>
  <c r="CG130" i="11"/>
  <c r="CI127" i="11"/>
  <c r="CZ100" i="11"/>
  <c r="CZ98" i="11"/>
  <c r="CZ125" i="11"/>
  <c r="CZ110" i="11"/>
  <c r="CZ111" i="11" s="1"/>
  <c r="CZ115" i="11" s="1"/>
  <c r="CY125" i="11"/>
  <c r="CY110" i="11"/>
  <c r="CX113" i="11"/>
  <c r="CX114" i="11" s="1"/>
  <c r="CZ102" i="11"/>
  <c r="CZ103" i="11" s="1"/>
  <c r="CI62" i="11"/>
  <c r="CI65" i="11" s="1"/>
  <c r="CI56" i="11"/>
  <c r="CI54" i="11"/>
  <c r="CO52" i="11"/>
  <c r="CO57" i="11" s="1"/>
  <c r="CN51" i="11"/>
  <c r="CN57" i="11"/>
  <c r="CG67" i="11"/>
  <c r="CJ60" i="11" l="1"/>
  <c r="CJ53" i="11" s="1"/>
  <c r="CU72" i="11"/>
  <c r="CJ130" i="11"/>
  <c r="CJ128" i="11"/>
  <c r="CL116" i="11"/>
  <c r="CK117" i="11"/>
  <c r="CK124" i="11" s="1"/>
  <c r="CK127" i="11" s="1"/>
  <c r="CI130" i="11"/>
  <c r="CI128" i="11"/>
  <c r="CZ112" i="11"/>
  <c r="CZ113" i="11" s="1"/>
  <c r="DA104" i="11"/>
  <c r="DA97" i="11" s="1"/>
  <c r="CY111" i="11"/>
  <c r="CY115" i="11" s="1"/>
  <c r="CJ56" i="11"/>
  <c r="CJ54" i="11"/>
  <c r="CJ62" i="11"/>
  <c r="CJ65" i="11" s="1"/>
  <c r="CJ58" i="11"/>
  <c r="CJ59" i="11" s="1"/>
  <c r="CP52" i="11"/>
  <c r="CO51" i="11"/>
  <c r="CI81" i="11"/>
  <c r="CI66" i="11"/>
  <c r="CI67" i="11" s="1"/>
  <c r="CG68" i="11"/>
  <c r="CG71" i="11"/>
  <c r="CV72" i="11" l="1"/>
  <c r="CJ81" i="11"/>
  <c r="CN116" i="11"/>
  <c r="CJ66" i="11"/>
  <c r="CJ67" i="11" s="1"/>
  <c r="CK130" i="11"/>
  <c r="CK128" i="11"/>
  <c r="CL117" i="11"/>
  <c r="CL124" i="11" s="1"/>
  <c r="CL127" i="11" s="1"/>
  <c r="CM116" i="11"/>
  <c r="CZ114" i="11"/>
  <c r="DA100" i="11"/>
  <c r="DB100" i="11" s="1"/>
  <c r="DA98" i="11"/>
  <c r="DB98" i="11" s="1"/>
  <c r="DB97" i="11"/>
  <c r="DB105" i="11" s="1"/>
  <c r="DA106" i="11"/>
  <c r="DA109" i="11" s="1"/>
  <c r="CY112" i="11"/>
  <c r="DA102" i="11"/>
  <c r="CQ52" i="11"/>
  <c r="CP51" i="11"/>
  <c r="CP57" i="11"/>
  <c r="CK60" i="11"/>
  <c r="CK53" i="11" s="1"/>
  <c r="CI68" i="11"/>
  <c r="CI71" i="11"/>
  <c r="CG69" i="11"/>
  <c r="CX72" i="11" l="1"/>
  <c r="CW72" i="11"/>
  <c r="CJ68" i="11"/>
  <c r="CJ71" i="11"/>
  <c r="DB102" i="11"/>
  <c r="DB103" i="11" s="1"/>
  <c r="DA103" i="11"/>
  <c r="CO116" i="11"/>
  <c r="CN117" i="11"/>
  <c r="CN124" i="11" s="1"/>
  <c r="CL128" i="11"/>
  <c r="CL130" i="11"/>
  <c r="CM124" i="11"/>
  <c r="CI69" i="11"/>
  <c r="CM127" i="11"/>
  <c r="CM130" i="11" s="1"/>
  <c r="CY113" i="11"/>
  <c r="CY114" i="11" s="1"/>
  <c r="DA125" i="11"/>
  <c r="DB125" i="11" s="1"/>
  <c r="DA110" i="11"/>
  <c r="DB110" i="11" s="1"/>
  <c r="DB109" i="11"/>
  <c r="DB106" i="11"/>
  <c r="DB101" i="11"/>
  <c r="CK56" i="11"/>
  <c r="CK54" i="11"/>
  <c r="CK62" i="11"/>
  <c r="CK65" i="11" s="1"/>
  <c r="CK58" i="11"/>
  <c r="CK59" i="11" s="1"/>
  <c r="CS52" i="11"/>
  <c r="CS57" i="11" s="1"/>
  <c r="CQ51" i="11"/>
  <c r="CR51" i="11" s="1"/>
  <c r="CR52" i="11" s="1"/>
  <c r="CQ57" i="11"/>
  <c r="CG70" i="11"/>
  <c r="CG73" i="11" s="1"/>
  <c r="DB107" i="11" l="1"/>
  <c r="CY72" i="11"/>
  <c r="CI70" i="11"/>
  <c r="CJ69" i="11"/>
  <c r="CM128" i="11"/>
  <c r="CP116" i="11"/>
  <c r="CO117" i="11"/>
  <c r="CO124" i="11" s="1"/>
  <c r="CO127" i="11" s="1"/>
  <c r="CN127" i="11"/>
  <c r="DA111" i="11"/>
  <c r="DA115" i="11" s="1"/>
  <c r="DB115" i="11" s="1"/>
  <c r="CT52" i="11"/>
  <c r="CT57" i="11" s="1"/>
  <c r="CS51" i="11"/>
  <c r="CL60" i="11"/>
  <c r="CL53" i="11" s="1"/>
  <c r="CL58" i="11" s="1"/>
  <c r="CL59" i="11" s="1"/>
  <c r="CK81" i="11"/>
  <c r="CK66" i="11"/>
  <c r="CI73" i="11" l="1"/>
  <c r="CI80" i="11" s="1"/>
  <c r="CI83" i="11" s="1"/>
  <c r="CZ72" i="11"/>
  <c r="CJ70" i="11"/>
  <c r="CM58" i="11"/>
  <c r="CM59" i="11" s="1"/>
  <c r="DA112" i="11"/>
  <c r="DB112" i="11" s="1"/>
  <c r="DB111" i="11"/>
  <c r="CN130" i="11"/>
  <c r="CN128" i="11"/>
  <c r="CQ116" i="11"/>
  <c r="CP117" i="11"/>
  <c r="CP124" i="11" s="1"/>
  <c r="CO130" i="11"/>
  <c r="CO128" i="11"/>
  <c r="CL56" i="11"/>
  <c r="CM56" i="11" s="1"/>
  <c r="CL54" i="11"/>
  <c r="CM54" i="11" s="1"/>
  <c r="CL62" i="11"/>
  <c r="CL65" i="11" s="1"/>
  <c r="CM53" i="11"/>
  <c r="CU52" i="11"/>
  <c r="CT51" i="11"/>
  <c r="CK67" i="11"/>
  <c r="CR60" i="11" l="1"/>
  <c r="CN60" i="11"/>
  <c r="CN53" i="11" s="1"/>
  <c r="CN58" i="11" s="1"/>
  <c r="CN59" i="11" s="1"/>
  <c r="CI84" i="11"/>
  <c r="CI86" i="11"/>
  <c r="CJ73" i="11"/>
  <c r="CJ80" i="11" s="1"/>
  <c r="CJ83" i="11" s="1"/>
  <c r="DA72" i="11"/>
  <c r="DB72" i="11" s="1"/>
  <c r="CR116" i="11"/>
  <c r="DA113" i="11"/>
  <c r="DB113" i="11" s="1"/>
  <c r="DB114" i="11" s="1"/>
  <c r="DB129" i="11" s="1"/>
  <c r="CP127" i="11"/>
  <c r="CS116" i="11"/>
  <c r="CQ117" i="11"/>
  <c r="CQ124" i="11" s="1"/>
  <c r="CQ127" i="11" s="1"/>
  <c r="CV52" i="11"/>
  <c r="CU51" i="11"/>
  <c r="CU57" i="11"/>
  <c r="CM57" i="11"/>
  <c r="CM62" i="11"/>
  <c r="CM61" i="11"/>
  <c r="CK71" i="11"/>
  <c r="CK68" i="11"/>
  <c r="CL81" i="11"/>
  <c r="CL66" i="11"/>
  <c r="CM65" i="11"/>
  <c r="CN54" i="11" l="1"/>
  <c r="CO60" i="11"/>
  <c r="CN62" i="11"/>
  <c r="CN65" i="11" s="1"/>
  <c r="CN66" i="11" s="1"/>
  <c r="CN67" i="11" s="1"/>
  <c r="CN56" i="11"/>
  <c r="CM63" i="11"/>
  <c r="CO53" i="11"/>
  <c r="CO58" i="11" s="1"/>
  <c r="CO59" i="11" s="1"/>
  <c r="CJ86" i="11"/>
  <c r="CJ84" i="11"/>
  <c r="DA114" i="11"/>
  <c r="DB117" i="11"/>
  <c r="CM81" i="11"/>
  <c r="CQ128" i="11"/>
  <c r="CQ130" i="11"/>
  <c r="CR124" i="11"/>
  <c r="CT116" i="11"/>
  <c r="CS117" i="11"/>
  <c r="CS124" i="11" s="1"/>
  <c r="CP128" i="11"/>
  <c r="CP130" i="11"/>
  <c r="CR127" i="11"/>
  <c r="CR130" i="11" s="1"/>
  <c r="CO56" i="11"/>
  <c r="CX52" i="11"/>
  <c r="CX57" i="11" s="1"/>
  <c r="CV51" i="11"/>
  <c r="CW51" i="11" s="1"/>
  <c r="CW52" i="11" s="1"/>
  <c r="CP60" i="11"/>
  <c r="CP53" i="11" s="1"/>
  <c r="CP58" i="11" s="1"/>
  <c r="CP59" i="11" s="1"/>
  <c r="CV57" i="11"/>
  <c r="CL67" i="11"/>
  <c r="CM66" i="11"/>
  <c r="CK69" i="11"/>
  <c r="CO62" i="11" l="1"/>
  <c r="CN81" i="11"/>
  <c r="CO54" i="11"/>
  <c r="CS127" i="11"/>
  <c r="CU116" i="11"/>
  <c r="CT117" i="11"/>
  <c r="CT124" i="11" s="1"/>
  <c r="CT127" i="11" s="1"/>
  <c r="CR128" i="11"/>
  <c r="CQ60" i="11"/>
  <c r="CQ53" i="11" s="1"/>
  <c r="CR53" i="11" s="1"/>
  <c r="CP56" i="11"/>
  <c r="CP54" i="11"/>
  <c r="CP62" i="11"/>
  <c r="CY52" i="11"/>
  <c r="CX51" i="11"/>
  <c r="CN71" i="11"/>
  <c r="CN68" i="11"/>
  <c r="CL71" i="11"/>
  <c r="CL68" i="11"/>
  <c r="CM67" i="11"/>
  <c r="CK70" i="11"/>
  <c r="CO65" i="11"/>
  <c r="CK73" i="11" l="1"/>
  <c r="CK80" i="11" s="1"/>
  <c r="CK83" i="11" s="1"/>
  <c r="CM68" i="11"/>
  <c r="CM71" i="11"/>
  <c r="CQ62" i="11"/>
  <c r="CL69" i="11"/>
  <c r="CL70" i="11" s="1"/>
  <c r="CT128" i="11"/>
  <c r="CT130" i="11"/>
  <c r="CS128" i="11"/>
  <c r="CS130" i="11"/>
  <c r="CV116" i="11"/>
  <c r="CU117" i="11"/>
  <c r="CU124" i="11" s="1"/>
  <c r="CU127" i="11" s="1"/>
  <c r="CZ52" i="11"/>
  <c r="CY51" i="11"/>
  <c r="CY57" i="11"/>
  <c r="CR62" i="11"/>
  <c r="CR61" i="11"/>
  <c r="CQ56" i="11"/>
  <c r="CR56" i="11" s="1"/>
  <c r="CR57" i="11" s="1"/>
  <c r="CQ54" i="11"/>
  <c r="CR54" i="11" s="1"/>
  <c r="CQ58" i="11"/>
  <c r="CQ59" i="11" s="1"/>
  <c r="CN69" i="11"/>
  <c r="CO66" i="11"/>
  <c r="CO67" i="11" s="1"/>
  <c r="CO81" i="11"/>
  <c r="CP65" i="11"/>
  <c r="CL73" i="11" l="1"/>
  <c r="CL80" i="11" s="1"/>
  <c r="CM69" i="11"/>
  <c r="CR58" i="11"/>
  <c r="CR59" i="11" s="1"/>
  <c r="CU128" i="11"/>
  <c r="CU130" i="11"/>
  <c r="CX116" i="11"/>
  <c r="CV117" i="11"/>
  <c r="CV124" i="11" s="1"/>
  <c r="CV127" i="11" s="1"/>
  <c r="CW116" i="11"/>
  <c r="DA52" i="11"/>
  <c r="DA51" i="11" s="1"/>
  <c r="CZ51" i="11"/>
  <c r="CZ57" i="11"/>
  <c r="CK84" i="11"/>
  <c r="CK86" i="11"/>
  <c r="CO71" i="11"/>
  <c r="CO68" i="11"/>
  <c r="CP81" i="11"/>
  <c r="CP66" i="11"/>
  <c r="CP67" i="11" s="1"/>
  <c r="CN70" i="11"/>
  <c r="CL83" i="11" l="1"/>
  <c r="CM80" i="11"/>
  <c r="CN73" i="11"/>
  <c r="CN80" i="11" s="1"/>
  <c r="CN83" i="11" s="1"/>
  <c r="CW60" i="11"/>
  <c r="CS60" i="11"/>
  <c r="CS53" i="11" s="1"/>
  <c r="CS58" i="11" s="1"/>
  <c r="CS59" i="11" s="1"/>
  <c r="CM70" i="11"/>
  <c r="CM73" i="11" s="1"/>
  <c r="CO69" i="11"/>
  <c r="CW124" i="11"/>
  <c r="DA57" i="11"/>
  <c r="DB51" i="11"/>
  <c r="DB52" i="11" s="1"/>
  <c r="CV130" i="11"/>
  <c r="CV128" i="11"/>
  <c r="CY116" i="11"/>
  <c r="CX117" i="11"/>
  <c r="CX124" i="11" s="1"/>
  <c r="CW127" i="11"/>
  <c r="CP71" i="11"/>
  <c r="CP68" i="11"/>
  <c r="CQ65" i="11"/>
  <c r="CS56" i="11" l="1"/>
  <c r="CS54" i="11"/>
  <c r="CS62" i="11"/>
  <c r="CM83" i="11"/>
  <c r="CM86" i="11" s="1"/>
  <c r="CL86" i="11"/>
  <c r="CL84" i="11"/>
  <c r="CM84" i="11" s="1"/>
  <c r="CO70" i="11"/>
  <c r="CP69" i="11"/>
  <c r="CM85" i="11"/>
  <c r="CT60" i="11"/>
  <c r="CT53" i="11" s="1"/>
  <c r="CT58" i="11" s="1"/>
  <c r="CT59" i="11" s="1"/>
  <c r="CW130" i="11"/>
  <c r="CX127" i="11"/>
  <c r="CZ116" i="11"/>
  <c r="CY117" i="11"/>
  <c r="CY124" i="11" s="1"/>
  <c r="CY127" i="11" s="1"/>
  <c r="CW128" i="11"/>
  <c r="CN84" i="11"/>
  <c r="CN86" i="11"/>
  <c r="CQ81" i="11"/>
  <c r="CQ66" i="11"/>
  <c r="CR66" i="11" s="1"/>
  <c r="CR65" i="11"/>
  <c r="CR63" i="11" s="1"/>
  <c r="CO73" i="11" l="1"/>
  <c r="CO80" i="11" s="1"/>
  <c r="CO83" i="11" s="1"/>
  <c r="CU60" i="11"/>
  <c r="CU53" i="11" s="1"/>
  <c r="CU62" i="11" s="1"/>
  <c r="CT62" i="11"/>
  <c r="CT54" i="11"/>
  <c r="CP70" i="11"/>
  <c r="CR81" i="11"/>
  <c r="CT56" i="11"/>
  <c r="DA116" i="11"/>
  <c r="DB116" i="11" s="1"/>
  <c r="CZ117" i="11"/>
  <c r="CZ124" i="11" s="1"/>
  <c r="CZ127" i="11" s="1"/>
  <c r="CY128" i="11"/>
  <c r="CY130" i="11"/>
  <c r="CX130" i="11"/>
  <c r="CX128" i="11"/>
  <c r="CQ67" i="11"/>
  <c r="CS65" i="11"/>
  <c r="CU58" i="11" l="1"/>
  <c r="CU59" i="11" s="1"/>
  <c r="CU54" i="11"/>
  <c r="CU56" i="11"/>
  <c r="CO86" i="11"/>
  <c r="CO84" i="11"/>
  <c r="CP73" i="11"/>
  <c r="CP80" i="11" s="1"/>
  <c r="CP83" i="11" s="1"/>
  <c r="DA117" i="11"/>
  <c r="DA124" i="11" s="1"/>
  <c r="CZ130" i="11"/>
  <c r="CZ128" i="11"/>
  <c r="CS81" i="11"/>
  <c r="CS66" i="11"/>
  <c r="CS67" i="11" s="1"/>
  <c r="CQ68" i="11"/>
  <c r="CQ71" i="11"/>
  <c r="CR67" i="11"/>
  <c r="CV60" i="11" l="1"/>
  <c r="CV53" i="11" s="1"/>
  <c r="CV58" i="11" s="1"/>
  <c r="CV59" i="11" s="1"/>
  <c r="CP84" i="11"/>
  <c r="CP86" i="11"/>
  <c r="DA127" i="11"/>
  <c r="DB124" i="11"/>
  <c r="CR71" i="11"/>
  <c r="CR68" i="11"/>
  <c r="CW58" i="11"/>
  <c r="CW59" i="11" s="1"/>
  <c r="CV56" i="11"/>
  <c r="CW56" i="11" s="1"/>
  <c r="CV54" i="11"/>
  <c r="CW54" i="11" s="1"/>
  <c r="CW53" i="11"/>
  <c r="CW61" i="11" s="1"/>
  <c r="CV62" i="11"/>
  <c r="CQ69" i="11"/>
  <c r="CS71" i="11"/>
  <c r="CS68" i="11"/>
  <c r="CT65" i="11"/>
  <c r="DA128" i="11" l="1"/>
  <c r="DB128" i="11" s="1"/>
  <c r="DA130" i="11"/>
  <c r="DB127" i="11"/>
  <c r="DB130" i="11" s="1"/>
  <c r="CQ70" i="11"/>
  <c r="CX60" i="11"/>
  <c r="CX53" i="11" s="1"/>
  <c r="CX58" i="11" s="1"/>
  <c r="CX59" i="11" s="1"/>
  <c r="DB60" i="11"/>
  <c r="CR69" i="11"/>
  <c r="CW57" i="11"/>
  <c r="CW62" i="11"/>
  <c r="CS69" i="11"/>
  <c r="CT66" i="11"/>
  <c r="CT67" i="11" s="1"/>
  <c r="CT81" i="11"/>
  <c r="CU65" i="11"/>
  <c r="CY60" i="11" l="1"/>
  <c r="CY53" i="11" s="1"/>
  <c r="CY62" i="11" s="1"/>
  <c r="CQ73" i="11"/>
  <c r="CQ80" i="11" s="1"/>
  <c r="CS70" i="11"/>
  <c r="CX62" i="11"/>
  <c r="CX54" i="11"/>
  <c r="CX56" i="11"/>
  <c r="CR70" i="11"/>
  <c r="CU81" i="11"/>
  <c r="CU66" i="11"/>
  <c r="CT71" i="11"/>
  <c r="CT68" i="11"/>
  <c r="CR73" i="11" l="1"/>
  <c r="CR85" i="11"/>
  <c r="CY54" i="11"/>
  <c r="CY58" i="11"/>
  <c r="CY59" i="11" s="1"/>
  <c r="CY56" i="11"/>
  <c r="CR80" i="11"/>
  <c r="CQ83" i="11"/>
  <c r="CS73" i="11"/>
  <c r="CS80" i="11" s="1"/>
  <c r="CS83" i="11" s="1"/>
  <c r="CZ60" i="11"/>
  <c r="CZ53" i="11" s="1"/>
  <c r="CZ58" i="11" s="1"/>
  <c r="CZ59" i="11" s="1"/>
  <c r="CT69" i="11"/>
  <c r="CU67" i="11"/>
  <c r="CV65" i="11"/>
  <c r="CS84" i="11" l="1"/>
  <c r="CS86" i="11"/>
  <c r="CQ86" i="11"/>
  <c r="CQ84" i="11"/>
  <c r="CR84" i="11" s="1"/>
  <c r="CR83" i="11"/>
  <c r="CR86" i="11" s="1"/>
  <c r="CT70" i="11"/>
  <c r="DA60" i="11"/>
  <c r="DA53" i="11" s="1"/>
  <c r="CZ54" i="11"/>
  <c r="CZ56" i="11"/>
  <c r="CZ62" i="11"/>
  <c r="DA62" i="11"/>
  <c r="DB53" i="11"/>
  <c r="DB61" i="11" s="1"/>
  <c r="CU71" i="11"/>
  <c r="CU68" i="11"/>
  <c r="CV81" i="11"/>
  <c r="CV66" i="11"/>
  <c r="CW65" i="11"/>
  <c r="CW63" i="11" s="1"/>
  <c r="CT73" i="11" l="1"/>
  <c r="CT80" i="11" s="1"/>
  <c r="CT83" i="11" s="1"/>
  <c r="CU69" i="11"/>
  <c r="CW81" i="11"/>
  <c r="DB62" i="11"/>
  <c r="DA56" i="11"/>
  <c r="DB56" i="11" s="1"/>
  <c r="DB57" i="11" s="1"/>
  <c r="DA54" i="11"/>
  <c r="DB54" i="11" s="1"/>
  <c r="DA58" i="11"/>
  <c r="DA59" i="11" s="1"/>
  <c r="CV67" i="11"/>
  <c r="CW66" i="11"/>
  <c r="CU70" i="11"/>
  <c r="CX65" i="11"/>
  <c r="CT86" i="11" l="1"/>
  <c r="CT84" i="11"/>
  <c r="CU73" i="11"/>
  <c r="CU80" i="11" s="1"/>
  <c r="CU83" i="11" s="1"/>
  <c r="DB58" i="11"/>
  <c r="DB59" i="11" s="1"/>
  <c r="CX81" i="11"/>
  <c r="CX66" i="11"/>
  <c r="CX67" i="11" s="1"/>
  <c r="CV68" i="11"/>
  <c r="CV71" i="11"/>
  <c r="CW67" i="11"/>
  <c r="CY65" i="11"/>
  <c r="CW71" i="11" l="1"/>
  <c r="CU86" i="11"/>
  <c r="CU84" i="11"/>
  <c r="CV69" i="11"/>
  <c r="CW68" i="11"/>
  <c r="CY66" i="11"/>
  <c r="CY67" i="11" s="1"/>
  <c r="CY81" i="11"/>
  <c r="CX68" i="11"/>
  <c r="CX71" i="11"/>
  <c r="CZ65" i="11"/>
  <c r="CX69" i="11" l="1"/>
  <c r="CY71" i="11"/>
  <c r="CY68" i="11"/>
  <c r="CW69" i="11"/>
  <c r="CV70" i="11"/>
  <c r="CZ66" i="11"/>
  <c r="CZ67" i="11" s="1"/>
  <c r="CZ81" i="11"/>
  <c r="CV73" i="11" l="1"/>
  <c r="CV80" i="11" s="1"/>
  <c r="CW70" i="11"/>
  <c r="CX70" i="11"/>
  <c r="CY69" i="11"/>
  <c r="CZ71" i="11"/>
  <c r="CZ68" i="11"/>
  <c r="DA65" i="11"/>
  <c r="CW73" i="11" l="1"/>
  <c r="CW85" i="11"/>
  <c r="CW80" i="11"/>
  <c r="CV83" i="11"/>
  <c r="CV84" i="11" s="1"/>
  <c r="CX73" i="11"/>
  <c r="CX80" i="11" s="1"/>
  <c r="CX83" i="11" s="1"/>
  <c r="CZ69" i="11"/>
  <c r="CZ70" i="11" s="1"/>
  <c r="CY70" i="11"/>
  <c r="DA66" i="11"/>
  <c r="DB66" i="11" s="1"/>
  <c r="DA81" i="11"/>
  <c r="DB65" i="11"/>
  <c r="DB63" i="11" s="1"/>
  <c r="CV86" i="11"/>
  <c r="CW83" i="11"/>
  <c r="CW86" i="11" s="1"/>
  <c r="BZ34" i="4"/>
  <c r="BZ32" i="4"/>
  <c r="CA39" i="4" s="1"/>
  <c r="BZ28" i="4"/>
  <c r="BZ29" i="4" s="1"/>
  <c r="BZ25" i="4"/>
  <c r="BZ26" i="4" s="1"/>
  <c r="BZ150" i="3"/>
  <c r="BZ149" i="3"/>
  <c r="BZ120" i="3"/>
  <c r="BZ115" i="3"/>
  <c r="BZ109" i="3"/>
  <c r="BZ110" i="3" s="1"/>
  <c r="BZ105" i="3"/>
  <c r="BZ106" i="3" s="1"/>
  <c r="BZ97" i="3"/>
  <c r="BZ59" i="3"/>
  <c r="CA60" i="3" s="1"/>
  <c r="CA61" i="3" s="1"/>
  <c r="CA63" i="3" s="1"/>
  <c r="BZ58" i="3"/>
  <c r="BW30" i="3"/>
  <c r="BW29" i="3"/>
  <c r="BW41" i="3"/>
  <c r="BW35" i="3"/>
  <c r="BW36" i="3" s="1"/>
  <c r="BW40" i="3"/>
  <c r="BZ40" i="3"/>
  <c r="BZ37" i="3"/>
  <c r="BZ128" i="3" s="1"/>
  <c r="BZ38" i="3"/>
  <c r="BZ41" i="3"/>
  <c r="BZ47" i="3"/>
  <c r="BZ44" i="3"/>
  <c r="BZ43" i="3" s="1"/>
  <c r="BW33" i="3"/>
  <c r="BZ33" i="3"/>
  <c r="BZ117" i="3" s="1"/>
  <c r="BZ35" i="3"/>
  <c r="BZ36" i="3" s="1"/>
  <c r="BZ111" i="3" s="1"/>
  <c r="BZ30" i="3"/>
  <c r="BZ54" i="3" s="1"/>
  <c r="CA55" i="3" s="1"/>
  <c r="BZ29" i="3"/>
  <c r="BZ52" i="3" s="1"/>
  <c r="BZ19" i="3"/>
  <c r="BZ18" i="3"/>
  <c r="BZ124" i="3" s="1"/>
  <c r="BZ17" i="3"/>
  <c r="BZ16" i="3"/>
  <c r="BZ126" i="3" s="1"/>
  <c r="BZ6" i="3"/>
  <c r="BW6" i="3"/>
  <c r="BZ14" i="3"/>
  <c r="BZ12" i="3" s="1"/>
  <c r="BZ101" i="3" s="1"/>
  <c r="CA104" i="3" s="1"/>
  <c r="BZ10" i="3"/>
  <c r="BZ99" i="3" s="1"/>
  <c r="BZ20" i="3"/>
  <c r="BZ109" i="2"/>
  <c r="BZ110" i="2" s="1"/>
  <c r="BZ100" i="2"/>
  <c r="BZ101" i="2" s="1"/>
  <c r="BZ95" i="2"/>
  <c r="BZ102" i="2" s="1"/>
  <c r="BZ72" i="2"/>
  <c r="BZ71" i="2"/>
  <c r="BZ69" i="2"/>
  <c r="BZ31" i="2"/>
  <c r="BZ24" i="2"/>
  <c r="BZ31" i="11" s="1"/>
  <c r="BZ30" i="11" s="1"/>
  <c r="BZ13" i="2"/>
  <c r="BZ14" i="2"/>
  <c r="BZ7" i="2"/>
  <c r="BZ6" i="2"/>
  <c r="BZ29" i="2"/>
  <c r="CA14" i="2" l="1"/>
  <c r="CB14" i="2"/>
  <c r="CA6" i="2"/>
  <c r="CA80" i="2" s="1"/>
  <c r="CA7" i="2"/>
  <c r="CB7" i="2"/>
  <c r="BZ56" i="3"/>
  <c r="N25" i="15"/>
  <c r="CA87" i="3"/>
  <c r="BZ25" i="11"/>
  <c r="CA13" i="2"/>
  <c r="CA53" i="2"/>
  <c r="CA50" i="2"/>
  <c r="N23" i="15"/>
  <c r="CA111" i="2"/>
  <c r="BZ65" i="3"/>
  <c r="BZ6" i="14"/>
  <c r="CZ73" i="11"/>
  <c r="CZ80" i="11" s="1"/>
  <c r="CZ83" i="11" s="1"/>
  <c r="CX84" i="11"/>
  <c r="CX86" i="11"/>
  <c r="CY73" i="11"/>
  <c r="CY80" i="11" s="1"/>
  <c r="CY83" i="11" s="1"/>
  <c r="DB81" i="11"/>
  <c r="DA67" i="11"/>
  <c r="CW84" i="11"/>
  <c r="BZ68" i="2"/>
  <c r="BZ23" i="2"/>
  <c r="BZ28" i="3"/>
  <c r="BZ114" i="3"/>
  <c r="BZ116" i="3" s="1"/>
  <c r="BZ53" i="3"/>
  <c r="BZ67" i="2"/>
  <c r="BZ134" i="3"/>
  <c r="BZ107" i="3"/>
  <c r="BZ108" i="3" s="1"/>
  <c r="BZ112" i="3"/>
  <c r="BZ113" i="3" s="1"/>
  <c r="BZ8" i="3"/>
  <c r="CA79" i="3" s="1"/>
  <c r="BZ41" i="4"/>
  <c r="BZ80" i="2"/>
  <c r="BZ125" i="3"/>
  <c r="BZ129" i="3"/>
  <c r="BZ127" i="3"/>
  <c r="BZ98" i="2"/>
  <c r="BZ15" i="2"/>
  <c r="CA41" i="4" l="1"/>
  <c r="CB6" i="2"/>
  <c r="CA68" i="2"/>
  <c r="CA66" i="2" s="1"/>
  <c r="CB13" i="2"/>
  <c r="CB15" i="2"/>
  <c r="CA15" i="2"/>
  <c r="BZ43" i="11"/>
  <c r="N16" i="15"/>
  <c r="CA112" i="2"/>
  <c r="BZ51" i="3"/>
  <c r="BZ57" i="3" s="1"/>
  <c r="BZ66" i="3" s="1"/>
  <c r="CA83" i="3"/>
  <c r="BZ27" i="3"/>
  <c r="BZ135" i="3"/>
  <c r="BZ66" i="2"/>
  <c r="CY86" i="11"/>
  <c r="CY84" i="11"/>
  <c r="CZ86" i="11"/>
  <c r="CZ84" i="11"/>
  <c r="BZ93" i="3"/>
  <c r="CA96" i="3" s="1"/>
  <c r="CA20" i="4"/>
  <c r="DA71" i="11"/>
  <c r="DB67" i="11"/>
  <c r="DA68" i="11"/>
  <c r="DB68" i="11" s="1"/>
  <c r="BZ146" i="3"/>
  <c r="BZ5" i="3"/>
  <c r="CB80" i="2" l="1"/>
  <c r="CB41" i="4"/>
  <c r="CB68" i="2"/>
  <c r="CB25" i="11"/>
  <c r="BZ132" i="3"/>
  <c r="BZ4" i="3"/>
  <c r="N24" i="15"/>
  <c r="BZ26" i="3"/>
  <c r="N26" i="15"/>
  <c r="BZ64" i="3"/>
  <c r="BZ147" i="3"/>
  <c r="DA69" i="11"/>
  <c r="DB71" i="11"/>
  <c r="BZ6" i="4"/>
  <c r="BZ17" i="4"/>
  <c r="BZ14" i="4" s="1"/>
  <c r="BZ33" i="4" s="1"/>
  <c r="BZ16" i="4"/>
  <c r="BZ13" i="4"/>
  <c r="BZ11" i="4"/>
  <c r="BZ8" i="4"/>
  <c r="N15" i="15" l="1"/>
  <c r="BZ67" i="3"/>
  <c r="CA71" i="3"/>
  <c r="CA75" i="3" s="1"/>
  <c r="BZ140" i="3"/>
  <c r="N21" i="15"/>
  <c r="DB69" i="11"/>
  <c r="DA70" i="11"/>
  <c r="BZ21" i="4"/>
  <c r="BZ20" i="2"/>
  <c r="BZ18" i="4"/>
  <c r="DA73" i="11" l="1"/>
  <c r="DA80" i="11" s="1"/>
  <c r="DB70" i="11"/>
  <c r="B24" i="2"/>
  <c r="C24" i="2"/>
  <c r="D24" i="2"/>
  <c r="E24" i="2"/>
  <c r="G24" i="2"/>
  <c r="H24" i="2"/>
  <c r="I24" i="2"/>
  <c r="M24" i="2"/>
  <c r="L24" i="2" s="1"/>
  <c r="N24" i="2"/>
  <c r="R24" i="2"/>
  <c r="Q24" i="2" s="1"/>
  <c r="S24" i="2"/>
  <c r="V24" i="2"/>
  <c r="W24" i="2"/>
  <c r="X24" i="2"/>
  <c r="AA24" i="2"/>
  <c r="AB24" i="2"/>
  <c r="AC24" i="2"/>
  <c r="AD24" i="2" s="1"/>
  <c r="AF24" i="2"/>
  <c r="AG24" i="2"/>
  <c r="AH24" i="2"/>
  <c r="AK24" i="2"/>
  <c r="AL24" i="2"/>
  <c r="AM24" i="2"/>
  <c r="AP24" i="2"/>
  <c r="AQ24" i="2"/>
  <c r="AR24" i="2"/>
  <c r="AS24" i="2"/>
  <c r="AU24" i="2"/>
  <c r="AV24" i="2"/>
  <c r="AW24" i="2"/>
  <c r="AZ24" i="2"/>
  <c r="AZ31" i="11" s="1"/>
  <c r="AZ30" i="11" s="1"/>
  <c r="BA24" i="2"/>
  <c r="BA31" i="11" s="1"/>
  <c r="BA30" i="11" s="1"/>
  <c r="BB24" i="2"/>
  <c r="BE24" i="2"/>
  <c r="BE31" i="11" s="1"/>
  <c r="BE30" i="11" s="1"/>
  <c r="BF24" i="2"/>
  <c r="BF31" i="11" s="1"/>
  <c r="BF30" i="11" s="1"/>
  <c r="BG24" i="2"/>
  <c r="BG31" i="11" s="1"/>
  <c r="BG30" i="11" s="1"/>
  <c r="BJ24" i="2"/>
  <c r="BJ31" i="11" s="1"/>
  <c r="BJ30" i="11" s="1"/>
  <c r="BK24" i="2"/>
  <c r="BK31" i="11" s="1"/>
  <c r="BK30" i="11" s="1"/>
  <c r="BL24" i="2"/>
  <c r="BL31" i="11" s="1"/>
  <c r="BL30" i="11" s="1"/>
  <c r="BO24" i="2"/>
  <c r="BO31" i="11" s="1"/>
  <c r="BO30" i="11" s="1"/>
  <c r="BP24" i="2"/>
  <c r="BP31" i="11" s="1"/>
  <c r="BP30" i="11" s="1"/>
  <c r="BQ24" i="2"/>
  <c r="BQ31" i="11" s="1"/>
  <c r="BQ30" i="11" s="1"/>
  <c r="DB73" i="11" l="1"/>
  <c r="DB85" i="11"/>
  <c r="BR24" i="2"/>
  <c r="BR31" i="11" s="1"/>
  <c r="BC24" i="2"/>
  <c r="BC31" i="11" s="1"/>
  <c r="BB31" i="11"/>
  <c r="BB30" i="11" s="1"/>
  <c r="O24" i="2"/>
  <c r="AN24" i="2"/>
  <c r="Y24" i="2"/>
  <c r="DB80" i="11"/>
  <c r="DA83" i="11"/>
  <c r="DA84" i="11" s="1"/>
  <c r="DB84" i="11" s="1"/>
  <c r="AX24" i="2"/>
  <c r="BM24" i="2"/>
  <c r="BM31" i="11" s="1"/>
  <c r="AI24" i="2"/>
  <c r="BH24" i="2"/>
  <c r="BH31" i="11" s="1"/>
  <c r="J24" i="2"/>
  <c r="T24" i="2"/>
  <c r="BV24" i="2"/>
  <c r="BV31" i="11" s="1"/>
  <c r="BV30" i="11" s="1"/>
  <c r="BU24" i="2"/>
  <c r="BU31" i="11" s="1"/>
  <c r="BU30" i="11" s="1"/>
  <c r="BT24" i="2"/>
  <c r="BY24" i="2"/>
  <c r="BW29" i="2"/>
  <c r="BV29" i="2"/>
  <c r="BU29" i="2"/>
  <c r="BR29" i="2"/>
  <c r="BQ29" i="2"/>
  <c r="BP29" i="2"/>
  <c r="BM29" i="2"/>
  <c r="BL29" i="2"/>
  <c r="BK29" i="2"/>
  <c r="BH29" i="2"/>
  <c r="BG29" i="2"/>
  <c r="BF29" i="2"/>
  <c r="BC29" i="2"/>
  <c r="BB29" i="2"/>
  <c r="BA29" i="2"/>
  <c r="AX29" i="2"/>
  <c r="AW29" i="2"/>
  <c r="AV29" i="2"/>
  <c r="AS29" i="2"/>
  <c r="AR29" i="2"/>
  <c r="AQ29" i="2"/>
  <c r="AN29" i="2"/>
  <c r="AM29" i="2"/>
  <c r="AL29" i="2"/>
  <c r="AI29" i="2"/>
  <c r="AH29" i="2"/>
  <c r="AG29" i="2"/>
  <c r="AD29" i="2"/>
  <c r="AC29" i="2"/>
  <c r="AB29" i="2"/>
  <c r="Y29" i="2"/>
  <c r="X29" i="2"/>
  <c r="W29" i="2"/>
  <c r="T29" i="2"/>
  <c r="S29" i="2"/>
  <c r="R29" i="2"/>
  <c r="O29" i="2"/>
  <c r="N29" i="2"/>
  <c r="M29" i="2"/>
  <c r="J29" i="2"/>
  <c r="I29" i="2"/>
  <c r="H29" i="2"/>
  <c r="E29" i="2"/>
  <c r="D29" i="2"/>
  <c r="C29" i="2"/>
  <c r="B29" i="2"/>
  <c r="BV100" i="2"/>
  <c r="BY31" i="11" l="1"/>
  <c r="BY30" i="11" s="1"/>
  <c r="CB24" i="2"/>
  <c r="CB31" i="11" s="1"/>
  <c r="CB30" i="11" s="1"/>
  <c r="DA86" i="11"/>
  <c r="DB83" i="11"/>
  <c r="DB86" i="11" s="1"/>
  <c r="BW24" i="2"/>
  <c r="BW31" i="11" s="1"/>
  <c r="BT31" i="11"/>
  <c r="BT30" i="11" s="1"/>
  <c r="CI50" i="4"/>
  <c r="CG50" i="4"/>
  <c r="CF50" i="4"/>
  <c r="CE50" i="4"/>
  <c r="CG49" i="4"/>
  <c r="CF49" i="4"/>
  <c r="CE49" i="4"/>
  <c r="CB23" i="2" l="1"/>
  <c r="L14" i="9" s="1"/>
  <c r="CB67" i="2"/>
  <c r="CB66" i="2" s="1"/>
  <c r="CH49" i="4"/>
  <c r="CH50" i="4"/>
  <c r="BX50" i="4"/>
  <c r="BS50" i="4"/>
  <c r="BN50" i="4"/>
  <c r="BI50" i="4"/>
  <c r="BD50" i="4"/>
  <c r="AY50" i="4"/>
  <c r="AT50" i="4"/>
  <c r="AO50" i="4"/>
  <c r="AJ50" i="4"/>
  <c r="AE50" i="4"/>
  <c r="Z50" i="4"/>
  <c r="U50" i="4"/>
  <c r="P50" i="4"/>
  <c r="K50" i="4"/>
  <c r="F50" i="4"/>
  <c r="BX49" i="4"/>
  <c r="BS49" i="4"/>
  <c r="BN49" i="4"/>
  <c r="BI49" i="4"/>
  <c r="BD49" i="4"/>
  <c r="AY49" i="4"/>
  <c r="AT49" i="4"/>
  <c r="AO49" i="4"/>
  <c r="AJ49" i="4"/>
  <c r="AE49" i="4"/>
  <c r="Z49" i="4"/>
  <c r="U49" i="4"/>
  <c r="P49" i="4"/>
  <c r="K49" i="4"/>
  <c r="F49" i="4"/>
  <c r="BT46" i="4"/>
  <c r="BR46" i="4"/>
  <c r="BQ46" i="4"/>
  <c r="BP46" i="4"/>
  <c r="BO46" i="4"/>
  <c r="BM46" i="4"/>
  <c r="BL46" i="4"/>
  <c r="BK46" i="4"/>
  <c r="BJ46" i="4"/>
  <c r="BH46" i="4"/>
  <c r="BG46" i="4"/>
  <c r="BF46" i="4"/>
  <c r="BE46" i="4"/>
  <c r="BC46" i="4"/>
  <c r="BB46" i="4"/>
  <c r="BA46" i="4"/>
  <c r="AZ46" i="4"/>
  <c r="AX46" i="4"/>
  <c r="AW46" i="4"/>
  <c r="AV46" i="4"/>
  <c r="AU46" i="4"/>
  <c r="AS46" i="4"/>
  <c r="AR46" i="4"/>
  <c r="AQ46" i="4"/>
  <c r="AP46" i="4"/>
  <c r="AN46" i="4"/>
  <c r="AM46" i="4"/>
  <c r="AL46" i="4"/>
  <c r="AK46" i="4"/>
  <c r="AI46" i="4"/>
  <c r="AH46" i="4"/>
  <c r="AG46" i="4"/>
  <c r="AF46" i="4"/>
  <c r="AD46" i="4"/>
  <c r="AC46" i="4"/>
  <c r="AB46" i="4"/>
  <c r="AA46" i="4"/>
  <c r="Y46" i="4"/>
  <c r="X46" i="4"/>
  <c r="W46" i="4"/>
  <c r="V46" i="4"/>
  <c r="T46" i="4"/>
  <c r="S46" i="4"/>
  <c r="R46" i="4"/>
  <c r="Q46" i="4"/>
  <c r="O46" i="4"/>
  <c r="N46" i="4"/>
  <c r="M46" i="4"/>
  <c r="L46" i="4"/>
  <c r="J46" i="4"/>
  <c r="I46" i="4"/>
  <c r="H46" i="4"/>
  <c r="G46" i="4"/>
  <c r="E46" i="4"/>
  <c r="D46" i="4"/>
  <c r="C46" i="4"/>
  <c r="B46" i="4"/>
  <c r="BX45" i="4"/>
  <c r="BS45" i="4"/>
  <c r="BN45" i="4"/>
  <c r="BI45" i="4"/>
  <c r="BD45" i="4"/>
  <c r="AY45" i="4"/>
  <c r="AT45" i="4"/>
  <c r="AO45" i="4"/>
  <c r="AJ45" i="4"/>
  <c r="AE45" i="4"/>
  <c r="Z45" i="4"/>
  <c r="U45" i="4"/>
  <c r="P45" i="4"/>
  <c r="K45" i="4"/>
  <c r="F45" i="4"/>
  <c r="BY41" i="4"/>
  <c r="BT41" i="4"/>
  <c r="BO41" i="4"/>
  <c r="BL41" i="4"/>
  <c r="BK41" i="4"/>
  <c r="BJ41" i="4"/>
  <c r="BG41" i="4"/>
  <c r="BF41" i="4"/>
  <c r="BE41" i="4"/>
  <c r="BB41" i="4"/>
  <c r="BA41" i="4"/>
  <c r="AZ41" i="4"/>
  <c r="AW41" i="4"/>
  <c r="AV41" i="4"/>
  <c r="AU41" i="4"/>
  <c r="AR41" i="4"/>
  <c r="AQ41" i="4"/>
  <c r="AP41" i="4"/>
  <c r="AM41" i="4"/>
  <c r="AL41" i="4"/>
  <c r="AK41" i="4"/>
  <c r="AH41" i="4"/>
  <c r="AG41" i="4"/>
  <c r="AF41" i="4"/>
  <c r="AC41" i="4"/>
  <c r="AB41" i="4"/>
  <c r="AA41" i="4"/>
  <c r="X41" i="4"/>
  <c r="W41" i="4"/>
  <c r="V41" i="4"/>
  <c r="S41" i="4"/>
  <c r="R41" i="4"/>
  <c r="N41" i="4"/>
  <c r="M41" i="4"/>
  <c r="G41" i="4"/>
  <c r="E41" i="4"/>
  <c r="D41" i="4"/>
  <c r="C41" i="4"/>
  <c r="B41" i="4"/>
  <c r="CF40" i="4"/>
  <c r="CG40" i="4" s="1"/>
  <c r="CJ40" i="4" s="1"/>
  <c r="CK40" i="4" s="1"/>
  <c r="CL40" i="4" s="1"/>
  <c r="BW34" i="4"/>
  <c r="BV34" i="4"/>
  <c r="BU34" i="4"/>
  <c r="BR34" i="4"/>
  <c r="BQ34" i="4"/>
  <c r="BP34" i="4"/>
  <c r="BM34" i="4"/>
  <c r="BL34" i="4"/>
  <c r="BK34" i="4"/>
  <c r="BH34" i="4"/>
  <c r="BG34" i="4"/>
  <c r="BF34" i="4"/>
  <c r="BC34" i="4"/>
  <c r="BB34" i="4"/>
  <c r="BA34" i="4"/>
  <c r="AX34" i="4"/>
  <c r="AW34" i="4"/>
  <c r="AV34" i="4"/>
  <c r="AS34" i="4"/>
  <c r="AR34" i="4"/>
  <c r="AQ34" i="4"/>
  <c r="AN34" i="4"/>
  <c r="AM34" i="4"/>
  <c r="AL34" i="4"/>
  <c r="AI34" i="4"/>
  <c r="AH34" i="4"/>
  <c r="AG34" i="4"/>
  <c r="AD34" i="4"/>
  <c r="AC34" i="4"/>
  <c r="AB34" i="4"/>
  <c r="Y34" i="4"/>
  <c r="X34" i="4"/>
  <c r="W34" i="4"/>
  <c r="T34" i="4"/>
  <c r="S34" i="4"/>
  <c r="R34" i="4"/>
  <c r="O34" i="4"/>
  <c r="N34" i="4"/>
  <c r="M34" i="4"/>
  <c r="J34" i="4"/>
  <c r="I34" i="4"/>
  <c r="H34" i="4"/>
  <c r="E34" i="4"/>
  <c r="D34" i="4"/>
  <c r="C34" i="4"/>
  <c r="BY32" i="4"/>
  <c r="BZ39" i="4" s="1"/>
  <c r="BW32" i="4"/>
  <c r="BV32" i="4"/>
  <c r="BW39" i="4" s="1"/>
  <c r="BU32" i="4"/>
  <c r="BV39" i="4" s="1"/>
  <c r="BT32" i="4"/>
  <c r="BU39" i="4" s="1"/>
  <c r="BR32" i="4"/>
  <c r="BQ32" i="4"/>
  <c r="BR39" i="4" s="1"/>
  <c r="BP32" i="4"/>
  <c r="BQ39" i="4" s="1"/>
  <c r="BO32" i="4"/>
  <c r="BP39" i="4" s="1"/>
  <c r="BP111" i="2" s="1"/>
  <c r="BM32" i="4"/>
  <c r="BL32" i="4"/>
  <c r="BM39" i="4" s="1"/>
  <c r="BM111" i="2" s="1"/>
  <c r="BK32" i="4"/>
  <c r="BL39" i="4" s="1"/>
  <c r="BL111" i="2" s="1"/>
  <c r="BJ32" i="4"/>
  <c r="BK39" i="4" s="1"/>
  <c r="BK111" i="2" s="1"/>
  <c r="BK112" i="2" s="1"/>
  <c r="BH32" i="4"/>
  <c r="BG32" i="4"/>
  <c r="BH39" i="4" s="1"/>
  <c r="BF32" i="4"/>
  <c r="BG39" i="4" s="1"/>
  <c r="BE32" i="4"/>
  <c r="BF39" i="4" s="1"/>
  <c r="BC32" i="4"/>
  <c r="BB32" i="4"/>
  <c r="BC39" i="4" s="1"/>
  <c r="BA32" i="4"/>
  <c r="BB39" i="4" s="1"/>
  <c r="AZ32" i="4"/>
  <c r="BA39" i="4" s="1"/>
  <c r="BA111" i="2" s="1"/>
  <c r="BA112" i="2" s="1"/>
  <c r="AX32" i="4"/>
  <c r="AW32" i="4"/>
  <c r="AX39" i="4" s="1"/>
  <c r="AX111" i="2" s="1"/>
  <c r="AV32" i="4"/>
  <c r="AW39" i="4" s="1"/>
  <c r="AW111" i="2" s="1"/>
  <c r="AW112" i="2" s="1"/>
  <c r="AU32" i="4"/>
  <c r="AV39" i="4" s="1"/>
  <c r="AV111" i="2" s="1"/>
  <c r="AV112" i="2" s="1"/>
  <c r="AS32" i="4"/>
  <c r="AR32" i="4"/>
  <c r="AS39" i="4" s="1"/>
  <c r="AQ32" i="4"/>
  <c r="AR39" i="4" s="1"/>
  <c r="AP32" i="4"/>
  <c r="AQ39" i="4" s="1"/>
  <c r="AQ111" i="2" s="1"/>
  <c r="AN32" i="4"/>
  <c r="AM32" i="4"/>
  <c r="AN39" i="4" s="1"/>
  <c r="AL32" i="4"/>
  <c r="AM39" i="4" s="1"/>
  <c r="AK32" i="4"/>
  <c r="AL39" i="4" s="1"/>
  <c r="AL111" i="2" s="1"/>
  <c r="AI32" i="4"/>
  <c r="AH32" i="4"/>
  <c r="AI39" i="4" s="1"/>
  <c r="AG32" i="4"/>
  <c r="AH39" i="4" s="1"/>
  <c r="AH111" i="2" s="1"/>
  <c r="AH112" i="2" s="1"/>
  <c r="AF32" i="4"/>
  <c r="AG39" i="4" s="1"/>
  <c r="AG111" i="2" s="1"/>
  <c r="AG112" i="2" s="1"/>
  <c r="AD32" i="4"/>
  <c r="AC32" i="4"/>
  <c r="AD39" i="4" s="1"/>
  <c r="AD111" i="2" s="1"/>
  <c r="AB32" i="4"/>
  <c r="AC39" i="4" s="1"/>
  <c r="AA32" i="4"/>
  <c r="AB39" i="4" s="1"/>
  <c r="AB111" i="2" s="1"/>
  <c r="Y32" i="4"/>
  <c r="X32" i="4"/>
  <c r="Y39" i="4" s="1"/>
  <c r="W32" i="4"/>
  <c r="X39" i="4" s="1"/>
  <c r="V32" i="4"/>
  <c r="W39" i="4" s="1"/>
  <c r="W111" i="2" s="1"/>
  <c r="W112" i="2" s="1"/>
  <c r="T32" i="4"/>
  <c r="S32" i="4"/>
  <c r="T39" i="4" s="1"/>
  <c r="T111" i="2" s="1"/>
  <c r="R32" i="4"/>
  <c r="S39" i="4" s="1"/>
  <c r="S111" i="2" s="1"/>
  <c r="S112" i="2" s="1"/>
  <c r="Q32" i="4"/>
  <c r="R39" i="4" s="1"/>
  <c r="R111" i="2" s="1"/>
  <c r="R112" i="2" s="1"/>
  <c r="O32" i="4"/>
  <c r="N32" i="4"/>
  <c r="O39" i="4" s="1"/>
  <c r="M32" i="4"/>
  <c r="N39" i="4" s="1"/>
  <c r="L32" i="4"/>
  <c r="M39" i="4" s="1"/>
  <c r="J32" i="4"/>
  <c r="I32" i="4"/>
  <c r="J39" i="4" s="1"/>
  <c r="H32" i="4"/>
  <c r="I39" i="4" s="1"/>
  <c r="G32" i="4"/>
  <c r="H39" i="4" s="1"/>
  <c r="E32" i="4"/>
  <c r="D32" i="4"/>
  <c r="E39" i="4" s="1"/>
  <c r="C32" i="4"/>
  <c r="D39" i="4" s="1"/>
  <c r="B32" i="4"/>
  <c r="C39" i="4" s="1"/>
  <c r="BW28" i="4"/>
  <c r="BW29" i="4" s="1"/>
  <c r="BV28" i="4"/>
  <c r="BV29" i="4" s="1"/>
  <c r="BU28" i="4"/>
  <c r="BU29" i="4" s="1"/>
  <c r="BR28" i="4"/>
  <c r="BR29" i="4" s="1"/>
  <c r="BQ28" i="4"/>
  <c r="BQ29" i="4" s="1"/>
  <c r="BP28" i="4"/>
  <c r="BP29" i="4" s="1"/>
  <c r="BM28" i="4"/>
  <c r="BM29" i="4" s="1"/>
  <c r="BL28" i="4"/>
  <c r="BL29" i="4" s="1"/>
  <c r="BK28" i="4"/>
  <c r="BK29" i="4" s="1"/>
  <c r="BH28" i="4"/>
  <c r="BH29" i="4" s="1"/>
  <c r="BG28" i="4"/>
  <c r="BG29" i="4" s="1"/>
  <c r="BF28" i="4"/>
  <c r="BF29" i="4" s="1"/>
  <c r="BC28" i="4"/>
  <c r="BC29" i="4" s="1"/>
  <c r="BB28" i="4"/>
  <c r="BB29" i="4" s="1"/>
  <c r="BA28" i="4"/>
  <c r="BA29" i="4" s="1"/>
  <c r="AX28" i="4"/>
  <c r="AX29" i="4" s="1"/>
  <c r="AW28" i="4"/>
  <c r="AW29" i="4" s="1"/>
  <c r="AV28" i="4"/>
  <c r="AV29" i="4" s="1"/>
  <c r="AS28" i="4"/>
  <c r="AS29" i="4" s="1"/>
  <c r="AR28" i="4"/>
  <c r="AR29" i="4" s="1"/>
  <c r="AQ28" i="4"/>
  <c r="AQ29" i="4" s="1"/>
  <c r="AN28" i="4"/>
  <c r="AN29" i="4" s="1"/>
  <c r="AM28" i="4"/>
  <c r="AM29" i="4" s="1"/>
  <c r="AL28" i="4"/>
  <c r="AL29" i="4" s="1"/>
  <c r="AI28" i="4"/>
  <c r="AI29" i="4" s="1"/>
  <c r="AH28" i="4"/>
  <c r="AH29" i="4" s="1"/>
  <c r="AG28" i="4"/>
  <c r="AG29" i="4" s="1"/>
  <c r="AD28" i="4"/>
  <c r="AD29" i="4" s="1"/>
  <c r="AC28" i="4"/>
  <c r="AC29" i="4" s="1"/>
  <c r="AB28" i="4"/>
  <c r="AB29" i="4" s="1"/>
  <c r="Y28" i="4"/>
  <c r="Y29" i="4" s="1"/>
  <c r="X28" i="4"/>
  <c r="X29" i="4" s="1"/>
  <c r="W28" i="4"/>
  <c r="W29" i="4" s="1"/>
  <c r="T28" i="4"/>
  <c r="T29" i="4" s="1"/>
  <c r="S28" i="4"/>
  <c r="S29" i="4" s="1"/>
  <c r="R28" i="4"/>
  <c r="R29" i="4" s="1"/>
  <c r="O28" i="4"/>
  <c r="O29" i="4" s="1"/>
  <c r="BX27" i="4"/>
  <c r="BS27" i="4"/>
  <c r="BN27" i="4"/>
  <c r="BI27" i="4"/>
  <c r="BD27" i="4"/>
  <c r="AY27" i="4"/>
  <c r="AT27" i="4"/>
  <c r="AO27" i="4"/>
  <c r="AJ27" i="4"/>
  <c r="AE27" i="4"/>
  <c r="Z27" i="4"/>
  <c r="U27" i="4"/>
  <c r="P27" i="4"/>
  <c r="K27" i="4"/>
  <c r="H27" i="4"/>
  <c r="G27" i="4" s="1"/>
  <c r="F27" i="4"/>
  <c r="V26" i="4"/>
  <c r="S26" i="4"/>
  <c r="BW25" i="4"/>
  <c r="BW26" i="4" s="1"/>
  <c r="BX26" i="4" s="1"/>
  <c r="BV25" i="4"/>
  <c r="BV26" i="4" s="1"/>
  <c r="BU25" i="4"/>
  <c r="BU26" i="4" s="1"/>
  <c r="BT25" i="4"/>
  <c r="BT26" i="4" s="1"/>
  <c r="BR25" i="4"/>
  <c r="BS25" i="4" s="1"/>
  <c r="BQ25" i="4"/>
  <c r="BQ26" i="4" s="1"/>
  <c r="BP25" i="4"/>
  <c r="BP26" i="4" s="1"/>
  <c r="BO25" i="4"/>
  <c r="BO26" i="4" s="1"/>
  <c r="BM25" i="4"/>
  <c r="BN25" i="4" s="1"/>
  <c r="BL25" i="4"/>
  <c r="BL26" i="4" s="1"/>
  <c r="BK25" i="4"/>
  <c r="BK26" i="4" s="1"/>
  <c r="BJ25" i="4"/>
  <c r="BJ26" i="4" s="1"/>
  <c r="BH25" i="4"/>
  <c r="BH26" i="4" s="1"/>
  <c r="BI26" i="4" s="1"/>
  <c r="BG25" i="4"/>
  <c r="BG26" i="4" s="1"/>
  <c r="BF25" i="4"/>
  <c r="BF26" i="4" s="1"/>
  <c r="BE25" i="4"/>
  <c r="BE26" i="4" s="1"/>
  <c r="BC25" i="4"/>
  <c r="BD25" i="4" s="1"/>
  <c r="BB25" i="4"/>
  <c r="BB26" i="4" s="1"/>
  <c r="BA25" i="4"/>
  <c r="BA26" i="4" s="1"/>
  <c r="AZ25" i="4"/>
  <c r="AZ26" i="4" s="1"/>
  <c r="AX25" i="4"/>
  <c r="AX26" i="4" s="1"/>
  <c r="AY26" i="4" s="1"/>
  <c r="AW25" i="4"/>
  <c r="AW26" i="4" s="1"/>
  <c r="AV25" i="4"/>
  <c r="AV26" i="4" s="1"/>
  <c r="AU25" i="4"/>
  <c r="AU26" i="4" s="1"/>
  <c r="AS25" i="4"/>
  <c r="AS26" i="4" s="1"/>
  <c r="AT26" i="4" s="1"/>
  <c r="AR25" i="4"/>
  <c r="AR26" i="4" s="1"/>
  <c r="AQ25" i="4"/>
  <c r="AQ26" i="4" s="1"/>
  <c r="AP25" i="4"/>
  <c r="AP26" i="4" s="1"/>
  <c r="AN25" i="4"/>
  <c r="AO25" i="4" s="1"/>
  <c r="AM25" i="4"/>
  <c r="AM26" i="4" s="1"/>
  <c r="AL25" i="4"/>
  <c r="AL26" i="4" s="1"/>
  <c r="AK25" i="4"/>
  <c r="AK26" i="4" s="1"/>
  <c r="AI25" i="4"/>
  <c r="AJ25" i="4" s="1"/>
  <c r="AH25" i="4"/>
  <c r="AH26" i="4" s="1"/>
  <c r="AG25" i="4"/>
  <c r="AG26" i="4" s="1"/>
  <c r="AF25" i="4"/>
  <c r="AF26" i="4" s="1"/>
  <c r="AD25" i="4"/>
  <c r="AD26" i="4" s="1"/>
  <c r="AE26" i="4" s="1"/>
  <c r="AC25" i="4"/>
  <c r="AC26" i="4" s="1"/>
  <c r="AB25" i="4"/>
  <c r="AB26" i="4" s="1"/>
  <c r="AA25" i="4"/>
  <c r="AA26" i="4" s="1"/>
  <c r="Y25" i="4"/>
  <c r="Y26" i="4" s="1"/>
  <c r="Z26" i="4" s="1"/>
  <c r="X25" i="4"/>
  <c r="X26" i="4" s="1"/>
  <c r="W25" i="4"/>
  <c r="W26" i="4" s="1"/>
  <c r="T25" i="4"/>
  <c r="T26" i="4" s="1"/>
  <c r="U26" i="4" s="1"/>
  <c r="R25" i="4"/>
  <c r="R26" i="4" s="1"/>
  <c r="Q25" i="4"/>
  <c r="Q26" i="4" s="1"/>
  <c r="O25" i="4"/>
  <c r="P25" i="4" s="1"/>
  <c r="N25" i="4"/>
  <c r="N26" i="4" s="1"/>
  <c r="M25" i="4"/>
  <c r="M26" i="4" s="1"/>
  <c r="L25" i="4"/>
  <c r="L26" i="4" s="1"/>
  <c r="J25" i="4"/>
  <c r="J26" i="4" s="1"/>
  <c r="K26" i="4" s="1"/>
  <c r="I25" i="4"/>
  <c r="I26" i="4" s="1"/>
  <c r="E25" i="4"/>
  <c r="BX24" i="4"/>
  <c r="BS24" i="4"/>
  <c r="BX28" i="4" s="1"/>
  <c r="BN24" i="4"/>
  <c r="BO28" i="4" s="1"/>
  <c r="BO29" i="4" s="1"/>
  <c r="BI24" i="4"/>
  <c r="BD24" i="4"/>
  <c r="BI28" i="4" s="1"/>
  <c r="AY24" i="4"/>
  <c r="AZ28" i="4" s="1"/>
  <c r="AZ29" i="4" s="1"/>
  <c r="AT24" i="4"/>
  <c r="AY28" i="4" s="1"/>
  <c r="AO24" i="4"/>
  <c r="AP28" i="4" s="1"/>
  <c r="AP29" i="4" s="1"/>
  <c r="AJ24" i="4"/>
  <c r="AO28" i="4" s="1"/>
  <c r="AE24" i="4"/>
  <c r="AJ28" i="4" s="1"/>
  <c r="Z24" i="4"/>
  <c r="AE28" i="4" s="1"/>
  <c r="U24" i="4"/>
  <c r="Z28" i="4" s="1"/>
  <c r="P24" i="4"/>
  <c r="U28" i="4" s="1"/>
  <c r="M24" i="4"/>
  <c r="N28" i="4" s="1"/>
  <c r="N29" i="4" s="1"/>
  <c r="AH22" i="4"/>
  <c r="CF20" i="4"/>
  <c r="CG20" i="4" s="1"/>
  <c r="BX19" i="4"/>
  <c r="BS19" i="4"/>
  <c r="BN19" i="4"/>
  <c r="BI19" i="4"/>
  <c r="BD19" i="4"/>
  <c r="AY19" i="4"/>
  <c r="AT19" i="4"/>
  <c r="AO19" i="4"/>
  <c r="AJ19" i="4"/>
  <c r="AE19" i="4"/>
  <c r="DA18" i="4"/>
  <c r="CZ18" i="4"/>
  <c r="CY18" i="4"/>
  <c r="CX18" i="4"/>
  <c r="BY17" i="4"/>
  <c r="BW17" i="4"/>
  <c r="BW14" i="4" s="1"/>
  <c r="BW33" i="4" s="1"/>
  <c r="BV17" i="4"/>
  <c r="BV21" i="4" s="1"/>
  <c r="BU17" i="4"/>
  <c r="BU21" i="4" s="1"/>
  <c r="BT17" i="4"/>
  <c r="BT21" i="4" s="1"/>
  <c r="BR17" i="4"/>
  <c r="BR14" i="4" s="1"/>
  <c r="BR33" i="4" s="1"/>
  <c r="BQ17" i="4"/>
  <c r="BQ14" i="4" s="1"/>
  <c r="BQ33" i="4" s="1"/>
  <c r="BP17" i="4"/>
  <c r="BP18" i="4" s="1"/>
  <c r="BO17" i="4"/>
  <c r="BO14" i="4" s="1"/>
  <c r="BM17" i="4"/>
  <c r="BM21" i="4" s="1"/>
  <c r="BL17" i="4"/>
  <c r="BL21" i="4" s="1"/>
  <c r="BK17" i="4"/>
  <c r="BK18" i="4" s="1"/>
  <c r="BJ17" i="4"/>
  <c r="BJ21" i="4" s="1"/>
  <c r="BH17" i="4"/>
  <c r="BH21" i="4" s="1"/>
  <c r="BG17" i="4"/>
  <c r="BG14" i="4" s="1"/>
  <c r="BF17" i="4"/>
  <c r="BF14" i="4" s="1"/>
  <c r="BF33" i="4" s="1"/>
  <c r="BE17" i="4"/>
  <c r="BE21" i="4" s="1"/>
  <c r="BC17" i="4"/>
  <c r="BC21" i="4" s="1"/>
  <c r="BC22" i="4" s="1"/>
  <c r="BB17" i="4"/>
  <c r="BB18" i="4" s="1"/>
  <c r="BA17" i="4"/>
  <c r="BA20" i="2" s="1"/>
  <c r="AZ17" i="4"/>
  <c r="AZ14" i="4" s="1"/>
  <c r="AX17" i="4"/>
  <c r="AX21" i="4" s="1"/>
  <c r="AW17" i="4"/>
  <c r="AW21" i="4" s="1"/>
  <c r="AV17" i="4"/>
  <c r="AV21" i="4" s="1"/>
  <c r="AU17" i="4"/>
  <c r="AS17" i="4"/>
  <c r="AS21" i="4" s="1"/>
  <c r="AR17" i="4"/>
  <c r="AR18" i="4" s="1"/>
  <c r="AQ17" i="4"/>
  <c r="AQ14" i="4" s="1"/>
  <c r="AQ33" i="4" s="1"/>
  <c r="AP17" i="4"/>
  <c r="AP21" i="4" s="1"/>
  <c r="AN17" i="4"/>
  <c r="AN18" i="4" s="1"/>
  <c r="AM17" i="4"/>
  <c r="AM21" i="4" s="1"/>
  <c r="AL17" i="4"/>
  <c r="AL21" i="4" s="1"/>
  <c r="AK17" i="4"/>
  <c r="AK21" i="4" s="1"/>
  <c r="AI17" i="4"/>
  <c r="AI14" i="4" s="1"/>
  <c r="AI33" i="4" s="1"/>
  <c r="AH17" i="4"/>
  <c r="AH18" i="4" s="1"/>
  <c r="AG17" i="4"/>
  <c r="AG18" i="4" s="1"/>
  <c r="AF17" i="4"/>
  <c r="AD17" i="4"/>
  <c r="AD18" i="4" s="1"/>
  <c r="AC17" i="4"/>
  <c r="AC21" i="4" s="1"/>
  <c r="AB17" i="4"/>
  <c r="AB18" i="4" s="1"/>
  <c r="AA17" i="4"/>
  <c r="AA14" i="4" s="1"/>
  <c r="AA33" i="4" s="1"/>
  <c r="CF16" i="4"/>
  <c r="CG16" i="4" s="1"/>
  <c r="CJ16" i="4" s="1"/>
  <c r="CK16" i="4" s="1"/>
  <c r="CL16" i="4" s="1"/>
  <c r="CO16" i="4" s="1"/>
  <c r="CP16" i="4" s="1"/>
  <c r="CQ16" i="4" s="1"/>
  <c r="CS16" i="4" s="1"/>
  <c r="CT16" i="4" s="1"/>
  <c r="CU16" i="4" s="1"/>
  <c r="CV16" i="4" s="1"/>
  <c r="CX16" i="4" s="1"/>
  <c r="CY16" i="4" s="1"/>
  <c r="CZ16" i="4" s="1"/>
  <c r="DA16" i="4" s="1"/>
  <c r="BW16" i="4"/>
  <c r="BV16" i="4"/>
  <c r="BU16" i="4"/>
  <c r="BT16" i="4"/>
  <c r="BR16" i="4"/>
  <c r="BQ16" i="4"/>
  <c r="BP16" i="4"/>
  <c r="BO16" i="4"/>
  <c r="BM16" i="4"/>
  <c r="BL16" i="4"/>
  <c r="BK16" i="4"/>
  <c r="BJ16" i="4"/>
  <c r="BH16" i="4"/>
  <c r="BG16" i="4"/>
  <c r="BF16" i="4"/>
  <c r="BE16" i="4"/>
  <c r="BC16" i="4"/>
  <c r="BB16" i="4"/>
  <c r="BA16" i="4"/>
  <c r="AZ16" i="4"/>
  <c r="AX16" i="4"/>
  <c r="AW16" i="4"/>
  <c r="AV16" i="4"/>
  <c r="AU16" i="4"/>
  <c r="AS16" i="4"/>
  <c r="AR16" i="4"/>
  <c r="AQ16" i="4"/>
  <c r="AP16" i="4"/>
  <c r="AN16" i="4"/>
  <c r="AM16" i="4"/>
  <c r="AL16" i="4"/>
  <c r="AK16" i="4"/>
  <c r="AI16" i="4"/>
  <c r="AH16" i="4"/>
  <c r="AG16" i="4"/>
  <c r="AF16" i="4"/>
  <c r="AD16" i="4"/>
  <c r="AC16" i="4"/>
  <c r="AB16" i="4"/>
  <c r="AA16" i="4"/>
  <c r="Y16" i="4"/>
  <c r="X16" i="4"/>
  <c r="W16" i="4"/>
  <c r="V16" i="4"/>
  <c r="T16" i="4"/>
  <c r="S16" i="4"/>
  <c r="R16" i="4"/>
  <c r="Q16" i="4"/>
  <c r="BX15" i="4"/>
  <c r="BS15" i="4"/>
  <c r="BN15" i="4"/>
  <c r="BI15" i="4"/>
  <c r="BD15" i="4"/>
  <c r="AY15" i="4"/>
  <c r="AT15" i="4"/>
  <c r="AO15" i="4"/>
  <c r="AJ15" i="4"/>
  <c r="AE15" i="4"/>
  <c r="Z15" i="4"/>
  <c r="U15" i="4"/>
  <c r="O15" i="4"/>
  <c r="N15" i="4"/>
  <c r="M15" i="4"/>
  <c r="L15" i="4"/>
  <c r="J15" i="4"/>
  <c r="I15" i="4"/>
  <c r="H15" i="4"/>
  <c r="G15" i="4"/>
  <c r="E15" i="4"/>
  <c r="D15" i="4"/>
  <c r="C15" i="4"/>
  <c r="B15" i="4"/>
  <c r="BY13" i="4"/>
  <c r="BW13" i="4"/>
  <c r="BV13" i="4"/>
  <c r="BU13" i="4"/>
  <c r="BT13" i="4"/>
  <c r="BR13" i="4"/>
  <c r="BQ13" i="4"/>
  <c r="BP13" i="4"/>
  <c r="BO13" i="4"/>
  <c r="BM13" i="4"/>
  <c r="BL13" i="4"/>
  <c r="BK13" i="4"/>
  <c r="BJ13" i="4"/>
  <c r="BH13" i="4"/>
  <c r="BG13" i="4"/>
  <c r="BF13" i="4"/>
  <c r="BE13" i="4"/>
  <c r="BC13" i="4"/>
  <c r="BB13" i="4"/>
  <c r="BA13" i="4"/>
  <c r="AZ13" i="4"/>
  <c r="AX13" i="4"/>
  <c r="AW13" i="4"/>
  <c r="AV13" i="4"/>
  <c r="AU13" i="4"/>
  <c r="AS13" i="4"/>
  <c r="AR13" i="4"/>
  <c r="AQ13" i="4"/>
  <c r="AP13" i="4"/>
  <c r="AN13" i="4"/>
  <c r="AM13" i="4"/>
  <c r="AL13" i="4"/>
  <c r="AK13" i="4"/>
  <c r="AI13" i="4"/>
  <c r="AH13" i="4"/>
  <c r="AG13" i="4"/>
  <c r="AF13" i="4"/>
  <c r="AD13" i="4"/>
  <c r="AC13" i="4"/>
  <c r="AB13" i="4"/>
  <c r="AA13" i="4"/>
  <c r="X13" i="4"/>
  <c r="W13" i="4"/>
  <c r="V13" i="4"/>
  <c r="S13" i="4"/>
  <c r="N13" i="4"/>
  <c r="M13" i="4"/>
  <c r="L13" i="4"/>
  <c r="J13" i="4"/>
  <c r="I13" i="4"/>
  <c r="H13" i="4"/>
  <c r="G13" i="4"/>
  <c r="E13" i="4"/>
  <c r="D13" i="4"/>
  <c r="C13" i="4"/>
  <c r="B13" i="4"/>
  <c r="BX12" i="4"/>
  <c r="BS12" i="4"/>
  <c r="BN12" i="4"/>
  <c r="BI12" i="4"/>
  <c r="BD12" i="4"/>
  <c r="AY12" i="4"/>
  <c r="AT12" i="4"/>
  <c r="AO12" i="4"/>
  <c r="AJ12" i="4"/>
  <c r="AE12" i="4"/>
  <c r="Y12" i="4"/>
  <c r="Z12" i="4" s="1"/>
  <c r="T12" i="4"/>
  <c r="T13" i="4" s="1"/>
  <c r="R12" i="4"/>
  <c r="R13" i="4" s="1"/>
  <c r="Q12" i="4"/>
  <c r="Q13" i="4" s="1"/>
  <c r="O12" i="4"/>
  <c r="P12" i="4" s="1"/>
  <c r="K12" i="4"/>
  <c r="F12" i="4"/>
  <c r="BY11" i="4"/>
  <c r="BW11" i="4"/>
  <c r="BV11" i="4"/>
  <c r="BU11" i="4"/>
  <c r="BT11" i="4"/>
  <c r="BR11" i="4"/>
  <c r="BQ11" i="4"/>
  <c r="BP11" i="4"/>
  <c r="BO11" i="4"/>
  <c r="BM11" i="4"/>
  <c r="BL11" i="4"/>
  <c r="BK11" i="4"/>
  <c r="BJ11" i="4"/>
  <c r="BH11" i="4"/>
  <c r="BG11" i="4"/>
  <c r="BF11" i="4"/>
  <c r="BE11" i="4"/>
  <c r="BC11" i="4"/>
  <c r="BB11" i="4"/>
  <c r="BA11" i="4"/>
  <c r="AZ11" i="4"/>
  <c r="AX11" i="4"/>
  <c r="AW11" i="4"/>
  <c r="AV11" i="4"/>
  <c r="AU11" i="4"/>
  <c r="AS11" i="4"/>
  <c r="AR11" i="4"/>
  <c r="AQ11" i="4"/>
  <c r="AP11" i="4"/>
  <c r="AN11" i="4"/>
  <c r="AM11" i="4"/>
  <c r="AL11" i="4"/>
  <c r="AK11" i="4"/>
  <c r="AI11" i="4"/>
  <c r="AH11" i="4"/>
  <c r="AG11" i="4"/>
  <c r="AF11" i="4"/>
  <c r="AD11" i="4"/>
  <c r="AC11" i="4"/>
  <c r="AB11" i="4"/>
  <c r="AA11" i="4"/>
  <c r="Y11" i="4"/>
  <c r="X11" i="4"/>
  <c r="W11" i="4"/>
  <c r="V11" i="4"/>
  <c r="T11" i="4"/>
  <c r="S11" i="4"/>
  <c r="R11" i="4"/>
  <c r="Q11" i="4"/>
  <c r="O11" i="4"/>
  <c r="N11" i="4"/>
  <c r="M11" i="4"/>
  <c r="L11" i="4"/>
  <c r="J11" i="4"/>
  <c r="I11" i="4"/>
  <c r="H11" i="4"/>
  <c r="G11" i="4"/>
  <c r="E11" i="4"/>
  <c r="D11" i="4"/>
  <c r="C11" i="4"/>
  <c r="B11" i="4"/>
  <c r="BX10" i="4"/>
  <c r="BS10" i="4"/>
  <c r="BN10" i="4"/>
  <c r="BI10" i="4"/>
  <c r="BD10" i="4"/>
  <c r="AY10" i="4"/>
  <c r="AT10" i="4"/>
  <c r="AO10" i="4"/>
  <c r="AJ10" i="4"/>
  <c r="AE10" i="4"/>
  <c r="Z10" i="4"/>
  <c r="U10" i="4"/>
  <c r="P10" i="4"/>
  <c r="K10" i="4"/>
  <c r="F10" i="4"/>
  <c r="BX9" i="4"/>
  <c r="CA115" i="3" s="1"/>
  <c r="BS9" i="4"/>
  <c r="BV115" i="3" s="1"/>
  <c r="BN9" i="4"/>
  <c r="BQ115" i="3" s="1"/>
  <c r="BI9" i="4"/>
  <c r="BD9" i="4"/>
  <c r="BG115" i="3" s="1"/>
  <c r="AY9" i="4"/>
  <c r="AY115" i="3" s="1"/>
  <c r="AT9" i="4"/>
  <c r="AO9" i="4"/>
  <c r="AO115" i="3" s="1"/>
  <c r="AJ9" i="4"/>
  <c r="AJ115" i="3" s="1"/>
  <c r="AE9" i="4"/>
  <c r="Z9" i="4"/>
  <c r="Z115" i="3" s="1"/>
  <c r="U9" i="4"/>
  <c r="U115" i="3" s="1"/>
  <c r="P9" i="4"/>
  <c r="P115" i="3" s="1"/>
  <c r="K9" i="4"/>
  <c r="K115" i="3" s="1"/>
  <c r="F9" i="4"/>
  <c r="F115" i="3" s="1"/>
  <c r="BW8" i="4"/>
  <c r="BV8" i="4"/>
  <c r="BU8" i="4"/>
  <c r="BT8" i="4"/>
  <c r="BR8" i="4"/>
  <c r="BQ8" i="4"/>
  <c r="BP8" i="4"/>
  <c r="BO8" i="4"/>
  <c r="BM8" i="4"/>
  <c r="BL8" i="4"/>
  <c r="BK8" i="4"/>
  <c r="BJ8" i="4"/>
  <c r="BH8" i="4"/>
  <c r="BG8" i="4"/>
  <c r="BF8" i="4"/>
  <c r="BE8" i="4"/>
  <c r="BC8" i="4"/>
  <c r="BB8" i="4"/>
  <c r="BA8" i="4"/>
  <c r="AZ8" i="4"/>
  <c r="AX8" i="4"/>
  <c r="AW8" i="4"/>
  <c r="AV8" i="4"/>
  <c r="AU8" i="4"/>
  <c r="AS8" i="4"/>
  <c r="AR8" i="4"/>
  <c r="AQ8" i="4"/>
  <c r="AP8" i="4"/>
  <c r="AN8" i="4"/>
  <c r="AM8" i="4"/>
  <c r="AL8" i="4"/>
  <c r="AK8" i="4"/>
  <c r="AI8" i="4"/>
  <c r="AH8" i="4"/>
  <c r="AG8" i="4"/>
  <c r="AF8" i="4"/>
  <c r="AD8" i="4"/>
  <c r="AC8" i="4"/>
  <c r="AB8" i="4"/>
  <c r="AA8" i="4"/>
  <c r="Y8" i="4"/>
  <c r="X8" i="4"/>
  <c r="W8" i="4"/>
  <c r="V8" i="4"/>
  <c r="T8" i="4"/>
  <c r="S8" i="4"/>
  <c r="R8" i="4"/>
  <c r="Q8" i="4"/>
  <c r="O8" i="4"/>
  <c r="N8" i="4"/>
  <c r="M8" i="4"/>
  <c r="L8" i="4"/>
  <c r="J8" i="4"/>
  <c r="I8" i="4"/>
  <c r="H8" i="4"/>
  <c r="G8" i="4"/>
  <c r="E8" i="4"/>
  <c r="D8" i="4"/>
  <c r="C8" i="4"/>
  <c r="B8" i="4"/>
  <c r="BX7" i="4"/>
  <c r="BS7" i="4"/>
  <c r="BN7" i="4"/>
  <c r="CC50" i="4" s="1"/>
  <c r="BI7" i="4"/>
  <c r="BD7" i="4"/>
  <c r="AY7" i="4"/>
  <c r="AT7" i="4"/>
  <c r="AO7" i="4"/>
  <c r="AJ7" i="4"/>
  <c r="AE7" i="4"/>
  <c r="Z7" i="4"/>
  <c r="U7" i="4"/>
  <c r="P7" i="4"/>
  <c r="K7" i="4"/>
  <c r="F7" i="4"/>
  <c r="CG6" i="4"/>
  <c r="CJ6" i="4" s="1"/>
  <c r="CK6" i="4" s="1"/>
  <c r="CL6" i="4" s="1"/>
  <c r="CN6" i="4" s="1"/>
  <c r="CO6" i="4" s="1"/>
  <c r="CP6" i="4" s="1"/>
  <c r="CQ6" i="4" s="1"/>
  <c r="CS6" i="4" s="1"/>
  <c r="CT6" i="4" s="1"/>
  <c r="CU6" i="4" s="1"/>
  <c r="CV6" i="4" s="1"/>
  <c r="CX6" i="4" s="1"/>
  <c r="CY6" i="4" s="1"/>
  <c r="CZ6" i="4" s="1"/>
  <c r="DA6" i="4" s="1"/>
  <c r="BW6" i="4"/>
  <c r="BV6" i="4"/>
  <c r="BU6" i="4"/>
  <c r="BT6" i="4"/>
  <c r="BR6" i="4"/>
  <c r="BQ6" i="4"/>
  <c r="BP6" i="4"/>
  <c r="BO6" i="4"/>
  <c r="BM6" i="4"/>
  <c r="BL6" i="4"/>
  <c r="BK6" i="4"/>
  <c r="BJ6" i="4"/>
  <c r="BH6" i="4"/>
  <c r="BG6" i="4"/>
  <c r="BF6" i="4"/>
  <c r="BE6" i="4"/>
  <c r="BC6" i="4"/>
  <c r="BB6" i="4"/>
  <c r="BA6" i="4"/>
  <c r="AZ6" i="4"/>
  <c r="AX6" i="4"/>
  <c r="AW6" i="4"/>
  <c r="AV6" i="4"/>
  <c r="AU6" i="4"/>
  <c r="AS6" i="4"/>
  <c r="AR6" i="4"/>
  <c r="AQ6" i="4"/>
  <c r="AP6" i="4"/>
  <c r="AN6" i="4"/>
  <c r="AM6" i="4"/>
  <c r="AL6" i="4"/>
  <c r="AK6" i="4"/>
  <c r="AI6" i="4"/>
  <c r="AH6" i="4"/>
  <c r="AG6" i="4"/>
  <c r="AF6" i="4"/>
  <c r="AD6" i="4"/>
  <c r="AC6" i="4"/>
  <c r="AB6" i="4"/>
  <c r="AA6" i="4"/>
  <c r="Y6" i="4"/>
  <c r="X6" i="4"/>
  <c r="W6" i="4"/>
  <c r="V6" i="4"/>
  <c r="T6" i="4"/>
  <c r="S6" i="4"/>
  <c r="R6" i="4"/>
  <c r="Q6" i="4"/>
  <c r="O6" i="4"/>
  <c r="N6" i="4"/>
  <c r="M6" i="4"/>
  <c r="L6" i="4"/>
  <c r="J6" i="4"/>
  <c r="I6" i="4"/>
  <c r="H6" i="4"/>
  <c r="G6" i="4"/>
  <c r="E6" i="4"/>
  <c r="D6" i="4"/>
  <c r="C6" i="4"/>
  <c r="B6" i="4"/>
  <c r="BX5" i="4"/>
  <c r="BS5" i="4"/>
  <c r="BN5" i="4"/>
  <c r="BI5" i="4"/>
  <c r="BD5" i="4"/>
  <c r="AY5" i="4"/>
  <c r="AT5" i="4"/>
  <c r="AO5" i="4"/>
  <c r="AJ5" i="4"/>
  <c r="AE5" i="4"/>
  <c r="Z5" i="4"/>
  <c r="U5" i="4"/>
  <c r="P5" i="4"/>
  <c r="K5" i="4"/>
  <c r="F5" i="4"/>
  <c r="BX4" i="4"/>
  <c r="BS4" i="4"/>
  <c r="BN4" i="4"/>
  <c r="BI4" i="4"/>
  <c r="BD4" i="4"/>
  <c r="AY4" i="4"/>
  <c r="AT4" i="4"/>
  <c r="AT8" i="4" s="1"/>
  <c r="AO4" i="4"/>
  <c r="AJ4" i="4"/>
  <c r="AE4" i="4"/>
  <c r="Z4" i="4"/>
  <c r="U4" i="4"/>
  <c r="P4" i="4"/>
  <c r="K4" i="4"/>
  <c r="F4" i="4"/>
  <c r="DA150" i="3"/>
  <c r="CZ150" i="3"/>
  <c r="CY150" i="3"/>
  <c r="CX150" i="3"/>
  <c r="CV150" i="3"/>
  <c r="CU150" i="3"/>
  <c r="CT150" i="3"/>
  <c r="CS150" i="3"/>
  <c r="CQ150" i="3"/>
  <c r="CP150" i="3"/>
  <c r="CO150" i="3"/>
  <c r="CN150" i="3"/>
  <c r="CL150" i="3"/>
  <c r="CK150" i="3"/>
  <c r="CJ150" i="3"/>
  <c r="CI150" i="3"/>
  <c r="CG150" i="3"/>
  <c r="CF150" i="3"/>
  <c r="BY150" i="3"/>
  <c r="BW150" i="3"/>
  <c r="BV150" i="3"/>
  <c r="BU150" i="3"/>
  <c r="BT150" i="3"/>
  <c r="BR150" i="3"/>
  <c r="BQ150" i="3"/>
  <c r="BP150" i="3"/>
  <c r="BO150" i="3"/>
  <c r="BM150" i="3"/>
  <c r="BL150" i="3"/>
  <c r="BK150" i="3"/>
  <c r="BJ150" i="3"/>
  <c r="BH150" i="3"/>
  <c r="BG150" i="3"/>
  <c r="BF150" i="3"/>
  <c r="BE150" i="3"/>
  <c r="BC150" i="3"/>
  <c r="BA150" i="3"/>
  <c r="AZ150" i="3"/>
  <c r="AX150" i="3"/>
  <c r="AW150" i="3"/>
  <c r="AV150" i="3"/>
  <c r="AU150" i="3"/>
  <c r="AR150" i="3"/>
  <c r="AQ150" i="3"/>
  <c r="AP150" i="3"/>
  <c r="AN150" i="3"/>
  <c r="AM150" i="3"/>
  <c r="AL150" i="3"/>
  <c r="AK150" i="3"/>
  <c r="AI150" i="3"/>
  <c r="AH150" i="3"/>
  <c r="AG150" i="3"/>
  <c r="AF150" i="3"/>
  <c r="AD150" i="3"/>
  <c r="AC150" i="3"/>
  <c r="AB150" i="3"/>
  <c r="AA150" i="3"/>
  <c r="Y150" i="3"/>
  <c r="X150" i="3"/>
  <c r="W150" i="3"/>
  <c r="V150" i="3"/>
  <c r="T150" i="3"/>
  <c r="S150" i="3"/>
  <c r="R150" i="3"/>
  <c r="Q150" i="3"/>
  <c r="O150" i="3"/>
  <c r="N150" i="3"/>
  <c r="M150" i="3"/>
  <c r="L150" i="3"/>
  <c r="I150" i="3"/>
  <c r="H150" i="3"/>
  <c r="G150" i="3"/>
  <c r="E150" i="3"/>
  <c r="D150" i="3"/>
  <c r="C150" i="3"/>
  <c r="B150" i="3"/>
  <c r="BW149" i="3"/>
  <c r="BV149" i="3"/>
  <c r="BU149" i="3"/>
  <c r="BR149" i="3"/>
  <c r="BQ149" i="3"/>
  <c r="BP149" i="3"/>
  <c r="BM149" i="3"/>
  <c r="BL149" i="3"/>
  <c r="BK149" i="3"/>
  <c r="BH149" i="3"/>
  <c r="BG149" i="3"/>
  <c r="BF149" i="3"/>
  <c r="BC149" i="3"/>
  <c r="BB149" i="3"/>
  <c r="BA149" i="3"/>
  <c r="AX149" i="3"/>
  <c r="AW149" i="3"/>
  <c r="AV149" i="3"/>
  <c r="AS149" i="3"/>
  <c r="AR149" i="3"/>
  <c r="AQ149" i="3"/>
  <c r="AN149" i="3"/>
  <c r="AM149" i="3"/>
  <c r="AL149" i="3"/>
  <c r="AI149" i="3"/>
  <c r="AH149" i="3"/>
  <c r="AG149" i="3"/>
  <c r="AD149" i="3"/>
  <c r="AC149" i="3"/>
  <c r="AB149" i="3"/>
  <c r="Y149" i="3"/>
  <c r="X149" i="3"/>
  <c r="W149" i="3"/>
  <c r="T149" i="3"/>
  <c r="S149" i="3"/>
  <c r="R149" i="3"/>
  <c r="O149" i="3"/>
  <c r="N149" i="3"/>
  <c r="M149" i="3"/>
  <c r="J149" i="3"/>
  <c r="I149" i="3"/>
  <c r="H149" i="3"/>
  <c r="E149" i="3"/>
  <c r="D149" i="3"/>
  <c r="C149" i="3"/>
  <c r="BX145" i="3"/>
  <c r="BS145" i="3"/>
  <c r="BN145" i="3"/>
  <c r="BI145" i="3"/>
  <c r="BD145" i="3"/>
  <c r="AY145" i="3"/>
  <c r="AT145" i="3"/>
  <c r="AO145" i="3"/>
  <c r="AJ145" i="3"/>
  <c r="AE145" i="3"/>
  <c r="Z145" i="3"/>
  <c r="U145" i="3"/>
  <c r="P145" i="3"/>
  <c r="K145" i="3"/>
  <c r="F145" i="3"/>
  <c r="BX144" i="3"/>
  <c r="BY149" i="3" s="1"/>
  <c r="BS144" i="3"/>
  <c r="BT149" i="3" s="1"/>
  <c r="BN144" i="3"/>
  <c r="BO149" i="3" s="1"/>
  <c r="BI144" i="3"/>
  <c r="BJ149" i="3" s="1"/>
  <c r="BD144" i="3"/>
  <c r="BE149" i="3" s="1"/>
  <c r="AY144" i="3"/>
  <c r="AZ149" i="3" s="1"/>
  <c r="AT144" i="3"/>
  <c r="AU149" i="3" s="1"/>
  <c r="AO144" i="3"/>
  <c r="AP149" i="3" s="1"/>
  <c r="AJ144" i="3"/>
  <c r="AK149" i="3" s="1"/>
  <c r="AE144" i="3"/>
  <c r="AF149" i="3" s="1"/>
  <c r="Z144" i="3"/>
  <c r="AA149" i="3" s="1"/>
  <c r="U144" i="3"/>
  <c r="V149" i="3" s="1"/>
  <c r="P144" i="3"/>
  <c r="Q149" i="3" s="1"/>
  <c r="K144" i="3"/>
  <c r="L149" i="3" s="1"/>
  <c r="F144" i="3"/>
  <c r="G149" i="3" s="1"/>
  <c r="BX143" i="3"/>
  <c r="BS143" i="3"/>
  <c r="BN143" i="3"/>
  <c r="BI143" i="3"/>
  <c r="BD143" i="3"/>
  <c r="AY143" i="3"/>
  <c r="AT143" i="3"/>
  <c r="AO143" i="3"/>
  <c r="AJ143" i="3"/>
  <c r="AE143" i="3"/>
  <c r="Z143" i="3"/>
  <c r="U143" i="3"/>
  <c r="P143" i="3"/>
  <c r="K143" i="3"/>
  <c r="F143" i="3"/>
  <c r="D128" i="3"/>
  <c r="D129" i="3" s="1"/>
  <c r="C128" i="3"/>
  <c r="B128" i="3"/>
  <c r="D126" i="3"/>
  <c r="C126" i="3"/>
  <c r="B126" i="3"/>
  <c r="B127" i="3" s="1"/>
  <c r="D124" i="3"/>
  <c r="D125" i="3" s="1"/>
  <c r="C124" i="3"/>
  <c r="C125" i="3" s="1"/>
  <c r="B124" i="3"/>
  <c r="I121" i="3"/>
  <c r="I123" i="3" s="1"/>
  <c r="BY120" i="3"/>
  <c r="BW120" i="3"/>
  <c r="BX120" i="3" s="1"/>
  <c r="BV120" i="3"/>
  <c r="BU120" i="3"/>
  <c r="BT120" i="3"/>
  <c r="BR120" i="3"/>
  <c r="BS120" i="3" s="1"/>
  <c r="BQ120" i="3"/>
  <c r="BP120" i="3"/>
  <c r="BO120" i="3"/>
  <c r="BM120" i="3"/>
  <c r="BN120" i="3" s="1"/>
  <c r="BL120" i="3"/>
  <c r="BK120" i="3"/>
  <c r="BJ120" i="3"/>
  <c r="BH120" i="3"/>
  <c r="BI120" i="3" s="1"/>
  <c r="BG120" i="3"/>
  <c r="BF120" i="3"/>
  <c r="BE120" i="3"/>
  <c r="BC120" i="3"/>
  <c r="BD120" i="3" s="1"/>
  <c r="BB120" i="3"/>
  <c r="BA120" i="3"/>
  <c r="AZ120" i="3"/>
  <c r="AX120" i="3"/>
  <c r="AY120" i="3" s="1"/>
  <c r="AW120" i="3"/>
  <c r="AV120" i="3"/>
  <c r="AU120" i="3"/>
  <c r="AS120" i="3"/>
  <c r="AT120" i="3" s="1"/>
  <c r="AR120" i="3"/>
  <c r="AQ120" i="3"/>
  <c r="AP120" i="3"/>
  <c r="AN120" i="3"/>
  <c r="AO120" i="3" s="1"/>
  <c r="AM120" i="3"/>
  <c r="AL120" i="3"/>
  <c r="AK120" i="3"/>
  <c r="AI120" i="3"/>
  <c r="AJ120" i="3" s="1"/>
  <c r="AH120" i="3"/>
  <c r="AG120" i="3"/>
  <c r="AF120" i="3"/>
  <c r="AD120" i="3"/>
  <c r="AE120" i="3" s="1"/>
  <c r="AC120" i="3"/>
  <c r="AB120" i="3"/>
  <c r="AA120" i="3"/>
  <c r="Y120" i="3"/>
  <c r="Z120" i="3" s="1"/>
  <c r="X120" i="3"/>
  <c r="W120" i="3"/>
  <c r="V120" i="3"/>
  <c r="T120" i="3"/>
  <c r="U120" i="3" s="1"/>
  <c r="S120" i="3"/>
  <c r="R120" i="3"/>
  <c r="Q120" i="3"/>
  <c r="O120" i="3"/>
  <c r="P120" i="3" s="1"/>
  <c r="N120" i="3"/>
  <c r="M120" i="3"/>
  <c r="L120" i="3"/>
  <c r="J120" i="3"/>
  <c r="K120" i="3" s="1"/>
  <c r="I120" i="3"/>
  <c r="H120" i="3"/>
  <c r="G120" i="3"/>
  <c r="E120" i="3"/>
  <c r="F120" i="3" s="1"/>
  <c r="D120" i="3"/>
  <c r="C120" i="3"/>
  <c r="B120" i="3"/>
  <c r="BY117" i="3"/>
  <c r="BW117" i="3"/>
  <c r="BV117" i="3"/>
  <c r="BU117" i="3"/>
  <c r="BT117" i="3"/>
  <c r="BR117" i="3"/>
  <c r="BQ117" i="3"/>
  <c r="BP117" i="3"/>
  <c r="BO117" i="3"/>
  <c r="BM117" i="3"/>
  <c r="BL117" i="3"/>
  <c r="BK117" i="3"/>
  <c r="BJ117" i="3"/>
  <c r="BH117" i="3"/>
  <c r="BG117" i="3"/>
  <c r="BF117" i="3"/>
  <c r="BE117" i="3"/>
  <c r="BC117" i="3"/>
  <c r="BB117" i="3"/>
  <c r="BA117" i="3"/>
  <c r="AZ117" i="3"/>
  <c r="AX117" i="3"/>
  <c r="AW117" i="3"/>
  <c r="AV117" i="3"/>
  <c r="AU117" i="3"/>
  <c r="AS117" i="3"/>
  <c r="AR117" i="3"/>
  <c r="AQ117" i="3"/>
  <c r="AP117" i="3"/>
  <c r="AN117" i="3"/>
  <c r="AM117" i="3"/>
  <c r="AL117" i="3"/>
  <c r="AK117" i="3"/>
  <c r="AI117" i="3"/>
  <c r="AH117" i="3"/>
  <c r="AG117" i="3"/>
  <c r="AF117" i="3"/>
  <c r="AD117" i="3"/>
  <c r="AC117" i="3"/>
  <c r="AB117" i="3"/>
  <c r="AA117" i="3"/>
  <c r="Y117" i="3"/>
  <c r="X117" i="3"/>
  <c r="W117" i="3"/>
  <c r="V117" i="3"/>
  <c r="T117" i="3"/>
  <c r="S117" i="3"/>
  <c r="BY115" i="3"/>
  <c r="BW115" i="3"/>
  <c r="BU115" i="3"/>
  <c r="BT115" i="3"/>
  <c r="BR115" i="3"/>
  <c r="BP115" i="3"/>
  <c r="BO115" i="3"/>
  <c r="BM115" i="3"/>
  <c r="BK115" i="3"/>
  <c r="BJ115" i="3"/>
  <c r="BH115" i="3"/>
  <c r="BF115" i="3"/>
  <c r="BE115" i="3"/>
  <c r="BC115" i="3"/>
  <c r="BB115" i="3"/>
  <c r="BA115" i="3"/>
  <c r="AZ115" i="3"/>
  <c r="AX115" i="3"/>
  <c r="AW115" i="3"/>
  <c r="AV115" i="3"/>
  <c r="AU115" i="3"/>
  <c r="AS115" i="3"/>
  <c r="AR115" i="3"/>
  <c r="AQ115" i="3"/>
  <c r="AP115" i="3"/>
  <c r="AN115" i="3"/>
  <c r="AM115" i="3"/>
  <c r="AL115" i="3"/>
  <c r="AK115" i="3"/>
  <c r="AI115" i="3"/>
  <c r="AH115" i="3"/>
  <c r="AG115" i="3"/>
  <c r="AF115" i="3"/>
  <c r="AE115" i="3"/>
  <c r="AD115" i="3"/>
  <c r="AC115" i="3"/>
  <c r="AB115" i="3"/>
  <c r="AA115" i="3"/>
  <c r="Y115" i="3"/>
  <c r="X115" i="3"/>
  <c r="W115" i="3"/>
  <c r="V115" i="3"/>
  <c r="T115" i="3"/>
  <c r="S115" i="3"/>
  <c r="R115" i="3"/>
  <c r="Q115" i="3"/>
  <c r="O115" i="3"/>
  <c r="N115" i="3"/>
  <c r="M115" i="3"/>
  <c r="L115" i="3"/>
  <c r="J115" i="3"/>
  <c r="I115" i="3"/>
  <c r="H115" i="3"/>
  <c r="G115" i="3"/>
  <c r="E115" i="3"/>
  <c r="BY114" i="3"/>
  <c r="BW114" i="3"/>
  <c r="BV114" i="3"/>
  <c r="BU114" i="3"/>
  <c r="BT114" i="3"/>
  <c r="BR114" i="3"/>
  <c r="BQ114" i="3"/>
  <c r="BP114" i="3"/>
  <c r="BO114" i="3"/>
  <c r="BM114" i="3"/>
  <c r="BL114" i="3"/>
  <c r="BK114" i="3"/>
  <c r="BJ114" i="3"/>
  <c r="BH114" i="3"/>
  <c r="BG114" i="3"/>
  <c r="BF114" i="3"/>
  <c r="BE114" i="3"/>
  <c r="BC114" i="3"/>
  <c r="BB114" i="3"/>
  <c r="BA114" i="3"/>
  <c r="AZ114" i="3"/>
  <c r="AX114" i="3"/>
  <c r="AW114" i="3"/>
  <c r="AV114" i="3"/>
  <c r="AU114" i="3"/>
  <c r="AS114" i="3"/>
  <c r="AR114" i="3"/>
  <c r="AQ114" i="3"/>
  <c r="AP114" i="3"/>
  <c r="AN114" i="3"/>
  <c r="AM114" i="3"/>
  <c r="AL114" i="3"/>
  <c r="AK114" i="3"/>
  <c r="AI114" i="3"/>
  <c r="AH114" i="3"/>
  <c r="AG114" i="3"/>
  <c r="AF114" i="3"/>
  <c r="AD114" i="3"/>
  <c r="AC114" i="3"/>
  <c r="AB114" i="3"/>
  <c r="AA114" i="3"/>
  <c r="Y114" i="3"/>
  <c r="X114" i="3"/>
  <c r="W114" i="3"/>
  <c r="V114" i="3"/>
  <c r="T114" i="3"/>
  <c r="S114" i="3"/>
  <c r="O114" i="3"/>
  <c r="N114" i="3"/>
  <c r="M114" i="3"/>
  <c r="L114" i="3"/>
  <c r="J114" i="3"/>
  <c r="I114" i="3"/>
  <c r="H114" i="3"/>
  <c r="G114" i="3"/>
  <c r="E114" i="3"/>
  <c r="D114" i="3"/>
  <c r="C114" i="3"/>
  <c r="B114" i="3"/>
  <c r="BY109" i="3"/>
  <c r="BY110" i="3" s="1"/>
  <c r="BW109" i="3"/>
  <c r="BW110" i="3" s="1"/>
  <c r="BV109" i="3"/>
  <c r="BV110" i="3" s="1"/>
  <c r="BU109" i="3"/>
  <c r="BU110" i="3" s="1"/>
  <c r="BT109" i="3"/>
  <c r="BT110" i="3" s="1"/>
  <c r="BR109" i="3"/>
  <c r="BR110" i="3" s="1"/>
  <c r="BQ109" i="3"/>
  <c r="BQ110" i="3" s="1"/>
  <c r="BP109" i="3"/>
  <c r="BP110" i="3" s="1"/>
  <c r="BO109" i="3"/>
  <c r="BO110" i="3" s="1"/>
  <c r="BM109" i="3"/>
  <c r="BL109" i="3"/>
  <c r="BL110" i="3" s="1"/>
  <c r="BK109" i="3"/>
  <c r="BK110" i="3" s="1"/>
  <c r="BJ109" i="3"/>
  <c r="BJ110" i="3" s="1"/>
  <c r="BH109" i="3"/>
  <c r="BG109" i="3"/>
  <c r="BG110" i="3" s="1"/>
  <c r="BF109" i="3"/>
  <c r="BF110" i="3" s="1"/>
  <c r="BE109" i="3"/>
  <c r="BE110" i="3" s="1"/>
  <c r="BC109" i="3"/>
  <c r="BC110" i="3" s="1"/>
  <c r="BB109" i="3"/>
  <c r="BB110" i="3" s="1"/>
  <c r="BA109" i="3"/>
  <c r="BA110" i="3" s="1"/>
  <c r="AZ109" i="3"/>
  <c r="AZ110" i="3" s="1"/>
  <c r="AX109" i="3"/>
  <c r="AY109" i="3" s="1"/>
  <c r="AW109" i="3"/>
  <c r="AW110" i="3" s="1"/>
  <c r="AV109" i="3"/>
  <c r="AV110" i="3" s="1"/>
  <c r="AU109" i="3"/>
  <c r="AU110" i="3" s="1"/>
  <c r="AS109" i="3"/>
  <c r="AT109" i="3" s="1"/>
  <c r="AR109" i="3"/>
  <c r="AR110" i="3" s="1"/>
  <c r="AQ109" i="3"/>
  <c r="AQ110" i="3" s="1"/>
  <c r="AP109" i="3"/>
  <c r="AP110" i="3" s="1"/>
  <c r="AN109" i="3"/>
  <c r="AM109" i="3"/>
  <c r="AM110" i="3" s="1"/>
  <c r="AL109" i="3"/>
  <c r="AL110" i="3" s="1"/>
  <c r="AK109" i="3"/>
  <c r="AK110" i="3" s="1"/>
  <c r="AI109" i="3"/>
  <c r="AH109" i="3"/>
  <c r="AH110" i="3" s="1"/>
  <c r="AG109" i="3"/>
  <c r="AG110" i="3" s="1"/>
  <c r="AF109" i="3"/>
  <c r="AF110" i="3" s="1"/>
  <c r="AD109" i="3"/>
  <c r="AD110" i="3" s="1"/>
  <c r="AC109" i="3"/>
  <c r="AC110" i="3" s="1"/>
  <c r="AB109" i="3"/>
  <c r="AB110" i="3" s="1"/>
  <c r="AA109" i="3"/>
  <c r="AA110" i="3" s="1"/>
  <c r="Y109" i="3"/>
  <c r="Y110" i="3" s="1"/>
  <c r="X109" i="3"/>
  <c r="X110" i="3" s="1"/>
  <c r="W109" i="3"/>
  <c r="W110" i="3" s="1"/>
  <c r="V109" i="3"/>
  <c r="V110" i="3" s="1"/>
  <c r="T109" i="3"/>
  <c r="T110" i="3" s="1"/>
  <c r="S109" i="3"/>
  <c r="S110" i="3" s="1"/>
  <c r="R109" i="3"/>
  <c r="R110" i="3" s="1"/>
  <c r="Q109" i="3"/>
  <c r="Q110" i="3" s="1"/>
  <c r="O109" i="3"/>
  <c r="N109" i="3"/>
  <c r="N110" i="3" s="1"/>
  <c r="M109" i="3"/>
  <c r="M110" i="3" s="1"/>
  <c r="L109" i="3"/>
  <c r="L110" i="3" s="1"/>
  <c r="J109" i="3"/>
  <c r="J110" i="3" s="1"/>
  <c r="I109" i="3"/>
  <c r="I110" i="3" s="1"/>
  <c r="H109" i="3"/>
  <c r="H110" i="3" s="1"/>
  <c r="G109" i="3"/>
  <c r="G110" i="3" s="1"/>
  <c r="E109" i="3"/>
  <c r="E110" i="3" s="1"/>
  <c r="D109" i="3"/>
  <c r="D110" i="3" s="1"/>
  <c r="C109" i="3"/>
  <c r="C110" i="3" s="1"/>
  <c r="B109" i="3"/>
  <c r="B110" i="3" s="1"/>
  <c r="BY105" i="3"/>
  <c r="BY106" i="3" s="1"/>
  <c r="BW105" i="3"/>
  <c r="BW106" i="3" s="1"/>
  <c r="BV105" i="3"/>
  <c r="BV106" i="3" s="1"/>
  <c r="BU105" i="3"/>
  <c r="BU106" i="3" s="1"/>
  <c r="BT105" i="3"/>
  <c r="BT106" i="3" s="1"/>
  <c r="BR105" i="3"/>
  <c r="BR106" i="3" s="1"/>
  <c r="BQ105" i="3"/>
  <c r="BQ106" i="3" s="1"/>
  <c r="BP105" i="3"/>
  <c r="BP106" i="3" s="1"/>
  <c r="BO105" i="3"/>
  <c r="BO106" i="3" s="1"/>
  <c r="BM105" i="3"/>
  <c r="BM106" i="3" s="1"/>
  <c r="BL105" i="3"/>
  <c r="BL106" i="3" s="1"/>
  <c r="BK105" i="3"/>
  <c r="BK106" i="3" s="1"/>
  <c r="BJ105" i="3"/>
  <c r="BJ106" i="3" s="1"/>
  <c r="BH105" i="3"/>
  <c r="BG105" i="3"/>
  <c r="BG106" i="3" s="1"/>
  <c r="BF105" i="3"/>
  <c r="BF106" i="3" s="1"/>
  <c r="BE105" i="3"/>
  <c r="BE106" i="3" s="1"/>
  <c r="BC105" i="3"/>
  <c r="BD105" i="3" s="1"/>
  <c r="BB105" i="3"/>
  <c r="BB106" i="3" s="1"/>
  <c r="BA105" i="3"/>
  <c r="BA106" i="3" s="1"/>
  <c r="AZ105" i="3"/>
  <c r="AZ106" i="3" s="1"/>
  <c r="AX105" i="3"/>
  <c r="AY105" i="3" s="1"/>
  <c r="AW105" i="3"/>
  <c r="AW106" i="3" s="1"/>
  <c r="AV105" i="3"/>
  <c r="AV106" i="3" s="1"/>
  <c r="AU105" i="3"/>
  <c r="AU106" i="3" s="1"/>
  <c r="AS105" i="3"/>
  <c r="AT105" i="3" s="1"/>
  <c r="AT106" i="3" s="1"/>
  <c r="AR105" i="3"/>
  <c r="AR106" i="3" s="1"/>
  <c r="AQ105" i="3"/>
  <c r="AQ106" i="3" s="1"/>
  <c r="AP105" i="3"/>
  <c r="AP106" i="3" s="1"/>
  <c r="AN105" i="3"/>
  <c r="AO105" i="3" s="1"/>
  <c r="AO106" i="3" s="1"/>
  <c r="AM105" i="3"/>
  <c r="AM106" i="3" s="1"/>
  <c r="AL105" i="3"/>
  <c r="AL106" i="3" s="1"/>
  <c r="AK105" i="3"/>
  <c r="AK106" i="3" s="1"/>
  <c r="AI105" i="3"/>
  <c r="AH105" i="3"/>
  <c r="AH106" i="3" s="1"/>
  <c r="AG105" i="3"/>
  <c r="AG106" i="3" s="1"/>
  <c r="AF105" i="3"/>
  <c r="AF106" i="3" s="1"/>
  <c r="AD105" i="3"/>
  <c r="AD106" i="3" s="1"/>
  <c r="AC105" i="3"/>
  <c r="AC106" i="3" s="1"/>
  <c r="AB105" i="3"/>
  <c r="AB106" i="3" s="1"/>
  <c r="AA105" i="3"/>
  <c r="AA106" i="3" s="1"/>
  <c r="Y105" i="3"/>
  <c r="Y106" i="3" s="1"/>
  <c r="X105" i="3"/>
  <c r="X106" i="3" s="1"/>
  <c r="W105" i="3"/>
  <c r="W106" i="3" s="1"/>
  <c r="V105" i="3"/>
  <c r="V106" i="3" s="1"/>
  <c r="T105" i="3"/>
  <c r="U105" i="3" s="1"/>
  <c r="U106" i="3" s="1"/>
  <c r="S105" i="3"/>
  <c r="S106" i="3" s="1"/>
  <c r="R105" i="3"/>
  <c r="R106" i="3" s="1"/>
  <c r="Q105" i="3"/>
  <c r="Q106" i="3" s="1"/>
  <c r="O105" i="3"/>
  <c r="P105" i="3" s="1"/>
  <c r="P106" i="3" s="1"/>
  <c r="N105" i="3"/>
  <c r="N106" i="3" s="1"/>
  <c r="M105" i="3"/>
  <c r="M106" i="3" s="1"/>
  <c r="D105" i="3"/>
  <c r="D106" i="3" s="1"/>
  <c r="C105" i="3"/>
  <c r="C106" i="3" s="1"/>
  <c r="B105" i="3"/>
  <c r="B106" i="3" s="1"/>
  <c r="BY97" i="3"/>
  <c r="BW97" i="3"/>
  <c r="BV97" i="3"/>
  <c r="BU97" i="3"/>
  <c r="BT97" i="3"/>
  <c r="BR97" i="3"/>
  <c r="BQ97" i="3"/>
  <c r="BP97" i="3"/>
  <c r="BO97" i="3"/>
  <c r="BM97" i="3"/>
  <c r="BL97" i="3"/>
  <c r="BK97" i="3"/>
  <c r="BJ97" i="3"/>
  <c r="BH97" i="3"/>
  <c r="BG97" i="3"/>
  <c r="BF97" i="3"/>
  <c r="BE97" i="3"/>
  <c r="BC97" i="3"/>
  <c r="BB97" i="3"/>
  <c r="BA97" i="3"/>
  <c r="AZ97" i="3"/>
  <c r="AX97" i="3"/>
  <c r="AW97" i="3"/>
  <c r="AV97" i="3"/>
  <c r="AU97" i="3"/>
  <c r="AS97" i="3"/>
  <c r="AR97" i="3"/>
  <c r="AQ97" i="3"/>
  <c r="AP97" i="3"/>
  <c r="AN97" i="3"/>
  <c r="AM97" i="3"/>
  <c r="AL97" i="3"/>
  <c r="AK97" i="3"/>
  <c r="AI97" i="3"/>
  <c r="AH97" i="3"/>
  <c r="AG97" i="3"/>
  <c r="AF97" i="3"/>
  <c r="AD97" i="3"/>
  <c r="AC97" i="3"/>
  <c r="AB97" i="3"/>
  <c r="AA97" i="3"/>
  <c r="Y97" i="3"/>
  <c r="X97" i="3"/>
  <c r="W97" i="3"/>
  <c r="V97" i="3"/>
  <c r="T97" i="3"/>
  <c r="S97" i="3"/>
  <c r="R97" i="3"/>
  <c r="Q97" i="3"/>
  <c r="O97" i="3"/>
  <c r="N97" i="3"/>
  <c r="M97" i="3"/>
  <c r="L97" i="3"/>
  <c r="J97" i="3"/>
  <c r="I97" i="3"/>
  <c r="H97" i="3"/>
  <c r="G97" i="3"/>
  <c r="E97" i="3"/>
  <c r="D97" i="3"/>
  <c r="C97" i="3"/>
  <c r="B97" i="3"/>
  <c r="I78" i="3"/>
  <c r="DB74" i="3"/>
  <c r="CW74" i="3"/>
  <c r="CR74" i="3"/>
  <c r="CM74" i="3"/>
  <c r="CH74" i="3"/>
  <c r="CC74" i="3"/>
  <c r="BX74" i="3"/>
  <c r="BS74" i="3"/>
  <c r="BN74" i="3"/>
  <c r="BI74" i="3"/>
  <c r="BD74" i="3"/>
  <c r="AY74" i="3"/>
  <c r="AT74" i="3"/>
  <c r="AO74" i="3"/>
  <c r="AJ74" i="3"/>
  <c r="AE74" i="3"/>
  <c r="Z74" i="3"/>
  <c r="U74" i="3"/>
  <c r="P74" i="3"/>
  <c r="K74" i="3"/>
  <c r="F74" i="3"/>
  <c r="BX73" i="3"/>
  <c r="BS73" i="3"/>
  <c r="BN73" i="3"/>
  <c r="BI73" i="3"/>
  <c r="BD73" i="3"/>
  <c r="AY73" i="3"/>
  <c r="AT73" i="3"/>
  <c r="AO73" i="3"/>
  <c r="AJ73" i="3"/>
  <c r="AE73" i="3"/>
  <c r="Z73" i="3"/>
  <c r="U73" i="3"/>
  <c r="P73" i="3"/>
  <c r="K73" i="3"/>
  <c r="F73" i="3"/>
  <c r="DA72" i="3"/>
  <c r="CZ72" i="3"/>
  <c r="CV72" i="3"/>
  <c r="CU72" i="3"/>
  <c r="CQ72" i="3"/>
  <c r="CP72" i="3"/>
  <c r="CL72" i="3"/>
  <c r="CK72" i="3"/>
  <c r="CG72" i="3"/>
  <c r="CF72" i="3"/>
  <c r="BX72" i="3"/>
  <c r="BS72" i="3"/>
  <c r="BN72" i="3"/>
  <c r="BI72" i="3"/>
  <c r="BD72" i="3"/>
  <c r="AY72" i="3"/>
  <c r="AT72" i="3"/>
  <c r="AO72" i="3"/>
  <c r="AJ72" i="3"/>
  <c r="AE72" i="3"/>
  <c r="Z72" i="3"/>
  <c r="U72" i="3"/>
  <c r="P72" i="3"/>
  <c r="K72" i="3"/>
  <c r="F72" i="3"/>
  <c r="DB62" i="3"/>
  <c r="CW62" i="3"/>
  <c r="CR62" i="3"/>
  <c r="CM62" i="3"/>
  <c r="CH62" i="3"/>
  <c r="CC62" i="3"/>
  <c r="BX62" i="3"/>
  <c r="BS62" i="3"/>
  <c r="BN62" i="3"/>
  <c r="BI62" i="3"/>
  <c r="BD62" i="3"/>
  <c r="AY62" i="3"/>
  <c r="AT62" i="3"/>
  <c r="AO62" i="3"/>
  <c r="AJ62" i="3"/>
  <c r="AE62" i="3"/>
  <c r="Z62" i="3"/>
  <c r="U62" i="3"/>
  <c r="P62" i="3"/>
  <c r="K62" i="3"/>
  <c r="F62" i="3"/>
  <c r="BY59" i="3"/>
  <c r="BZ60" i="3" s="1"/>
  <c r="BZ61" i="3" s="1"/>
  <c r="BZ63" i="3" s="1"/>
  <c r="BW59" i="3"/>
  <c r="BV59" i="3"/>
  <c r="BU59" i="3"/>
  <c r="BT59" i="3"/>
  <c r="BR59" i="3"/>
  <c r="BQ59" i="3"/>
  <c r="BP59" i="3"/>
  <c r="BO59" i="3"/>
  <c r="BM59" i="3"/>
  <c r="BL59" i="3"/>
  <c r="BK59" i="3"/>
  <c r="BJ59" i="3"/>
  <c r="BH59" i="3"/>
  <c r="BG59" i="3"/>
  <c r="BF59" i="3"/>
  <c r="BE59" i="3"/>
  <c r="BC59" i="3"/>
  <c r="BB59" i="3"/>
  <c r="BA59" i="3"/>
  <c r="AZ59" i="3"/>
  <c r="AX59" i="3"/>
  <c r="AW59" i="3"/>
  <c r="AV59" i="3"/>
  <c r="AU59" i="3"/>
  <c r="AS59" i="3"/>
  <c r="AR59" i="3"/>
  <c r="AQ59" i="3"/>
  <c r="AP59" i="3"/>
  <c r="AN59" i="3"/>
  <c r="AM59" i="3"/>
  <c r="AL59" i="3"/>
  <c r="AK59" i="3"/>
  <c r="AI59" i="3"/>
  <c r="AH59" i="3"/>
  <c r="AG59" i="3"/>
  <c r="AF59" i="3"/>
  <c r="AD59" i="3"/>
  <c r="AC59" i="3"/>
  <c r="AB59" i="3"/>
  <c r="AA59" i="3"/>
  <c r="Y59" i="3"/>
  <c r="X59" i="3"/>
  <c r="W59" i="3"/>
  <c r="V59" i="3"/>
  <c r="T59" i="3"/>
  <c r="S59" i="3"/>
  <c r="R59" i="3"/>
  <c r="Q59" i="3"/>
  <c r="O59" i="3"/>
  <c r="N59" i="3"/>
  <c r="M59" i="3"/>
  <c r="L59" i="3"/>
  <c r="J59" i="3"/>
  <c r="I59" i="3"/>
  <c r="H59" i="3"/>
  <c r="G59" i="3"/>
  <c r="E59" i="3"/>
  <c r="D59" i="3"/>
  <c r="C59" i="3"/>
  <c r="B59" i="3"/>
  <c r="BY58" i="3"/>
  <c r="BW58" i="3"/>
  <c r="BV58" i="3"/>
  <c r="BU58" i="3"/>
  <c r="BT58" i="3"/>
  <c r="BR58" i="3"/>
  <c r="BQ58" i="3"/>
  <c r="BP58" i="3"/>
  <c r="BO58" i="3"/>
  <c r="BM58" i="3"/>
  <c r="BL58" i="3"/>
  <c r="BK58" i="3"/>
  <c r="BJ58" i="3"/>
  <c r="BH58" i="3"/>
  <c r="BG58" i="3"/>
  <c r="BF58" i="3"/>
  <c r="BE58" i="3"/>
  <c r="BC58" i="3"/>
  <c r="BB58" i="3"/>
  <c r="BA58" i="3"/>
  <c r="AZ58" i="3"/>
  <c r="AX58" i="3"/>
  <c r="AW58" i="3"/>
  <c r="AV58" i="3"/>
  <c r="AU58" i="3"/>
  <c r="AS58" i="3"/>
  <c r="AR58" i="3"/>
  <c r="AQ58" i="3"/>
  <c r="AP58" i="3"/>
  <c r="AN58" i="3"/>
  <c r="AM58" i="3"/>
  <c r="AL58" i="3"/>
  <c r="AK58" i="3"/>
  <c r="AI58" i="3"/>
  <c r="AH58" i="3"/>
  <c r="AG58" i="3"/>
  <c r="AF58" i="3"/>
  <c r="AD58" i="3"/>
  <c r="AC58" i="3"/>
  <c r="AB58" i="3"/>
  <c r="AA58" i="3"/>
  <c r="Y58" i="3"/>
  <c r="X58" i="3"/>
  <c r="W58" i="3"/>
  <c r="V58" i="3"/>
  <c r="T58" i="3"/>
  <c r="S58" i="3"/>
  <c r="R58" i="3"/>
  <c r="Q58" i="3"/>
  <c r="O58" i="3"/>
  <c r="N58" i="3"/>
  <c r="M58" i="3"/>
  <c r="L58" i="3"/>
  <c r="J58" i="3"/>
  <c r="H58" i="3"/>
  <c r="G58" i="3"/>
  <c r="E58" i="3"/>
  <c r="D58" i="3"/>
  <c r="C58" i="3"/>
  <c r="B58" i="3"/>
  <c r="G54" i="3"/>
  <c r="E54" i="3"/>
  <c r="AM52" i="3"/>
  <c r="AL52" i="3"/>
  <c r="AK52" i="3"/>
  <c r="AI52" i="3"/>
  <c r="AH52" i="3"/>
  <c r="AG52" i="3"/>
  <c r="AF52" i="3"/>
  <c r="AD52" i="3"/>
  <c r="AC52" i="3"/>
  <c r="AB52" i="3"/>
  <c r="AA52" i="3"/>
  <c r="Y52" i="3"/>
  <c r="X52" i="3"/>
  <c r="W52" i="3"/>
  <c r="V52" i="3"/>
  <c r="T52" i="3"/>
  <c r="U52" i="3" s="1"/>
  <c r="S52" i="3"/>
  <c r="R52" i="3"/>
  <c r="O52" i="3"/>
  <c r="P52" i="3" s="1"/>
  <c r="M52" i="3"/>
  <c r="G52" i="3"/>
  <c r="E52" i="3"/>
  <c r="F52" i="3" s="1"/>
  <c r="D52" i="3"/>
  <c r="C52" i="3"/>
  <c r="B52" i="3"/>
  <c r="X49" i="3"/>
  <c r="W49" i="3"/>
  <c r="V49" i="3"/>
  <c r="BY47" i="3"/>
  <c r="BW47" i="3"/>
  <c r="BV47" i="3"/>
  <c r="BU47" i="3"/>
  <c r="BT47" i="3"/>
  <c r="BR47" i="3"/>
  <c r="BS47" i="3" s="1"/>
  <c r="BQ47" i="3"/>
  <c r="BP47" i="3"/>
  <c r="BO47" i="3"/>
  <c r="BM47" i="3"/>
  <c r="BN47" i="3" s="1"/>
  <c r="BL47" i="3"/>
  <c r="BK47" i="3"/>
  <c r="BJ47" i="3"/>
  <c r="BH47" i="3"/>
  <c r="BI47" i="3" s="1"/>
  <c r="BG47" i="3"/>
  <c r="BF47" i="3"/>
  <c r="BE47" i="3"/>
  <c r="BC47" i="3"/>
  <c r="BD47" i="3" s="1"/>
  <c r="BB47" i="3"/>
  <c r="BA47" i="3"/>
  <c r="AZ47" i="3"/>
  <c r="AX47" i="3"/>
  <c r="AY47" i="3" s="1"/>
  <c r="AW47" i="3"/>
  <c r="AV47" i="3"/>
  <c r="AU47" i="3"/>
  <c r="AS47" i="3"/>
  <c r="AT47" i="3" s="1"/>
  <c r="AR47" i="3"/>
  <c r="AQ47" i="3"/>
  <c r="AP47" i="3"/>
  <c r="AN47" i="3"/>
  <c r="AO47" i="3" s="1"/>
  <c r="AM47" i="3"/>
  <c r="AL47" i="3"/>
  <c r="AK47" i="3"/>
  <c r="AI47" i="3"/>
  <c r="AJ47" i="3" s="1"/>
  <c r="AH47" i="3"/>
  <c r="AG47" i="3"/>
  <c r="AF47" i="3"/>
  <c r="AD47" i="3"/>
  <c r="AE47" i="3" s="1"/>
  <c r="AC47" i="3"/>
  <c r="AB47" i="3"/>
  <c r="AA47" i="3"/>
  <c r="Y47" i="3"/>
  <c r="Z47" i="3" s="1"/>
  <c r="X47" i="3"/>
  <c r="W47" i="3"/>
  <c r="V47" i="3"/>
  <c r="T47" i="3"/>
  <c r="U47" i="3" s="1"/>
  <c r="R47" i="3"/>
  <c r="Q47" i="3"/>
  <c r="O47" i="3"/>
  <c r="P47" i="3" s="1"/>
  <c r="M47" i="3"/>
  <c r="L47" i="3"/>
  <c r="J47" i="3"/>
  <c r="K47" i="3" s="1"/>
  <c r="I47" i="3"/>
  <c r="I43" i="3" s="1"/>
  <c r="H47" i="3"/>
  <c r="G47" i="3"/>
  <c r="E47" i="3"/>
  <c r="E43" i="3" s="1"/>
  <c r="D47" i="3"/>
  <c r="D43" i="3" s="1"/>
  <c r="C47" i="3"/>
  <c r="C43" i="3" s="1"/>
  <c r="B47" i="3"/>
  <c r="B43" i="3" s="1"/>
  <c r="BX46" i="3"/>
  <c r="BS46" i="3"/>
  <c r="BN46" i="3"/>
  <c r="BI46" i="3"/>
  <c r="BD46" i="3"/>
  <c r="AY46" i="3"/>
  <c r="AT46" i="3"/>
  <c r="AO46" i="3"/>
  <c r="AJ46" i="3"/>
  <c r="AE46" i="3"/>
  <c r="Z46" i="3"/>
  <c r="U46" i="3"/>
  <c r="R46" i="3"/>
  <c r="P46" i="3"/>
  <c r="K46" i="3"/>
  <c r="F46" i="3"/>
  <c r="CC45" i="3"/>
  <c r="CF45" i="3" s="1"/>
  <c r="CG45" i="3" s="1"/>
  <c r="CH45" i="3" s="1"/>
  <c r="CI45" i="3" s="1"/>
  <c r="CJ45" i="3" s="1"/>
  <c r="CK45" i="3" s="1"/>
  <c r="CL45" i="3" s="1"/>
  <c r="CM45" i="3" s="1"/>
  <c r="CN45" i="3" s="1"/>
  <c r="CO45" i="3" s="1"/>
  <c r="CP45" i="3" s="1"/>
  <c r="CQ45" i="3" s="1"/>
  <c r="CR45" i="3" s="1"/>
  <c r="CS45" i="3" s="1"/>
  <c r="CT45" i="3" s="1"/>
  <c r="CU45" i="3" s="1"/>
  <c r="CV45" i="3" s="1"/>
  <c r="CW45" i="3" s="1"/>
  <c r="CX45" i="3" s="1"/>
  <c r="CY45" i="3" s="1"/>
  <c r="CZ45" i="3" s="1"/>
  <c r="DA45" i="3" s="1"/>
  <c r="DB45" i="3" s="1"/>
  <c r="BX45" i="3"/>
  <c r="BS45" i="3"/>
  <c r="BN45" i="3"/>
  <c r="BI45" i="3"/>
  <c r="BD45" i="3"/>
  <c r="AY45" i="3"/>
  <c r="AT45" i="3"/>
  <c r="AQ45" i="3"/>
  <c r="AO45" i="3"/>
  <c r="AJ45" i="3"/>
  <c r="AE45" i="3"/>
  <c r="Z45" i="3"/>
  <c r="U45" i="3"/>
  <c r="R45" i="3"/>
  <c r="P45" i="3"/>
  <c r="K45" i="3"/>
  <c r="F45" i="3"/>
  <c r="BY44" i="3"/>
  <c r="BW44" i="3"/>
  <c r="BX44" i="3" s="1"/>
  <c r="BV44" i="3"/>
  <c r="BU44" i="3"/>
  <c r="BU43" i="3" s="1"/>
  <c r="BT44" i="3"/>
  <c r="BT43" i="3" s="1"/>
  <c r="BR44" i="3"/>
  <c r="BQ44" i="3"/>
  <c r="BP44" i="3"/>
  <c r="BO44" i="3"/>
  <c r="BM44" i="3"/>
  <c r="BL44" i="3"/>
  <c r="BK44" i="3"/>
  <c r="BJ44" i="3"/>
  <c r="BH44" i="3"/>
  <c r="BI44" i="3" s="1"/>
  <c r="BG44" i="3"/>
  <c r="BF44" i="3"/>
  <c r="BE44" i="3"/>
  <c r="BC44" i="3"/>
  <c r="BB44" i="3"/>
  <c r="BA44" i="3"/>
  <c r="AZ44" i="3"/>
  <c r="AX44" i="3"/>
  <c r="AW44" i="3"/>
  <c r="AV44" i="3"/>
  <c r="AU44" i="3"/>
  <c r="AS44" i="3"/>
  <c r="AT44" i="3" s="1"/>
  <c r="AR44" i="3"/>
  <c r="AR43" i="3" s="1"/>
  <c r="AQ44" i="3"/>
  <c r="AP44" i="3"/>
  <c r="AN44" i="3"/>
  <c r="AM44" i="3"/>
  <c r="AM43" i="3" s="1"/>
  <c r="AL44" i="3"/>
  <c r="AK44" i="3"/>
  <c r="AI44" i="3"/>
  <c r="AJ44" i="3" s="1"/>
  <c r="AH44" i="3"/>
  <c r="AG44" i="3"/>
  <c r="AF44" i="3"/>
  <c r="AD44" i="3"/>
  <c r="AC44" i="3"/>
  <c r="AB44" i="3"/>
  <c r="AA44" i="3"/>
  <c r="Y44" i="3"/>
  <c r="Y43" i="3" s="1"/>
  <c r="X44" i="3"/>
  <c r="W44" i="3"/>
  <c r="V44" i="3"/>
  <c r="T44" i="3"/>
  <c r="U44" i="3" s="1"/>
  <c r="S44" i="3"/>
  <c r="S47" i="3" s="1"/>
  <c r="S43" i="3" s="1"/>
  <c r="R44" i="3"/>
  <c r="Q44" i="3"/>
  <c r="O44" i="3"/>
  <c r="N44" i="3"/>
  <c r="N47" i="3" s="1"/>
  <c r="N43" i="3" s="1"/>
  <c r="M44" i="3"/>
  <c r="L44" i="3"/>
  <c r="L43" i="3" s="1"/>
  <c r="J44" i="3"/>
  <c r="H44" i="3"/>
  <c r="G44" i="3"/>
  <c r="F44" i="3"/>
  <c r="BX42" i="3"/>
  <c r="BS42" i="3"/>
  <c r="BN42" i="3"/>
  <c r="BI42" i="3"/>
  <c r="BD42" i="3"/>
  <c r="AY42" i="3"/>
  <c r="AT42" i="3"/>
  <c r="AO42" i="3"/>
  <c r="AJ42" i="3"/>
  <c r="AE42" i="3"/>
  <c r="Z42" i="3"/>
  <c r="U42" i="3"/>
  <c r="P42" i="3"/>
  <c r="K42" i="3"/>
  <c r="F42" i="3"/>
  <c r="F41" i="3"/>
  <c r="D41" i="3"/>
  <c r="C41" i="3"/>
  <c r="B41" i="3"/>
  <c r="CC40" i="3"/>
  <c r="CF40" i="3" s="1"/>
  <c r="CG40" i="3" s="1"/>
  <c r="CH40" i="3" s="1"/>
  <c r="CI40" i="3" s="1"/>
  <c r="CJ40" i="3" s="1"/>
  <c r="CK40" i="3" s="1"/>
  <c r="CL40" i="3" s="1"/>
  <c r="CM40" i="3" s="1"/>
  <c r="CN40" i="3" s="1"/>
  <c r="CO40" i="3" s="1"/>
  <c r="CP40" i="3" s="1"/>
  <c r="CQ40" i="3" s="1"/>
  <c r="CR40" i="3" s="1"/>
  <c r="CS40" i="3" s="1"/>
  <c r="CT40" i="3" s="1"/>
  <c r="CU40" i="3" s="1"/>
  <c r="CV40" i="3" s="1"/>
  <c r="CW40" i="3" s="1"/>
  <c r="CX40" i="3" s="1"/>
  <c r="CY40" i="3" s="1"/>
  <c r="CZ40" i="3" s="1"/>
  <c r="DA40" i="3" s="1"/>
  <c r="DB40" i="3" s="1"/>
  <c r="BY40" i="3"/>
  <c r="BX40" i="3"/>
  <c r="BV40" i="3"/>
  <c r="BU40" i="3"/>
  <c r="BT40" i="3"/>
  <c r="BR40" i="3"/>
  <c r="BS40" i="3" s="1"/>
  <c r="BQ40" i="3"/>
  <c r="BP40" i="3"/>
  <c r="BO40" i="3"/>
  <c r="BM40" i="3"/>
  <c r="BN40" i="3" s="1"/>
  <c r="BL40" i="3"/>
  <c r="BK40" i="3"/>
  <c r="BJ40" i="3"/>
  <c r="BH40" i="3"/>
  <c r="BI40" i="3" s="1"/>
  <c r="BG40" i="3"/>
  <c r="BF40" i="3"/>
  <c r="BE40" i="3"/>
  <c r="BC40" i="3"/>
  <c r="BD40" i="3" s="1"/>
  <c r="BB40" i="3"/>
  <c r="BA40" i="3"/>
  <c r="AZ40" i="3"/>
  <c r="AX40" i="3"/>
  <c r="AY40" i="3" s="1"/>
  <c r="AW40" i="3"/>
  <c r="AV40" i="3"/>
  <c r="AU40" i="3"/>
  <c r="AS40" i="3"/>
  <c r="AT40" i="3" s="1"/>
  <c r="AR40" i="3"/>
  <c r="AQ40" i="3"/>
  <c r="AP40" i="3"/>
  <c r="AN40" i="3"/>
  <c r="AO40" i="3" s="1"/>
  <c r="AM40" i="3"/>
  <c r="AL40" i="3"/>
  <c r="AK40" i="3"/>
  <c r="AI40" i="3"/>
  <c r="AH40" i="3"/>
  <c r="AG40" i="3"/>
  <c r="AF40" i="3"/>
  <c r="AD40" i="3"/>
  <c r="AE40" i="3" s="1"/>
  <c r="AC40" i="3"/>
  <c r="AB40" i="3"/>
  <c r="AA40" i="3"/>
  <c r="Y40" i="3"/>
  <c r="Z40" i="3" s="1"/>
  <c r="X40" i="3"/>
  <c r="W40" i="3"/>
  <c r="V40" i="3"/>
  <c r="T40" i="3"/>
  <c r="U40" i="3" s="1"/>
  <c r="S40" i="3"/>
  <c r="R40" i="3"/>
  <c r="R33" i="3" s="1"/>
  <c r="O40" i="3"/>
  <c r="O33" i="3" s="1"/>
  <c r="C40" i="3"/>
  <c r="D40" i="3" s="1"/>
  <c r="E40" i="3" s="1"/>
  <c r="F40" i="3" s="1"/>
  <c r="G40" i="3" s="1"/>
  <c r="H40" i="3" s="1"/>
  <c r="I40" i="3" s="1"/>
  <c r="J40" i="3" s="1"/>
  <c r="K40" i="3" s="1"/>
  <c r="L40" i="3" s="1"/>
  <c r="M40" i="3" s="1"/>
  <c r="N40" i="3" s="1"/>
  <c r="DB39" i="3"/>
  <c r="CW39" i="3"/>
  <c r="CR39" i="3"/>
  <c r="CM39" i="3"/>
  <c r="CH39" i="3"/>
  <c r="CC39" i="3"/>
  <c r="BX39" i="3"/>
  <c r="BS39" i="3"/>
  <c r="BN39" i="3"/>
  <c r="BI39" i="3"/>
  <c r="BD39" i="3"/>
  <c r="AY39" i="3"/>
  <c r="AT39" i="3"/>
  <c r="AO39" i="3"/>
  <c r="AJ39" i="3"/>
  <c r="AE39" i="3"/>
  <c r="Z39" i="3"/>
  <c r="V39" i="3"/>
  <c r="T39" i="3"/>
  <c r="U39" i="3" s="1"/>
  <c r="T55" i="2" s="1"/>
  <c r="P39" i="3"/>
  <c r="K39" i="3"/>
  <c r="F39" i="3"/>
  <c r="BY38" i="3"/>
  <c r="BW38" i="3"/>
  <c r="BX38" i="3" s="1"/>
  <c r="BV38" i="3"/>
  <c r="BU38" i="3"/>
  <c r="BT38" i="3"/>
  <c r="BR38" i="3"/>
  <c r="BS38" i="3" s="1"/>
  <c r="BQ38" i="3"/>
  <c r="BP38" i="3"/>
  <c r="BO38" i="3"/>
  <c r="BM38" i="3"/>
  <c r="BN38" i="3" s="1"/>
  <c r="BL38" i="3"/>
  <c r="BK38" i="3"/>
  <c r="BJ38" i="3"/>
  <c r="BH38" i="3"/>
  <c r="BI38" i="3" s="1"/>
  <c r="BG38" i="3"/>
  <c r="BF38" i="3"/>
  <c r="BE38" i="3"/>
  <c r="BC38" i="3"/>
  <c r="BD38" i="3" s="1"/>
  <c r="BB38" i="3"/>
  <c r="BA38" i="3"/>
  <c r="AZ38" i="3"/>
  <c r="AX38" i="3"/>
  <c r="AY38" i="3" s="1"/>
  <c r="AW38" i="3"/>
  <c r="AV38" i="3"/>
  <c r="AU38" i="3"/>
  <c r="AS38" i="3"/>
  <c r="AT38" i="3" s="1"/>
  <c r="AR38" i="3"/>
  <c r="AQ38" i="3"/>
  <c r="AP38" i="3"/>
  <c r="AN38" i="3"/>
  <c r="AO38" i="3" s="1"/>
  <c r="AM38" i="3"/>
  <c r="AL38" i="3"/>
  <c r="AK38" i="3"/>
  <c r="AI38" i="3"/>
  <c r="AJ38" i="3" s="1"/>
  <c r="AH38" i="3"/>
  <c r="AG38" i="3"/>
  <c r="AF38" i="3"/>
  <c r="AD38" i="3"/>
  <c r="AE38" i="3" s="1"/>
  <c r="AC38" i="3"/>
  <c r="AB38" i="3"/>
  <c r="AA38" i="3"/>
  <c r="Y38" i="3"/>
  <c r="Z38" i="3" s="1"/>
  <c r="X38" i="3"/>
  <c r="W38" i="3"/>
  <c r="V38" i="3"/>
  <c r="T38" i="3"/>
  <c r="U38" i="3" s="1"/>
  <c r="S38" i="3"/>
  <c r="R38" i="3"/>
  <c r="Q38" i="3"/>
  <c r="O38" i="3"/>
  <c r="P38" i="3" s="1"/>
  <c r="N38" i="3"/>
  <c r="M38" i="3"/>
  <c r="L38" i="3"/>
  <c r="J38" i="3"/>
  <c r="K38" i="3" s="1"/>
  <c r="I38" i="3"/>
  <c r="H38" i="3"/>
  <c r="G38" i="3"/>
  <c r="E38" i="3"/>
  <c r="F38" i="3" s="1"/>
  <c r="BY37" i="3"/>
  <c r="BY128" i="3" s="1"/>
  <c r="BW37" i="3"/>
  <c r="BW128" i="3" s="1"/>
  <c r="BV37" i="3"/>
  <c r="BV128" i="3" s="1"/>
  <c r="BU37" i="3"/>
  <c r="BU128" i="3" s="1"/>
  <c r="BT37" i="3"/>
  <c r="BT128" i="3" s="1"/>
  <c r="BR37" i="3"/>
  <c r="BQ37" i="3"/>
  <c r="BQ128" i="3" s="1"/>
  <c r="BP37" i="3"/>
  <c r="BP128" i="3" s="1"/>
  <c r="BP129" i="3" s="1"/>
  <c r="BO37" i="3"/>
  <c r="BO128" i="3" s="1"/>
  <c r="BM37" i="3"/>
  <c r="BM128" i="3" s="1"/>
  <c r="BL37" i="3"/>
  <c r="BL128" i="3" s="1"/>
  <c r="BK37" i="3"/>
  <c r="BK128" i="3" s="1"/>
  <c r="BJ37" i="3"/>
  <c r="BJ128" i="3" s="1"/>
  <c r="BH37" i="3"/>
  <c r="BH128" i="3" s="1"/>
  <c r="BG37" i="3"/>
  <c r="BG128" i="3" s="1"/>
  <c r="BF37" i="3"/>
  <c r="BE37" i="3"/>
  <c r="BE128" i="3" s="1"/>
  <c r="BC37" i="3"/>
  <c r="BB37" i="3"/>
  <c r="BB128" i="3" s="1"/>
  <c r="BA37" i="3"/>
  <c r="BA128" i="3" s="1"/>
  <c r="AZ37" i="3"/>
  <c r="AZ128" i="3" s="1"/>
  <c r="AX37" i="3"/>
  <c r="AW37" i="3"/>
  <c r="AW128" i="3" s="1"/>
  <c r="AW129" i="3" s="1"/>
  <c r="AV37" i="3"/>
  <c r="AV128" i="3" s="1"/>
  <c r="AU37" i="3"/>
  <c r="AU128" i="3" s="1"/>
  <c r="AS37" i="3"/>
  <c r="AS128" i="3" s="1"/>
  <c r="AR37" i="3"/>
  <c r="AR128" i="3" s="1"/>
  <c r="AQ37" i="3"/>
  <c r="AQ128" i="3" s="1"/>
  <c r="AP37" i="3"/>
  <c r="AP128" i="3" s="1"/>
  <c r="AN37" i="3"/>
  <c r="AN128" i="3" s="1"/>
  <c r="AM37" i="3"/>
  <c r="AM128" i="3" s="1"/>
  <c r="AL37" i="3"/>
  <c r="AL128" i="3" s="1"/>
  <c r="AK37" i="3"/>
  <c r="AK128" i="3" s="1"/>
  <c r="AI37" i="3"/>
  <c r="AI128" i="3" s="1"/>
  <c r="AH37" i="3"/>
  <c r="AH128" i="3" s="1"/>
  <c r="AG37" i="3"/>
  <c r="AG128" i="3" s="1"/>
  <c r="AF37" i="3"/>
  <c r="AD37" i="3"/>
  <c r="AD128" i="3" s="1"/>
  <c r="AC37" i="3"/>
  <c r="AC128" i="3" s="1"/>
  <c r="AB37" i="3"/>
  <c r="AB128" i="3" s="1"/>
  <c r="AA37" i="3"/>
  <c r="AA128" i="3" s="1"/>
  <c r="Y37" i="3"/>
  <c r="Y128" i="3" s="1"/>
  <c r="X37" i="3"/>
  <c r="X128" i="3" s="1"/>
  <c r="W37" i="3"/>
  <c r="W128" i="3" s="1"/>
  <c r="V37" i="3"/>
  <c r="V128" i="3" s="1"/>
  <c r="T37" i="3"/>
  <c r="S37" i="3"/>
  <c r="S128" i="3" s="1"/>
  <c r="R37" i="3"/>
  <c r="R128" i="3" s="1"/>
  <c r="O37" i="3"/>
  <c r="O128" i="3" s="1"/>
  <c r="N37" i="3"/>
  <c r="N128" i="3" s="1"/>
  <c r="M37" i="3"/>
  <c r="M128" i="3" s="1"/>
  <c r="L37" i="3"/>
  <c r="L128" i="3" s="1"/>
  <c r="J37" i="3"/>
  <c r="J128" i="3" s="1"/>
  <c r="I37" i="3"/>
  <c r="I128" i="3" s="1"/>
  <c r="H37" i="3"/>
  <c r="H128" i="3" s="1"/>
  <c r="G37" i="3"/>
  <c r="G128" i="3" s="1"/>
  <c r="E37" i="3"/>
  <c r="BY36" i="3"/>
  <c r="BV36" i="3"/>
  <c r="BU36" i="3"/>
  <c r="BT36" i="3"/>
  <c r="BR36" i="3"/>
  <c r="BR111" i="3" s="1"/>
  <c r="BQ36" i="3"/>
  <c r="BP36" i="3"/>
  <c r="BO36" i="3"/>
  <c r="BM36" i="3"/>
  <c r="BL36" i="3"/>
  <c r="BK36" i="3"/>
  <c r="BJ36" i="3"/>
  <c r="BH36" i="3"/>
  <c r="BH111" i="3" s="1"/>
  <c r="BG36" i="3"/>
  <c r="BG111" i="3" s="1"/>
  <c r="BF36" i="3"/>
  <c r="BF111" i="3" s="1"/>
  <c r="BE36" i="3"/>
  <c r="BE111" i="3" s="1"/>
  <c r="BC36" i="3"/>
  <c r="BB36" i="3"/>
  <c r="BA36" i="3"/>
  <c r="AZ36" i="3"/>
  <c r="AX36" i="3"/>
  <c r="AW36" i="3"/>
  <c r="AV36" i="3"/>
  <c r="AU36" i="3"/>
  <c r="AS36" i="3"/>
  <c r="AR36" i="3"/>
  <c r="AQ36" i="3"/>
  <c r="AP36" i="3"/>
  <c r="AN36" i="3"/>
  <c r="AO36" i="3" s="1"/>
  <c r="AO111" i="3" s="1"/>
  <c r="AM36" i="3"/>
  <c r="AL36" i="3"/>
  <c r="AK36" i="3"/>
  <c r="AI36" i="3"/>
  <c r="AJ36" i="3" s="1"/>
  <c r="AJ111" i="3" s="1"/>
  <c r="AH36" i="3"/>
  <c r="AH111" i="3" s="1"/>
  <c r="AG36" i="3"/>
  <c r="AG111" i="3" s="1"/>
  <c r="AF36" i="3"/>
  <c r="AF111" i="3" s="1"/>
  <c r="AD36" i="3"/>
  <c r="AE36" i="3" s="1"/>
  <c r="AE111" i="3" s="1"/>
  <c r="AC36" i="3"/>
  <c r="AB36" i="3"/>
  <c r="AA36" i="3"/>
  <c r="Y36" i="3"/>
  <c r="X36" i="3"/>
  <c r="W36" i="3"/>
  <c r="V36" i="3"/>
  <c r="V111" i="3" s="1"/>
  <c r="T36" i="3"/>
  <c r="U36" i="3" s="1"/>
  <c r="U111" i="3" s="1"/>
  <c r="S36" i="3"/>
  <c r="O36" i="3"/>
  <c r="P36" i="3" s="1"/>
  <c r="P111" i="3" s="1"/>
  <c r="N36" i="3"/>
  <c r="N111" i="3" s="1"/>
  <c r="M36" i="3"/>
  <c r="M111" i="3" s="1"/>
  <c r="L36" i="3"/>
  <c r="L111" i="3" s="1"/>
  <c r="J36" i="3"/>
  <c r="J111" i="3" s="1"/>
  <c r="I36" i="3"/>
  <c r="I111" i="3" s="1"/>
  <c r="H36" i="3"/>
  <c r="H111" i="3" s="1"/>
  <c r="G36" i="3"/>
  <c r="G111" i="3" s="1"/>
  <c r="E36" i="3"/>
  <c r="E111" i="3" s="1"/>
  <c r="D36" i="3"/>
  <c r="D111" i="3" s="1"/>
  <c r="C36" i="3"/>
  <c r="C111" i="3" s="1"/>
  <c r="B36" i="3"/>
  <c r="B111" i="3" s="1"/>
  <c r="BX35" i="3"/>
  <c r="BX114" i="3" s="1"/>
  <c r="BS35" i="3"/>
  <c r="BS114" i="3" s="1"/>
  <c r="BN35" i="3"/>
  <c r="BN114" i="3" s="1"/>
  <c r="BI35" i="3"/>
  <c r="BI114" i="3" s="1"/>
  <c r="BD35" i="3"/>
  <c r="BD114" i="3" s="1"/>
  <c r="AY35" i="3"/>
  <c r="AY114" i="3" s="1"/>
  <c r="AT35" i="3"/>
  <c r="AT114" i="3" s="1"/>
  <c r="AO35" i="3"/>
  <c r="AO114" i="3" s="1"/>
  <c r="AJ35" i="3"/>
  <c r="AJ114" i="3" s="1"/>
  <c r="AE35" i="3"/>
  <c r="Z35" i="3"/>
  <c r="Z114" i="3" s="1"/>
  <c r="U35" i="3"/>
  <c r="U114" i="3" s="1"/>
  <c r="R35" i="3"/>
  <c r="R114" i="3" s="1"/>
  <c r="Q35" i="3"/>
  <c r="Q114" i="3" s="1"/>
  <c r="P35" i="3"/>
  <c r="P114" i="3" s="1"/>
  <c r="K35" i="3"/>
  <c r="K114" i="3" s="1"/>
  <c r="F35" i="3"/>
  <c r="F114" i="3" s="1"/>
  <c r="BX34" i="3"/>
  <c r="BS34" i="3"/>
  <c r="BN34" i="3"/>
  <c r="BI34" i="3"/>
  <c r="BD34" i="3"/>
  <c r="AY34" i="3"/>
  <c r="AT34" i="3"/>
  <c r="AO34" i="3"/>
  <c r="AJ34" i="3"/>
  <c r="AE34" i="3"/>
  <c r="Z34" i="3"/>
  <c r="U34" i="3"/>
  <c r="P34" i="3"/>
  <c r="K34" i="3"/>
  <c r="F34" i="3"/>
  <c r="BX33" i="3"/>
  <c r="BS33" i="3"/>
  <c r="BN33" i="3"/>
  <c r="BI33" i="3"/>
  <c r="BD33" i="3"/>
  <c r="AY33" i="3"/>
  <c r="AT33" i="3"/>
  <c r="AO33" i="3"/>
  <c r="AJ33" i="3"/>
  <c r="AE33" i="3"/>
  <c r="AE117" i="3" s="1"/>
  <c r="Z33" i="3"/>
  <c r="U33" i="3"/>
  <c r="P33" i="3"/>
  <c r="N33" i="3"/>
  <c r="M33" i="3"/>
  <c r="L33" i="3"/>
  <c r="J33" i="3"/>
  <c r="I33" i="3"/>
  <c r="H33" i="3"/>
  <c r="H117" i="3" s="1"/>
  <c r="G33" i="3"/>
  <c r="E33" i="3"/>
  <c r="D33" i="3"/>
  <c r="C33" i="3"/>
  <c r="B33" i="3"/>
  <c r="B117" i="3" s="1"/>
  <c r="BX32" i="3"/>
  <c r="BX59" i="3" s="1"/>
  <c r="BS32" i="3"/>
  <c r="BS59" i="3" s="1"/>
  <c r="BN32" i="3"/>
  <c r="BN59" i="3" s="1"/>
  <c r="BI32" i="3"/>
  <c r="BI59" i="3" s="1"/>
  <c r="BJ60" i="3" s="1"/>
  <c r="BJ61" i="3" s="1"/>
  <c r="BJ63" i="3" s="1"/>
  <c r="BD32" i="3"/>
  <c r="BD59" i="3" s="1"/>
  <c r="AY32" i="3"/>
  <c r="AY59" i="3" s="1"/>
  <c r="AT32" i="3"/>
  <c r="AT59" i="3" s="1"/>
  <c r="AO32" i="3"/>
  <c r="AO59" i="3" s="1"/>
  <c r="AJ32" i="3"/>
  <c r="AJ59" i="3" s="1"/>
  <c r="AE32" i="3"/>
  <c r="AE59" i="3" s="1"/>
  <c r="AF60" i="3" s="1"/>
  <c r="AF61" i="3" s="1"/>
  <c r="AF63" i="3" s="1"/>
  <c r="Z32" i="3"/>
  <c r="Z59" i="3" s="1"/>
  <c r="U32" i="3"/>
  <c r="U59" i="3" s="1"/>
  <c r="P32" i="3"/>
  <c r="P59" i="3" s="1"/>
  <c r="K32" i="3"/>
  <c r="K59" i="3" s="1"/>
  <c r="F32" i="3"/>
  <c r="F59" i="3" s="1"/>
  <c r="BX31" i="3"/>
  <c r="BX58" i="3" s="1"/>
  <c r="BS31" i="3"/>
  <c r="BS58" i="3" s="1"/>
  <c r="BN31" i="3"/>
  <c r="BN58" i="3" s="1"/>
  <c r="BI31" i="3"/>
  <c r="BI58" i="3" s="1"/>
  <c r="BD31" i="3"/>
  <c r="BD58" i="3" s="1"/>
  <c r="AY31" i="3"/>
  <c r="AY58" i="3" s="1"/>
  <c r="AT31" i="3"/>
  <c r="AT58" i="3" s="1"/>
  <c r="AO31" i="3"/>
  <c r="AO58" i="3" s="1"/>
  <c r="AJ31" i="3"/>
  <c r="AJ58" i="3" s="1"/>
  <c r="AE31" i="3"/>
  <c r="AE58" i="3" s="1"/>
  <c r="Z31" i="3"/>
  <c r="Z58" i="3" s="1"/>
  <c r="U31" i="3"/>
  <c r="U58" i="3" s="1"/>
  <c r="P31" i="3"/>
  <c r="P58" i="3" s="1"/>
  <c r="K31" i="3"/>
  <c r="K58" i="3" s="1"/>
  <c r="I31" i="3"/>
  <c r="I58" i="3" s="1"/>
  <c r="F31" i="3"/>
  <c r="F58" i="3" s="1"/>
  <c r="BY30" i="3"/>
  <c r="CC30" i="3" s="1"/>
  <c r="CF30" i="3" s="1"/>
  <c r="CG30" i="3" s="1"/>
  <c r="CH30" i="3" s="1"/>
  <c r="CI30" i="3" s="1"/>
  <c r="CJ30" i="3" s="1"/>
  <c r="CK30" i="3" s="1"/>
  <c r="CL30" i="3" s="1"/>
  <c r="CM30" i="3" s="1"/>
  <c r="CN30" i="3" s="1"/>
  <c r="CO30" i="3" s="1"/>
  <c r="CP30" i="3" s="1"/>
  <c r="CQ30" i="3" s="1"/>
  <c r="CR30" i="3" s="1"/>
  <c r="CS30" i="3" s="1"/>
  <c r="CT30" i="3" s="1"/>
  <c r="CU30" i="3" s="1"/>
  <c r="CV30" i="3" s="1"/>
  <c r="CW30" i="3" s="1"/>
  <c r="CX30" i="3" s="1"/>
  <c r="CY30" i="3" s="1"/>
  <c r="CZ30" i="3" s="1"/>
  <c r="DA30" i="3" s="1"/>
  <c r="DB30" i="3" s="1"/>
  <c r="BX30" i="3"/>
  <c r="BW54" i="3"/>
  <c r="BV30" i="3"/>
  <c r="BV54" i="3" s="1"/>
  <c r="BU30" i="3"/>
  <c r="BU54" i="3" s="1"/>
  <c r="BT30" i="3"/>
  <c r="BT54" i="3" s="1"/>
  <c r="BR30" i="3"/>
  <c r="BR54" i="3" s="1"/>
  <c r="BQ30" i="3"/>
  <c r="BQ54" i="3" s="1"/>
  <c r="BP30" i="3"/>
  <c r="BP54" i="3" s="1"/>
  <c r="BO30" i="3"/>
  <c r="BM30" i="3"/>
  <c r="BN30" i="3" s="1"/>
  <c r="BL30" i="3"/>
  <c r="BK30" i="3"/>
  <c r="BK54" i="3" s="1"/>
  <c r="BJ30" i="3"/>
  <c r="BJ54" i="3" s="1"/>
  <c r="BH30" i="3"/>
  <c r="BH54" i="3" s="1"/>
  <c r="BG30" i="3"/>
  <c r="BF30" i="3"/>
  <c r="BE30" i="3"/>
  <c r="BC30" i="3"/>
  <c r="BB30" i="3"/>
  <c r="BA30" i="3"/>
  <c r="BA54" i="3" s="1"/>
  <c r="AZ30" i="3"/>
  <c r="AZ54" i="3" s="1"/>
  <c r="AX30" i="3"/>
  <c r="AX54" i="3" s="1"/>
  <c r="AW30" i="3"/>
  <c r="AW54" i="3" s="1"/>
  <c r="AV30" i="3"/>
  <c r="AV54" i="3" s="1"/>
  <c r="AU30" i="3"/>
  <c r="AU54" i="3" s="1"/>
  <c r="AS30" i="3"/>
  <c r="AR30" i="3"/>
  <c r="AR54" i="3" s="1"/>
  <c r="AQ30" i="3"/>
  <c r="AP30" i="3"/>
  <c r="AN30" i="3"/>
  <c r="AN54" i="3" s="1"/>
  <c r="AM30" i="3"/>
  <c r="AM28" i="3" s="1"/>
  <c r="AL30" i="3"/>
  <c r="AL54" i="3" s="1"/>
  <c r="AK30" i="3"/>
  <c r="AK28" i="3" s="1"/>
  <c r="AI30" i="3"/>
  <c r="AI54" i="3" s="1"/>
  <c r="AH30" i="3"/>
  <c r="AG30" i="3"/>
  <c r="AG54" i="3" s="1"/>
  <c r="AF30" i="3"/>
  <c r="AF54" i="3" s="1"/>
  <c r="AD30" i="3"/>
  <c r="AD28" i="3" s="1"/>
  <c r="AC30" i="3"/>
  <c r="AC54" i="3" s="1"/>
  <c r="AB30" i="3"/>
  <c r="AB54" i="3" s="1"/>
  <c r="AA30" i="3"/>
  <c r="AA54" i="3" s="1"/>
  <c r="Y30" i="3"/>
  <c r="Y28" i="3" s="1"/>
  <c r="Y51" i="3" s="1"/>
  <c r="X30" i="3"/>
  <c r="X28" i="3" s="1"/>
  <c r="W30" i="3"/>
  <c r="W54" i="3" s="1"/>
  <c r="V30" i="3"/>
  <c r="V28" i="3" s="1"/>
  <c r="T30" i="3"/>
  <c r="U30" i="3" s="1"/>
  <c r="S30" i="3"/>
  <c r="R30" i="3"/>
  <c r="Q30" i="3"/>
  <c r="Q54" i="3" s="1"/>
  <c r="O30" i="3"/>
  <c r="O54" i="3" s="1"/>
  <c r="P54" i="3" s="1"/>
  <c r="N30" i="3"/>
  <c r="N54" i="3" s="1"/>
  <c r="M30" i="3"/>
  <c r="M28" i="3" s="1"/>
  <c r="L30" i="3"/>
  <c r="L54" i="3" s="1"/>
  <c r="J30" i="3"/>
  <c r="I30" i="3"/>
  <c r="I54" i="3" s="1"/>
  <c r="H30" i="3"/>
  <c r="H54" i="3" s="1"/>
  <c r="F30" i="3"/>
  <c r="D30" i="3"/>
  <c r="C30" i="3"/>
  <c r="C54" i="3" s="1"/>
  <c r="B30" i="3"/>
  <c r="B54" i="3" s="1"/>
  <c r="BY29" i="3"/>
  <c r="BY52" i="3" s="1"/>
  <c r="BW52" i="3"/>
  <c r="BV29" i="3"/>
  <c r="BV52" i="3" s="1"/>
  <c r="BU29" i="3"/>
  <c r="BU52" i="3" s="1"/>
  <c r="BT29" i="3"/>
  <c r="BT52" i="3" s="1"/>
  <c r="BR29" i="3"/>
  <c r="BR52" i="3" s="1"/>
  <c r="BQ29" i="3"/>
  <c r="BQ52" i="3" s="1"/>
  <c r="BP29" i="3"/>
  <c r="BO29" i="3"/>
  <c r="BO52" i="3" s="1"/>
  <c r="BM29" i="3"/>
  <c r="BM52" i="3" s="1"/>
  <c r="BL29" i="3"/>
  <c r="BL52" i="3" s="1"/>
  <c r="BK29" i="3"/>
  <c r="BK52" i="3" s="1"/>
  <c r="BJ29" i="3"/>
  <c r="BJ52" i="3" s="1"/>
  <c r="BH29" i="3"/>
  <c r="BG29" i="3"/>
  <c r="BG52" i="3" s="1"/>
  <c r="BF29" i="3"/>
  <c r="BF52" i="3" s="1"/>
  <c r="BE29" i="3"/>
  <c r="BE52" i="3" s="1"/>
  <c r="BC29" i="3"/>
  <c r="BC52" i="3" s="1"/>
  <c r="BD52" i="3" s="1"/>
  <c r="BB29" i="3"/>
  <c r="BB52" i="3" s="1"/>
  <c r="BA29" i="3"/>
  <c r="BA52" i="3" s="1"/>
  <c r="AZ29" i="3"/>
  <c r="AZ52" i="3" s="1"/>
  <c r="AX29" i="3"/>
  <c r="AX52" i="3" s="1"/>
  <c r="AY52" i="3" s="1"/>
  <c r="AW29" i="3"/>
  <c r="AW52" i="3" s="1"/>
  <c r="AV29" i="3"/>
  <c r="AU29" i="3"/>
  <c r="AU52" i="3" s="1"/>
  <c r="AS29" i="3"/>
  <c r="AR29" i="3"/>
  <c r="AR52" i="3" s="1"/>
  <c r="AQ29" i="3"/>
  <c r="AQ52" i="3" s="1"/>
  <c r="AP29" i="3"/>
  <c r="AP52" i="3" s="1"/>
  <c r="AN29" i="3"/>
  <c r="AN52" i="3" s="1"/>
  <c r="AJ29" i="3"/>
  <c r="AE29" i="3"/>
  <c r="Z29" i="3"/>
  <c r="U29" i="3"/>
  <c r="Q29" i="3"/>
  <c r="P29" i="3"/>
  <c r="N29" i="3"/>
  <c r="L29" i="3"/>
  <c r="J29" i="3"/>
  <c r="J52" i="3" s="1"/>
  <c r="I29" i="3"/>
  <c r="I28" i="3" s="1"/>
  <c r="I51" i="3" s="1"/>
  <c r="H29" i="3"/>
  <c r="H52" i="3" s="1"/>
  <c r="F29" i="3"/>
  <c r="F28" i="3" s="1"/>
  <c r="BV28" i="3"/>
  <c r="AI28" i="3"/>
  <c r="AA28" i="3"/>
  <c r="AA51" i="3" s="1"/>
  <c r="G28" i="3"/>
  <c r="E28" i="3"/>
  <c r="CC24" i="3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BX24" i="3"/>
  <c r="BS24" i="3"/>
  <c r="BN24" i="3"/>
  <c r="BI24" i="3"/>
  <c r="BD24" i="3"/>
  <c r="AY24" i="3"/>
  <c r="AT24" i="3"/>
  <c r="AO24" i="3"/>
  <c r="AJ24" i="3"/>
  <c r="AE24" i="3"/>
  <c r="Z24" i="3"/>
  <c r="U24" i="3"/>
  <c r="P24" i="3"/>
  <c r="K24" i="3"/>
  <c r="F24" i="3"/>
  <c r="BX23" i="3"/>
  <c r="BS23" i="3"/>
  <c r="BN23" i="3"/>
  <c r="BI23" i="3"/>
  <c r="BD23" i="3"/>
  <c r="AY23" i="3"/>
  <c r="AT23" i="3"/>
  <c r="AO23" i="3"/>
  <c r="AJ23" i="3"/>
  <c r="AE23" i="3"/>
  <c r="Z23" i="3"/>
  <c r="U23" i="3"/>
  <c r="P23" i="3"/>
  <c r="K23" i="3"/>
  <c r="F23" i="3"/>
  <c r="CC22" i="3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BX22" i="3"/>
  <c r="BS22" i="3"/>
  <c r="BN22" i="3"/>
  <c r="BI22" i="3"/>
  <c r="BD22" i="3"/>
  <c r="AY22" i="3"/>
  <c r="AT22" i="3"/>
  <c r="AO22" i="3"/>
  <c r="AJ22" i="3"/>
  <c r="AE22" i="3"/>
  <c r="Z22" i="3"/>
  <c r="U22" i="3"/>
  <c r="P22" i="3"/>
  <c r="K22" i="3"/>
  <c r="H22" i="3"/>
  <c r="H20" i="3" s="1"/>
  <c r="F22" i="3"/>
  <c r="BX21" i="3"/>
  <c r="BS21" i="3"/>
  <c r="BN21" i="3"/>
  <c r="BI21" i="3"/>
  <c r="BD21" i="3"/>
  <c r="AY21" i="3"/>
  <c r="AT21" i="3"/>
  <c r="AO21" i="3"/>
  <c r="AJ21" i="3"/>
  <c r="AE21" i="3"/>
  <c r="Z21" i="3"/>
  <c r="U21" i="3"/>
  <c r="P21" i="3"/>
  <c r="K21" i="3"/>
  <c r="F21" i="3"/>
  <c r="BY20" i="3"/>
  <c r="M23" i="15" s="1"/>
  <c r="BW20" i="3"/>
  <c r="BV20" i="3"/>
  <c r="BU20" i="3"/>
  <c r="BT20" i="3"/>
  <c r="BR20" i="3"/>
  <c r="BQ20" i="3"/>
  <c r="BP20" i="3"/>
  <c r="BO20" i="3"/>
  <c r="BM20" i="3"/>
  <c r="BL20" i="3"/>
  <c r="BK20" i="3"/>
  <c r="BJ20" i="3"/>
  <c r="BH20" i="3"/>
  <c r="BG20" i="3"/>
  <c r="BF20" i="3"/>
  <c r="BE20" i="3"/>
  <c r="BC20" i="3"/>
  <c r="BB20" i="3"/>
  <c r="BA20" i="3"/>
  <c r="AZ20" i="3"/>
  <c r="AX20" i="3"/>
  <c r="AW20" i="3"/>
  <c r="AV20" i="3"/>
  <c r="AU20" i="3"/>
  <c r="AS20" i="3"/>
  <c r="AR20" i="3"/>
  <c r="AQ20" i="3"/>
  <c r="AP20" i="3"/>
  <c r="AN20" i="3"/>
  <c r="AM20" i="3"/>
  <c r="AL20" i="3"/>
  <c r="AK20" i="3"/>
  <c r="AI20" i="3"/>
  <c r="AH20" i="3"/>
  <c r="AG20" i="3"/>
  <c r="AF20" i="3"/>
  <c r="AD20" i="3"/>
  <c r="AC20" i="3"/>
  <c r="AB20" i="3"/>
  <c r="AA20" i="3"/>
  <c r="Y20" i="3"/>
  <c r="X20" i="3"/>
  <c r="W20" i="3"/>
  <c r="V20" i="3"/>
  <c r="T20" i="3"/>
  <c r="S20" i="3"/>
  <c r="R20" i="3"/>
  <c r="Q20" i="3"/>
  <c r="O20" i="3"/>
  <c r="N20" i="3"/>
  <c r="M20" i="3"/>
  <c r="L20" i="3"/>
  <c r="J20" i="3"/>
  <c r="I20" i="3"/>
  <c r="G20" i="3"/>
  <c r="E20" i="3"/>
  <c r="D20" i="3"/>
  <c r="C20" i="3"/>
  <c r="B20" i="3"/>
  <c r="E19" i="3"/>
  <c r="F19" i="3" s="1"/>
  <c r="D19" i="3"/>
  <c r="C19" i="3"/>
  <c r="B19" i="3"/>
  <c r="BY18" i="3"/>
  <c r="BY124" i="3" s="1"/>
  <c r="BW18" i="3"/>
  <c r="BV18" i="3"/>
  <c r="BV124" i="3" s="1"/>
  <c r="BU18" i="3"/>
  <c r="BU124" i="3" s="1"/>
  <c r="BT18" i="3"/>
  <c r="BT124" i="3" s="1"/>
  <c r="BR18" i="3"/>
  <c r="BQ18" i="3"/>
  <c r="BQ124" i="3" s="1"/>
  <c r="BP18" i="3"/>
  <c r="BP124" i="3" s="1"/>
  <c r="BO18" i="3"/>
  <c r="BO124" i="3" s="1"/>
  <c r="BM18" i="3"/>
  <c r="BM124" i="3" s="1"/>
  <c r="BL18" i="3"/>
  <c r="BL124" i="3" s="1"/>
  <c r="BK18" i="3"/>
  <c r="BK124" i="3" s="1"/>
  <c r="BJ18" i="3"/>
  <c r="BJ124" i="3" s="1"/>
  <c r="BH18" i="3"/>
  <c r="BG18" i="3"/>
  <c r="BG124" i="3" s="1"/>
  <c r="BF18" i="3"/>
  <c r="BF124" i="3" s="1"/>
  <c r="BE18" i="3"/>
  <c r="BE124" i="3" s="1"/>
  <c r="BC18" i="3"/>
  <c r="BC124" i="3" s="1"/>
  <c r="BB18" i="3"/>
  <c r="BB124" i="3" s="1"/>
  <c r="BA18" i="3"/>
  <c r="BA124" i="3" s="1"/>
  <c r="AZ18" i="3"/>
  <c r="AZ124" i="3" s="1"/>
  <c r="AX18" i="3"/>
  <c r="AX124" i="3" s="1"/>
  <c r="AW18" i="3"/>
  <c r="AW124" i="3" s="1"/>
  <c r="AV18" i="3"/>
  <c r="AV124" i="3" s="1"/>
  <c r="AU18" i="3"/>
  <c r="AU124" i="3" s="1"/>
  <c r="AS18" i="3"/>
  <c r="AR18" i="3"/>
  <c r="AR124" i="3" s="1"/>
  <c r="AQ18" i="3"/>
  <c r="AQ124" i="3" s="1"/>
  <c r="AP18" i="3"/>
  <c r="AP124" i="3" s="1"/>
  <c r="AO18" i="3"/>
  <c r="AO124" i="3" s="1"/>
  <c r="AN18" i="3"/>
  <c r="AN124" i="3" s="1"/>
  <c r="AM18" i="3"/>
  <c r="AM124" i="3" s="1"/>
  <c r="AM125" i="3" s="1"/>
  <c r="AL18" i="3"/>
  <c r="AL124" i="3" s="1"/>
  <c r="AK18" i="3"/>
  <c r="AK124" i="3" s="1"/>
  <c r="AI18" i="3"/>
  <c r="AI124" i="3" s="1"/>
  <c r="AH18" i="3"/>
  <c r="AH124" i="3" s="1"/>
  <c r="AG18" i="3"/>
  <c r="AG124" i="3" s="1"/>
  <c r="AF18" i="3"/>
  <c r="AF124" i="3" s="1"/>
  <c r="AD18" i="3"/>
  <c r="AC18" i="3"/>
  <c r="AC124" i="3" s="1"/>
  <c r="AB18" i="3"/>
  <c r="AB124" i="3" s="1"/>
  <c r="AA18" i="3"/>
  <c r="AA124" i="3" s="1"/>
  <c r="Y18" i="3"/>
  <c r="Y124" i="3" s="1"/>
  <c r="X18" i="3"/>
  <c r="X124" i="3" s="1"/>
  <c r="W18" i="3"/>
  <c r="W124" i="3" s="1"/>
  <c r="V18" i="3"/>
  <c r="V124" i="3" s="1"/>
  <c r="T18" i="3"/>
  <c r="S18" i="3"/>
  <c r="S124" i="3" s="1"/>
  <c r="R18" i="3"/>
  <c r="Q18" i="3"/>
  <c r="Q124" i="3" s="1"/>
  <c r="O18" i="3"/>
  <c r="N18" i="3"/>
  <c r="N124" i="3" s="1"/>
  <c r="M18" i="3"/>
  <c r="M124" i="3" s="1"/>
  <c r="L18" i="3"/>
  <c r="L124" i="3" s="1"/>
  <c r="J18" i="3"/>
  <c r="J124" i="3" s="1"/>
  <c r="I18" i="3"/>
  <c r="I124" i="3" s="1"/>
  <c r="H18" i="3"/>
  <c r="H124" i="3" s="1"/>
  <c r="G18" i="3"/>
  <c r="G124" i="3" s="1"/>
  <c r="E18" i="3"/>
  <c r="E124" i="3" s="1"/>
  <c r="BY17" i="3"/>
  <c r="CC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BW17" i="3"/>
  <c r="BX17" i="3" s="1"/>
  <c r="BV17" i="3"/>
  <c r="BU17" i="3"/>
  <c r="BT17" i="3"/>
  <c r="BR17" i="3"/>
  <c r="BS17" i="3" s="1"/>
  <c r="BQ17" i="3"/>
  <c r="BP17" i="3"/>
  <c r="BO17" i="3"/>
  <c r="BM17" i="3"/>
  <c r="BN17" i="3" s="1"/>
  <c r="BL17" i="3"/>
  <c r="BK17" i="3"/>
  <c r="BJ17" i="3"/>
  <c r="BH17" i="3"/>
  <c r="BI17" i="3" s="1"/>
  <c r="BG17" i="3"/>
  <c r="BF17" i="3"/>
  <c r="BE17" i="3"/>
  <c r="BC17" i="3"/>
  <c r="BD17" i="3" s="1"/>
  <c r="BB17" i="3"/>
  <c r="BA17" i="3"/>
  <c r="AZ17" i="3"/>
  <c r="AX17" i="3"/>
  <c r="AY17" i="3" s="1"/>
  <c r="AW17" i="3"/>
  <c r="AV17" i="3"/>
  <c r="AU17" i="3"/>
  <c r="AS17" i="3"/>
  <c r="AT17" i="3" s="1"/>
  <c r="AO17" i="3"/>
  <c r="AJ17" i="3"/>
  <c r="AE17" i="3"/>
  <c r="AC17" i="3"/>
  <c r="AB17" i="3"/>
  <c r="AA17" i="3"/>
  <c r="Y17" i="3"/>
  <c r="Z17" i="3" s="1"/>
  <c r="X17" i="3"/>
  <c r="W17" i="3"/>
  <c r="V17" i="3"/>
  <c r="T17" i="3"/>
  <c r="U17" i="3" s="1"/>
  <c r="S17" i="3"/>
  <c r="R17" i="3"/>
  <c r="Q17" i="3"/>
  <c r="O17" i="3"/>
  <c r="P17" i="3" s="1"/>
  <c r="N17" i="3"/>
  <c r="M17" i="3"/>
  <c r="L17" i="3"/>
  <c r="J17" i="3"/>
  <c r="K17" i="3" s="1"/>
  <c r="I17" i="3"/>
  <c r="H17" i="3"/>
  <c r="G17" i="3"/>
  <c r="E17" i="3"/>
  <c r="F17" i="3" s="1"/>
  <c r="B17" i="3"/>
  <c r="BY16" i="3"/>
  <c r="BY126" i="3" s="1"/>
  <c r="BW16" i="3"/>
  <c r="BW126" i="3" s="1"/>
  <c r="BV16" i="3"/>
  <c r="BV126" i="3" s="1"/>
  <c r="BU16" i="3"/>
  <c r="BU126" i="3" s="1"/>
  <c r="BT16" i="3"/>
  <c r="BT126" i="3" s="1"/>
  <c r="BR16" i="3"/>
  <c r="BR126" i="3" s="1"/>
  <c r="BQ16" i="3"/>
  <c r="BQ126" i="3" s="1"/>
  <c r="BP16" i="3"/>
  <c r="BP126" i="3" s="1"/>
  <c r="BO16" i="3"/>
  <c r="BO126" i="3" s="1"/>
  <c r="BM16" i="3"/>
  <c r="BL16" i="3"/>
  <c r="BL126" i="3" s="1"/>
  <c r="BK16" i="3"/>
  <c r="BK126" i="3" s="1"/>
  <c r="BJ16" i="3"/>
  <c r="BJ126" i="3" s="1"/>
  <c r="BH16" i="3"/>
  <c r="BH126" i="3" s="1"/>
  <c r="BG16" i="3"/>
  <c r="BG126" i="3" s="1"/>
  <c r="BF16" i="3"/>
  <c r="BF126" i="3" s="1"/>
  <c r="BE16" i="3"/>
  <c r="BE126" i="3" s="1"/>
  <c r="BC16" i="3"/>
  <c r="BC126" i="3" s="1"/>
  <c r="BB16" i="3"/>
  <c r="BB126" i="3" s="1"/>
  <c r="BB127" i="3" s="1"/>
  <c r="BA16" i="3"/>
  <c r="BA126" i="3" s="1"/>
  <c r="AZ16" i="3"/>
  <c r="AZ126" i="3" s="1"/>
  <c r="AX16" i="3"/>
  <c r="AW16" i="3"/>
  <c r="AW126" i="3" s="1"/>
  <c r="AV16" i="3"/>
  <c r="AV126" i="3" s="1"/>
  <c r="AU16" i="3"/>
  <c r="AU126" i="3" s="1"/>
  <c r="AS16" i="3"/>
  <c r="AS126" i="3" s="1"/>
  <c r="AR16" i="3"/>
  <c r="AR126" i="3" s="1"/>
  <c r="AQ16" i="3"/>
  <c r="AQ126" i="3" s="1"/>
  <c r="AP16" i="3"/>
  <c r="AP126" i="3" s="1"/>
  <c r="AN16" i="3"/>
  <c r="AM16" i="3"/>
  <c r="AM126" i="3" s="1"/>
  <c r="AM127" i="3" s="1"/>
  <c r="AL16" i="3"/>
  <c r="AL126" i="3" s="1"/>
  <c r="AL127" i="3" s="1"/>
  <c r="AK16" i="3"/>
  <c r="AK126" i="3" s="1"/>
  <c r="AI16" i="3"/>
  <c r="AI126" i="3" s="1"/>
  <c r="AH16" i="3"/>
  <c r="AH126" i="3" s="1"/>
  <c r="AG16" i="3"/>
  <c r="AG126" i="3" s="1"/>
  <c r="AF16" i="3"/>
  <c r="AF126" i="3" s="1"/>
  <c r="AD16" i="3"/>
  <c r="AD126" i="3" s="1"/>
  <c r="AC16" i="3"/>
  <c r="AC126" i="3" s="1"/>
  <c r="AB16" i="3"/>
  <c r="AB126" i="3" s="1"/>
  <c r="AA16" i="3"/>
  <c r="AA126" i="3" s="1"/>
  <c r="Y16" i="3"/>
  <c r="Y126" i="3" s="1"/>
  <c r="X16" i="3"/>
  <c r="X126" i="3" s="1"/>
  <c r="X127" i="3" s="1"/>
  <c r="W16" i="3"/>
  <c r="W126" i="3" s="1"/>
  <c r="V16" i="3"/>
  <c r="V126" i="3" s="1"/>
  <c r="T16" i="3"/>
  <c r="S16" i="3"/>
  <c r="S126" i="3" s="1"/>
  <c r="R16" i="3"/>
  <c r="R126" i="3" s="1"/>
  <c r="Q16" i="3"/>
  <c r="Q126" i="3" s="1"/>
  <c r="O16" i="3"/>
  <c r="O126" i="3" s="1"/>
  <c r="N16" i="3"/>
  <c r="N126" i="3" s="1"/>
  <c r="M16" i="3"/>
  <c r="M126" i="3" s="1"/>
  <c r="L16" i="3"/>
  <c r="L126" i="3" s="1"/>
  <c r="L127" i="3" s="1"/>
  <c r="J16" i="3"/>
  <c r="J126" i="3" s="1"/>
  <c r="I16" i="3"/>
  <c r="I126" i="3" s="1"/>
  <c r="H16" i="3"/>
  <c r="H126" i="3" s="1"/>
  <c r="G16" i="3"/>
  <c r="G126" i="3" s="1"/>
  <c r="E16" i="3"/>
  <c r="E126" i="3" s="1"/>
  <c r="BX15" i="3"/>
  <c r="BS15" i="3"/>
  <c r="BN15" i="3"/>
  <c r="BI15" i="3"/>
  <c r="BD15" i="3"/>
  <c r="AY15" i="3"/>
  <c r="AT15" i="3"/>
  <c r="AO15" i="3"/>
  <c r="AJ15" i="3"/>
  <c r="AE15" i="3"/>
  <c r="Z15" i="3"/>
  <c r="U15" i="3"/>
  <c r="P15" i="3"/>
  <c r="K15" i="3"/>
  <c r="F15" i="3"/>
  <c r="BY14" i="3"/>
  <c r="BW14" i="3"/>
  <c r="BV14" i="3"/>
  <c r="BV12" i="3" s="1"/>
  <c r="BV101" i="3" s="1"/>
  <c r="BU14" i="3"/>
  <c r="BT14" i="3"/>
  <c r="BR14" i="3"/>
  <c r="BR107" i="3" s="1"/>
  <c r="BS107" i="3" s="1"/>
  <c r="BQ14" i="3"/>
  <c r="BQ12" i="3" s="1"/>
  <c r="BP14" i="3"/>
  <c r="BP12" i="3" s="1"/>
  <c r="BO14" i="3"/>
  <c r="BO12" i="3" s="1"/>
  <c r="BO101" i="3" s="1"/>
  <c r="BM14" i="3"/>
  <c r="BL14" i="3"/>
  <c r="BL12" i="3" s="1"/>
  <c r="BL101" i="3" s="1"/>
  <c r="BK14" i="3"/>
  <c r="BJ14" i="3"/>
  <c r="BJ12" i="3" s="1"/>
  <c r="BJ101" i="3" s="1"/>
  <c r="BH14" i="3"/>
  <c r="BG14" i="3"/>
  <c r="BF14" i="3"/>
  <c r="BF12" i="3" s="1"/>
  <c r="BE14" i="3"/>
  <c r="BC14" i="3"/>
  <c r="BC12" i="3" s="1"/>
  <c r="BB14" i="3"/>
  <c r="BB12" i="3" s="1"/>
  <c r="BA14" i="3"/>
  <c r="AZ14" i="3"/>
  <c r="AZ12" i="3" s="1"/>
  <c r="AX14" i="3"/>
  <c r="AY14" i="3" s="1"/>
  <c r="AW14" i="3"/>
  <c r="AV14" i="3"/>
  <c r="AU14" i="3"/>
  <c r="AS14" i="3"/>
  <c r="AR14" i="3"/>
  <c r="AQ14" i="3"/>
  <c r="AQ12" i="3" s="1"/>
  <c r="AQ101" i="3" s="1"/>
  <c r="AP14" i="3"/>
  <c r="AN14" i="3"/>
  <c r="AO14" i="3" s="1"/>
  <c r="AM14" i="3"/>
  <c r="AM12" i="3" s="1"/>
  <c r="AL14" i="3"/>
  <c r="AL12" i="3" s="1"/>
  <c r="AL101" i="3" s="1"/>
  <c r="AK14" i="3"/>
  <c r="AK12" i="3" s="1"/>
  <c r="AK101" i="3" s="1"/>
  <c r="AI14" i="3"/>
  <c r="AH14" i="3"/>
  <c r="AH12" i="3" s="1"/>
  <c r="AG14" i="3"/>
  <c r="AF14" i="3"/>
  <c r="AD14" i="3"/>
  <c r="AD12" i="3" s="1"/>
  <c r="AD101" i="3" s="1"/>
  <c r="AC14" i="3"/>
  <c r="AB14" i="3"/>
  <c r="AB12" i="3" s="1"/>
  <c r="AA14" i="3"/>
  <c r="Y14" i="3"/>
  <c r="Y12" i="3" s="1"/>
  <c r="Z12" i="3" s="1"/>
  <c r="X14" i="3"/>
  <c r="X12" i="3" s="1"/>
  <c r="W14" i="3"/>
  <c r="V14" i="3"/>
  <c r="V107" i="3" s="1"/>
  <c r="V108" i="3" s="1"/>
  <c r="T14" i="3"/>
  <c r="S14" i="3"/>
  <c r="S12" i="3" s="1"/>
  <c r="S101" i="3" s="1"/>
  <c r="R14" i="3"/>
  <c r="Q14" i="3"/>
  <c r="O14" i="3"/>
  <c r="O12" i="3" s="1"/>
  <c r="O101" i="3" s="1"/>
  <c r="N14" i="3"/>
  <c r="N12" i="3" s="1"/>
  <c r="M14" i="3"/>
  <c r="M12" i="3" s="1"/>
  <c r="L14" i="3"/>
  <c r="L107" i="3" s="1"/>
  <c r="J14" i="3"/>
  <c r="J107" i="3" s="1"/>
  <c r="I14" i="3"/>
  <c r="I107" i="3" s="1"/>
  <c r="H14" i="3"/>
  <c r="H107" i="3" s="1"/>
  <c r="G14" i="3"/>
  <c r="G107" i="3" s="1"/>
  <c r="E14" i="3"/>
  <c r="E107" i="3" s="1"/>
  <c r="D14" i="3"/>
  <c r="D12" i="3" s="1"/>
  <c r="C14" i="3"/>
  <c r="B14" i="3"/>
  <c r="BX13" i="3"/>
  <c r="BS13" i="3"/>
  <c r="BN13" i="3"/>
  <c r="BI13" i="3"/>
  <c r="BD13" i="3"/>
  <c r="AY13" i="3"/>
  <c r="AT13" i="3"/>
  <c r="AO13" i="3"/>
  <c r="AJ13" i="3"/>
  <c r="AE13" i="3"/>
  <c r="Z13" i="3"/>
  <c r="U13" i="3"/>
  <c r="P13" i="3"/>
  <c r="L13" i="3"/>
  <c r="L12" i="3" s="1"/>
  <c r="J13" i="3"/>
  <c r="K13" i="3" s="1"/>
  <c r="I13" i="3"/>
  <c r="H13" i="3"/>
  <c r="G13" i="3"/>
  <c r="E13" i="3"/>
  <c r="AP12" i="3"/>
  <c r="AA12" i="3"/>
  <c r="R12" i="3"/>
  <c r="R101" i="3" s="1"/>
  <c r="C12" i="3"/>
  <c r="C101" i="3" s="1"/>
  <c r="B12" i="3"/>
  <c r="B101" i="3" s="1"/>
  <c r="BX11" i="3"/>
  <c r="BS11" i="3"/>
  <c r="BT29" i="2" s="1"/>
  <c r="BN11" i="3"/>
  <c r="BO29" i="2" s="1"/>
  <c r="BI11" i="3"/>
  <c r="BJ29" i="2" s="1"/>
  <c r="BD11" i="3"/>
  <c r="BE29" i="2" s="1"/>
  <c r="AY11" i="3"/>
  <c r="AZ29" i="2" s="1"/>
  <c r="AT11" i="3"/>
  <c r="AU29" i="2" s="1"/>
  <c r="AO11" i="3"/>
  <c r="AP29" i="2" s="1"/>
  <c r="AJ11" i="3"/>
  <c r="AK29" i="2" s="1"/>
  <c r="AE11" i="3"/>
  <c r="AF29" i="2" s="1"/>
  <c r="Z11" i="3"/>
  <c r="AA29" i="2" s="1"/>
  <c r="U11" i="3"/>
  <c r="V29" i="2" s="1"/>
  <c r="P11" i="3"/>
  <c r="Q29" i="2" s="1"/>
  <c r="K11" i="3"/>
  <c r="L29" i="2" s="1"/>
  <c r="F11" i="3"/>
  <c r="G29" i="2" s="1"/>
  <c r="BY10" i="3"/>
  <c r="BY8" i="3" s="1"/>
  <c r="BW10" i="3"/>
  <c r="BW8" i="3" s="1"/>
  <c r="BV10" i="3"/>
  <c r="BV8" i="3" s="1"/>
  <c r="BW20" i="4" s="1"/>
  <c r="BU10" i="3"/>
  <c r="BT10" i="3"/>
  <c r="BR10" i="3"/>
  <c r="BQ10" i="3"/>
  <c r="BP10" i="3"/>
  <c r="BO10" i="3"/>
  <c r="BO8" i="3" s="1"/>
  <c r="BP20" i="4" s="1"/>
  <c r="BM10" i="3"/>
  <c r="BM8" i="3" s="1"/>
  <c r="BL10" i="3"/>
  <c r="BL8" i="3" s="1"/>
  <c r="BM20" i="4" s="1"/>
  <c r="BK10" i="3"/>
  <c r="BK8" i="3" s="1"/>
  <c r="BL20" i="4" s="1"/>
  <c r="BJ10" i="3"/>
  <c r="BJ8" i="3" s="1"/>
  <c r="BK20" i="4" s="1"/>
  <c r="BH10" i="3"/>
  <c r="BG10" i="3"/>
  <c r="BG8" i="3" s="1"/>
  <c r="BH20" i="4" s="1"/>
  <c r="BF10" i="3"/>
  <c r="BF8" i="3" s="1"/>
  <c r="BG20" i="4" s="1"/>
  <c r="BE10" i="3"/>
  <c r="BC10" i="3"/>
  <c r="BB10" i="3"/>
  <c r="BA10" i="3"/>
  <c r="BA8" i="3" s="1"/>
  <c r="BB20" i="4" s="1"/>
  <c r="AZ10" i="3"/>
  <c r="AX10" i="3"/>
  <c r="AX8" i="3" s="1"/>
  <c r="AW10" i="3"/>
  <c r="AW8" i="3" s="1"/>
  <c r="AX20" i="4" s="1"/>
  <c r="AV10" i="3"/>
  <c r="AU10" i="3"/>
  <c r="AU8" i="3" s="1"/>
  <c r="AV20" i="4" s="1"/>
  <c r="AS10" i="3"/>
  <c r="AR10" i="3"/>
  <c r="AQ10" i="3"/>
  <c r="AP10" i="3"/>
  <c r="AN10" i="3"/>
  <c r="AM10" i="3"/>
  <c r="AM8" i="3" s="1"/>
  <c r="AN20" i="4" s="1"/>
  <c r="AL10" i="3"/>
  <c r="AK10" i="3"/>
  <c r="AK8" i="3" s="1"/>
  <c r="AL20" i="4" s="1"/>
  <c r="AI10" i="3"/>
  <c r="AI8" i="3" s="1"/>
  <c r="AH10" i="3"/>
  <c r="AG10" i="3"/>
  <c r="AF10" i="3"/>
  <c r="AD10" i="3"/>
  <c r="AC10" i="3"/>
  <c r="AC8" i="3" s="1"/>
  <c r="AD20" i="4" s="1"/>
  <c r="AB10" i="3"/>
  <c r="AA10" i="3"/>
  <c r="AA8" i="3" s="1"/>
  <c r="AB20" i="4" s="1"/>
  <c r="Y10" i="3"/>
  <c r="Z10" i="3" s="1"/>
  <c r="Z99" i="3" s="1"/>
  <c r="X10" i="3"/>
  <c r="W10" i="3"/>
  <c r="W8" i="3" s="1"/>
  <c r="V10" i="3"/>
  <c r="T10" i="3"/>
  <c r="S10" i="3"/>
  <c r="R10" i="3"/>
  <c r="Q10" i="3"/>
  <c r="Q8" i="3" s="1"/>
  <c r="O10" i="3"/>
  <c r="O8" i="3" s="1"/>
  <c r="N10" i="3"/>
  <c r="M10" i="3"/>
  <c r="L10" i="3"/>
  <c r="J10" i="3"/>
  <c r="I10" i="3"/>
  <c r="H10" i="3"/>
  <c r="G10" i="3"/>
  <c r="E10" i="3"/>
  <c r="E8" i="3" s="1"/>
  <c r="D10" i="3"/>
  <c r="C10" i="3"/>
  <c r="C8" i="3" s="1"/>
  <c r="B10" i="3"/>
  <c r="B8" i="3" s="1"/>
  <c r="BX9" i="3"/>
  <c r="BS9" i="3"/>
  <c r="BN9" i="3"/>
  <c r="BI9" i="3"/>
  <c r="BD9" i="3"/>
  <c r="AY9" i="3"/>
  <c r="AT9" i="3"/>
  <c r="AO9" i="3"/>
  <c r="AJ9" i="3"/>
  <c r="AE9" i="3"/>
  <c r="Z9" i="3"/>
  <c r="U9" i="3"/>
  <c r="P9" i="3"/>
  <c r="K9" i="3"/>
  <c r="F9" i="3"/>
  <c r="CC7" i="3"/>
  <c r="CF7" i="3" s="1"/>
  <c r="CG7" i="3" s="1"/>
  <c r="CH7" i="3" s="1"/>
  <c r="CI7" i="3" s="1"/>
  <c r="CJ7" i="3" s="1"/>
  <c r="CK7" i="3" s="1"/>
  <c r="CL7" i="3" s="1"/>
  <c r="CM7" i="3" s="1"/>
  <c r="CN7" i="3" s="1"/>
  <c r="CO7" i="3" s="1"/>
  <c r="CP7" i="3" s="1"/>
  <c r="CQ7" i="3" s="1"/>
  <c r="CR7" i="3" s="1"/>
  <c r="CS7" i="3" s="1"/>
  <c r="CT7" i="3" s="1"/>
  <c r="CU7" i="3" s="1"/>
  <c r="CV7" i="3" s="1"/>
  <c r="CW7" i="3" s="1"/>
  <c r="CX7" i="3" s="1"/>
  <c r="CY7" i="3" s="1"/>
  <c r="CZ7" i="3" s="1"/>
  <c r="DA7" i="3" s="1"/>
  <c r="DB7" i="3" s="1"/>
  <c r="BX7" i="3"/>
  <c r="BS7" i="3"/>
  <c r="BN7" i="3"/>
  <c r="BI7" i="3"/>
  <c r="BD7" i="3"/>
  <c r="AY7" i="3"/>
  <c r="AT7" i="3"/>
  <c r="AO7" i="3"/>
  <c r="AJ7" i="3"/>
  <c r="AE7" i="3"/>
  <c r="Z7" i="3"/>
  <c r="U7" i="3"/>
  <c r="S7" i="3"/>
  <c r="P7" i="3"/>
  <c r="K7" i="3"/>
  <c r="F7" i="3"/>
  <c r="BY6" i="3"/>
  <c r="BX6" i="3"/>
  <c r="F25" i="15" s="1"/>
  <c r="BW56" i="3"/>
  <c r="BV6" i="3"/>
  <c r="BU6" i="3"/>
  <c r="BT6" i="3"/>
  <c r="BR6" i="3"/>
  <c r="BR56" i="3" s="1"/>
  <c r="BQ6" i="3"/>
  <c r="BP6" i="3"/>
  <c r="BO6" i="3"/>
  <c r="BM6" i="3"/>
  <c r="BL6" i="3"/>
  <c r="BL56" i="3" s="1"/>
  <c r="BK6" i="3"/>
  <c r="BJ6" i="3"/>
  <c r="BH6" i="3"/>
  <c r="BH56" i="3" s="1"/>
  <c r="BG6" i="3"/>
  <c r="BF6" i="3"/>
  <c r="BE6" i="3"/>
  <c r="BC6" i="3"/>
  <c r="BB6" i="3"/>
  <c r="BB56" i="3" s="1"/>
  <c r="BA6" i="3"/>
  <c r="AZ6" i="3"/>
  <c r="AX6" i="3"/>
  <c r="AX56" i="3" s="1"/>
  <c r="AW6" i="3"/>
  <c r="AX87" i="3" s="1"/>
  <c r="AV6" i="3"/>
  <c r="AW87" i="3" s="1"/>
  <c r="AU6" i="3"/>
  <c r="AS6" i="3"/>
  <c r="AS56" i="3" s="1"/>
  <c r="AR6" i="3"/>
  <c r="AQ6" i="3"/>
  <c r="AP6" i="3"/>
  <c r="AN6" i="3"/>
  <c r="AN56" i="3" s="1"/>
  <c r="AM6" i="3"/>
  <c r="AL6" i="3"/>
  <c r="AK6" i="3"/>
  <c r="AI6" i="3"/>
  <c r="AH6" i="3"/>
  <c r="AG6" i="3"/>
  <c r="AF6" i="3"/>
  <c r="AD6" i="3"/>
  <c r="AD56" i="3" s="1"/>
  <c r="AC6" i="3"/>
  <c r="AB6" i="3"/>
  <c r="AA6" i="3"/>
  <c r="Y6" i="3"/>
  <c r="Y56" i="3" s="1"/>
  <c r="X6" i="3"/>
  <c r="Y87" i="3" s="1"/>
  <c r="W6" i="3"/>
  <c r="X87" i="3" s="1"/>
  <c r="V6" i="3"/>
  <c r="W87" i="3" s="1"/>
  <c r="T6" i="3"/>
  <c r="T56" i="3" s="1"/>
  <c r="S6" i="3"/>
  <c r="R6" i="3"/>
  <c r="R56" i="3" s="1"/>
  <c r="Q6" i="3"/>
  <c r="O6" i="3"/>
  <c r="O56" i="3" s="1"/>
  <c r="N6" i="3"/>
  <c r="M6" i="3"/>
  <c r="N87" i="3" s="1"/>
  <c r="L6" i="3"/>
  <c r="M87" i="3" s="1"/>
  <c r="J6" i="3"/>
  <c r="J56" i="3" s="1"/>
  <c r="I6" i="3"/>
  <c r="H6" i="3"/>
  <c r="H88" i="3" s="1"/>
  <c r="G6" i="3"/>
  <c r="G88" i="3" s="1"/>
  <c r="E6" i="3"/>
  <c r="D6" i="3"/>
  <c r="C6" i="3"/>
  <c r="B6" i="3"/>
  <c r="BW111" i="2"/>
  <c r="BW112" i="2" s="1"/>
  <c r="BV111" i="2"/>
  <c r="BV112" i="2" s="1"/>
  <c r="BU111" i="2"/>
  <c r="BU112" i="2" s="1"/>
  <c r="BR111" i="2"/>
  <c r="BS111" i="2" s="1"/>
  <c r="BQ111" i="2"/>
  <c r="BH111" i="2"/>
  <c r="BH112" i="2" s="1"/>
  <c r="BG111" i="2"/>
  <c r="BF111" i="2"/>
  <c r="BC111" i="2"/>
  <c r="BB111" i="2"/>
  <c r="AS111" i="2"/>
  <c r="AT111" i="2" s="1"/>
  <c r="AR111" i="2"/>
  <c r="AN111" i="2"/>
  <c r="AO111" i="2" s="1"/>
  <c r="AM111" i="2"/>
  <c r="AM112" i="2" s="1"/>
  <c r="AI111" i="2"/>
  <c r="AJ111" i="2" s="1"/>
  <c r="AC111" i="2"/>
  <c r="Y111" i="2"/>
  <c r="X111" i="2"/>
  <c r="BY109" i="2"/>
  <c r="BY110" i="2" s="1"/>
  <c r="BW109" i="2"/>
  <c r="BV109" i="2"/>
  <c r="BV110" i="2" s="1"/>
  <c r="BU109" i="2"/>
  <c r="BU110" i="2" s="1"/>
  <c r="BT109" i="2"/>
  <c r="BT110" i="2" s="1"/>
  <c r="BR109" i="2"/>
  <c r="BR110" i="2" s="1"/>
  <c r="BQ109" i="2"/>
  <c r="BQ110" i="2" s="1"/>
  <c r="BP109" i="2"/>
  <c r="BP110" i="2" s="1"/>
  <c r="BO109" i="2"/>
  <c r="BO110" i="2" s="1"/>
  <c r="BM109" i="2"/>
  <c r="BN109" i="2" s="1"/>
  <c r="BL109" i="2"/>
  <c r="BL110" i="2" s="1"/>
  <c r="BK109" i="2"/>
  <c r="BK110" i="2" s="1"/>
  <c r="BJ109" i="2"/>
  <c r="BJ110" i="2" s="1"/>
  <c r="BH109" i="2"/>
  <c r="BG109" i="2"/>
  <c r="BG110" i="2" s="1"/>
  <c r="BF109" i="2"/>
  <c r="BF110" i="2" s="1"/>
  <c r="BE109" i="2"/>
  <c r="BE110" i="2" s="1"/>
  <c r="BC109" i="2"/>
  <c r="BC110" i="2" s="1"/>
  <c r="BB109" i="2"/>
  <c r="BB110" i="2" s="1"/>
  <c r="BA109" i="2"/>
  <c r="BA110" i="2" s="1"/>
  <c r="AZ109" i="2"/>
  <c r="AZ110" i="2" s="1"/>
  <c r="AX109" i="2"/>
  <c r="AW109" i="2"/>
  <c r="AW110" i="2" s="1"/>
  <c r="AV109" i="2"/>
  <c r="AV110" i="2" s="1"/>
  <c r="AU109" i="2"/>
  <c r="AU110" i="2" s="1"/>
  <c r="AS109" i="2"/>
  <c r="AS110" i="2" s="1"/>
  <c r="AR109" i="2"/>
  <c r="AR110" i="2" s="1"/>
  <c r="AQ109" i="2"/>
  <c r="AQ110" i="2" s="1"/>
  <c r="AP109" i="2"/>
  <c r="AP110" i="2" s="1"/>
  <c r="AN109" i="2"/>
  <c r="AO109" i="2" s="1"/>
  <c r="AM109" i="2"/>
  <c r="AM110" i="2" s="1"/>
  <c r="AL109" i="2"/>
  <c r="AL110" i="2" s="1"/>
  <c r="AK109" i="2"/>
  <c r="AK110" i="2" s="1"/>
  <c r="AI109" i="2"/>
  <c r="AI110" i="2" s="1"/>
  <c r="AH109" i="2"/>
  <c r="AH110" i="2" s="1"/>
  <c r="AG109" i="2"/>
  <c r="AG110" i="2" s="1"/>
  <c r="AF109" i="2"/>
  <c r="AF110" i="2" s="1"/>
  <c r="AD109" i="2"/>
  <c r="AD110" i="2" s="1"/>
  <c r="AC109" i="2"/>
  <c r="AC110" i="2" s="1"/>
  <c r="AB109" i="2"/>
  <c r="AB110" i="2" s="1"/>
  <c r="AA109" i="2"/>
  <c r="AA110" i="2" s="1"/>
  <c r="Y109" i="2"/>
  <c r="Z109" i="2" s="1"/>
  <c r="X109" i="2"/>
  <c r="X110" i="2" s="1"/>
  <c r="W109" i="2"/>
  <c r="W110" i="2" s="1"/>
  <c r="V109" i="2"/>
  <c r="V110" i="2" s="1"/>
  <c r="T109" i="2"/>
  <c r="U109" i="2" s="1"/>
  <c r="S109" i="2"/>
  <c r="S110" i="2" s="1"/>
  <c r="R109" i="2"/>
  <c r="R110" i="2" s="1"/>
  <c r="Q109" i="2"/>
  <c r="Q110" i="2" s="1"/>
  <c r="O109" i="2"/>
  <c r="O110" i="2" s="1"/>
  <c r="N109" i="2"/>
  <c r="N110" i="2" s="1"/>
  <c r="M109" i="2"/>
  <c r="M110" i="2" s="1"/>
  <c r="L109" i="2"/>
  <c r="L110" i="2" s="1"/>
  <c r="J109" i="2"/>
  <c r="J110" i="2" s="1"/>
  <c r="I109" i="2"/>
  <c r="I110" i="2" s="1"/>
  <c r="H109" i="2"/>
  <c r="H110" i="2" s="1"/>
  <c r="G109" i="2"/>
  <c r="G110" i="2" s="1"/>
  <c r="E109" i="2"/>
  <c r="F109" i="2" s="1"/>
  <c r="D109" i="2"/>
  <c r="D110" i="2" s="1"/>
  <c r="C109" i="2"/>
  <c r="C110" i="2" s="1"/>
  <c r="B109" i="2"/>
  <c r="B110" i="2" s="1"/>
  <c r="BX108" i="2"/>
  <c r="BS108" i="2"/>
  <c r="BN108" i="2"/>
  <c r="BI108" i="2"/>
  <c r="BD108" i="2"/>
  <c r="AY108" i="2"/>
  <c r="AT108" i="2"/>
  <c r="AO108" i="2"/>
  <c r="AJ108" i="2"/>
  <c r="AE108" i="2"/>
  <c r="Z108" i="2"/>
  <c r="U108" i="2"/>
  <c r="P108" i="2"/>
  <c r="K108" i="2"/>
  <c r="F108" i="2"/>
  <c r="BX107" i="2"/>
  <c r="BS107" i="2"/>
  <c r="BN107" i="2"/>
  <c r="BI107" i="2"/>
  <c r="BD107" i="2"/>
  <c r="AY107" i="2"/>
  <c r="AT107" i="2"/>
  <c r="AO107" i="2"/>
  <c r="AJ107" i="2"/>
  <c r="AE107" i="2"/>
  <c r="Z107" i="2"/>
  <c r="U107" i="2"/>
  <c r="P107" i="2"/>
  <c r="K107" i="2"/>
  <c r="F107" i="2"/>
  <c r="BW100" i="2"/>
  <c r="BU100" i="2"/>
  <c r="BT100" i="2"/>
  <c r="BR100" i="2"/>
  <c r="BQ100" i="2"/>
  <c r="BP100" i="2"/>
  <c r="BM100" i="2"/>
  <c r="BL100" i="2"/>
  <c r="BK100" i="2"/>
  <c r="BH100" i="2"/>
  <c r="BG100" i="2"/>
  <c r="BF100" i="2"/>
  <c r="BF101" i="2" s="1"/>
  <c r="BE100" i="2"/>
  <c r="BC100" i="2"/>
  <c r="BB100" i="2"/>
  <c r="BA100" i="2"/>
  <c r="AX100" i="2"/>
  <c r="AW100" i="2"/>
  <c r="AV100" i="2"/>
  <c r="AS100" i="2"/>
  <c r="AR100" i="2"/>
  <c r="AQ100" i="2"/>
  <c r="AN100" i="2"/>
  <c r="AM100" i="2"/>
  <c r="AL100" i="2"/>
  <c r="AI100" i="2"/>
  <c r="AH100" i="2"/>
  <c r="AG100" i="2"/>
  <c r="AF100" i="2"/>
  <c r="AD100" i="2"/>
  <c r="AC100" i="2"/>
  <c r="AB100" i="2"/>
  <c r="Y100" i="2"/>
  <c r="X100" i="2"/>
  <c r="W100" i="2"/>
  <c r="V100" i="2"/>
  <c r="T100" i="2"/>
  <c r="S100" i="2"/>
  <c r="R100" i="2"/>
  <c r="O100" i="2"/>
  <c r="N100" i="2"/>
  <c r="M100" i="2"/>
  <c r="L100" i="2"/>
  <c r="J100" i="2"/>
  <c r="I100" i="2"/>
  <c r="H100" i="2"/>
  <c r="E100" i="2"/>
  <c r="D100" i="2"/>
  <c r="C100" i="2"/>
  <c r="B100" i="2"/>
  <c r="BX99" i="2"/>
  <c r="BX100" i="2" s="1"/>
  <c r="BS99" i="2"/>
  <c r="BS100" i="2" s="1"/>
  <c r="BN99" i="2"/>
  <c r="BN100" i="2" s="1"/>
  <c r="BI99" i="2"/>
  <c r="BI100" i="2" s="1"/>
  <c r="BD99" i="2"/>
  <c r="BD100" i="2" s="1"/>
  <c r="AY99" i="2"/>
  <c r="AY100" i="2" s="1"/>
  <c r="AT99" i="2"/>
  <c r="AT100" i="2" s="1"/>
  <c r="AO99" i="2"/>
  <c r="AO100" i="2" s="1"/>
  <c r="AJ99" i="2"/>
  <c r="AJ100" i="2" s="1"/>
  <c r="AE99" i="2"/>
  <c r="AE100" i="2" s="1"/>
  <c r="Z99" i="2"/>
  <c r="Z100" i="2" s="1"/>
  <c r="U99" i="2"/>
  <c r="U100" i="2" s="1"/>
  <c r="P99" i="2"/>
  <c r="P100" i="2" s="1"/>
  <c r="K99" i="2"/>
  <c r="K100" i="2" s="1"/>
  <c r="F99" i="2"/>
  <c r="F100" i="2" s="1"/>
  <c r="CI98" i="2"/>
  <c r="CJ98" i="2" s="1"/>
  <c r="CK98" i="2" s="1"/>
  <c r="CL98" i="2" s="1"/>
  <c r="CN98" i="2" s="1"/>
  <c r="CO98" i="2" s="1"/>
  <c r="CP98" i="2" s="1"/>
  <c r="CQ98" i="2" s="1"/>
  <c r="CS98" i="2" s="1"/>
  <c r="CT98" i="2" s="1"/>
  <c r="CU98" i="2" s="1"/>
  <c r="CV98" i="2" s="1"/>
  <c r="CX98" i="2" s="1"/>
  <c r="CY98" i="2" s="1"/>
  <c r="CZ98" i="2" s="1"/>
  <c r="DA98" i="2" s="1"/>
  <c r="BY95" i="2"/>
  <c r="BV95" i="2"/>
  <c r="BU95" i="2"/>
  <c r="BU102" i="2" s="1"/>
  <c r="BT95" i="2"/>
  <c r="BT102" i="2" s="1"/>
  <c r="BQ95" i="2"/>
  <c r="BQ102" i="2" s="1"/>
  <c r="BP95" i="2"/>
  <c r="BP102" i="2" s="1"/>
  <c r="BO95" i="2"/>
  <c r="BL95" i="2"/>
  <c r="BK95" i="2"/>
  <c r="BJ95" i="2"/>
  <c r="BJ102" i="2" s="1"/>
  <c r="BG95" i="2"/>
  <c r="BF95" i="2"/>
  <c r="BE95" i="2"/>
  <c r="BB95" i="2"/>
  <c r="BA95" i="2"/>
  <c r="AZ95" i="2"/>
  <c r="AZ102" i="2" s="1"/>
  <c r="AW95" i="2"/>
  <c r="AW102" i="2" s="1"/>
  <c r="AV95" i="2"/>
  <c r="AU95" i="2"/>
  <c r="AR95" i="2"/>
  <c r="AR102" i="2" s="1"/>
  <c r="AQ95" i="2"/>
  <c r="AQ98" i="2" s="1"/>
  <c r="AP95" i="2"/>
  <c r="AP98" i="2" s="1"/>
  <c r="AM95" i="2"/>
  <c r="AL95" i="2"/>
  <c r="AK95" i="2"/>
  <c r="AH95" i="2"/>
  <c r="AH102" i="2" s="1"/>
  <c r="AG95" i="2"/>
  <c r="AG98" i="2" s="1"/>
  <c r="AF95" i="2"/>
  <c r="AC95" i="2"/>
  <c r="AC98" i="2" s="1"/>
  <c r="AB95" i="2"/>
  <c r="AB102" i="2" s="1"/>
  <c r="AA95" i="2"/>
  <c r="X95" i="2"/>
  <c r="X98" i="2" s="1"/>
  <c r="W95" i="2"/>
  <c r="V95" i="2"/>
  <c r="S95" i="2"/>
  <c r="R95" i="2"/>
  <c r="N95" i="2"/>
  <c r="M95" i="2"/>
  <c r="M98" i="2" s="1"/>
  <c r="G95" i="2"/>
  <c r="G98" i="2" s="1"/>
  <c r="E95" i="2"/>
  <c r="C95" i="2"/>
  <c r="B95" i="2"/>
  <c r="BW94" i="2"/>
  <c r="BX94" i="2" s="1"/>
  <c r="BR94" i="2"/>
  <c r="BM94" i="2"/>
  <c r="BH94" i="2"/>
  <c r="BI94" i="2" s="1"/>
  <c r="BC94" i="2"/>
  <c r="BD94" i="2" s="1"/>
  <c r="AX94" i="2"/>
  <c r="AY94" i="2" s="1"/>
  <c r="AS94" i="2"/>
  <c r="AT94" i="2" s="1"/>
  <c r="AN94" i="2"/>
  <c r="AO94" i="2" s="1"/>
  <c r="AI94" i="2"/>
  <c r="AD94" i="2"/>
  <c r="AE94" i="2" s="1"/>
  <c r="Y94" i="2"/>
  <c r="Z94" i="2" s="1"/>
  <c r="Q94" i="2"/>
  <c r="L94" i="2"/>
  <c r="O94" i="2" s="1"/>
  <c r="I94" i="2"/>
  <c r="J94" i="2" s="1"/>
  <c r="D94" i="2"/>
  <c r="BY80" i="2"/>
  <c r="BT80" i="2"/>
  <c r="BO80" i="2"/>
  <c r="BL80" i="2"/>
  <c r="BK80" i="2"/>
  <c r="BJ80" i="2"/>
  <c r="BG80" i="2"/>
  <c r="BF80" i="2"/>
  <c r="BE80" i="2"/>
  <c r="BB80" i="2"/>
  <c r="BA80" i="2"/>
  <c r="AZ80" i="2"/>
  <c r="AW80" i="2"/>
  <c r="AV80" i="2"/>
  <c r="AU80" i="2"/>
  <c r="AR80" i="2"/>
  <c r="AQ80" i="2"/>
  <c r="AP80" i="2"/>
  <c r="AM80" i="2"/>
  <c r="AL80" i="2"/>
  <c r="AK80" i="2"/>
  <c r="AH80" i="2"/>
  <c r="AG80" i="2"/>
  <c r="AF80" i="2"/>
  <c r="AC80" i="2"/>
  <c r="AB80" i="2"/>
  <c r="AA80" i="2"/>
  <c r="X80" i="2"/>
  <c r="W80" i="2"/>
  <c r="V80" i="2"/>
  <c r="S80" i="2"/>
  <c r="R80" i="2"/>
  <c r="N80" i="2"/>
  <c r="M80" i="2"/>
  <c r="G80" i="2"/>
  <c r="E80" i="2"/>
  <c r="D80" i="2"/>
  <c r="C80" i="2"/>
  <c r="B80" i="2"/>
  <c r="BY72" i="2"/>
  <c r="BV72" i="2"/>
  <c r="BU72" i="2"/>
  <c r="BT72" i="2"/>
  <c r="BQ72" i="2"/>
  <c r="BP72" i="2"/>
  <c r="BO72" i="2"/>
  <c r="BL72" i="2"/>
  <c r="BK72" i="2"/>
  <c r="BJ72" i="2"/>
  <c r="BG72" i="2"/>
  <c r="BF72" i="2"/>
  <c r="BE72" i="2"/>
  <c r="BB72" i="2"/>
  <c r="BA72" i="2"/>
  <c r="AZ72" i="2"/>
  <c r="AW72" i="2"/>
  <c r="AV72" i="2"/>
  <c r="AU72" i="2"/>
  <c r="AR72" i="2"/>
  <c r="AQ72" i="2"/>
  <c r="AP72" i="2"/>
  <c r="AM72" i="2"/>
  <c r="AL72" i="2"/>
  <c r="AK72" i="2"/>
  <c r="AH72" i="2"/>
  <c r="AG72" i="2"/>
  <c r="AF72" i="2"/>
  <c r="AC72" i="2"/>
  <c r="AB72" i="2"/>
  <c r="AA72" i="2"/>
  <c r="X72" i="2"/>
  <c r="W72" i="2"/>
  <c r="V72" i="2"/>
  <c r="S72" i="2"/>
  <c r="R72" i="2"/>
  <c r="N72" i="2"/>
  <c r="M72" i="2"/>
  <c r="I72" i="2"/>
  <c r="H72" i="2"/>
  <c r="G72" i="2"/>
  <c r="E72" i="2"/>
  <c r="D72" i="2"/>
  <c r="C72" i="2"/>
  <c r="B72" i="2"/>
  <c r="BY71" i="2"/>
  <c r="BV71" i="2"/>
  <c r="BU71" i="2"/>
  <c r="BT71" i="2"/>
  <c r="BQ71" i="2"/>
  <c r="BP71" i="2"/>
  <c r="BO71" i="2"/>
  <c r="BL71" i="2"/>
  <c r="BK71" i="2"/>
  <c r="BJ71" i="2"/>
  <c r="BG71" i="2"/>
  <c r="BF71" i="2"/>
  <c r="BE71" i="2"/>
  <c r="BA71" i="2"/>
  <c r="AZ71" i="2"/>
  <c r="AW71" i="2"/>
  <c r="AV71" i="2"/>
  <c r="AU71" i="2"/>
  <c r="AR71" i="2"/>
  <c r="AQ71" i="2"/>
  <c r="AP71" i="2"/>
  <c r="AM71" i="2"/>
  <c r="AL71" i="2"/>
  <c r="AK71" i="2"/>
  <c r="AH71" i="2"/>
  <c r="AG71" i="2"/>
  <c r="AF71" i="2"/>
  <c r="AC71" i="2"/>
  <c r="AA71" i="2"/>
  <c r="X71" i="2"/>
  <c r="V71" i="2"/>
  <c r="S71" i="2"/>
  <c r="N71" i="2"/>
  <c r="M71" i="2"/>
  <c r="I71" i="2"/>
  <c r="H71" i="2"/>
  <c r="G71" i="2"/>
  <c r="E71" i="2"/>
  <c r="D71" i="2"/>
  <c r="C71" i="2"/>
  <c r="B71" i="2"/>
  <c r="BY69" i="2"/>
  <c r="BV69" i="2"/>
  <c r="BU69" i="2"/>
  <c r="BT69" i="2"/>
  <c r="BQ69" i="2"/>
  <c r="BP69" i="2"/>
  <c r="BO69" i="2"/>
  <c r="BL69" i="2"/>
  <c r="BK69" i="2"/>
  <c r="BJ69" i="2"/>
  <c r="BG69" i="2"/>
  <c r="BF69" i="2"/>
  <c r="BE69" i="2"/>
  <c r="BA69" i="2"/>
  <c r="AZ69" i="2"/>
  <c r="AV69" i="2"/>
  <c r="AU69" i="2"/>
  <c r="AR69" i="2"/>
  <c r="AQ69" i="2"/>
  <c r="AP69" i="2"/>
  <c r="AK69" i="2"/>
  <c r="C69" i="2"/>
  <c r="BY68" i="2"/>
  <c r="BT68" i="2"/>
  <c r="BO68" i="2"/>
  <c r="BJ68" i="2"/>
  <c r="BE68" i="2"/>
  <c r="AZ68" i="2"/>
  <c r="AU68" i="2"/>
  <c r="AP68" i="2"/>
  <c r="AK68" i="2"/>
  <c r="AF68" i="2"/>
  <c r="AA68" i="2"/>
  <c r="V68" i="2"/>
  <c r="M68" i="2"/>
  <c r="G68" i="2"/>
  <c r="B68" i="2"/>
  <c r="BY67" i="2"/>
  <c r="BA67" i="2"/>
  <c r="AZ67" i="2"/>
  <c r="AZ66" i="2" s="1"/>
  <c r="AQ67" i="2"/>
  <c r="M67" i="2"/>
  <c r="BY64" i="2"/>
  <c r="BZ64" i="2" s="1"/>
  <c r="BT64" i="2"/>
  <c r="BU64" i="2" s="1"/>
  <c r="BO64" i="2"/>
  <c r="BO32" i="2" s="1"/>
  <c r="BO34" i="11" s="1"/>
  <c r="BJ64" i="2"/>
  <c r="BK64" i="2" s="1"/>
  <c r="BK32" i="2" s="1"/>
  <c r="BE64" i="2"/>
  <c r="BE32" i="2" s="1"/>
  <c r="AZ64" i="2"/>
  <c r="AZ121" i="3" s="1"/>
  <c r="AU64" i="2"/>
  <c r="AP64" i="2"/>
  <c r="AQ64" i="2" s="1"/>
  <c r="AK64" i="2"/>
  <c r="AL64" i="2" s="1"/>
  <c r="AF64" i="2"/>
  <c r="AA64" i="2"/>
  <c r="AA121" i="3" s="1"/>
  <c r="V64" i="2"/>
  <c r="W64" i="2" s="1"/>
  <c r="X64" i="2" s="1"/>
  <c r="Y64" i="2" s="1"/>
  <c r="Q64" i="2"/>
  <c r="R64" i="2" s="1"/>
  <c r="L64" i="2"/>
  <c r="G64" i="2"/>
  <c r="E64" i="2"/>
  <c r="E32" i="2" s="1"/>
  <c r="D64" i="2"/>
  <c r="C64" i="2"/>
  <c r="C32" i="2" s="1"/>
  <c r="C21" i="2" s="1"/>
  <c r="B64" i="2"/>
  <c r="BX55" i="2"/>
  <c r="F14" i="15" s="1"/>
  <c r="BS55" i="2"/>
  <c r="E14" i="15" s="1"/>
  <c r="BN55" i="2"/>
  <c r="D14" i="15" s="1"/>
  <c r="BI55" i="2"/>
  <c r="C14" i="15" s="1"/>
  <c r="BD55" i="2"/>
  <c r="AY55" i="2"/>
  <c r="AT55" i="2"/>
  <c r="AO55" i="2"/>
  <c r="AE55" i="2"/>
  <c r="Z55" i="2"/>
  <c r="O55" i="2"/>
  <c r="K55" i="2"/>
  <c r="F55" i="2"/>
  <c r="F53" i="2" s="1"/>
  <c r="H53" i="2"/>
  <c r="G53" i="2"/>
  <c r="E53" i="2"/>
  <c r="D53" i="2"/>
  <c r="C53" i="2"/>
  <c r="DB50" i="2"/>
  <c r="CW50" i="2"/>
  <c r="CR50" i="2"/>
  <c r="CM50" i="2"/>
  <c r="CH50" i="2"/>
  <c r="H50" i="2"/>
  <c r="G50" i="2"/>
  <c r="E50" i="2"/>
  <c r="D50" i="2"/>
  <c r="C50" i="2"/>
  <c r="BX49" i="2"/>
  <c r="BS49" i="2"/>
  <c r="BN49" i="2"/>
  <c r="BI49" i="2"/>
  <c r="BD49" i="2"/>
  <c r="AY49" i="2"/>
  <c r="AT49" i="2"/>
  <c r="AO49" i="2"/>
  <c r="AJ49" i="2"/>
  <c r="AE49" i="2"/>
  <c r="Z49" i="2"/>
  <c r="U49" i="2"/>
  <c r="P49" i="2"/>
  <c r="K49" i="2"/>
  <c r="F49" i="2"/>
  <c r="BR48" i="2"/>
  <c r="BQ48" i="2"/>
  <c r="BP48" i="2"/>
  <c r="BO48" i="2"/>
  <c r="BM48" i="2"/>
  <c r="BN48" i="2" s="1"/>
  <c r="BL48" i="2"/>
  <c r="BK48" i="2"/>
  <c r="BJ48" i="2"/>
  <c r="BH48" i="2"/>
  <c r="BI48" i="2" s="1"/>
  <c r="BG48" i="2"/>
  <c r="BF48" i="2"/>
  <c r="BE48" i="2"/>
  <c r="BC48" i="2"/>
  <c r="BB48" i="2"/>
  <c r="BA48" i="2"/>
  <c r="AZ48" i="2"/>
  <c r="AX48" i="2"/>
  <c r="AW48" i="2"/>
  <c r="AV48" i="2"/>
  <c r="AU48" i="2"/>
  <c r="AS48" i="2"/>
  <c r="AR48" i="2"/>
  <c r="AQ48" i="2"/>
  <c r="AP48" i="2"/>
  <c r="AN48" i="2"/>
  <c r="AM48" i="2"/>
  <c r="AL48" i="2"/>
  <c r="AK48" i="2"/>
  <c r="AI48" i="2"/>
  <c r="AI55" i="2" s="1"/>
  <c r="AH48" i="2"/>
  <c r="AG48" i="2"/>
  <c r="AF48" i="2"/>
  <c r="AD48" i="2"/>
  <c r="AC48" i="2"/>
  <c r="AB48" i="2"/>
  <c r="AA48" i="2"/>
  <c r="Y48" i="2"/>
  <c r="X48" i="2"/>
  <c r="W48" i="2"/>
  <c r="V48" i="2"/>
  <c r="T48" i="2"/>
  <c r="T50" i="2" s="1"/>
  <c r="R48" i="2"/>
  <c r="S53" i="2" s="1"/>
  <c r="Q48" i="2"/>
  <c r="O48" i="2"/>
  <c r="N48" i="2"/>
  <c r="M48" i="2"/>
  <c r="L48" i="2"/>
  <c r="J48" i="2"/>
  <c r="K48" i="2" s="1"/>
  <c r="I48" i="2"/>
  <c r="I53" i="2" s="1"/>
  <c r="F48" i="2"/>
  <c r="BW43" i="2"/>
  <c r="BR43" i="2"/>
  <c r="BM43" i="2"/>
  <c r="BH43" i="2"/>
  <c r="BH38" i="11" s="1"/>
  <c r="BC43" i="2"/>
  <c r="BC38" i="11" s="1"/>
  <c r="AX43" i="2"/>
  <c r="AX72" i="2" s="1"/>
  <c r="AS43" i="2"/>
  <c r="AS72" i="2" s="1"/>
  <c r="AN43" i="2"/>
  <c r="AO43" i="2" s="1"/>
  <c r="AO72" i="2" s="1"/>
  <c r="AI43" i="2"/>
  <c r="AI72" i="2" s="1"/>
  <c r="AD43" i="2"/>
  <c r="AD72" i="2" s="1"/>
  <c r="Y43" i="2"/>
  <c r="Z43" i="2" s="1"/>
  <c r="Z72" i="2" s="1"/>
  <c r="Q43" i="2"/>
  <c r="L43" i="2"/>
  <c r="L72" i="2" s="1"/>
  <c r="J43" i="2"/>
  <c r="J72" i="2" s="1"/>
  <c r="F43" i="2"/>
  <c r="F72" i="2" s="1"/>
  <c r="BW40" i="2"/>
  <c r="BR40" i="2"/>
  <c r="BS40" i="2" s="1"/>
  <c r="BM40" i="2"/>
  <c r="BN40" i="2" s="1"/>
  <c r="BH40" i="2"/>
  <c r="BI40" i="2" s="1"/>
  <c r="BC40" i="2"/>
  <c r="BD40" i="2" s="1"/>
  <c r="AX40" i="2"/>
  <c r="AY40" i="2" s="1"/>
  <c r="AS40" i="2"/>
  <c r="AN40" i="2"/>
  <c r="AO40" i="2" s="1"/>
  <c r="AI40" i="2"/>
  <c r="AJ40" i="2" s="1"/>
  <c r="AD40" i="2"/>
  <c r="AE40" i="2" s="1"/>
  <c r="Y40" i="2"/>
  <c r="Z40" i="2" s="1"/>
  <c r="Q40" i="2"/>
  <c r="T40" i="2" s="1"/>
  <c r="U40" i="2" s="1"/>
  <c r="L40" i="2"/>
  <c r="J40" i="2"/>
  <c r="F40" i="2"/>
  <c r="BW38" i="2"/>
  <c r="BR38" i="2"/>
  <c r="BM38" i="2"/>
  <c r="BH38" i="2"/>
  <c r="BB38" i="2"/>
  <c r="AX38" i="2"/>
  <c r="AS38" i="2"/>
  <c r="AT38" i="2" s="1"/>
  <c r="AN38" i="2"/>
  <c r="AI38" i="2"/>
  <c r="AB38" i="2"/>
  <c r="W38" i="2"/>
  <c r="R38" i="2"/>
  <c r="Q38" i="2" s="1"/>
  <c r="L38" i="2"/>
  <c r="O38" i="2" s="1"/>
  <c r="J38" i="2"/>
  <c r="K38" i="2" s="1"/>
  <c r="F38" i="2"/>
  <c r="DB36" i="2"/>
  <c r="CW36" i="2"/>
  <c r="CR36" i="2"/>
  <c r="CM36" i="2"/>
  <c r="CH36" i="2"/>
  <c r="CC36" i="2"/>
  <c r="BX36" i="2"/>
  <c r="BS36" i="2"/>
  <c r="BN36" i="2"/>
  <c r="BI36" i="2"/>
  <c r="BD36" i="2"/>
  <c r="AY36" i="2"/>
  <c r="AT36" i="2"/>
  <c r="AO36" i="2"/>
  <c r="AJ36" i="2"/>
  <c r="AE36" i="2"/>
  <c r="Z36" i="2"/>
  <c r="U36" i="2"/>
  <c r="P36" i="2"/>
  <c r="K36" i="2"/>
  <c r="F36" i="2"/>
  <c r="BW34" i="2"/>
  <c r="BR34" i="2"/>
  <c r="BM34" i="2"/>
  <c r="BH34" i="2"/>
  <c r="BB34" i="2"/>
  <c r="AW34" i="2"/>
  <c r="AW69" i="2" s="1"/>
  <c r="AS34" i="2"/>
  <c r="AM34" i="2"/>
  <c r="AM69" i="2" s="1"/>
  <c r="AL34" i="2"/>
  <c r="AL69" i="2" s="1"/>
  <c r="AH34" i="2"/>
  <c r="AH69" i="2" s="1"/>
  <c r="AG34" i="2"/>
  <c r="AG69" i="2" s="1"/>
  <c r="AF34" i="2"/>
  <c r="AF69" i="2" s="1"/>
  <c r="AC34" i="2"/>
  <c r="AC69" i="2" s="1"/>
  <c r="AB34" i="2"/>
  <c r="AB69" i="2" s="1"/>
  <c r="AA34" i="2"/>
  <c r="X34" i="2"/>
  <c r="X69" i="2" s="1"/>
  <c r="W34" i="2"/>
  <c r="W69" i="2" s="1"/>
  <c r="V34" i="2"/>
  <c r="V69" i="2" s="1"/>
  <c r="S34" i="2"/>
  <c r="S69" i="2" s="1"/>
  <c r="R34" i="2"/>
  <c r="R69" i="2" s="1"/>
  <c r="N34" i="2"/>
  <c r="N69" i="2" s="1"/>
  <c r="M34" i="2"/>
  <c r="M69" i="2" s="1"/>
  <c r="I34" i="2"/>
  <c r="I69" i="2" s="1"/>
  <c r="H34" i="2"/>
  <c r="H69" i="2" s="1"/>
  <c r="G34" i="2"/>
  <c r="E34" i="2"/>
  <c r="E69" i="2" s="1"/>
  <c r="D34" i="2"/>
  <c r="D69" i="2" s="1"/>
  <c r="B34" i="2"/>
  <c r="DB33" i="2"/>
  <c r="CW33" i="2"/>
  <c r="CR33" i="2"/>
  <c r="CM33" i="2"/>
  <c r="CH33" i="2"/>
  <c r="CC33" i="2"/>
  <c r="BX33" i="2"/>
  <c r="BS33" i="2"/>
  <c r="BN33" i="2"/>
  <c r="BI33" i="2"/>
  <c r="BB33" i="2"/>
  <c r="AY33" i="2"/>
  <c r="AS33" i="2"/>
  <c r="AS150" i="3" s="1"/>
  <c r="AO33" i="2"/>
  <c r="AJ33" i="2"/>
  <c r="AE33" i="2"/>
  <c r="Z33" i="2"/>
  <c r="U33" i="2"/>
  <c r="P33" i="2"/>
  <c r="J33" i="2"/>
  <c r="K33" i="2" s="1"/>
  <c r="F33" i="2"/>
  <c r="BJ32" i="2"/>
  <c r="BJ34" i="11" s="1"/>
  <c r="AJ32" i="2"/>
  <c r="AD32" i="2"/>
  <c r="AE32" i="2" s="1"/>
  <c r="V32" i="2"/>
  <c r="Y32" i="2" s="1"/>
  <c r="R32" i="2"/>
  <c r="Q32" i="2" s="1"/>
  <c r="M32" i="2"/>
  <c r="M21" i="2" s="1"/>
  <c r="G32" i="2"/>
  <c r="G21" i="2" s="1"/>
  <c r="G62" i="2" s="1"/>
  <c r="BY31" i="2"/>
  <c r="CB31" i="2" s="1"/>
  <c r="BU31" i="2"/>
  <c r="BT31" i="2"/>
  <c r="BQ31" i="2"/>
  <c r="BP31" i="2"/>
  <c r="BO31" i="2"/>
  <c r="BL31" i="2"/>
  <c r="BK31" i="2"/>
  <c r="BK33" i="11" s="1"/>
  <c r="BJ31" i="2"/>
  <c r="BG31" i="2"/>
  <c r="BF31" i="2"/>
  <c r="BE31" i="2"/>
  <c r="BB31" i="2"/>
  <c r="BA31" i="2"/>
  <c r="AZ31" i="2"/>
  <c r="AW31" i="2"/>
  <c r="AV31" i="2"/>
  <c r="AU31" i="2"/>
  <c r="AR31" i="2"/>
  <c r="AR30" i="2" s="1"/>
  <c r="AQ31" i="2"/>
  <c r="AP31" i="2"/>
  <c r="AM31" i="2"/>
  <c r="AI31" i="2"/>
  <c r="AI30" i="2" s="1"/>
  <c r="AD31" i="2"/>
  <c r="AE31" i="2" s="1"/>
  <c r="Y31" i="2"/>
  <c r="R31" i="2"/>
  <c r="L31" i="2"/>
  <c r="O31" i="2" s="1"/>
  <c r="K31" i="2"/>
  <c r="C31" i="2"/>
  <c r="B31" i="2"/>
  <c r="AH30" i="2"/>
  <c r="AG30" i="2"/>
  <c r="AF30" i="2"/>
  <c r="AC30" i="2"/>
  <c r="AB30" i="2"/>
  <c r="AA30" i="2"/>
  <c r="X30" i="2"/>
  <c r="W30" i="2"/>
  <c r="S30" i="2"/>
  <c r="N30" i="2"/>
  <c r="BX28" i="2"/>
  <c r="BX29" i="2" s="1"/>
  <c r="BN28" i="2"/>
  <c r="BN29" i="2" s="1"/>
  <c r="BI28" i="2"/>
  <c r="BI29" i="2" s="1"/>
  <c r="AC23" i="2"/>
  <c r="AB23" i="2"/>
  <c r="X67" i="2"/>
  <c r="I67" i="2"/>
  <c r="BW26" i="2"/>
  <c r="BW32" i="11" s="1"/>
  <c r="BW30" i="11" s="1"/>
  <c r="BR26" i="2"/>
  <c r="BR32" i="11" s="1"/>
  <c r="BR30" i="11" s="1"/>
  <c r="BM26" i="2"/>
  <c r="BH26" i="2"/>
  <c r="BH32" i="11" s="1"/>
  <c r="BH30" i="11" s="1"/>
  <c r="BC26" i="2"/>
  <c r="AX26" i="2"/>
  <c r="AS26" i="2"/>
  <c r="AT26" i="2" s="1"/>
  <c r="AN26" i="2"/>
  <c r="AI26" i="2"/>
  <c r="AD26" i="2"/>
  <c r="Y26" i="2"/>
  <c r="Q26" i="2"/>
  <c r="T26" i="2" s="1"/>
  <c r="L26" i="2"/>
  <c r="H26" i="2"/>
  <c r="F26" i="2"/>
  <c r="BO67" i="2"/>
  <c r="BL67" i="2"/>
  <c r="BK67" i="2"/>
  <c r="BJ67" i="2"/>
  <c r="BG23" i="2"/>
  <c r="BF67" i="2"/>
  <c r="BA23" i="2"/>
  <c r="AZ23" i="2"/>
  <c r="AW67" i="2"/>
  <c r="AV67" i="2"/>
  <c r="AU67" i="2"/>
  <c r="AR67" i="2"/>
  <c r="AP67" i="2"/>
  <c r="AM67" i="2"/>
  <c r="S67" i="2"/>
  <c r="N23" i="2"/>
  <c r="BY23" i="2"/>
  <c r="N14" i="9" s="1"/>
  <c r="BO23" i="2"/>
  <c r="BL23" i="2"/>
  <c r="BK23" i="2"/>
  <c r="BJ23" i="2"/>
  <c r="BF23" i="2"/>
  <c r="AW23" i="2"/>
  <c r="AU23" i="2"/>
  <c r="AR23" i="2"/>
  <c r="AQ23" i="2"/>
  <c r="AP23" i="2"/>
  <c r="S23" i="2"/>
  <c r="M23" i="2"/>
  <c r="B23" i="2"/>
  <c r="AR21" i="2"/>
  <c r="AM21" i="2"/>
  <c r="AH21" i="2"/>
  <c r="AH62" i="2" s="1"/>
  <c r="AG21" i="2"/>
  <c r="AG62" i="2" s="1"/>
  <c r="AF21" i="2"/>
  <c r="AF62" i="2" s="1"/>
  <c r="AC21" i="2"/>
  <c r="AC62" i="2" s="1"/>
  <c r="AB21" i="2"/>
  <c r="AB62" i="2" s="1"/>
  <c r="AA21" i="2"/>
  <c r="X21" i="2"/>
  <c r="X62" i="2" s="1"/>
  <c r="W21" i="2"/>
  <c r="S21" i="2"/>
  <c r="S62" i="2" s="1"/>
  <c r="N21" i="2"/>
  <c r="CV20" i="2"/>
  <c r="CT20" i="2"/>
  <c r="BY20" i="2"/>
  <c r="BP20" i="2"/>
  <c r="BL20" i="2"/>
  <c r="BK20" i="2"/>
  <c r="BJ20" i="2"/>
  <c r="AW20" i="2"/>
  <c r="AV20" i="2"/>
  <c r="AU20" i="2"/>
  <c r="AM20" i="2"/>
  <c r="AL20" i="2"/>
  <c r="AH20" i="2"/>
  <c r="AG20" i="2"/>
  <c r="AF20" i="2"/>
  <c r="G20" i="2"/>
  <c r="E20" i="2"/>
  <c r="D20" i="2"/>
  <c r="C20" i="2"/>
  <c r="B20" i="2"/>
  <c r="BW18" i="2"/>
  <c r="BR18" i="2"/>
  <c r="BM18" i="2"/>
  <c r="BM27" i="11" s="1"/>
  <c r="BH18" i="2"/>
  <c r="BC18" i="2"/>
  <c r="AX18" i="2"/>
  <c r="AS18" i="2"/>
  <c r="AN18" i="2"/>
  <c r="AI18" i="2"/>
  <c r="AI20" i="2" s="1"/>
  <c r="AD18" i="2"/>
  <c r="Y18" i="2"/>
  <c r="Q18" i="2"/>
  <c r="L18" i="2"/>
  <c r="H18" i="2"/>
  <c r="I18" i="2" s="1"/>
  <c r="F18" i="2"/>
  <c r="BY15" i="2"/>
  <c r="CF15" i="2" s="1"/>
  <c r="CG15" i="2" s="1"/>
  <c r="CI15" i="2" s="1"/>
  <c r="CJ15" i="2" s="1"/>
  <c r="CK15" i="2" s="1"/>
  <c r="CL15" i="2" s="1"/>
  <c r="CN15" i="2" s="1"/>
  <c r="CO15" i="2" s="1"/>
  <c r="CP15" i="2" s="1"/>
  <c r="CQ15" i="2" s="1"/>
  <c r="CS15" i="2" s="1"/>
  <c r="CT15" i="2" s="1"/>
  <c r="CU15" i="2" s="1"/>
  <c r="CV15" i="2" s="1"/>
  <c r="CX15" i="2" s="1"/>
  <c r="CY15" i="2" s="1"/>
  <c r="CZ15" i="2" s="1"/>
  <c r="DA15" i="2" s="1"/>
  <c r="BT15" i="2"/>
  <c r="BO15" i="2"/>
  <c r="BL15" i="2"/>
  <c r="BK15" i="2"/>
  <c r="BJ15" i="2"/>
  <c r="BG15" i="2"/>
  <c r="BF15" i="2"/>
  <c r="BE15" i="2"/>
  <c r="BB15" i="2"/>
  <c r="BA15" i="2"/>
  <c r="AZ15" i="2"/>
  <c r="AW15" i="2"/>
  <c r="AV15" i="2"/>
  <c r="AU15" i="2"/>
  <c r="AR15" i="2"/>
  <c r="AQ15" i="2"/>
  <c r="AP15" i="2"/>
  <c r="AM15" i="2"/>
  <c r="AL15" i="2"/>
  <c r="AK15" i="2"/>
  <c r="AH15" i="2"/>
  <c r="AG15" i="2"/>
  <c r="AF15" i="2"/>
  <c r="AC15" i="2"/>
  <c r="AB15" i="2"/>
  <c r="AA15" i="2"/>
  <c r="X15" i="2"/>
  <c r="W15" i="2"/>
  <c r="V15" i="2"/>
  <c r="S15" i="2"/>
  <c r="R15" i="2"/>
  <c r="N15" i="2"/>
  <c r="M15" i="2"/>
  <c r="G15" i="2"/>
  <c r="E15" i="2"/>
  <c r="D15" i="2"/>
  <c r="C15" i="2"/>
  <c r="B15" i="2"/>
  <c r="BU14" i="2"/>
  <c r="BV14" i="2" s="1"/>
  <c r="BP14" i="2"/>
  <c r="BM14" i="2"/>
  <c r="BN14" i="2" s="1"/>
  <c r="BH14" i="2"/>
  <c r="BI14" i="2" s="1"/>
  <c r="BC14" i="2"/>
  <c r="AX14" i="2"/>
  <c r="AY14" i="2" s="1"/>
  <c r="AS14" i="2"/>
  <c r="AT14" i="2" s="1"/>
  <c r="AN14" i="2"/>
  <c r="AO14" i="2" s="1"/>
  <c r="AI14" i="2"/>
  <c r="AJ14" i="2" s="1"/>
  <c r="AD14" i="2"/>
  <c r="Y14" i="2"/>
  <c r="Z14" i="2" s="1"/>
  <c r="Q14" i="2"/>
  <c r="L14" i="2"/>
  <c r="H14" i="2"/>
  <c r="I14" i="2" s="1"/>
  <c r="F14" i="2"/>
  <c r="BU13" i="2"/>
  <c r="BU25" i="11" s="1"/>
  <c r="BP13" i="2"/>
  <c r="BK13" i="2"/>
  <c r="BF13" i="2"/>
  <c r="BF25" i="11" s="1"/>
  <c r="BA13" i="2"/>
  <c r="AV13" i="2"/>
  <c r="AQ13" i="2"/>
  <c r="AQ68" i="2" s="1"/>
  <c r="AL13" i="2"/>
  <c r="AL68" i="2" s="1"/>
  <c r="AG13" i="2"/>
  <c r="AG68" i="2" s="1"/>
  <c r="AB13" i="2"/>
  <c r="W13" i="2"/>
  <c r="W68" i="2" s="1"/>
  <c r="R13" i="2"/>
  <c r="R68" i="2" s="1"/>
  <c r="L13" i="2"/>
  <c r="N13" i="2" s="1"/>
  <c r="H13" i="2"/>
  <c r="C13" i="2"/>
  <c r="C68" i="2" s="1"/>
  <c r="BY11" i="2"/>
  <c r="BT11" i="2"/>
  <c r="BO11" i="2"/>
  <c r="BO24" i="11" s="1"/>
  <c r="BJ11" i="2"/>
  <c r="BJ10" i="2" s="1"/>
  <c r="BE11" i="2"/>
  <c r="BE24" i="11" s="1"/>
  <c r="AZ11" i="2"/>
  <c r="AZ24" i="11" s="1"/>
  <c r="AU11" i="2"/>
  <c r="AP11" i="2"/>
  <c r="AP10" i="2" s="1"/>
  <c r="AK11" i="2"/>
  <c r="AK10" i="2" s="1"/>
  <c r="AF11" i="2"/>
  <c r="AA11" i="2"/>
  <c r="V11" i="2"/>
  <c r="V60" i="2" s="1"/>
  <c r="M11" i="2"/>
  <c r="M10" i="2" s="1"/>
  <c r="G11" i="2"/>
  <c r="G60" i="2" s="1"/>
  <c r="B11" i="2"/>
  <c r="B10" i="2" s="1"/>
  <c r="BU7" i="2"/>
  <c r="BP7" i="2"/>
  <c r="BM7" i="2"/>
  <c r="BN7" i="2" s="1"/>
  <c r="BH7" i="2"/>
  <c r="BI7" i="2" s="1"/>
  <c r="BC7" i="2"/>
  <c r="AX7" i="2"/>
  <c r="AY7" i="2" s="1"/>
  <c r="AS7" i="2"/>
  <c r="AT7" i="2" s="1"/>
  <c r="AN7" i="2"/>
  <c r="AO7" i="2" s="1"/>
  <c r="AI7" i="2"/>
  <c r="AJ7" i="2" s="1"/>
  <c r="AD7" i="2"/>
  <c r="Y7" i="2"/>
  <c r="Z7" i="2" s="1"/>
  <c r="Q7" i="2"/>
  <c r="T7" i="2" s="1"/>
  <c r="L7" i="2"/>
  <c r="H7" i="2"/>
  <c r="I7" i="2" s="1"/>
  <c r="F7" i="2"/>
  <c r="BU6" i="2"/>
  <c r="BV6" i="2" s="1"/>
  <c r="BP6" i="2"/>
  <c r="BM6" i="2"/>
  <c r="BH6" i="2"/>
  <c r="BI6" i="2" s="1"/>
  <c r="BC6" i="2"/>
  <c r="AX6" i="2"/>
  <c r="AS6" i="2"/>
  <c r="AT6" i="2" s="1"/>
  <c r="AN6" i="2"/>
  <c r="AN41" i="4" s="1"/>
  <c r="AI6" i="2"/>
  <c r="AD6" i="2"/>
  <c r="Y6" i="2"/>
  <c r="Y41" i="4" s="1"/>
  <c r="Q6" i="2"/>
  <c r="L6" i="2"/>
  <c r="H6" i="2"/>
  <c r="I6" i="2" s="1"/>
  <c r="F6" i="2"/>
  <c r="BY5" i="2"/>
  <c r="BT5" i="2"/>
  <c r="BT4" i="2" s="1"/>
  <c r="BT21" i="11" s="1"/>
  <c r="BT19" i="11" s="1"/>
  <c r="BO5" i="2"/>
  <c r="BP5" i="2" s="1"/>
  <c r="BL5" i="2"/>
  <c r="BK5" i="2"/>
  <c r="BK4" i="2" s="1"/>
  <c r="BJ5" i="2"/>
  <c r="BG5" i="2"/>
  <c r="BG4" i="2" s="1"/>
  <c r="BF5" i="2"/>
  <c r="BF4" i="2" s="1"/>
  <c r="BE5" i="2"/>
  <c r="BB5" i="2"/>
  <c r="BA5" i="2"/>
  <c r="AZ5" i="2"/>
  <c r="AZ35" i="4" s="1"/>
  <c r="AW5" i="2"/>
  <c r="AW4" i="2" s="1"/>
  <c r="AW8" i="2" s="1"/>
  <c r="AV5" i="2"/>
  <c r="AV4" i="2" s="1"/>
  <c r="AU5" i="2"/>
  <c r="AU4" i="2" s="1"/>
  <c r="AR5" i="2"/>
  <c r="AR4" i="2" s="1"/>
  <c r="AQ5" i="2"/>
  <c r="AQ4" i="2" s="1"/>
  <c r="AP5" i="2"/>
  <c r="AP4" i="2" s="1"/>
  <c r="AM5" i="2"/>
  <c r="AM35" i="4" s="1"/>
  <c r="AL5" i="2"/>
  <c r="AK5" i="2"/>
  <c r="AH5" i="2"/>
  <c r="AH35" i="4" s="1"/>
  <c r="AG5" i="2"/>
  <c r="AG35" i="4" s="1"/>
  <c r="AF5" i="2"/>
  <c r="AC5" i="2"/>
  <c r="AB5" i="2"/>
  <c r="AA5" i="2"/>
  <c r="AA4" i="2" s="1"/>
  <c r="X5" i="2"/>
  <c r="W5" i="2"/>
  <c r="V5" i="2"/>
  <c r="V35" i="4" s="1"/>
  <c r="S5" i="2"/>
  <c r="R5" i="2"/>
  <c r="Q5" i="2" s="1"/>
  <c r="N5" i="2"/>
  <c r="N111" i="2" s="1"/>
  <c r="N112" i="2" s="1"/>
  <c r="M5" i="2"/>
  <c r="L5" i="2" s="1"/>
  <c r="G5" i="2"/>
  <c r="E5" i="2"/>
  <c r="D5" i="2"/>
  <c r="D4" i="2" s="1"/>
  <c r="D8" i="2" s="1"/>
  <c r="C5" i="2"/>
  <c r="C4" i="2" s="1"/>
  <c r="C8" i="2" s="1"/>
  <c r="B5" i="2"/>
  <c r="BL4" i="2"/>
  <c r="DA25" i="2"/>
  <c r="CZ25" i="2"/>
  <c r="CY25" i="2"/>
  <c r="CX25" i="2"/>
  <c r="CV25" i="2"/>
  <c r="CU25" i="2"/>
  <c r="CT25" i="2"/>
  <c r="CS25" i="2"/>
  <c r="CQ25" i="2"/>
  <c r="CP25" i="2"/>
  <c r="CO25" i="2"/>
  <c r="CN25" i="2"/>
  <c r="CL25" i="2"/>
  <c r="CK25" i="2"/>
  <c r="CJ25" i="2"/>
  <c r="CI25" i="2"/>
  <c r="AW43" i="3" l="1"/>
  <c r="BL43" i="3"/>
  <c r="BA25" i="2"/>
  <c r="C11" i="2"/>
  <c r="C113" i="2" s="1"/>
  <c r="BK129" i="3"/>
  <c r="AC60" i="3"/>
  <c r="AC61" i="3" s="1"/>
  <c r="AC63" i="3" s="1"/>
  <c r="BV60" i="3"/>
  <c r="BV61" i="3" s="1"/>
  <c r="BV63" i="3" s="1"/>
  <c r="AG125" i="3"/>
  <c r="X116" i="3"/>
  <c r="J116" i="3"/>
  <c r="AG129" i="3"/>
  <c r="CA64" i="2"/>
  <c r="CB64" i="2" s="1"/>
  <c r="BG43" i="3"/>
  <c r="O43" i="3"/>
  <c r="F20" i="2"/>
  <c r="BH116" i="3"/>
  <c r="AT110" i="3"/>
  <c r="CC11" i="3"/>
  <c r="CB29" i="2"/>
  <c r="BZ5" i="2"/>
  <c r="CA5" i="2" s="1"/>
  <c r="CA35" i="4" s="1"/>
  <c r="BS115" i="3"/>
  <c r="BV53" i="2"/>
  <c r="C28" i="3"/>
  <c r="C51" i="3" s="1"/>
  <c r="AA129" i="3"/>
  <c r="BE33" i="11"/>
  <c r="BG53" i="2"/>
  <c r="BO33" i="11"/>
  <c r="AK32" i="2"/>
  <c r="BM37" i="11"/>
  <c r="BU129" i="3"/>
  <c r="BU127" i="3"/>
  <c r="BN115" i="3"/>
  <c r="BN116" i="3" s="1"/>
  <c r="V30" i="2"/>
  <c r="BU125" i="3"/>
  <c r="O129" i="3"/>
  <c r="AZ100" i="2"/>
  <c r="AZ101" i="2" s="1"/>
  <c r="O127" i="3"/>
  <c r="O28" i="3"/>
  <c r="T28" i="3"/>
  <c r="BR37" i="11"/>
  <c r="BQ25" i="2"/>
  <c r="AS43" i="3"/>
  <c r="BY43" i="3"/>
  <c r="BY6" i="14" s="1"/>
  <c r="AP20" i="2"/>
  <c r="BJ21" i="2"/>
  <c r="BJ28" i="11" s="1"/>
  <c r="V21" i="2"/>
  <c r="V62" i="2" s="1"/>
  <c r="AW53" i="2"/>
  <c r="BJ33" i="11"/>
  <c r="U48" i="2"/>
  <c r="AX50" i="2"/>
  <c r="W28" i="3"/>
  <c r="AV25" i="2"/>
  <c r="V4" i="2"/>
  <c r="V8" i="2" s="1"/>
  <c r="AZ32" i="2"/>
  <c r="AZ34" i="11" s="1"/>
  <c r="AZ33" i="11"/>
  <c r="AX43" i="3"/>
  <c r="AX134" i="3" s="1"/>
  <c r="BM43" i="3"/>
  <c r="AK43" i="3"/>
  <c r="W43" i="3"/>
  <c r="W41" i="3" s="1"/>
  <c r="BE20" i="2"/>
  <c r="BZ87" i="3"/>
  <c r="M25" i="15"/>
  <c r="L34" i="2"/>
  <c r="L69" i="2" s="1"/>
  <c r="CA116" i="3"/>
  <c r="CA127" i="3"/>
  <c r="CA125" i="3"/>
  <c r="CA129" i="3"/>
  <c r="AA20" i="2"/>
  <c r="BJ66" i="2"/>
  <c r="M66" i="2"/>
  <c r="AI43" i="3"/>
  <c r="AI65" i="3" s="1"/>
  <c r="BT20" i="2"/>
  <c r="AK100" i="2"/>
  <c r="BU116" i="3"/>
  <c r="CO40" i="4"/>
  <c r="CP40" i="4" s="1"/>
  <c r="CQ40" i="4" s="1"/>
  <c r="CT40" i="4" s="1"/>
  <c r="CU40" i="4" s="1"/>
  <c r="CV40" i="4" s="1"/>
  <c r="CX40" i="4" s="1"/>
  <c r="CY40" i="4" s="1"/>
  <c r="CZ40" i="4" s="1"/>
  <c r="DA40" i="4" s="1"/>
  <c r="AT80" i="2"/>
  <c r="BC53" i="2"/>
  <c r="AQ25" i="2"/>
  <c r="BD115" i="3"/>
  <c r="BD116" i="3" s="1"/>
  <c r="Y30" i="2"/>
  <c r="Z110" i="2"/>
  <c r="B28" i="3"/>
  <c r="B51" i="3" s="1"/>
  <c r="AH116" i="3"/>
  <c r="AW116" i="3"/>
  <c r="BH53" i="2"/>
  <c r="BN44" i="3"/>
  <c r="BN43" i="3" s="1"/>
  <c r="BN6" i="14" s="1"/>
  <c r="AP14" i="4"/>
  <c r="AP33" i="4" s="1"/>
  <c r="K16" i="3"/>
  <c r="K126" i="3" s="1"/>
  <c r="AW14" i="4"/>
  <c r="AW33" i="4" s="1"/>
  <c r="Z6" i="3"/>
  <c r="AE87" i="3" s="1"/>
  <c r="BT14" i="4"/>
  <c r="AM64" i="2"/>
  <c r="AM78" i="3" s="1"/>
  <c r="AM81" i="3" s="1"/>
  <c r="AM82" i="3" s="1"/>
  <c r="AL32" i="2"/>
  <c r="AL21" i="2" s="1"/>
  <c r="F18" i="3"/>
  <c r="F124" i="3" s="1"/>
  <c r="F125" i="3" s="1"/>
  <c r="AM4" i="2"/>
  <c r="AM8" i="2" s="1"/>
  <c r="M53" i="2"/>
  <c r="BU53" i="2"/>
  <c r="AO6" i="3"/>
  <c r="AO56" i="3" s="1"/>
  <c r="BV50" i="2"/>
  <c r="BK28" i="3"/>
  <c r="AS50" i="2"/>
  <c r="BW50" i="2"/>
  <c r="AV14" i="4"/>
  <c r="AV33" i="4" s="1"/>
  <c r="P16" i="3"/>
  <c r="P126" i="3" s="1"/>
  <c r="P127" i="3" s="1"/>
  <c r="H25" i="4"/>
  <c r="G25" i="4" s="1"/>
  <c r="BF8" i="2"/>
  <c r="BF21" i="11"/>
  <c r="AN5" i="2"/>
  <c r="BH5" i="2"/>
  <c r="BH35" i="4" s="1"/>
  <c r="BH36" i="4" s="1"/>
  <c r="F31" i="2"/>
  <c r="Q34" i="2"/>
  <c r="BN43" i="2"/>
  <c r="D20" i="15" s="1"/>
  <c r="BM38" i="11"/>
  <c r="L108" i="3"/>
  <c r="BH28" i="3"/>
  <c r="BH51" i="3" s="1"/>
  <c r="BH57" i="3" s="1"/>
  <c r="X43" i="3"/>
  <c r="X41" i="3" s="1"/>
  <c r="X27" i="3" s="1"/>
  <c r="X26" i="3" s="1"/>
  <c r="AL43" i="3"/>
  <c r="AL41" i="3" s="1"/>
  <c r="AQ11" i="2"/>
  <c r="AQ79" i="2" s="1"/>
  <c r="BW72" i="2"/>
  <c r="BW38" i="11"/>
  <c r="F50" i="2"/>
  <c r="BI6" i="3"/>
  <c r="C25" i="15" s="1"/>
  <c r="AQ60" i="3"/>
  <c r="BF60" i="3"/>
  <c r="BF61" i="3" s="1"/>
  <c r="BF63" i="3" s="1"/>
  <c r="BG8" i="2"/>
  <c r="BG21" i="11"/>
  <c r="BK9" i="2"/>
  <c r="BK23" i="11" s="1"/>
  <c r="BK21" i="11"/>
  <c r="BC34" i="2"/>
  <c r="BB35" i="11"/>
  <c r="BC38" i="2"/>
  <c r="BC37" i="11" s="1"/>
  <c r="BB37" i="11"/>
  <c r="AF28" i="3"/>
  <c r="BL28" i="3"/>
  <c r="BL51" i="3" s="1"/>
  <c r="BL57" i="3" s="1"/>
  <c r="BL64" i="3" s="1"/>
  <c r="AO16" i="4"/>
  <c r="BL8" i="2"/>
  <c r="BL21" i="11"/>
  <c r="BD18" i="2"/>
  <c r="BD27" i="11" s="1"/>
  <c r="BC27" i="11"/>
  <c r="BH69" i="2"/>
  <c r="BH35" i="11"/>
  <c r="BI38" i="2"/>
  <c r="BI37" i="11" s="1"/>
  <c r="BH37" i="11"/>
  <c r="BQ125" i="3"/>
  <c r="AJ30" i="3"/>
  <c r="AJ28" i="3" s="1"/>
  <c r="BJ60" i="2"/>
  <c r="BJ24" i="11"/>
  <c r="BH20" i="2"/>
  <c r="BH27" i="11"/>
  <c r="BM69" i="2"/>
  <c r="BM35" i="11"/>
  <c r="AX14" i="4"/>
  <c r="AX33" i="4" s="1"/>
  <c r="BS34" i="2"/>
  <c r="BS69" i="2" s="1"/>
  <c r="BR35" i="11"/>
  <c r="J12" i="3"/>
  <c r="BR12" i="3"/>
  <c r="BJ14" i="4"/>
  <c r="BJ33" i="4" s="1"/>
  <c r="BS43" i="2"/>
  <c r="E20" i="15" s="1"/>
  <c r="BR38" i="11"/>
  <c r="R4" i="2"/>
  <c r="R9" i="2" s="1"/>
  <c r="R59" i="2" s="1"/>
  <c r="BT10" i="2"/>
  <c r="BT24" i="11"/>
  <c r="BA68" i="2"/>
  <c r="BA66" i="2" s="1"/>
  <c r="BA25" i="11"/>
  <c r="BS18" i="2"/>
  <c r="BS27" i="11" s="1"/>
  <c r="BR27" i="11"/>
  <c r="AS25" i="2"/>
  <c r="BW69" i="2"/>
  <c r="BW35" i="11"/>
  <c r="BX38" i="2"/>
  <c r="BW37" i="11"/>
  <c r="N125" i="3"/>
  <c r="Q43" i="3"/>
  <c r="BV43" i="3"/>
  <c r="BV134" i="3" s="1"/>
  <c r="BY10" i="2"/>
  <c r="N10" i="9" s="1"/>
  <c r="BY24" i="11"/>
  <c r="BX18" i="2"/>
  <c r="BX27" i="11" s="1"/>
  <c r="BW27" i="11"/>
  <c r="BD26" i="2"/>
  <c r="BD32" i="11" s="1"/>
  <c r="BC32" i="11"/>
  <c r="BC30" i="11" s="1"/>
  <c r="AA100" i="2"/>
  <c r="AU43" i="3"/>
  <c r="AU134" i="3" s="1"/>
  <c r="BJ43" i="3"/>
  <c r="BJ134" i="3" s="1"/>
  <c r="BW43" i="3"/>
  <c r="BX115" i="3"/>
  <c r="BX116" i="3" s="1"/>
  <c r="C6" i="9"/>
  <c r="BK68" i="2"/>
  <c r="BK66" i="2" s="1"/>
  <c r="BK25" i="11"/>
  <c r="BJ50" i="2"/>
  <c r="BE21" i="2"/>
  <c r="BE28" i="11" s="1"/>
  <c r="BE34" i="11"/>
  <c r="BP68" i="2"/>
  <c r="BP25" i="11"/>
  <c r="BM23" i="2"/>
  <c r="BN23" i="2" s="1"/>
  <c r="BM32" i="11"/>
  <c r="BM30" i="11" s="1"/>
  <c r="BK21" i="2"/>
  <c r="BK28" i="11" s="1"/>
  <c r="BK34" i="11"/>
  <c r="G43" i="3"/>
  <c r="G134" i="3" s="1"/>
  <c r="AK41" i="3"/>
  <c r="AK27" i="3" s="1"/>
  <c r="AK26" i="3" s="1"/>
  <c r="AZ43" i="3"/>
  <c r="BX149" i="3"/>
  <c r="C5" i="9"/>
  <c r="CJ118" i="2"/>
  <c r="AG11" i="2"/>
  <c r="AG60" i="2" s="1"/>
  <c r="AW50" i="2"/>
  <c r="E110" i="2"/>
  <c r="BI16" i="3"/>
  <c r="BI126" i="3" s="1"/>
  <c r="BD29" i="3"/>
  <c r="I55" i="3"/>
  <c r="AO37" i="3"/>
  <c r="AO128" i="3" s="1"/>
  <c r="AO129" i="3" s="1"/>
  <c r="Y41" i="3"/>
  <c r="Y27" i="3" s="1"/>
  <c r="Y26" i="3" s="1"/>
  <c r="E60" i="3"/>
  <c r="E61" i="3" s="1"/>
  <c r="E63" i="3" s="1"/>
  <c r="BM60" i="3"/>
  <c r="BM61" i="3" s="1"/>
  <c r="BM63" i="3" s="1"/>
  <c r="Y13" i="4"/>
  <c r="BE4" i="2"/>
  <c r="BE21" i="11" s="1"/>
  <c r="AM36" i="4"/>
  <c r="BX16" i="3"/>
  <c r="BX126" i="3" s="1"/>
  <c r="AC28" i="3"/>
  <c r="BS29" i="3"/>
  <c r="F47" i="3"/>
  <c r="F43" i="3" s="1"/>
  <c r="F6" i="14" s="1"/>
  <c r="F109" i="3"/>
  <c r="F110" i="3" s="1"/>
  <c r="V28" i="4"/>
  <c r="V29" i="4" s="1"/>
  <c r="BK50" i="2"/>
  <c r="BM5" i="2"/>
  <c r="BM35" i="4" s="1"/>
  <c r="BM37" i="4" s="1"/>
  <c r="BM38" i="4" s="1"/>
  <c r="Z31" i="2"/>
  <c r="AO53" i="2"/>
  <c r="I108" i="3"/>
  <c r="BD106" i="3"/>
  <c r="Z11" i="4"/>
  <c r="AY30" i="3"/>
  <c r="BE30" i="2"/>
  <c r="AJ16" i="3"/>
  <c r="AJ126" i="3" s="1"/>
  <c r="AJ127" i="3" s="1"/>
  <c r="AE11" i="4"/>
  <c r="Z37" i="3"/>
  <c r="Z128" i="3" s="1"/>
  <c r="Z129" i="3" s="1"/>
  <c r="Y5" i="2"/>
  <c r="Y35" i="4" s="1"/>
  <c r="M25" i="2"/>
  <c r="Q36" i="3"/>
  <c r="Q111" i="3" s="1"/>
  <c r="AJ11" i="4"/>
  <c r="BL60" i="3"/>
  <c r="BL61" i="3" s="1"/>
  <c r="BL63" i="3" s="1"/>
  <c r="BT32" i="2"/>
  <c r="AA53" i="2"/>
  <c r="BE53" i="2"/>
  <c r="BT53" i="2"/>
  <c r="K20" i="3"/>
  <c r="Z116" i="3"/>
  <c r="R36" i="3"/>
  <c r="R111" i="3" s="1"/>
  <c r="BH43" i="3"/>
  <c r="BH65" i="3" s="1"/>
  <c r="BH43" i="11" s="1"/>
  <c r="BP43" i="3"/>
  <c r="BP41" i="3" s="1"/>
  <c r="AN28" i="3"/>
  <c r="BI36" i="3"/>
  <c r="BI111" i="3" s="1"/>
  <c r="R43" i="3"/>
  <c r="R134" i="3" s="1"/>
  <c r="AA43" i="3"/>
  <c r="O13" i="4"/>
  <c r="BA11" i="2"/>
  <c r="BA24" i="11" s="1"/>
  <c r="AB50" i="2"/>
  <c r="AU28" i="3"/>
  <c r="P40" i="3"/>
  <c r="Q40" i="3" s="1"/>
  <c r="Q33" i="3" s="1"/>
  <c r="M43" i="3"/>
  <c r="M134" i="3" s="1"/>
  <c r="BL54" i="3"/>
  <c r="BL55" i="3" s="1"/>
  <c r="F11" i="4"/>
  <c r="BZ11" i="2"/>
  <c r="AG50" i="2"/>
  <c r="AV50" i="2"/>
  <c r="H28" i="3"/>
  <c r="H51" i="3" s="1"/>
  <c r="AX28" i="3"/>
  <c r="AX51" i="3" s="1"/>
  <c r="AX57" i="3" s="1"/>
  <c r="AX64" i="3" s="1"/>
  <c r="AV56" i="3"/>
  <c r="BD46" i="4"/>
  <c r="K25" i="4"/>
  <c r="BY32" i="2"/>
  <c r="BO12" i="2"/>
  <c r="AU50" i="2"/>
  <c r="S25" i="2"/>
  <c r="Q28" i="4"/>
  <c r="Q29" i="4" s="1"/>
  <c r="E21" i="2"/>
  <c r="E62" i="2" s="1"/>
  <c r="E30" i="2"/>
  <c r="AG4" i="2"/>
  <c r="AG8" i="2" s="1"/>
  <c r="L11" i="2"/>
  <c r="L60" i="2" s="1"/>
  <c r="BL13" i="2"/>
  <c r="R21" i="2"/>
  <c r="R62" i="2" s="1"/>
  <c r="AK21" i="2"/>
  <c r="AK62" i="2" s="1"/>
  <c r="C30" i="2"/>
  <c r="BX34" i="2"/>
  <c r="BX69" i="2" s="1"/>
  <c r="BS150" i="3"/>
  <c r="G99" i="3"/>
  <c r="G8" i="3"/>
  <c r="G93" i="3" s="1"/>
  <c r="BX37" i="3"/>
  <c r="BX128" i="3" s="1"/>
  <c r="T43" i="3"/>
  <c r="T41" i="3" s="1"/>
  <c r="U41" i="3" s="1"/>
  <c r="AY44" i="3"/>
  <c r="AY43" i="3" s="1"/>
  <c r="T54" i="3"/>
  <c r="U54" i="3" s="1"/>
  <c r="U55" i="3" s="1"/>
  <c r="BM54" i="3"/>
  <c r="BN54" i="3" s="1"/>
  <c r="AL60" i="3"/>
  <c r="AL61" i="3" s="1"/>
  <c r="AL63" i="3" s="1"/>
  <c r="BA60" i="3"/>
  <c r="BA61" i="3" s="1"/>
  <c r="BA63" i="3" s="1"/>
  <c r="BC87" i="3"/>
  <c r="M116" i="3"/>
  <c r="S99" i="3"/>
  <c r="S8" i="3"/>
  <c r="S93" i="3" s="1"/>
  <c r="K29" i="3"/>
  <c r="AH4" i="2"/>
  <c r="AH8" i="2" s="1"/>
  <c r="C10" i="2"/>
  <c r="I25" i="2"/>
  <c r="BH31" i="2"/>
  <c r="BH50" i="2"/>
  <c r="BD53" i="2"/>
  <c r="BA64" i="2"/>
  <c r="BA32" i="2" s="1"/>
  <c r="BA33" i="11" s="1"/>
  <c r="Q100" i="2"/>
  <c r="Q101" i="2" s="1"/>
  <c r="AE6" i="3"/>
  <c r="AF25" i="2" s="1"/>
  <c r="AT16" i="3"/>
  <c r="AT126" i="3" s="1"/>
  <c r="BA28" i="3"/>
  <c r="BA51" i="3" s="1"/>
  <c r="AW41" i="3"/>
  <c r="BE43" i="3"/>
  <c r="BM87" i="3"/>
  <c r="BD18" i="3"/>
  <c r="BD124" i="3" s="1"/>
  <c r="AU66" i="2"/>
  <c r="U150" i="3"/>
  <c r="BI53" i="2"/>
  <c r="BR69" i="2"/>
  <c r="BM72" i="2"/>
  <c r="BV127" i="3"/>
  <c r="AB28" i="3"/>
  <c r="AV28" i="3"/>
  <c r="AV96" i="2" s="1"/>
  <c r="AV97" i="2" s="1"/>
  <c r="Z44" i="3"/>
  <c r="Z43" i="3" s="1"/>
  <c r="AC43" i="3"/>
  <c r="AC134" i="3" s="1"/>
  <c r="X54" i="3"/>
  <c r="X55" i="3" s="1"/>
  <c r="L56" i="3"/>
  <c r="AM60" i="3"/>
  <c r="AM61" i="3" s="1"/>
  <c r="AM63" i="3" s="1"/>
  <c r="BI20" i="3"/>
  <c r="C23" i="15" s="1"/>
  <c r="BY4" i="2"/>
  <c r="BY21" i="11" s="1"/>
  <c r="BY19" i="11" s="1"/>
  <c r="BK11" i="2"/>
  <c r="BK24" i="11" s="1"/>
  <c r="F15" i="2"/>
  <c r="R30" i="2"/>
  <c r="H32" i="2"/>
  <c r="I32" i="2" s="1"/>
  <c r="AT33" i="2"/>
  <c r="AT150" i="3" s="1"/>
  <c r="AN34" i="2"/>
  <c r="AN69" i="2" s="1"/>
  <c r="CH150" i="3"/>
  <c r="N50" i="2"/>
  <c r="AA93" i="3"/>
  <c r="K14" i="3"/>
  <c r="K112" i="3" s="1"/>
  <c r="BV125" i="3"/>
  <c r="BS30" i="3"/>
  <c r="BN37" i="3"/>
  <c r="BN128" i="3" s="1"/>
  <c r="AV52" i="3"/>
  <c r="AV53" i="3" s="1"/>
  <c r="Y54" i="3"/>
  <c r="W56" i="3"/>
  <c r="Y60" i="3"/>
  <c r="Y61" i="3" s="1"/>
  <c r="Y63" i="3" s="1"/>
  <c r="AN60" i="3"/>
  <c r="AN61" i="3" s="1"/>
  <c r="AN63" i="3" s="1"/>
  <c r="BC60" i="3"/>
  <c r="BC61" i="3" s="1"/>
  <c r="BC63" i="3" s="1"/>
  <c r="BR60" i="3"/>
  <c r="BR61" i="3" s="1"/>
  <c r="BR63" i="3" s="1"/>
  <c r="AE25" i="4"/>
  <c r="AZ79" i="2"/>
  <c r="BS16" i="3"/>
  <c r="BS126" i="3" s="1"/>
  <c r="BS127" i="3" s="1"/>
  <c r="B108" i="11"/>
  <c r="B3" i="11"/>
  <c r="B91" i="11"/>
  <c r="B64" i="11"/>
  <c r="B47" i="11"/>
  <c r="B20" i="11"/>
  <c r="AH13" i="2"/>
  <c r="AH68" i="2" s="1"/>
  <c r="BE62" i="2"/>
  <c r="AS69" i="2"/>
  <c r="CM150" i="3"/>
  <c r="K53" i="2"/>
  <c r="Z20" i="3"/>
  <c r="BR28" i="3"/>
  <c r="BR51" i="3" s="1"/>
  <c r="BR57" i="3" s="1"/>
  <c r="AS28" i="3"/>
  <c r="AS51" i="3" s="1"/>
  <c r="AS57" i="3" s="1"/>
  <c r="AB43" i="3"/>
  <c r="AB65" i="3" s="1"/>
  <c r="AP43" i="3"/>
  <c r="AP134" i="3" s="1"/>
  <c r="BQ43" i="3"/>
  <c r="BQ65" i="3" s="1"/>
  <c r="BQ43" i="11" s="1"/>
  <c r="AF43" i="3"/>
  <c r="AF134" i="3" s="1"/>
  <c r="I52" i="3"/>
  <c r="I53" i="3" s="1"/>
  <c r="X56" i="3"/>
  <c r="I122" i="3"/>
  <c r="J150" i="3"/>
  <c r="BI25" i="4"/>
  <c r="BX53" i="2"/>
  <c r="BY25" i="2"/>
  <c r="M99" i="3"/>
  <c r="M8" i="3"/>
  <c r="M93" i="3" s="1"/>
  <c r="AK127" i="3"/>
  <c r="BT28" i="3"/>
  <c r="BT51" i="3" s="1"/>
  <c r="AG55" i="3"/>
  <c r="M129" i="3"/>
  <c r="AM54" i="3"/>
  <c r="AN55" i="3" s="1"/>
  <c r="AK116" i="3"/>
  <c r="E26" i="4"/>
  <c r="E108" i="3" s="1"/>
  <c r="D54" i="2"/>
  <c r="D3" i="11"/>
  <c r="D91" i="11"/>
  <c r="D64" i="11"/>
  <c r="D47" i="11"/>
  <c r="D20" i="11"/>
  <c r="D108" i="11"/>
  <c r="AI15" i="2"/>
  <c r="AM13" i="2"/>
  <c r="AN13" i="2" s="1"/>
  <c r="Z32" i="2"/>
  <c r="AX71" i="2"/>
  <c r="AT48" i="2"/>
  <c r="S50" i="2"/>
  <c r="Y127" i="3"/>
  <c r="AY18" i="3"/>
  <c r="AY124" i="3" s="1"/>
  <c r="AY125" i="3" s="1"/>
  <c r="AG28" i="3"/>
  <c r="AG51" i="3" s="1"/>
  <c r="BI30" i="3"/>
  <c r="BV55" i="3"/>
  <c r="BS36" i="3"/>
  <c r="BS111" i="3" s="1"/>
  <c r="H43" i="3"/>
  <c r="H134" i="3" s="1"/>
  <c r="BX47" i="3"/>
  <c r="BX43" i="3" s="1"/>
  <c r="BX6" i="14" s="1"/>
  <c r="M53" i="3"/>
  <c r="AW56" i="3"/>
  <c r="U12" i="4"/>
  <c r="U13" i="4" s="1"/>
  <c r="AI21" i="2"/>
  <c r="AJ21" i="2" s="1"/>
  <c r="E3" i="11"/>
  <c r="E91" i="11"/>
  <c r="E64" i="11"/>
  <c r="E47" i="11"/>
  <c r="E20" i="11"/>
  <c r="E108" i="11"/>
  <c r="AL11" i="2"/>
  <c r="AL60" i="2" s="1"/>
  <c r="AW25" i="2"/>
  <c r="BR31" i="2"/>
  <c r="J34" i="2"/>
  <c r="J69" i="2" s="1"/>
  <c r="AI50" i="2"/>
  <c r="AC53" i="2"/>
  <c r="Z53" i="2"/>
  <c r="G69" i="2"/>
  <c r="F110" i="2"/>
  <c r="AY6" i="3"/>
  <c r="AZ87" i="3" s="1"/>
  <c r="M127" i="3"/>
  <c r="Z16" i="3"/>
  <c r="Z126" i="3" s="1"/>
  <c r="K18" i="3"/>
  <c r="K124" i="3" s="1"/>
  <c r="K125" i="3" s="1"/>
  <c r="AW55" i="3"/>
  <c r="BE129" i="3"/>
  <c r="AS54" i="3"/>
  <c r="AS55" i="3" s="1"/>
  <c r="BW60" i="3"/>
  <c r="BW61" i="3" s="1"/>
  <c r="BW63" i="3" s="1"/>
  <c r="U25" i="4"/>
  <c r="C54" i="2"/>
  <c r="C108" i="11"/>
  <c r="C3" i="11"/>
  <c r="C91" i="11"/>
  <c r="C64" i="11"/>
  <c r="C47" i="11"/>
  <c r="C20" i="11"/>
  <c r="AZ10" i="2"/>
  <c r="F91" i="11"/>
  <c r="F64" i="11"/>
  <c r="F47" i="11"/>
  <c r="F20" i="11"/>
  <c r="F108" i="11"/>
  <c r="F3" i="11"/>
  <c r="M4" i="2"/>
  <c r="M9" i="2" s="1"/>
  <c r="AZ4" i="2"/>
  <c r="AP12" i="2"/>
  <c r="S17" i="2"/>
  <c r="BN53" i="2"/>
  <c r="BZ32" i="2"/>
  <c r="BZ78" i="3"/>
  <c r="BZ81" i="3" s="1"/>
  <c r="BZ121" i="3"/>
  <c r="BZ123" i="3" s="1"/>
  <c r="Z18" i="3"/>
  <c r="Z124" i="3" s="1"/>
  <c r="Z125" i="3" s="1"/>
  <c r="BN18" i="3"/>
  <c r="BN124" i="3" s="1"/>
  <c r="AT20" i="3"/>
  <c r="H55" i="3"/>
  <c r="P37" i="3"/>
  <c r="P128" i="3" s="1"/>
  <c r="P129" i="3" s="1"/>
  <c r="AG43" i="3"/>
  <c r="AG65" i="3" s="1"/>
  <c r="BI43" i="3"/>
  <c r="BI6" i="14" s="1"/>
  <c r="Y116" i="3"/>
  <c r="P6" i="4"/>
  <c r="BB25" i="2"/>
  <c r="AJ48" i="2"/>
  <c r="BZ53" i="2"/>
  <c r="BZ50" i="2"/>
  <c r="AH50" i="2"/>
  <c r="AP100" i="2"/>
  <c r="AP101" i="2" s="1"/>
  <c r="BY100" i="2"/>
  <c r="BY101" i="2" s="1"/>
  <c r="M125" i="3"/>
  <c r="AL28" i="3"/>
  <c r="AL83" i="3" s="1"/>
  <c r="AV43" i="3"/>
  <c r="AV134" i="3" s="1"/>
  <c r="AJ13" i="4"/>
  <c r="BE14" i="4"/>
  <c r="BE33" i="4" s="1"/>
  <c r="BD28" i="4"/>
  <c r="BD29" i="4" s="1"/>
  <c r="AT37" i="3"/>
  <c r="AT128" i="3" s="1"/>
  <c r="BK43" i="3"/>
  <c r="BK134" i="3" s="1"/>
  <c r="BA43" i="3"/>
  <c r="BA65" i="3" s="1"/>
  <c r="AZ78" i="3"/>
  <c r="AN26" i="4"/>
  <c r="AO26" i="4" s="1"/>
  <c r="AY106" i="3"/>
  <c r="AY46" i="4"/>
  <c r="BI111" i="2"/>
  <c r="AY110" i="3"/>
  <c r="BT28" i="4"/>
  <c r="BT29" i="4" s="1"/>
  <c r="BE28" i="4"/>
  <c r="BE29" i="4" s="1"/>
  <c r="AU18" i="4"/>
  <c r="AT28" i="4"/>
  <c r="AT29" i="4" s="1"/>
  <c r="BE18" i="4"/>
  <c r="AF28" i="4"/>
  <c r="AF29" i="4" s="1"/>
  <c r="AU28" i="4"/>
  <c r="AU29" i="4" s="1"/>
  <c r="AR20" i="2"/>
  <c r="AB21" i="4"/>
  <c r="BU20" i="2"/>
  <c r="BV20" i="2"/>
  <c r="AB20" i="2"/>
  <c r="AC20" i="2"/>
  <c r="BK14" i="4"/>
  <c r="BK33" i="4" s="1"/>
  <c r="BW18" i="4"/>
  <c r="AQ20" i="2"/>
  <c r="BF20" i="2"/>
  <c r="BG20" i="2"/>
  <c r="AG14" i="4"/>
  <c r="AG33" i="4" s="1"/>
  <c r="AL14" i="4"/>
  <c r="AL33" i="4" s="1"/>
  <c r="BO20" i="2"/>
  <c r="BO18" i="4"/>
  <c r="AZ21" i="4"/>
  <c r="AZ22" i="4" s="1"/>
  <c r="BO21" i="4"/>
  <c r="AZ20" i="2"/>
  <c r="BC14" i="4"/>
  <c r="BC33" i="4" s="1"/>
  <c r="AK20" i="2"/>
  <c r="AA18" i="4"/>
  <c r="AL18" i="4"/>
  <c r="AK14" i="4"/>
  <c r="AK33" i="4" s="1"/>
  <c r="AS18" i="4"/>
  <c r="AA21" i="4"/>
  <c r="AN129" i="3"/>
  <c r="AY29" i="4"/>
  <c r="Z13" i="4"/>
  <c r="BH14" i="4"/>
  <c r="BH33" i="4" s="1"/>
  <c r="AQ18" i="4"/>
  <c r="BR18" i="4"/>
  <c r="AG21" i="4"/>
  <c r="BQ21" i="4"/>
  <c r="AM18" i="4"/>
  <c r="AN20" i="2"/>
  <c r="AZ116" i="3"/>
  <c r="BD13" i="4"/>
  <c r="AO11" i="4"/>
  <c r="AM14" i="4"/>
  <c r="AM33" i="4" s="1"/>
  <c r="BV18" i="4"/>
  <c r="BW21" i="4"/>
  <c r="BX21" i="4" s="1"/>
  <c r="BQ18" i="4"/>
  <c r="AB129" i="3"/>
  <c r="AT11" i="4"/>
  <c r="AN14" i="4"/>
  <c r="AN33" i="4" s="1"/>
  <c r="AN21" i="4"/>
  <c r="AO21" i="4" s="1"/>
  <c r="AZ125" i="3"/>
  <c r="BM125" i="3"/>
  <c r="F13" i="4"/>
  <c r="BQ20" i="2"/>
  <c r="AN125" i="3"/>
  <c r="AO116" i="3"/>
  <c r="AN116" i="3"/>
  <c r="BR116" i="3"/>
  <c r="AT115" i="3"/>
  <c r="K13" i="4"/>
  <c r="AS14" i="4"/>
  <c r="AS33" i="4" s="1"/>
  <c r="AY17" i="4"/>
  <c r="AY18" i="4" s="1"/>
  <c r="BX17" i="4"/>
  <c r="BX18" i="4" s="1"/>
  <c r="AX18" i="4"/>
  <c r="AQ21" i="4"/>
  <c r="AO13" i="4"/>
  <c r="I116" i="3"/>
  <c r="AE13" i="4"/>
  <c r="BC18" i="4"/>
  <c r="AB125" i="3"/>
  <c r="AB116" i="3"/>
  <c r="BU14" i="4"/>
  <c r="BU33" i="4" s="1"/>
  <c r="AE29" i="4"/>
  <c r="BB20" i="2"/>
  <c r="BI115" i="3"/>
  <c r="BI116" i="3" s="1"/>
  <c r="BV14" i="4"/>
  <c r="BV33" i="4" s="1"/>
  <c r="BF18" i="4"/>
  <c r="AS116" i="3"/>
  <c r="P11" i="4"/>
  <c r="BX11" i="4"/>
  <c r="BS17" i="4"/>
  <c r="BS18" i="4" s="1"/>
  <c r="BG18" i="4"/>
  <c r="BK21" i="4"/>
  <c r="BN21" i="4" s="1"/>
  <c r="P116" i="3"/>
  <c r="BY116" i="3"/>
  <c r="AJ29" i="4"/>
  <c r="AB14" i="4"/>
  <c r="AB33" i="4" s="1"/>
  <c r="BB14" i="4"/>
  <c r="BB33" i="4" s="1"/>
  <c r="AI18" i="4"/>
  <c r="F8" i="4"/>
  <c r="BN8" i="4"/>
  <c r="BS8" i="4"/>
  <c r="U8" i="4"/>
  <c r="K15" i="4"/>
  <c r="K16" i="4" s="1"/>
  <c r="L24" i="4"/>
  <c r="M28" i="4" s="1"/>
  <c r="M29" i="4" s="1"/>
  <c r="AT25" i="4"/>
  <c r="BX29" i="4"/>
  <c r="BM26" i="4"/>
  <c r="BN26" i="4" s="1"/>
  <c r="BX16" i="4"/>
  <c r="BN149" i="3"/>
  <c r="P149" i="3"/>
  <c r="G100" i="2"/>
  <c r="G101" i="2" s="1"/>
  <c r="BQ55" i="3"/>
  <c r="X60" i="3"/>
  <c r="X61" i="3" s="1"/>
  <c r="X63" i="3" s="1"/>
  <c r="BQ60" i="3"/>
  <c r="BQ61" i="3" s="1"/>
  <c r="BQ63" i="3" s="1"/>
  <c r="V60" i="3"/>
  <c r="V61" i="3" s="1"/>
  <c r="V63" i="3" s="1"/>
  <c r="W60" i="3"/>
  <c r="W61" i="3" s="1"/>
  <c r="W63" i="3" s="1"/>
  <c r="BJ100" i="2"/>
  <c r="BJ101" i="2" s="1"/>
  <c r="F36" i="3"/>
  <c r="F111" i="3" s="1"/>
  <c r="AR60" i="3"/>
  <c r="AR61" i="3" s="1"/>
  <c r="AR63" i="3" s="1"/>
  <c r="BH60" i="3"/>
  <c r="BH61" i="3" s="1"/>
  <c r="BH63" i="3" s="1"/>
  <c r="AK60" i="3"/>
  <c r="AK61" i="3" s="1"/>
  <c r="AK63" i="3" s="1"/>
  <c r="AB103" i="2"/>
  <c r="AB104" i="2" s="1"/>
  <c r="C60" i="3"/>
  <c r="C61" i="3" s="1"/>
  <c r="C63" i="3" s="1"/>
  <c r="R60" i="3"/>
  <c r="R61" i="3" s="1"/>
  <c r="R63" i="3" s="1"/>
  <c r="BK60" i="3"/>
  <c r="BK61" i="3" s="1"/>
  <c r="BK63" i="3" s="1"/>
  <c r="BO100" i="2"/>
  <c r="BO101" i="2" s="1"/>
  <c r="BS20" i="3"/>
  <c r="E23" i="15" s="1"/>
  <c r="P20" i="3"/>
  <c r="BX20" i="3"/>
  <c r="F23" i="15" s="1"/>
  <c r="U20" i="3"/>
  <c r="AX110" i="3"/>
  <c r="Z14" i="3"/>
  <c r="Z112" i="3" s="1"/>
  <c r="BX105" i="3"/>
  <c r="BX106" i="3" s="1"/>
  <c r="BC53" i="3"/>
  <c r="AN12" i="3"/>
  <c r="P10" i="3"/>
  <c r="P8" i="3" s="1"/>
  <c r="P93" i="3" s="1"/>
  <c r="AR53" i="3"/>
  <c r="BT53" i="3"/>
  <c r="BM112" i="2"/>
  <c r="BN111" i="2"/>
  <c r="Y110" i="2"/>
  <c r="AO110" i="2"/>
  <c r="BX111" i="2"/>
  <c r="BD109" i="2"/>
  <c r="BD110" i="2" s="1"/>
  <c r="AI112" i="2"/>
  <c r="BN110" i="2"/>
  <c r="P109" i="2"/>
  <c r="P110" i="2" s="1"/>
  <c r="BS109" i="2"/>
  <c r="BS110" i="2" s="1"/>
  <c r="AT109" i="2"/>
  <c r="AT110" i="2" s="1"/>
  <c r="T110" i="2"/>
  <c r="BZ111" i="2"/>
  <c r="BZ112" i="2" s="1"/>
  <c r="BK30" i="2"/>
  <c r="BK17" i="2" s="1"/>
  <c r="O43" i="2"/>
  <c r="O72" i="2" s="1"/>
  <c r="AY43" i="2"/>
  <c r="AY72" i="2" s="1"/>
  <c r="AE43" i="2"/>
  <c r="AE72" i="2" s="1"/>
  <c r="BR72" i="2"/>
  <c r="AJ43" i="2"/>
  <c r="AJ72" i="2" s="1"/>
  <c r="AN72" i="2"/>
  <c r="K43" i="2"/>
  <c r="K72" i="2" s="1"/>
  <c r="AT43" i="2"/>
  <c r="AT72" i="2" s="1"/>
  <c r="AI71" i="2"/>
  <c r="R71" i="2"/>
  <c r="AY38" i="2"/>
  <c r="AY71" i="2" s="1"/>
  <c r="BD34" i="2"/>
  <c r="BI34" i="2"/>
  <c r="AX34" i="2"/>
  <c r="AX69" i="2" s="1"/>
  <c r="BN34" i="2"/>
  <c r="BN69" i="2" s="1"/>
  <c r="P150" i="3"/>
  <c r="BX150" i="3"/>
  <c r="Z150" i="3"/>
  <c r="AE150" i="3"/>
  <c r="K150" i="3"/>
  <c r="BY66" i="2"/>
  <c r="AW98" i="2"/>
  <c r="AS23" i="2"/>
  <c r="AT23" i="2" s="1"/>
  <c r="U26" i="2"/>
  <c r="AP66" i="2"/>
  <c r="BO66" i="2"/>
  <c r="AJ18" i="2"/>
  <c r="BR20" i="2"/>
  <c r="AO18" i="2"/>
  <c r="H20" i="2"/>
  <c r="H11" i="2"/>
  <c r="H60" i="2" s="1"/>
  <c r="B60" i="2"/>
  <c r="D13" i="2"/>
  <c r="AR13" i="2"/>
  <c r="AT13" i="2" s="1"/>
  <c r="AT68" i="2" s="1"/>
  <c r="C60" i="2"/>
  <c r="G113" i="2"/>
  <c r="G114" i="2" s="1"/>
  <c r="AQ66" i="2"/>
  <c r="AZ60" i="2"/>
  <c r="B12" i="2"/>
  <c r="C12" i="2"/>
  <c r="BI80" i="2"/>
  <c r="BI15" i="2"/>
  <c r="AO6" i="2"/>
  <c r="AO80" i="2" s="1"/>
  <c r="C9" i="2"/>
  <c r="C94" i="3" s="1"/>
  <c r="AI5" i="2"/>
  <c r="AI4" i="2" s="1"/>
  <c r="D9" i="2"/>
  <c r="D19" i="2" s="1"/>
  <c r="BH15" i="2"/>
  <c r="AH9" i="2"/>
  <c r="AH59" i="2" s="1"/>
  <c r="AM9" i="2"/>
  <c r="AM22" i="2" s="1"/>
  <c r="Z41" i="4"/>
  <c r="BL9" i="2"/>
  <c r="BL23" i="11" s="1"/>
  <c r="L99" i="3"/>
  <c r="L8" i="3"/>
  <c r="L93" i="3" s="1"/>
  <c r="BI97" i="3"/>
  <c r="J99" i="3"/>
  <c r="J8" i="3"/>
  <c r="J93" i="3" s="1"/>
  <c r="X99" i="3"/>
  <c r="X8" i="3"/>
  <c r="X93" i="3" s="1"/>
  <c r="V12" i="3"/>
  <c r="V101" i="3" s="1"/>
  <c r="BA55" i="3"/>
  <c r="AT43" i="3"/>
  <c r="AV55" i="3"/>
  <c r="N60" i="3"/>
  <c r="N61" i="3" s="1"/>
  <c r="N63" i="3" s="1"/>
  <c r="AB60" i="3"/>
  <c r="AB61" i="3" s="1"/>
  <c r="AB63" i="3" s="1"/>
  <c r="O106" i="3"/>
  <c r="AJ149" i="3"/>
  <c r="AL99" i="3"/>
  <c r="AL8" i="3"/>
  <c r="AM20" i="4" s="1"/>
  <c r="P97" i="3"/>
  <c r="BX97" i="3"/>
  <c r="N99" i="3"/>
  <c r="N8" i="3"/>
  <c r="N93" i="3" s="1"/>
  <c r="AN99" i="3"/>
  <c r="AN8" i="3"/>
  <c r="AN93" i="3" s="1"/>
  <c r="BB99" i="3"/>
  <c r="BB8" i="3"/>
  <c r="BC20" i="4" s="1"/>
  <c r="BP99" i="3"/>
  <c r="BP8" i="3"/>
  <c r="BQ20" i="4" s="1"/>
  <c r="AY112" i="3"/>
  <c r="AC55" i="3"/>
  <c r="K36" i="3"/>
  <c r="K111" i="3" s="1"/>
  <c r="AD60" i="3"/>
  <c r="AD61" i="3" s="1"/>
  <c r="AD63" i="3" s="1"/>
  <c r="AS60" i="3"/>
  <c r="AS61" i="3" s="1"/>
  <c r="AS63" i="3" s="1"/>
  <c r="BS105" i="3"/>
  <c r="BS106" i="3" s="1"/>
  <c r="AS106" i="3"/>
  <c r="BD109" i="3"/>
  <c r="BD110" i="3" s="1"/>
  <c r="BN97" i="3"/>
  <c r="BK55" i="3"/>
  <c r="AB53" i="3"/>
  <c r="AB8" i="3"/>
  <c r="AC20" i="4" s="1"/>
  <c r="AO10" i="3"/>
  <c r="AO99" i="3" s="1"/>
  <c r="BC99" i="3"/>
  <c r="BC8" i="3"/>
  <c r="BC93" i="3" s="1"/>
  <c r="BQ99" i="3"/>
  <c r="BQ8" i="3"/>
  <c r="BR20" i="4" s="1"/>
  <c r="C104" i="3"/>
  <c r="BW53" i="3"/>
  <c r="AP53" i="3"/>
  <c r="AE105" i="3"/>
  <c r="AE106" i="3" s="1"/>
  <c r="F149" i="3"/>
  <c r="BY134" i="3"/>
  <c r="BY135" i="3" s="1"/>
  <c r="Z97" i="3"/>
  <c r="Z8" i="3"/>
  <c r="AP99" i="3"/>
  <c r="AP8" i="3"/>
  <c r="AQ20" i="4" s="1"/>
  <c r="BE99" i="3"/>
  <c r="BE8" i="3"/>
  <c r="BR99" i="3"/>
  <c r="BR8" i="3"/>
  <c r="AE20" i="3"/>
  <c r="C27" i="3"/>
  <c r="C26" i="3" s="1"/>
  <c r="AG60" i="3"/>
  <c r="AG61" i="3" s="1"/>
  <c r="AG63" i="3" s="1"/>
  <c r="AV60" i="3"/>
  <c r="AV61" i="3" s="1"/>
  <c r="AV63" i="3" s="1"/>
  <c r="BD149" i="3"/>
  <c r="AE97" i="3"/>
  <c r="AD99" i="3"/>
  <c r="AD8" i="3"/>
  <c r="AD93" i="3" s="1"/>
  <c r="AQ99" i="3"/>
  <c r="AQ8" i="3"/>
  <c r="AR20" i="4" s="1"/>
  <c r="BT99" i="3"/>
  <c r="BT8" i="3"/>
  <c r="O55" i="3"/>
  <c r="AX106" i="3"/>
  <c r="O116" i="3"/>
  <c r="AA116" i="3"/>
  <c r="F97" i="3"/>
  <c r="D99" i="3"/>
  <c r="D8" i="3"/>
  <c r="D93" i="3" s="1"/>
  <c r="R99" i="3"/>
  <c r="R8" i="3"/>
  <c r="R93" i="3" s="1"/>
  <c r="AE10" i="3"/>
  <c r="AE99" i="3" s="1"/>
  <c r="AR99" i="3"/>
  <c r="AR8" i="3"/>
  <c r="AS20" i="4" s="1"/>
  <c r="BU99" i="3"/>
  <c r="BU8" i="3"/>
  <c r="BV20" i="4" s="1"/>
  <c r="C55" i="3"/>
  <c r="AZ53" i="3"/>
  <c r="BU60" i="3"/>
  <c r="BU61" i="3" s="1"/>
  <c r="BU63" i="3" s="1"/>
  <c r="AE149" i="3"/>
  <c r="O60" i="3"/>
  <c r="O61" i="3" s="1"/>
  <c r="O63" i="3" s="1"/>
  <c r="W96" i="2"/>
  <c r="W97" i="2" s="1"/>
  <c r="AF99" i="3"/>
  <c r="AF8" i="3"/>
  <c r="AG20" i="4" s="1"/>
  <c r="AS99" i="3"/>
  <c r="AS8" i="3"/>
  <c r="AS93" i="3" s="1"/>
  <c r="BH99" i="3"/>
  <c r="BH8" i="3"/>
  <c r="F20" i="3"/>
  <c r="M60" i="3"/>
  <c r="M61" i="3" s="1"/>
  <c r="M63" i="3" s="1"/>
  <c r="BC106" i="3"/>
  <c r="BX109" i="3"/>
  <c r="BX110" i="3" s="1"/>
  <c r="AZ99" i="3"/>
  <c r="AZ8" i="3"/>
  <c r="BA20" i="4" s="1"/>
  <c r="AT97" i="3"/>
  <c r="T99" i="3"/>
  <c r="T8" i="3"/>
  <c r="T93" i="3" s="1"/>
  <c r="AG99" i="3"/>
  <c r="AG8" i="3"/>
  <c r="AH20" i="4" s="1"/>
  <c r="BI10" i="3"/>
  <c r="BI8" i="3" s="1"/>
  <c r="BS14" i="3"/>
  <c r="BS112" i="3" s="1"/>
  <c r="BS113" i="3" s="1"/>
  <c r="U28" i="3"/>
  <c r="V96" i="2" s="1"/>
  <c r="V97" i="2" s="1"/>
  <c r="I60" i="3"/>
  <c r="I61" i="3" s="1"/>
  <c r="I63" i="3" s="1"/>
  <c r="BY60" i="3"/>
  <c r="BY61" i="3" s="1"/>
  <c r="BY63" i="3" s="1"/>
  <c r="AU100" i="2"/>
  <c r="AU101" i="2" s="1"/>
  <c r="AY97" i="3"/>
  <c r="H99" i="3"/>
  <c r="H8" i="3"/>
  <c r="H93" i="3" s="1"/>
  <c r="V99" i="3"/>
  <c r="V8" i="3"/>
  <c r="AH99" i="3"/>
  <c r="AH8" i="3"/>
  <c r="AI20" i="4" s="1"/>
  <c r="AV99" i="3"/>
  <c r="AV8" i="3"/>
  <c r="AW20" i="4" s="1"/>
  <c r="BX10" i="3"/>
  <c r="BX8" i="3" s="1"/>
  <c r="BY20" i="4" s="1"/>
  <c r="AJ20" i="3"/>
  <c r="I41" i="3"/>
  <c r="I27" i="3" s="1"/>
  <c r="I26" i="3" s="1"/>
  <c r="Y99" i="3"/>
  <c r="Y8" i="3"/>
  <c r="Y93" i="3" s="1"/>
  <c r="BD97" i="3"/>
  <c r="I99" i="3"/>
  <c r="I8" i="3"/>
  <c r="I93" i="3" s="1"/>
  <c r="BZ20" i="4"/>
  <c r="Z105" i="3"/>
  <c r="Z106" i="3" s="1"/>
  <c r="CC150" i="3"/>
  <c r="BX52" i="3"/>
  <c r="AJ43" i="3"/>
  <c r="BY29" i="2"/>
  <c r="B3" i="2"/>
  <c r="CI49" i="4"/>
  <c r="CC9" i="3"/>
  <c r="CF9" i="3" s="1"/>
  <c r="CG9" i="3" s="1"/>
  <c r="BD16" i="4"/>
  <c r="O101" i="2"/>
  <c r="AA101" i="2"/>
  <c r="BW101" i="2"/>
  <c r="M101" i="2"/>
  <c r="AC102" i="2"/>
  <c r="AC101" i="2"/>
  <c r="AQ102" i="2"/>
  <c r="BC101" i="2"/>
  <c r="AL101" i="2"/>
  <c r="BT101" i="2"/>
  <c r="BI101" i="2"/>
  <c r="T101" i="2"/>
  <c r="AG101" i="2"/>
  <c r="H101" i="2"/>
  <c r="W101" i="2"/>
  <c r="AW101" i="2"/>
  <c r="BT98" i="2"/>
  <c r="E142" i="3"/>
  <c r="BP101" i="2"/>
  <c r="F142" i="3"/>
  <c r="BI6" i="4"/>
  <c r="BK101" i="2"/>
  <c r="AF101" i="2"/>
  <c r="AH101" i="2"/>
  <c r="AV101" i="2"/>
  <c r="C3" i="3"/>
  <c r="AT101" i="2"/>
  <c r="E101" i="2"/>
  <c r="E131" i="3"/>
  <c r="E23" i="4"/>
  <c r="E31" i="4"/>
  <c r="E106" i="2"/>
  <c r="E50" i="3"/>
  <c r="E3" i="4"/>
  <c r="E48" i="4"/>
  <c r="E3" i="3"/>
  <c r="E44" i="4"/>
  <c r="E92" i="3"/>
  <c r="E93" i="2"/>
  <c r="E76" i="2"/>
  <c r="E47" i="2"/>
  <c r="E54" i="2"/>
  <c r="E70" i="3"/>
  <c r="E3" i="2"/>
  <c r="E58" i="2"/>
  <c r="B48" i="4"/>
  <c r="B31" i="4"/>
  <c r="B92" i="3"/>
  <c r="B23" i="4"/>
  <c r="B142" i="3"/>
  <c r="B106" i="2"/>
  <c r="B50" i="3"/>
  <c r="B3" i="4"/>
  <c r="B131" i="3"/>
  <c r="B3" i="3"/>
  <c r="B70" i="3"/>
  <c r="B58" i="2"/>
  <c r="B44" i="4"/>
  <c r="B93" i="2"/>
  <c r="B54" i="2"/>
  <c r="B76" i="2"/>
  <c r="B47" i="2"/>
  <c r="AU102" i="2"/>
  <c r="AU98" i="2"/>
  <c r="D31" i="4"/>
  <c r="D92" i="3"/>
  <c r="D131" i="3"/>
  <c r="D142" i="3"/>
  <c r="D106" i="2"/>
  <c r="D50" i="3"/>
  <c r="D3" i="4"/>
  <c r="D48" i="4"/>
  <c r="D3" i="3"/>
  <c r="D44" i="4"/>
  <c r="D93" i="2"/>
  <c r="D23" i="4"/>
  <c r="D3" i="2"/>
  <c r="D76" i="2"/>
  <c r="D47" i="2"/>
  <c r="D70" i="3"/>
  <c r="D58" i="2"/>
  <c r="F131" i="3"/>
  <c r="F23" i="4"/>
  <c r="F44" i="4"/>
  <c r="F3" i="4"/>
  <c r="F50" i="3"/>
  <c r="F48" i="4"/>
  <c r="F3" i="3"/>
  <c r="F70" i="3"/>
  <c r="F92" i="3"/>
  <c r="F93" i="2"/>
  <c r="F76" i="2"/>
  <c r="F47" i="2"/>
  <c r="F106" i="2"/>
  <c r="F31" i="4"/>
  <c r="F58" i="2"/>
  <c r="F3" i="2"/>
  <c r="C31" i="4"/>
  <c r="C92" i="3"/>
  <c r="C142" i="3"/>
  <c r="C106" i="2"/>
  <c r="C50" i="3"/>
  <c r="C3" i="4"/>
  <c r="C131" i="3"/>
  <c r="C48" i="4"/>
  <c r="C70" i="3"/>
  <c r="C58" i="2"/>
  <c r="C44" i="4"/>
  <c r="C93" i="2"/>
  <c r="C23" i="4"/>
  <c r="C76" i="2"/>
  <c r="C47" i="2"/>
  <c r="C3" i="2"/>
  <c r="B102" i="2"/>
  <c r="AB98" i="2"/>
  <c r="AV98" i="2"/>
  <c r="AV102" i="2"/>
  <c r="D101" i="2"/>
  <c r="AF102" i="2"/>
  <c r="AF98" i="2"/>
  <c r="AZ98" i="2"/>
  <c r="AY101" i="2"/>
  <c r="AM101" i="2"/>
  <c r="BQ101" i="2"/>
  <c r="BD101" i="2"/>
  <c r="J101" i="2"/>
  <c r="AN101" i="2"/>
  <c r="BR101" i="2"/>
  <c r="K101" i="2"/>
  <c r="BS101" i="2"/>
  <c r="N101" i="2"/>
  <c r="AS101" i="2"/>
  <c r="C101" i="2"/>
  <c r="AI101" i="2"/>
  <c r="BL101" i="2"/>
  <c r="V101" i="2"/>
  <c r="AX101" i="2"/>
  <c r="BI16" i="4"/>
  <c r="AT6" i="4"/>
  <c r="BI8" i="4"/>
  <c r="M62" i="2"/>
  <c r="AY26" i="2"/>
  <c r="AT28" i="2"/>
  <c r="AT29" i="2" s="1"/>
  <c r="BO33" i="4"/>
  <c r="AB35" i="4"/>
  <c r="AB36" i="4" s="1"/>
  <c r="AD5" i="2"/>
  <c r="AE5" i="2" s="1"/>
  <c r="I41" i="4"/>
  <c r="I80" i="2"/>
  <c r="AU10" i="2"/>
  <c r="AU12" i="2"/>
  <c r="AU60" i="2"/>
  <c r="BV15" i="2"/>
  <c r="BW14" i="2"/>
  <c r="BX14" i="2" s="1"/>
  <c r="E25" i="2"/>
  <c r="E67" i="2"/>
  <c r="E23" i="2"/>
  <c r="E17" i="2" s="1"/>
  <c r="O40" i="2"/>
  <c r="P40" i="2" s="1"/>
  <c r="B121" i="3"/>
  <c r="F64" i="2"/>
  <c r="F78" i="3" s="1"/>
  <c r="B32" i="2"/>
  <c r="B78" i="3"/>
  <c r="AA78" i="3"/>
  <c r="AA81" i="3" s="1"/>
  <c r="AA82" i="3" s="1"/>
  <c r="AB64" i="2"/>
  <c r="AP8" i="2"/>
  <c r="AP9" i="2"/>
  <c r="L35" i="4"/>
  <c r="L111" i="2"/>
  <c r="O5" i="2"/>
  <c r="P5" i="2" s="1"/>
  <c r="L4" i="2"/>
  <c r="AC35" i="4"/>
  <c r="AC36" i="4" s="1"/>
  <c r="J6" i="2"/>
  <c r="K6" i="2" s="1"/>
  <c r="AA60" i="2"/>
  <c r="AA12" i="2"/>
  <c r="AD15" i="2"/>
  <c r="AE14" i="2"/>
  <c r="AS20" i="2"/>
  <c r="AT18" i="2"/>
  <c r="G67" i="2"/>
  <c r="G66" i="2" s="1"/>
  <c r="G23" i="2"/>
  <c r="BC31" i="2"/>
  <c r="Z25" i="4"/>
  <c r="AY25" i="4"/>
  <c r="AQ8" i="2"/>
  <c r="AQ9" i="2"/>
  <c r="BT9" i="2"/>
  <c r="BT23" i="11" s="1"/>
  <c r="BT8" i="2"/>
  <c r="M35" i="4"/>
  <c r="M42" i="4" s="1"/>
  <c r="M79" i="2"/>
  <c r="M111" i="2"/>
  <c r="M112" i="2" s="1"/>
  <c r="L41" i="4"/>
  <c r="L80" i="2"/>
  <c r="O6" i="2"/>
  <c r="AN95" i="2"/>
  <c r="AN96" i="2" s="1"/>
  <c r="AN97" i="2" s="1"/>
  <c r="D121" i="3"/>
  <c r="D78" i="3"/>
  <c r="D81" i="3" s="1"/>
  <c r="D82" i="3" s="1"/>
  <c r="D32" i="2"/>
  <c r="AR9" i="2"/>
  <c r="BD7" i="2"/>
  <c r="AO26" i="2"/>
  <c r="AJ31" i="2"/>
  <c r="AD34" i="2"/>
  <c r="AD69" i="2" s="1"/>
  <c r="U7" i="2"/>
  <c r="AN31" i="2"/>
  <c r="AM30" i="2"/>
  <c r="BO21" i="2"/>
  <c r="BO28" i="11" s="1"/>
  <c r="BO30" i="2"/>
  <c r="O34" i="2"/>
  <c r="O69" i="2" s="1"/>
  <c r="AA9" i="2"/>
  <c r="AA22" i="2" s="1"/>
  <c r="AA8" i="2"/>
  <c r="AB4" i="2"/>
  <c r="BA35" i="4"/>
  <c r="BA42" i="4" s="1"/>
  <c r="BA4" i="2"/>
  <c r="BA21" i="11" s="1"/>
  <c r="BO35" i="4"/>
  <c r="BO79" i="2"/>
  <c r="BO4" i="2"/>
  <c r="BO21" i="11" s="1"/>
  <c r="BO19" i="11" s="1"/>
  <c r="BQ5" i="2"/>
  <c r="BR5" i="2" s="1"/>
  <c r="BU41" i="4"/>
  <c r="BU80" i="2"/>
  <c r="BU15" i="2"/>
  <c r="AW9" i="2"/>
  <c r="L15" i="2"/>
  <c r="BB23" i="2"/>
  <c r="BB67" i="2"/>
  <c r="BU23" i="2"/>
  <c r="BU67" i="2"/>
  <c r="BU25" i="2"/>
  <c r="AY28" i="2"/>
  <c r="AY29" i="2" s="1"/>
  <c r="AL30" i="2"/>
  <c r="BB71" i="2"/>
  <c r="BD38" i="2"/>
  <c r="BD37" i="11" s="1"/>
  <c r="AX41" i="4"/>
  <c r="AY41" i="4" s="1"/>
  <c r="AX80" i="2"/>
  <c r="AY6" i="2"/>
  <c r="AX15" i="2"/>
  <c r="AC4" i="2"/>
  <c r="BB35" i="4"/>
  <c r="BB37" i="4" s="1"/>
  <c r="BB38" i="4" s="1"/>
  <c r="BB4" i="2"/>
  <c r="BB21" i="11" s="1"/>
  <c r="BP35" i="4"/>
  <c r="BP4" i="2"/>
  <c r="BV41" i="4"/>
  <c r="BV80" i="2"/>
  <c r="N62" i="2"/>
  <c r="AH23" i="2"/>
  <c r="AH17" i="2" s="1"/>
  <c r="AH67" i="2"/>
  <c r="AH66" i="2" s="1"/>
  <c r="AH25" i="2"/>
  <c r="BE67" i="2"/>
  <c r="BE66" i="2" s="1"/>
  <c r="BE23" i="2"/>
  <c r="BV67" i="2"/>
  <c r="BV23" i="2"/>
  <c r="BV25" i="2"/>
  <c r="Z28" i="2"/>
  <c r="Z29" i="2" s="1"/>
  <c r="BC71" i="2"/>
  <c r="BC5" i="2"/>
  <c r="BD5" i="2" s="1"/>
  <c r="BW6" i="2"/>
  <c r="N68" i="2"/>
  <c r="O13" i="2"/>
  <c r="P13" i="2" s="1"/>
  <c r="N11" i="2"/>
  <c r="BW20" i="2"/>
  <c r="AK67" i="2"/>
  <c r="AK66" i="2" s="1"/>
  <c r="AK23" i="2"/>
  <c r="AN35" i="4"/>
  <c r="AN42" i="4" s="1"/>
  <c r="AN4" i="2"/>
  <c r="AN9" i="2" s="1"/>
  <c r="AN41" i="2" s="1"/>
  <c r="AR8" i="2"/>
  <c r="BO60" i="2"/>
  <c r="BO10" i="2"/>
  <c r="Q71" i="2"/>
  <c r="T38" i="2"/>
  <c r="BG9" i="2"/>
  <c r="BG23" i="11" s="1"/>
  <c r="AO5" i="2"/>
  <c r="AA10" i="2"/>
  <c r="BP11" i="2"/>
  <c r="BP24" i="11" s="1"/>
  <c r="C67" i="2"/>
  <c r="C66" i="2" s="1"/>
  <c r="C25" i="2"/>
  <c r="C23" i="2"/>
  <c r="AD124" i="3"/>
  <c r="AD125" i="3" s="1"/>
  <c r="AE18" i="3"/>
  <c r="AE124" i="3" s="1"/>
  <c r="AE125" i="3" s="1"/>
  <c r="BR124" i="3"/>
  <c r="BS18" i="3"/>
  <c r="BS124" i="3" s="1"/>
  <c r="Y80" i="2"/>
  <c r="Y15" i="2"/>
  <c r="D67" i="2"/>
  <c r="D25" i="2"/>
  <c r="D23" i="2"/>
  <c r="L32" i="2"/>
  <c r="L30" i="2" s="1"/>
  <c r="M30" i="2"/>
  <c r="M17" i="2" s="1"/>
  <c r="R124" i="3"/>
  <c r="R125" i="3" s="1"/>
  <c r="AS124" i="3"/>
  <c r="AS125" i="3" s="1"/>
  <c r="AT18" i="3"/>
  <c r="AT124" i="3" s="1"/>
  <c r="BC128" i="3"/>
  <c r="BD37" i="3"/>
  <c r="BD128" i="3" s="1"/>
  <c r="Q35" i="4"/>
  <c r="BT35" i="4"/>
  <c r="BT79" i="2"/>
  <c r="BC41" i="4"/>
  <c r="BC80" i="2"/>
  <c r="BD6" i="2"/>
  <c r="BK8" i="2"/>
  <c r="X13" i="2"/>
  <c r="AV68" i="2"/>
  <c r="AV66" i="2" s="1"/>
  <c r="AV11" i="2"/>
  <c r="AV79" i="2" s="1"/>
  <c r="AW13" i="2"/>
  <c r="O18" i="2"/>
  <c r="AX20" i="2"/>
  <c r="W62" i="2"/>
  <c r="BK62" i="2"/>
  <c r="F28" i="2"/>
  <c r="F29" i="2" s="1"/>
  <c r="AB17" i="2"/>
  <c r="BB150" i="3"/>
  <c r="BB69" i="2"/>
  <c r="B69" i="2"/>
  <c r="F34" i="2"/>
  <c r="F69" i="2" s="1"/>
  <c r="W71" i="2"/>
  <c r="V34" i="4"/>
  <c r="Z34" i="4"/>
  <c r="U32" i="4"/>
  <c r="V39" i="4" s="1"/>
  <c r="Z39" i="4" s="1"/>
  <c r="Z40" i="4" s="1"/>
  <c r="K109" i="2"/>
  <c r="K110" i="2" s="1"/>
  <c r="AY109" i="2"/>
  <c r="AY110" i="2" s="1"/>
  <c r="AX110" i="2"/>
  <c r="J19" i="4"/>
  <c r="J17" i="4" s="1"/>
  <c r="J14" i="4" s="1"/>
  <c r="J33" i="4" s="1"/>
  <c r="AM93" i="3"/>
  <c r="AO97" i="3"/>
  <c r="C99" i="3"/>
  <c r="C53" i="3"/>
  <c r="BF93" i="3"/>
  <c r="H12" i="3"/>
  <c r="AA101" i="3"/>
  <c r="BC101" i="3"/>
  <c r="H112" i="3"/>
  <c r="H113" i="3" s="1"/>
  <c r="H105" i="3"/>
  <c r="H106" i="3" s="1"/>
  <c r="AI112" i="3"/>
  <c r="AI107" i="3"/>
  <c r="AI12" i="3"/>
  <c r="AJ14" i="3"/>
  <c r="AJ112" i="3" s="1"/>
  <c r="AJ113" i="3" s="1"/>
  <c r="G83" i="3"/>
  <c r="G51" i="3"/>
  <c r="G41" i="3"/>
  <c r="G27" i="3" s="1"/>
  <c r="E128" i="3"/>
  <c r="E129" i="3" s="1"/>
  <c r="F37" i="3"/>
  <c r="F128" i="3" s="1"/>
  <c r="F129" i="3" s="1"/>
  <c r="BX109" i="2"/>
  <c r="BX110" i="2" s="1"/>
  <c r="BW110" i="2"/>
  <c r="AZ101" i="3"/>
  <c r="T112" i="3"/>
  <c r="T107" i="3"/>
  <c r="T12" i="3"/>
  <c r="T53" i="3"/>
  <c r="AG112" i="3"/>
  <c r="AG113" i="3" s="1"/>
  <c r="AG107" i="3"/>
  <c r="AG108" i="3" s="1"/>
  <c r="AG12" i="3"/>
  <c r="AU112" i="3"/>
  <c r="AU107" i="3"/>
  <c r="AU108" i="3" s="1"/>
  <c r="AU12" i="3"/>
  <c r="BH112" i="3"/>
  <c r="BH113" i="3" s="1"/>
  <c r="BH107" i="3"/>
  <c r="BH12" i="3"/>
  <c r="BU112" i="3"/>
  <c r="BU107" i="3"/>
  <c r="BU108" i="3" s="1"/>
  <c r="BU12" i="3"/>
  <c r="BU19" i="3" s="1"/>
  <c r="BU53" i="3"/>
  <c r="T124" i="3"/>
  <c r="T125" i="3" s="1"/>
  <c r="U18" i="3"/>
  <c r="U124" i="3" s="1"/>
  <c r="U125" i="3" s="1"/>
  <c r="BT33" i="4"/>
  <c r="BX14" i="4"/>
  <c r="BX33" i="4" s="1"/>
  <c r="AP35" i="4"/>
  <c r="AP79" i="2"/>
  <c r="AS5" i="2"/>
  <c r="Q41" i="4"/>
  <c r="Q80" i="2"/>
  <c r="M60" i="2"/>
  <c r="M113" i="2"/>
  <c r="M114" i="2" s="1"/>
  <c r="M12" i="2"/>
  <c r="AZ30" i="2"/>
  <c r="Q69" i="2"/>
  <c r="T34" i="2"/>
  <c r="BO19" i="3"/>
  <c r="BO5" i="3" s="1"/>
  <c r="BO4" i="3" s="1"/>
  <c r="BO93" i="3"/>
  <c r="AJ97" i="3"/>
  <c r="B99" i="3"/>
  <c r="B53" i="3"/>
  <c r="B93" i="3"/>
  <c r="BB101" i="3"/>
  <c r="BB19" i="3"/>
  <c r="BB5" i="3" s="1"/>
  <c r="BB4" i="3" s="1"/>
  <c r="U14" i="3"/>
  <c r="U112" i="3" s="1"/>
  <c r="U113" i="3" s="1"/>
  <c r="AV112" i="3"/>
  <c r="AV12" i="3"/>
  <c r="AV107" i="3"/>
  <c r="AV108" i="3" s="1"/>
  <c r="BI14" i="3"/>
  <c r="BI112" i="3" s="1"/>
  <c r="BI113" i="3" s="1"/>
  <c r="AE37" i="3"/>
  <c r="AE128" i="3" s="1"/>
  <c r="AE129" i="3" s="1"/>
  <c r="BR128" i="3"/>
  <c r="BS37" i="3"/>
  <c r="BS128" i="3" s="1"/>
  <c r="P15" i="4"/>
  <c r="P16" i="4" s="1"/>
  <c r="CN20" i="4"/>
  <c r="CJ20" i="4"/>
  <c r="CK20" i="4" s="1"/>
  <c r="CL20" i="4" s="1"/>
  <c r="AV9" i="2"/>
  <c r="AQ35" i="4"/>
  <c r="AQ36" i="4" s="1"/>
  <c r="T6" i="2"/>
  <c r="T5" i="2" s="1"/>
  <c r="U5" i="2" s="1"/>
  <c r="BT60" i="2"/>
  <c r="BT12" i="2"/>
  <c r="BU11" i="2"/>
  <c r="BU24" i="11" s="1"/>
  <c r="Q4" i="2"/>
  <c r="C35" i="4"/>
  <c r="C36" i="4" s="1"/>
  <c r="C111" i="2"/>
  <c r="C112" i="2" s="1"/>
  <c r="R35" i="4"/>
  <c r="R36" i="4" s="1"/>
  <c r="AF35" i="4"/>
  <c r="AF42" i="4" s="1"/>
  <c r="AF79" i="2"/>
  <c r="AF4" i="2"/>
  <c r="AR35" i="4"/>
  <c r="AR42" i="4" s="1"/>
  <c r="BG35" i="4"/>
  <c r="BU5" i="2"/>
  <c r="BQ7" i="2"/>
  <c r="BR7" i="2" s="1"/>
  <c r="AU8" i="2"/>
  <c r="BA10" i="2"/>
  <c r="BY12" i="2"/>
  <c r="BY60" i="2"/>
  <c r="BA12" i="2"/>
  <c r="BA113" i="2" s="1"/>
  <c r="AT15" i="2"/>
  <c r="AY18" i="2"/>
  <c r="N17" i="2"/>
  <c r="L95" i="2"/>
  <c r="L102" i="2" s="1"/>
  <c r="L68" i="2"/>
  <c r="O26" i="2"/>
  <c r="P26" i="2" s="1"/>
  <c r="AD30" i="2"/>
  <c r="AE30" i="2" s="1"/>
  <c r="P31" i="2"/>
  <c r="BW31" i="2"/>
  <c r="T32" i="2"/>
  <c r="U32" i="2" s="1"/>
  <c r="Q21" i="2"/>
  <c r="BD33" i="2"/>
  <c r="BD150" i="3" s="1"/>
  <c r="Y38" i="2"/>
  <c r="BX40" i="2"/>
  <c r="BW71" i="2"/>
  <c r="AP121" i="3"/>
  <c r="AP78" i="3"/>
  <c r="AP32" i="2"/>
  <c r="BQ93" i="3"/>
  <c r="I12" i="3"/>
  <c r="BD12" i="3"/>
  <c r="BM111" i="3"/>
  <c r="BM41" i="3"/>
  <c r="BN41" i="3" s="1"/>
  <c r="BN36" i="3"/>
  <c r="BN111" i="3" s="1"/>
  <c r="BY111" i="3"/>
  <c r="R22" i="2"/>
  <c r="R19" i="2"/>
  <c r="D35" i="4"/>
  <c r="D36" i="4" s="1"/>
  <c r="D111" i="2"/>
  <c r="D112" i="2" s="1"/>
  <c r="S35" i="4"/>
  <c r="S36" i="4" s="1"/>
  <c r="S4" i="2"/>
  <c r="AU35" i="4"/>
  <c r="AU79" i="2"/>
  <c r="AV8" i="2"/>
  <c r="D11" i="2"/>
  <c r="D68" i="2"/>
  <c r="AB68" i="2"/>
  <c r="AB11" i="2"/>
  <c r="AC13" i="2"/>
  <c r="AE13" i="2" s="1"/>
  <c r="AM62" i="2"/>
  <c r="Q72" i="2"/>
  <c r="T43" i="2"/>
  <c r="T72" i="2" s="1"/>
  <c r="BD43" i="2"/>
  <c r="BC72" i="2"/>
  <c r="N53" i="2"/>
  <c r="AB53" i="2"/>
  <c r="AA50" i="2"/>
  <c r="AE53" i="2"/>
  <c r="AN53" i="2"/>
  <c r="AM50" i="2"/>
  <c r="AQ121" i="3"/>
  <c r="AQ123" i="3" s="1"/>
  <c r="AQ78" i="3"/>
  <c r="AQ81" i="3" s="1"/>
  <c r="AQ82" i="3" s="1"/>
  <c r="AQ32" i="2"/>
  <c r="M19" i="4"/>
  <c r="M17" i="4" s="1"/>
  <c r="BR93" i="3"/>
  <c r="BV99" i="3"/>
  <c r="BV53" i="3"/>
  <c r="J101" i="3"/>
  <c r="K12" i="3"/>
  <c r="BT134" i="3"/>
  <c r="BT65" i="3"/>
  <c r="BT43" i="11" s="1"/>
  <c r="BT41" i="3"/>
  <c r="O134" i="3"/>
  <c r="O65" i="3"/>
  <c r="O41" i="3"/>
  <c r="P41" i="3" s="1"/>
  <c r="BC43" i="3"/>
  <c r="BD44" i="3"/>
  <c r="BD43" i="3" s="1"/>
  <c r="BD6" i="14" s="1"/>
  <c r="BQ134" i="3"/>
  <c r="BE35" i="4"/>
  <c r="BE79" i="2"/>
  <c r="BU68" i="2"/>
  <c r="BV13" i="2"/>
  <c r="BV25" i="11" s="1"/>
  <c r="P32" i="4"/>
  <c r="Q39" i="4" s="1"/>
  <c r="U39" i="4" s="1"/>
  <c r="U40" i="4" s="1"/>
  <c r="U34" i="4"/>
  <c r="Q34" i="4"/>
  <c r="Z101" i="3"/>
  <c r="E35" i="4"/>
  <c r="E36" i="4" s="1"/>
  <c r="E111" i="2"/>
  <c r="AV35" i="4"/>
  <c r="BI5" i="2"/>
  <c r="AD41" i="4"/>
  <c r="AE41" i="4" s="1"/>
  <c r="AD80" i="2"/>
  <c r="BM41" i="4"/>
  <c r="BN6" i="2"/>
  <c r="BN80" i="2" s="1"/>
  <c r="BM80" i="2"/>
  <c r="BE60" i="2"/>
  <c r="BE10" i="2"/>
  <c r="E13" i="2"/>
  <c r="F13" i="2" s="1"/>
  <c r="F68" i="2" s="1"/>
  <c r="T18" i="2"/>
  <c r="P28" i="2"/>
  <c r="P29" i="2" s="1"/>
  <c r="BJ30" i="2"/>
  <c r="BH72" i="2"/>
  <c r="BI43" i="2"/>
  <c r="C20" i="15" s="1"/>
  <c r="AO48" i="2"/>
  <c r="AN50" i="2"/>
  <c r="AP53" i="2"/>
  <c r="BB53" i="2"/>
  <c r="BB50" i="2"/>
  <c r="BP53" i="2"/>
  <c r="AR64" i="2"/>
  <c r="AS64" i="2" s="1"/>
  <c r="AN80" i="2"/>
  <c r="Z88" i="3"/>
  <c r="Z56" i="3"/>
  <c r="AN87" i="3"/>
  <c r="AM56" i="3"/>
  <c r="AM25" i="2"/>
  <c r="BA87" i="3"/>
  <c r="AZ56" i="3"/>
  <c r="BM56" i="3"/>
  <c r="BN6" i="3"/>
  <c r="D25" i="15" s="1"/>
  <c r="BU134" i="3"/>
  <c r="BU41" i="3"/>
  <c r="BU65" i="3"/>
  <c r="BU43" i="11" s="1"/>
  <c r="P44" i="3"/>
  <c r="P43" i="3" s="1"/>
  <c r="P6" i="14" s="1"/>
  <c r="AQ43" i="3"/>
  <c r="AF10" i="2"/>
  <c r="AF60" i="2"/>
  <c r="AF12" i="2"/>
  <c r="BX32" i="4"/>
  <c r="BY39" i="4" s="1"/>
  <c r="BY111" i="2" s="1"/>
  <c r="BY34" i="4"/>
  <c r="F5" i="2"/>
  <c r="AW35" i="4"/>
  <c r="BJ35" i="4"/>
  <c r="BJ42" i="4" s="1"/>
  <c r="BJ79" i="2"/>
  <c r="BJ4" i="2"/>
  <c r="BJ21" i="11" s="1"/>
  <c r="BJ12" i="2"/>
  <c r="AE6" i="2"/>
  <c r="BP41" i="4"/>
  <c r="BP80" i="2"/>
  <c r="O7" i="2"/>
  <c r="BV7" i="2"/>
  <c r="R8" i="2"/>
  <c r="BF68" i="2"/>
  <c r="BF66" i="2" s="1"/>
  <c r="BG13" i="2"/>
  <c r="BG25" i="11" s="1"/>
  <c r="BF11" i="2"/>
  <c r="BF24" i="11" s="1"/>
  <c r="I15" i="2"/>
  <c r="BC15" i="2"/>
  <c r="BP67" i="2"/>
  <c r="BP66" i="2" s="1"/>
  <c r="BP25" i="2"/>
  <c r="BP23" i="2"/>
  <c r="O50" i="2"/>
  <c r="Q53" i="2"/>
  <c r="AC50" i="2"/>
  <c r="AD53" i="2"/>
  <c r="AP50" i="2"/>
  <c r="AQ53" i="2"/>
  <c r="BE50" i="2"/>
  <c r="BC50" i="2"/>
  <c r="BO53" i="2"/>
  <c r="BO50" i="2"/>
  <c r="BS53" i="2"/>
  <c r="Y72" i="2"/>
  <c r="AE44" i="3"/>
  <c r="AE43" i="3" s="1"/>
  <c r="AE6" i="14" s="1"/>
  <c r="AD43" i="3"/>
  <c r="AI41" i="4"/>
  <c r="AJ41" i="4" s="1"/>
  <c r="AI80" i="2"/>
  <c r="AJ6" i="2"/>
  <c r="AJ80" i="2" s="1"/>
  <c r="C114" i="2"/>
  <c r="BD14" i="2"/>
  <c r="BD15" i="2" s="1"/>
  <c r="BQ67" i="2"/>
  <c r="BQ23" i="2"/>
  <c r="P48" i="2"/>
  <c r="AD50" i="2"/>
  <c r="AF53" i="2"/>
  <c r="AF50" i="2"/>
  <c r="AQ50" i="2"/>
  <c r="AR53" i="2"/>
  <c r="BD48" i="2"/>
  <c r="BQ50" i="2"/>
  <c r="BP50" i="2"/>
  <c r="BQ53" i="2"/>
  <c r="AU121" i="3"/>
  <c r="AU78" i="3"/>
  <c r="AV64" i="2"/>
  <c r="AU32" i="2"/>
  <c r="AU30" i="2" s="1"/>
  <c r="W11" i="2"/>
  <c r="W79" i="2" s="1"/>
  <c r="AJ109" i="2"/>
  <c r="AJ110" i="2" s="1"/>
  <c r="G112" i="3"/>
  <c r="G113" i="3" s="1"/>
  <c r="G105" i="3"/>
  <c r="G106" i="3" s="1"/>
  <c r="G12" i="3"/>
  <c r="E4" i="2"/>
  <c r="G35" i="4"/>
  <c r="G42" i="4" s="1"/>
  <c r="G79" i="2"/>
  <c r="H5" i="2"/>
  <c r="W35" i="4"/>
  <c r="AX5" i="2"/>
  <c r="AY5" i="2" s="1"/>
  <c r="F80" i="2"/>
  <c r="BQ6" i="2"/>
  <c r="BR6" i="2" s="1"/>
  <c r="BE12" i="2"/>
  <c r="G4" i="2"/>
  <c r="W4" i="2"/>
  <c r="X35" i="4"/>
  <c r="X4" i="2"/>
  <c r="AK35" i="4"/>
  <c r="AK42" i="4" s="1"/>
  <c r="AK79" i="2"/>
  <c r="AK4" i="2"/>
  <c r="AK12" i="2"/>
  <c r="H41" i="4"/>
  <c r="H15" i="2"/>
  <c r="H80" i="2"/>
  <c r="AU9" i="2"/>
  <c r="AP60" i="2"/>
  <c r="G12" i="2"/>
  <c r="I13" i="2"/>
  <c r="K13" i="2" s="1"/>
  <c r="T14" i="2"/>
  <c r="Q15" i="2"/>
  <c r="AF67" i="2"/>
  <c r="AF66" i="2" s="1"/>
  <c r="AF23" i="2"/>
  <c r="AF17" i="2" s="1"/>
  <c r="BT67" i="2"/>
  <c r="BT66" i="2" s="1"/>
  <c r="BT23" i="2"/>
  <c r="BW23" i="2"/>
  <c r="AI95" i="2"/>
  <c r="AI98" i="2" s="1"/>
  <c r="AX31" i="2"/>
  <c r="BM31" i="2"/>
  <c r="AK30" i="2"/>
  <c r="AA69" i="2"/>
  <c r="AT34" i="2"/>
  <c r="K40" i="2"/>
  <c r="Q50" i="2"/>
  <c r="R53" i="2"/>
  <c r="AE48" i="2"/>
  <c r="AR50" i="2"/>
  <c r="AS53" i="2"/>
  <c r="C79" i="2"/>
  <c r="AS41" i="4"/>
  <c r="AT41" i="4" s="1"/>
  <c r="AS80" i="2"/>
  <c r="R11" i="2"/>
  <c r="AN15" i="2"/>
  <c r="BM15" i="2"/>
  <c r="BC20" i="2"/>
  <c r="AV23" i="2"/>
  <c r="BF25" i="2"/>
  <c r="AC17" i="2"/>
  <c r="G30" i="2"/>
  <c r="AJ30" i="2"/>
  <c r="Q31" i="2"/>
  <c r="AT40" i="2"/>
  <c r="AS71" i="2"/>
  <c r="R50" i="2"/>
  <c r="BT121" i="3"/>
  <c r="BT78" i="3"/>
  <c r="BT81" i="3" s="1"/>
  <c r="BT82" i="3" s="1"/>
  <c r="AA111" i="3"/>
  <c r="AM111" i="3"/>
  <c r="BA111" i="3"/>
  <c r="AF128" i="3"/>
  <c r="BF128" i="3"/>
  <c r="BF129" i="3" s="1"/>
  <c r="C62" i="2"/>
  <c r="BG25" i="2"/>
  <c r="AO150" i="3"/>
  <c r="CW150" i="3"/>
  <c r="F71" i="2"/>
  <c r="AB71" i="2"/>
  <c r="AD38" i="2"/>
  <c r="AA62" i="2"/>
  <c r="BU121" i="3"/>
  <c r="BU78" i="3"/>
  <c r="BU32" i="2"/>
  <c r="BU33" i="11" s="1"/>
  <c r="BG67" i="2"/>
  <c r="BB112" i="2"/>
  <c r="BD30" i="3"/>
  <c r="BC54" i="3"/>
  <c r="BC28" i="3"/>
  <c r="N134" i="3"/>
  <c r="N41" i="3"/>
  <c r="N65" i="3"/>
  <c r="J14" i="2"/>
  <c r="Z18" i="2"/>
  <c r="BI18" i="2"/>
  <c r="BI27" i="11" s="1"/>
  <c r="I20" i="2"/>
  <c r="AY34" i="2"/>
  <c r="AY69" i="2" s="1"/>
  <c r="DB150" i="3"/>
  <c r="BV64" i="2"/>
  <c r="BC112" i="2"/>
  <c r="BD111" i="2"/>
  <c r="AQ54" i="3"/>
  <c r="AQ28" i="3"/>
  <c r="BE65" i="3"/>
  <c r="BE43" i="11" s="1"/>
  <c r="BE134" i="3"/>
  <c r="BE41" i="3"/>
  <c r="V12" i="2"/>
  <c r="BP15" i="2"/>
  <c r="AE18" i="2"/>
  <c r="BM20" i="2"/>
  <c r="AD21" i="2"/>
  <c r="AE21" i="2" s="1"/>
  <c r="AR62" i="2"/>
  <c r="AR17" i="2"/>
  <c r="BK25" i="2"/>
  <c r="AS31" i="2"/>
  <c r="AY150" i="3"/>
  <c r="BM71" i="2"/>
  <c r="J50" i="2"/>
  <c r="I50" i="2"/>
  <c r="W50" i="2"/>
  <c r="W53" i="2"/>
  <c r="V50" i="2"/>
  <c r="AJ55" i="2"/>
  <c r="AJ53" i="2" s="1"/>
  <c r="AI53" i="2"/>
  <c r="AF121" i="3"/>
  <c r="AF122" i="3" s="1"/>
  <c r="AF78" i="3"/>
  <c r="AG64" i="2"/>
  <c r="BH71" i="2"/>
  <c r="V79" i="2"/>
  <c r="AD83" i="3"/>
  <c r="AD51" i="3"/>
  <c r="AD57" i="3" s="1"/>
  <c r="Q52" i="3"/>
  <c r="Q53" i="3" s="1"/>
  <c r="Q28" i="3"/>
  <c r="AD54" i="3"/>
  <c r="AE30" i="3"/>
  <c r="AE28" i="3" s="1"/>
  <c r="AI13" i="2"/>
  <c r="BQ14" i="2"/>
  <c r="BN18" i="2"/>
  <c r="BN27" i="11" s="1"/>
  <c r="AR25" i="2"/>
  <c r="BL25" i="2"/>
  <c r="K34" i="2"/>
  <c r="K69" i="2" s="1"/>
  <c r="AI34" i="2"/>
  <c r="AJ38" i="2"/>
  <c r="BN38" i="2"/>
  <c r="BN37" i="11" s="1"/>
  <c r="AX53" i="2"/>
  <c r="Q121" i="3"/>
  <c r="Q123" i="3" s="1"/>
  <c r="Q78" i="3"/>
  <c r="BE121" i="3"/>
  <c r="BE122" i="3" s="1"/>
  <c r="BE78" i="3"/>
  <c r="BF64" i="2"/>
  <c r="BX88" i="3"/>
  <c r="CC87" i="3"/>
  <c r="BY87" i="3"/>
  <c r="BX56" i="3"/>
  <c r="BE112" i="3"/>
  <c r="BE113" i="3" s="1"/>
  <c r="BE107" i="3"/>
  <c r="BE108" i="3" s="1"/>
  <c r="BE12" i="3"/>
  <c r="AK19" i="3"/>
  <c r="N35" i="4"/>
  <c r="N36" i="4" s="1"/>
  <c r="N79" i="2"/>
  <c r="N4" i="2"/>
  <c r="AL35" i="4"/>
  <c r="AL4" i="2"/>
  <c r="BR95" i="2"/>
  <c r="BR102" i="2" s="1"/>
  <c r="O71" i="2"/>
  <c r="AN71" i="2"/>
  <c r="BR71" i="2"/>
  <c r="Y53" i="2"/>
  <c r="X53" i="2"/>
  <c r="X50" i="2"/>
  <c r="AL53" i="2"/>
  <c r="AK53" i="2"/>
  <c r="AL50" i="2"/>
  <c r="AK50" i="2"/>
  <c r="AZ53" i="2"/>
  <c r="AY48" i="2"/>
  <c r="R121" i="3"/>
  <c r="R78" i="3"/>
  <c r="R81" i="3" s="1"/>
  <c r="R82" i="3" s="1"/>
  <c r="BL87" i="3"/>
  <c r="BK56" i="3"/>
  <c r="BY56" i="3"/>
  <c r="BR101" i="3"/>
  <c r="BS12" i="3"/>
  <c r="BR19" i="3"/>
  <c r="BS19" i="3" s="1"/>
  <c r="AR112" i="3"/>
  <c r="AR107" i="3"/>
  <c r="AR108" i="3" s="1"/>
  <c r="AR12" i="3"/>
  <c r="AY20" i="3"/>
  <c r="AZ81" i="3" s="1"/>
  <c r="AZ82" i="3" s="1"/>
  <c r="AF51" i="3"/>
  <c r="BK35" i="4"/>
  <c r="BK36" i="4" s="1"/>
  <c r="G10" i="2"/>
  <c r="S13" i="2"/>
  <c r="BQ13" i="2"/>
  <c r="BQ25" i="11" s="1"/>
  <c r="O14" i="2"/>
  <c r="P14" i="2" s="1"/>
  <c r="AS15" i="2"/>
  <c r="J18" i="2"/>
  <c r="K18" i="2" s="1"/>
  <c r="BM25" i="2"/>
  <c r="BM67" i="2"/>
  <c r="B35" i="4"/>
  <c r="B42" i="4" s="1"/>
  <c r="B4" i="2"/>
  <c r="AA35" i="4"/>
  <c r="AA79" i="2"/>
  <c r="BL35" i="4"/>
  <c r="BL36" i="4" s="1"/>
  <c r="BY35" i="4"/>
  <c r="BY42" i="4" s="1"/>
  <c r="BY79" i="2"/>
  <c r="Z6" i="2"/>
  <c r="Z80" i="2" s="1"/>
  <c r="BH41" i="4"/>
  <c r="BI41" i="4" s="1"/>
  <c r="BH80" i="2"/>
  <c r="J7" i="2"/>
  <c r="AE7" i="2"/>
  <c r="BF9" i="2"/>
  <c r="BF23" i="11" s="1"/>
  <c r="V10" i="2"/>
  <c r="AK60" i="2"/>
  <c r="AZ12" i="2"/>
  <c r="BB13" i="2"/>
  <c r="BB25" i="11" s="1"/>
  <c r="AD20" i="2"/>
  <c r="AM23" i="2"/>
  <c r="BS26" i="2"/>
  <c r="BS32" i="11" s="1"/>
  <c r="BX31" i="2"/>
  <c r="BT30" i="2"/>
  <c r="Y34" i="2"/>
  <c r="F150" i="3"/>
  <c r="P38" i="2"/>
  <c r="AO38" i="2"/>
  <c r="BS38" i="2"/>
  <c r="BS37" i="11" s="1"/>
  <c r="BX43" i="2"/>
  <c r="F20" i="15" s="1"/>
  <c r="M50" i="2"/>
  <c r="L50" i="2"/>
  <c r="Z48" i="2"/>
  <c r="Y50" i="2"/>
  <c r="AM53" i="2"/>
  <c r="BA53" i="2"/>
  <c r="AZ50" i="2"/>
  <c r="BM53" i="2"/>
  <c r="BL50" i="2"/>
  <c r="J53" i="2"/>
  <c r="AY53" i="2"/>
  <c r="S64" i="2"/>
  <c r="L71" i="2"/>
  <c r="B79" i="2"/>
  <c r="BF98" i="2"/>
  <c r="BF102" i="2"/>
  <c r="G111" i="2"/>
  <c r="U110" i="2"/>
  <c r="BI109" i="2"/>
  <c r="BI110" i="2" s="1"/>
  <c r="BH110" i="2"/>
  <c r="Y101" i="3"/>
  <c r="AF112" i="3"/>
  <c r="AF113" i="3" s="1"/>
  <c r="AF107" i="3"/>
  <c r="AF108" i="3" s="1"/>
  <c r="AF12" i="3"/>
  <c r="AS112" i="3"/>
  <c r="AS107" i="3"/>
  <c r="AT14" i="3"/>
  <c r="AT112" i="3" s="1"/>
  <c r="AS12" i="3"/>
  <c r="BG112" i="3"/>
  <c r="BG113" i="3" s="1"/>
  <c r="BG107" i="3"/>
  <c r="BG108" i="3" s="1"/>
  <c r="BG12" i="3"/>
  <c r="BT107" i="3"/>
  <c r="BT108" i="3" s="1"/>
  <c r="BT112" i="3"/>
  <c r="BT12" i="3"/>
  <c r="F51" i="3"/>
  <c r="BF35" i="4"/>
  <c r="BF37" i="4" s="1"/>
  <c r="BF38" i="4" s="1"/>
  <c r="AJ150" i="3"/>
  <c r="CR150" i="3"/>
  <c r="V53" i="2"/>
  <c r="BR53" i="2"/>
  <c r="AU53" i="2"/>
  <c r="BW53" i="2"/>
  <c r="E121" i="3"/>
  <c r="E122" i="3" s="1"/>
  <c r="E78" i="3"/>
  <c r="E81" i="3" s="1"/>
  <c r="E82" i="3" s="1"/>
  <c r="V98" i="2"/>
  <c r="V102" i="2"/>
  <c r="BG102" i="2"/>
  <c r="BG98" i="2"/>
  <c r="Z32" i="4"/>
  <c r="AA39" i="4" s="1"/>
  <c r="AA111" i="2" s="1"/>
  <c r="AA112" i="2" s="1"/>
  <c r="AE34" i="4"/>
  <c r="AA34" i="4"/>
  <c r="L113" i="2"/>
  <c r="L114" i="2" s="1"/>
  <c r="O87" i="3"/>
  <c r="N56" i="3"/>
  <c r="AB87" i="3"/>
  <c r="AA56" i="3"/>
  <c r="AA57" i="3" s="1"/>
  <c r="BB87" i="3"/>
  <c r="BA56" i="3"/>
  <c r="BO56" i="3"/>
  <c r="BP87" i="3"/>
  <c r="BW99" i="3"/>
  <c r="L101" i="3"/>
  <c r="I112" i="3"/>
  <c r="I113" i="3" s="1"/>
  <c r="I105" i="3"/>
  <c r="I106" i="3" s="1"/>
  <c r="W107" i="3"/>
  <c r="W108" i="3" s="1"/>
  <c r="W112" i="3"/>
  <c r="W12" i="3"/>
  <c r="AW112" i="3"/>
  <c r="AW12" i="3"/>
  <c r="AW107" i="3"/>
  <c r="AW108" i="3" s="1"/>
  <c r="H83" i="3"/>
  <c r="H41" i="3"/>
  <c r="H27" i="3" s="1"/>
  <c r="R54" i="3"/>
  <c r="R55" i="3" s="1"/>
  <c r="R28" i="3"/>
  <c r="BE54" i="3"/>
  <c r="BE28" i="3"/>
  <c r="BS54" i="3"/>
  <c r="BR55" i="3"/>
  <c r="P117" i="3"/>
  <c r="BN117" i="3"/>
  <c r="O111" i="3"/>
  <c r="AB111" i="3"/>
  <c r="BB111" i="3"/>
  <c r="BO111" i="3"/>
  <c r="T128" i="3"/>
  <c r="T129" i="3" s="1"/>
  <c r="U37" i="3"/>
  <c r="U128" i="3" s="1"/>
  <c r="U129" i="3" s="1"/>
  <c r="BW134" i="3"/>
  <c r="BX41" i="3"/>
  <c r="BW65" i="3"/>
  <c r="BW43" i="11" s="1"/>
  <c r="AH53" i="2"/>
  <c r="BG50" i="2"/>
  <c r="BS48" i="2"/>
  <c r="AG53" i="2"/>
  <c r="AV53" i="2"/>
  <c r="BJ53" i="2"/>
  <c r="AT53" i="2"/>
  <c r="BJ121" i="3"/>
  <c r="BJ78" i="3"/>
  <c r="BJ81" i="3" s="1"/>
  <c r="BJ82" i="3" s="1"/>
  <c r="BY121" i="3"/>
  <c r="BY123" i="3" s="1"/>
  <c r="BY78" i="3"/>
  <c r="W102" i="2"/>
  <c r="W103" i="2" s="1"/>
  <c r="W104" i="2" s="1"/>
  <c r="W98" i="2"/>
  <c r="X112" i="2"/>
  <c r="AC87" i="3"/>
  <c r="AB56" i="3"/>
  <c r="AO88" i="3"/>
  <c r="BQ87" i="3"/>
  <c r="BP56" i="3"/>
  <c r="AW99" i="3"/>
  <c r="BJ99" i="3"/>
  <c r="M101" i="3"/>
  <c r="X107" i="3"/>
  <c r="X108" i="3" s="1"/>
  <c r="X112" i="3"/>
  <c r="S54" i="3"/>
  <c r="S28" i="3"/>
  <c r="BF54" i="3"/>
  <c r="BF28" i="3"/>
  <c r="Q117" i="3"/>
  <c r="BS117" i="3"/>
  <c r="AE114" i="3"/>
  <c r="AE116" i="3" s="1"/>
  <c r="AC111" i="3"/>
  <c r="BC111" i="3"/>
  <c r="BD36" i="3"/>
  <c r="BD111" i="3" s="1"/>
  <c r="CC46" i="3"/>
  <c r="BK53" i="2"/>
  <c r="G121" i="3"/>
  <c r="G122" i="3" s="1"/>
  <c r="G78" i="3"/>
  <c r="BK121" i="3"/>
  <c r="BK122" i="3" s="1"/>
  <c r="BK78" i="3"/>
  <c r="BK81" i="3" s="1"/>
  <c r="BK82" i="3" s="1"/>
  <c r="BL64" i="2"/>
  <c r="AR98" i="2"/>
  <c r="AK34" i="4"/>
  <c r="AJ32" i="4"/>
  <c r="AK39" i="4" s="1"/>
  <c r="AO34" i="4"/>
  <c r="B88" i="3"/>
  <c r="C87" i="3"/>
  <c r="B56" i="3"/>
  <c r="B5" i="3"/>
  <c r="B4" i="3" s="1"/>
  <c r="B140" i="3" s="1"/>
  <c r="P6" i="3"/>
  <c r="AD87" i="3"/>
  <c r="AC56" i="3"/>
  <c r="BC56" i="3"/>
  <c r="BD6" i="3"/>
  <c r="BE25" i="2" s="1"/>
  <c r="Y19" i="4"/>
  <c r="Y17" i="4" s="1"/>
  <c r="Y20" i="2" s="1"/>
  <c r="BB93" i="3"/>
  <c r="AK99" i="3"/>
  <c r="AX99" i="3"/>
  <c r="AX53" i="3"/>
  <c r="AX93" i="3"/>
  <c r="BK99" i="3"/>
  <c r="BY99" i="3"/>
  <c r="AL104" i="3"/>
  <c r="BV51" i="3"/>
  <c r="D54" i="3"/>
  <c r="D55" i="3" s="1"/>
  <c r="D28" i="3"/>
  <c r="AT30" i="3"/>
  <c r="BG54" i="3"/>
  <c r="BG28" i="3"/>
  <c r="C117" i="3"/>
  <c r="AK53" i="3"/>
  <c r="L53" i="2"/>
  <c r="H64" i="2"/>
  <c r="J64" i="2" s="1"/>
  <c r="W121" i="3"/>
  <c r="W78" i="3"/>
  <c r="W81" i="3" s="1"/>
  <c r="W82" i="3" s="1"/>
  <c r="AK121" i="3"/>
  <c r="AK78" i="3"/>
  <c r="AS95" i="2"/>
  <c r="AS102" i="2" s="1"/>
  <c r="BL102" i="2"/>
  <c r="BL98" i="2"/>
  <c r="D87" i="3"/>
  <c r="C88" i="3"/>
  <c r="C56" i="3"/>
  <c r="C57" i="3" s="1"/>
  <c r="R87" i="3"/>
  <c r="Q56" i="3"/>
  <c r="AQ56" i="3"/>
  <c r="AR87" i="3"/>
  <c r="AY10" i="3"/>
  <c r="AY99" i="3" s="1"/>
  <c r="BL99" i="3"/>
  <c r="AM101" i="3"/>
  <c r="AM104" i="3" s="1"/>
  <c r="AX126" i="3"/>
  <c r="AX127" i="3" s="1"/>
  <c r="AY16" i="3"/>
  <c r="AY126" i="3" s="1"/>
  <c r="AY127" i="3" s="1"/>
  <c r="BP28" i="3"/>
  <c r="BP52" i="3"/>
  <c r="BP53" i="3" s="1"/>
  <c r="AH54" i="3"/>
  <c r="AH55" i="3" s="1"/>
  <c r="AH28" i="3"/>
  <c r="BU55" i="3"/>
  <c r="AA134" i="3"/>
  <c r="AA41" i="3"/>
  <c r="W53" i="3"/>
  <c r="AA65" i="3"/>
  <c r="AA132" i="3" s="1"/>
  <c r="BR50" i="2"/>
  <c r="X121" i="3"/>
  <c r="X78" i="3"/>
  <c r="X81" i="3" s="1"/>
  <c r="X82" i="3" s="1"/>
  <c r="AL121" i="3"/>
  <c r="AL78" i="3"/>
  <c r="AL81" i="3" s="1"/>
  <c r="AL82" i="3" s="1"/>
  <c r="B98" i="2"/>
  <c r="E87" i="3"/>
  <c r="D88" i="3"/>
  <c r="D56" i="3"/>
  <c r="U97" i="3"/>
  <c r="AM99" i="3"/>
  <c r="AM53" i="3"/>
  <c r="BN10" i="3"/>
  <c r="BN8" i="3" s="1"/>
  <c r="BM99" i="3"/>
  <c r="N101" i="3"/>
  <c r="BM126" i="3"/>
  <c r="BM127" i="3" s="1"/>
  <c r="BN16" i="3"/>
  <c r="BN126" i="3" s="1"/>
  <c r="AJ40" i="3"/>
  <c r="C134" i="3"/>
  <c r="C65" i="3"/>
  <c r="C132" i="3" s="1"/>
  <c r="B134" i="3"/>
  <c r="B65" i="3"/>
  <c r="G53" i="3"/>
  <c r="X53" i="3"/>
  <c r="AB99" i="3"/>
  <c r="BL53" i="2"/>
  <c r="BT50" i="2"/>
  <c r="L121" i="3"/>
  <c r="L78" i="3"/>
  <c r="L81" i="3" s="1"/>
  <c r="L82" i="3" s="1"/>
  <c r="Y121" i="3"/>
  <c r="Y78" i="3"/>
  <c r="Y81" i="3" s="1"/>
  <c r="Y82" i="3" s="1"/>
  <c r="BO121" i="3"/>
  <c r="BO78" i="3"/>
  <c r="AC112" i="2"/>
  <c r="E88" i="3"/>
  <c r="E56" i="3"/>
  <c r="F6" i="3"/>
  <c r="G25" i="2" s="1"/>
  <c r="AA99" i="3"/>
  <c r="AA53" i="3"/>
  <c r="BA99" i="3"/>
  <c r="AP101" i="3"/>
  <c r="AQ104" i="3" s="1"/>
  <c r="AP19" i="3"/>
  <c r="AP5" i="3" s="1"/>
  <c r="AP4" i="3" s="1"/>
  <c r="BP101" i="3"/>
  <c r="BP104" i="3" s="1"/>
  <c r="BD20" i="3"/>
  <c r="BN150" i="3"/>
  <c r="J71" i="2"/>
  <c r="BX48" i="2"/>
  <c r="BF50" i="2"/>
  <c r="BU50" i="2"/>
  <c r="M64" i="2"/>
  <c r="Z64" i="2"/>
  <c r="Z78" i="3" s="1"/>
  <c r="Z81" i="3" s="1"/>
  <c r="Z82" i="3" s="1"/>
  <c r="BP64" i="2"/>
  <c r="O99" i="3"/>
  <c r="O53" i="3"/>
  <c r="O93" i="3"/>
  <c r="X101" i="3"/>
  <c r="X19" i="3"/>
  <c r="BQ101" i="3"/>
  <c r="BQ112" i="3"/>
  <c r="BQ107" i="3"/>
  <c r="BQ108" i="3" s="1"/>
  <c r="AN126" i="3"/>
  <c r="AN127" i="3" s="1"/>
  <c r="AO16" i="3"/>
  <c r="AO126" i="3" s="1"/>
  <c r="AO127" i="3" s="1"/>
  <c r="O124" i="3"/>
  <c r="O125" i="3" s="1"/>
  <c r="P18" i="3"/>
  <c r="P124" i="3" s="1"/>
  <c r="P125" i="3" s="1"/>
  <c r="I81" i="3"/>
  <c r="I82" i="3" s="1"/>
  <c r="AU51" i="3"/>
  <c r="D134" i="3"/>
  <c r="D65" i="3"/>
  <c r="J53" i="3"/>
  <c r="K52" i="3"/>
  <c r="C121" i="3"/>
  <c r="C78" i="3"/>
  <c r="C81" i="3" s="1"/>
  <c r="C82" i="3" s="1"/>
  <c r="AO32" i="4"/>
  <c r="AP39" i="4" s="1"/>
  <c r="AP111" i="2" s="1"/>
  <c r="AT34" i="4"/>
  <c r="AP34" i="4"/>
  <c r="BM110" i="2"/>
  <c r="G56" i="3"/>
  <c r="H87" i="3"/>
  <c r="S56" i="3"/>
  <c r="T87" i="3"/>
  <c r="AS87" i="3"/>
  <c r="AR56" i="3"/>
  <c r="BR87" i="3"/>
  <c r="BQ56" i="3"/>
  <c r="BU93" i="3"/>
  <c r="Q99" i="3"/>
  <c r="Q93" i="3"/>
  <c r="AC53" i="3"/>
  <c r="AC93" i="3"/>
  <c r="BO53" i="3"/>
  <c r="BO99" i="3"/>
  <c r="AB101" i="3"/>
  <c r="L105" i="3"/>
  <c r="L106" i="3" s="1"/>
  <c r="L112" i="3"/>
  <c r="L113" i="3" s="1"/>
  <c r="Y112" i="3"/>
  <c r="Y107" i="3"/>
  <c r="AK112" i="3"/>
  <c r="AK107" i="3"/>
  <c r="AK108" i="3" s="1"/>
  <c r="AX112" i="3"/>
  <c r="AX107" i="3"/>
  <c r="BJ112" i="3"/>
  <c r="BJ107" i="3"/>
  <c r="BJ108" i="3" s="1"/>
  <c r="BV112" i="3"/>
  <c r="BV107" i="3"/>
  <c r="BV108" i="3" s="1"/>
  <c r="AA19" i="3"/>
  <c r="AA5" i="3" s="1"/>
  <c r="AA4" i="3" s="1"/>
  <c r="AA140" i="3" s="1"/>
  <c r="BQ53" i="3"/>
  <c r="V51" i="3"/>
  <c r="AJ54" i="3"/>
  <c r="D117" i="3"/>
  <c r="R117" i="3"/>
  <c r="BX117" i="3"/>
  <c r="AD111" i="3"/>
  <c r="AP111" i="3"/>
  <c r="BP111" i="3"/>
  <c r="BK41" i="3"/>
  <c r="BK27" i="3" s="1"/>
  <c r="BK26" i="3" s="1"/>
  <c r="BG134" i="3"/>
  <c r="BG41" i="3"/>
  <c r="U43" i="3"/>
  <c r="U6" i="14" s="1"/>
  <c r="AV65" i="3"/>
  <c r="AV41" i="3"/>
  <c r="E134" i="3"/>
  <c r="E65" i="3"/>
  <c r="Y57" i="3"/>
  <c r="AW53" i="3"/>
  <c r="F54" i="3"/>
  <c r="G55" i="3" s="1"/>
  <c r="AC99" i="3"/>
  <c r="AU34" i="4"/>
  <c r="AY34" i="4"/>
  <c r="AT32" i="4"/>
  <c r="AU39" i="4" s="1"/>
  <c r="AU111" i="2" s="1"/>
  <c r="AN110" i="2"/>
  <c r="I87" i="3"/>
  <c r="H56" i="3"/>
  <c r="H57" i="3" s="1"/>
  <c r="AG87" i="3"/>
  <c r="AF56" i="3"/>
  <c r="BF87" i="3"/>
  <c r="BE56" i="3"/>
  <c r="BH93" i="3"/>
  <c r="E99" i="3"/>
  <c r="E53" i="3"/>
  <c r="F10" i="3"/>
  <c r="F8" i="3" s="1"/>
  <c r="E93" i="3"/>
  <c r="BF101" i="3"/>
  <c r="M107" i="3"/>
  <c r="M108" i="3" s="1"/>
  <c r="M112" i="3"/>
  <c r="M113" i="3" s="1"/>
  <c r="AL112" i="3"/>
  <c r="AL107" i="3"/>
  <c r="AL108" i="3" s="1"/>
  <c r="BK112" i="3"/>
  <c r="BK107" i="3"/>
  <c r="BK108" i="3" s="1"/>
  <c r="BW112" i="3"/>
  <c r="BW107" i="3"/>
  <c r="BX107" i="3" s="1"/>
  <c r="BX14" i="3"/>
  <c r="BF19" i="3"/>
  <c r="BF5" i="3" s="1"/>
  <c r="BF4" i="3" s="1"/>
  <c r="I83" i="3"/>
  <c r="BR53" i="3"/>
  <c r="BX54" i="3"/>
  <c r="BW55" i="3"/>
  <c r="E117" i="3"/>
  <c r="U117" i="3"/>
  <c r="AQ111" i="3"/>
  <c r="Q134" i="3"/>
  <c r="Q65" i="3"/>
  <c r="BK146" i="3"/>
  <c r="BK135" i="3"/>
  <c r="BG65" i="3"/>
  <c r="BG43" i="11" s="1"/>
  <c r="G96" i="2"/>
  <c r="G97" i="2" s="1"/>
  <c r="BP98" i="2"/>
  <c r="AY32" i="4"/>
  <c r="AZ39" i="4" s="1"/>
  <c r="BD39" i="4" s="1"/>
  <c r="BD40" i="4" s="1"/>
  <c r="BD34" i="4"/>
  <c r="AZ34" i="4"/>
  <c r="AZ36" i="4" s="1"/>
  <c r="J87" i="3"/>
  <c r="I88" i="3"/>
  <c r="I56" i="3"/>
  <c r="I57" i="3" s="1"/>
  <c r="U6" i="3"/>
  <c r="AG56" i="3"/>
  <c r="AH87" i="3"/>
  <c r="AT6" i="3"/>
  <c r="AU25" i="2" s="1"/>
  <c r="BG87" i="3"/>
  <c r="BF56" i="3"/>
  <c r="BS6" i="3"/>
  <c r="E25" i="15" s="1"/>
  <c r="BD10" i="3"/>
  <c r="BD8" i="3" s="1"/>
  <c r="P12" i="3"/>
  <c r="AE12" i="3"/>
  <c r="B112" i="3"/>
  <c r="B113" i="3" s="1"/>
  <c r="B107" i="3"/>
  <c r="B108" i="3" s="1"/>
  <c r="N107" i="3"/>
  <c r="N108" i="3" s="1"/>
  <c r="N112" i="3"/>
  <c r="N113" i="3" s="1"/>
  <c r="AA112" i="3"/>
  <c r="AA107" i="3"/>
  <c r="AA108" i="3" s="1"/>
  <c r="AM112" i="3"/>
  <c r="AM107" i="3"/>
  <c r="AM108" i="3" s="1"/>
  <c r="BY112" i="3"/>
  <c r="BY107" i="3"/>
  <c r="BY12" i="3"/>
  <c r="F16" i="3"/>
  <c r="F126" i="3" s="1"/>
  <c r="F127" i="3" s="1"/>
  <c r="AE16" i="3"/>
  <c r="AE126" i="3" s="1"/>
  <c r="AE127" i="3" s="1"/>
  <c r="BD16" i="3"/>
  <c r="BD126" i="3" s="1"/>
  <c r="BD127" i="3" s="1"/>
  <c r="AJ18" i="3"/>
  <c r="AJ124" i="3" s="1"/>
  <c r="AJ125" i="3" s="1"/>
  <c r="BH124" i="3"/>
  <c r="BH125" i="3" s="1"/>
  <c r="BI18" i="3"/>
  <c r="BI124" i="3" s="1"/>
  <c r="BN20" i="3"/>
  <c r="D23" i="15" s="1"/>
  <c r="T51" i="3"/>
  <c r="T57" i="3" s="1"/>
  <c r="T27" i="3"/>
  <c r="T26" i="3" s="1"/>
  <c r="AQ53" i="3"/>
  <c r="BE53" i="3"/>
  <c r="J54" i="3"/>
  <c r="J28" i="3"/>
  <c r="K30" i="3"/>
  <c r="X83" i="3"/>
  <c r="X51" i="3"/>
  <c r="AX55" i="3"/>
  <c r="AY54" i="3"/>
  <c r="AZ55" i="3" s="1"/>
  <c r="F33" i="3"/>
  <c r="F117" i="3" s="1"/>
  <c r="Z117" i="3"/>
  <c r="S111" i="3"/>
  <c r="BL134" i="3"/>
  <c r="BL65" i="3"/>
  <c r="BL43" i="11" s="1"/>
  <c r="BL41" i="3"/>
  <c r="AH60" i="3"/>
  <c r="AH61" i="3" s="1"/>
  <c r="AH63" i="3" s="1"/>
  <c r="AI60" i="3"/>
  <c r="AI61" i="3" s="1"/>
  <c r="AI63" i="3" s="1"/>
  <c r="BI34" i="4"/>
  <c r="BE34" i="4"/>
  <c r="BD32" i="4"/>
  <c r="BE39" i="4" s="1"/>
  <c r="AH56" i="3"/>
  <c r="AI87" i="3"/>
  <c r="AV87" i="3"/>
  <c r="AU56" i="3"/>
  <c r="BH87" i="3"/>
  <c r="BG56" i="3"/>
  <c r="AG93" i="3"/>
  <c r="AF53" i="3"/>
  <c r="BW12" i="3"/>
  <c r="BW19" i="3" s="1"/>
  <c r="BX19" i="3" s="1"/>
  <c r="C112" i="3"/>
  <c r="C113" i="3" s="1"/>
  <c r="C107" i="3"/>
  <c r="C108" i="3" s="1"/>
  <c r="O112" i="3"/>
  <c r="O107" i="3"/>
  <c r="P107" i="3" s="1"/>
  <c r="P14" i="3"/>
  <c r="BA107" i="3"/>
  <c r="BA108" i="3" s="1"/>
  <c r="BA112" i="3"/>
  <c r="BA12" i="3"/>
  <c r="BM112" i="3"/>
  <c r="BM107" i="3"/>
  <c r="BM12" i="3"/>
  <c r="G117" i="3"/>
  <c r="AG53" i="3"/>
  <c r="V54" i="3"/>
  <c r="H60" i="3"/>
  <c r="H61" i="3" s="1"/>
  <c r="H63" i="3" s="1"/>
  <c r="BU98" i="2"/>
  <c r="G102" i="2"/>
  <c r="G103" i="2" s="1"/>
  <c r="G104" i="2" s="1"/>
  <c r="BI32" i="4"/>
  <c r="BJ39" i="4" s="1"/>
  <c r="BN39" i="4" s="1"/>
  <c r="BN40" i="4" s="1"/>
  <c r="BJ34" i="4"/>
  <c r="BN34" i="4"/>
  <c r="AE109" i="2"/>
  <c r="AE110" i="2" s="1"/>
  <c r="K6" i="3"/>
  <c r="AJ6" i="3"/>
  <c r="AI56" i="3"/>
  <c r="BV87" i="3"/>
  <c r="BU56" i="3"/>
  <c r="U10" i="3"/>
  <c r="U99" i="3" s="1"/>
  <c r="AT10" i="3"/>
  <c r="AT8" i="3" s="1"/>
  <c r="BF99" i="3"/>
  <c r="BF53" i="3"/>
  <c r="BS10" i="3"/>
  <c r="BS99" i="3" s="1"/>
  <c r="D101" i="3"/>
  <c r="D104" i="3" s="1"/>
  <c r="S104" i="3"/>
  <c r="Q112" i="3"/>
  <c r="Q113" i="3" s="1"/>
  <c r="Q107" i="3"/>
  <c r="Q108" i="3" s="1"/>
  <c r="Q12" i="3"/>
  <c r="AC107" i="3"/>
  <c r="AC108" i="3" s="1"/>
  <c r="AC112" i="3"/>
  <c r="AC12" i="3"/>
  <c r="BB112" i="3"/>
  <c r="BB107" i="3"/>
  <c r="BB108" i="3" s="1"/>
  <c r="BN14" i="3"/>
  <c r="BN112" i="3" s="1"/>
  <c r="T126" i="3"/>
  <c r="T127" i="3" s="1"/>
  <c r="U16" i="3"/>
  <c r="U126" i="3" s="1"/>
  <c r="U127" i="3" s="1"/>
  <c r="BW124" i="3"/>
  <c r="BW125" i="3" s="1"/>
  <c r="BX18" i="3"/>
  <c r="BX124" i="3" s="1"/>
  <c r="BX125" i="3" s="1"/>
  <c r="L28" i="3"/>
  <c r="M83" i="3" s="1"/>
  <c r="L52" i="3"/>
  <c r="L53" i="3" s="1"/>
  <c r="L41" i="3"/>
  <c r="AT29" i="3"/>
  <c r="AS52" i="3"/>
  <c r="BG53" i="3"/>
  <c r="AM51" i="3"/>
  <c r="L134" i="3"/>
  <c r="L65" i="3"/>
  <c r="AZ134" i="3"/>
  <c r="AZ65" i="3"/>
  <c r="AZ43" i="11" s="1"/>
  <c r="AZ41" i="3"/>
  <c r="AH53" i="3"/>
  <c r="BP60" i="3"/>
  <c r="BP61" i="3" s="1"/>
  <c r="BP63" i="3" s="1"/>
  <c r="BO60" i="3"/>
  <c r="BO61" i="3" s="1"/>
  <c r="BO63" i="3" s="1"/>
  <c r="G60" i="3"/>
  <c r="G61" i="3" s="1"/>
  <c r="G63" i="3" s="1"/>
  <c r="BK65" i="3"/>
  <c r="BK43" i="11" s="1"/>
  <c r="BS109" i="3"/>
  <c r="BS110" i="3" s="1"/>
  <c r="F32" i="4"/>
  <c r="G39" i="4" s="1"/>
  <c r="K39" i="4" s="1"/>
  <c r="K40" i="4" s="1"/>
  <c r="K34" i="4"/>
  <c r="G34" i="4"/>
  <c r="BN32" i="4"/>
  <c r="BO39" i="4" s="1"/>
  <c r="BO111" i="2" s="1"/>
  <c r="BS34" i="4"/>
  <c r="BO34" i="4"/>
  <c r="AL87" i="3"/>
  <c r="AK56" i="3"/>
  <c r="BW87" i="3"/>
  <c r="BV56" i="3"/>
  <c r="K97" i="3"/>
  <c r="AU99" i="3"/>
  <c r="BG99" i="3"/>
  <c r="AH101" i="3"/>
  <c r="BK12" i="3"/>
  <c r="E112" i="3"/>
  <c r="E113" i="3" s="1"/>
  <c r="E105" i="3"/>
  <c r="E12" i="3"/>
  <c r="F107" i="3"/>
  <c r="R112" i="3"/>
  <c r="R113" i="3" s="1"/>
  <c r="R107" i="3"/>
  <c r="R108" i="3" s="1"/>
  <c r="AD112" i="3"/>
  <c r="AD107" i="3"/>
  <c r="AP112" i="3"/>
  <c r="AP107" i="3"/>
  <c r="AP108" i="3" s="1"/>
  <c r="BC112" i="3"/>
  <c r="BC107" i="3"/>
  <c r="BD107" i="3" s="1"/>
  <c r="BO107" i="3"/>
  <c r="BO108" i="3" s="1"/>
  <c r="BO112" i="3"/>
  <c r="BU81" i="3"/>
  <c r="BU82" i="3" s="1"/>
  <c r="AO20" i="3"/>
  <c r="N52" i="3"/>
  <c r="N53" i="3" s="1"/>
  <c r="N28" i="3"/>
  <c r="N96" i="2" s="1"/>
  <c r="N97" i="2" s="1"/>
  <c r="AU53" i="3"/>
  <c r="BH52" i="3"/>
  <c r="BI29" i="3"/>
  <c r="BO54" i="3"/>
  <c r="BP55" i="3" s="1"/>
  <c r="BO28" i="3"/>
  <c r="O117" i="3"/>
  <c r="AR134" i="3"/>
  <c r="AR65" i="3"/>
  <c r="AR41" i="3"/>
  <c r="AM134" i="3"/>
  <c r="AM65" i="3"/>
  <c r="BO43" i="3"/>
  <c r="AI53" i="3"/>
  <c r="BS52" i="3"/>
  <c r="M56" i="3"/>
  <c r="BS97" i="3"/>
  <c r="BI150" i="3"/>
  <c r="BA50" i="2"/>
  <c r="BM50" i="2"/>
  <c r="BY50" i="2"/>
  <c r="V121" i="3"/>
  <c r="V78" i="3"/>
  <c r="V81" i="3" s="1"/>
  <c r="V82" i="3" s="1"/>
  <c r="L34" i="4"/>
  <c r="L36" i="4" s="1"/>
  <c r="K32" i="4"/>
  <c r="L39" i="4" s="1"/>
  <c r="L37" i="4" s="1"/>
  <c r="P34" i="4"/>
  <c r="BT34" i="4"/>
  <c r="BS32" i="4"/>
  <c r="BT39" i="4" s="1"/>
  <c r="BT111" i="2" s="1"/>
  <c r="BT112" i="2" s="1"/>
  <c r="BX112" i="2" s="1"/>
  <c r="BX34" i="4"/>
  <c r="AM87" i="3"/>
  <c r="AL56" i="3"/>
  <c r="BK87" i="3"/>
  <c r="BJ56" i="3"/>
  <c r="K10" i="3"/>
  <c r="K99" i="3" s="1"/>
  <c r="W99" i="3"/>
  <c r="W93" i="3"/>
  <c r="AI99" i="3"/>
  <c r="AJ10" i="3"/>
  <c r="AJ8" i="3" s="1"/>
  <c r="AI93" i="3"/>
  <c r="AX12" i="3"/>
  <c r="F13" i="3"/>
  <c r="AO112" i="3"/>
  <c r="AO113" i="3" s="1"/>
  <c r="F14" i="3"/>
  <c r="S112" i="3"/>
  <c r="S107" i="3"/>
  <c r="S108" i="3" s="1"/>
  <c r="AE14" i="3"/>
  <c r="AE112" i="3" s="1"/>
  <c r="AE113" i="3" s="1"/>
  <c r="AQ107" i="3"/>
  <c r="AQ108" i="3" s="1"/>
  <c r="AQ112" i="3"/>
  <c r="BD14" i="3"/>
  <c r="BD112" i="3" s="1"/>
  <c r="BP112" i="3"/>
  <c r="BP107" i="3"/>
  <c r="BP108" i="3" s="1"/>
  <c r="E27" i="3"/>
  <c r="E26" i="3" s="1"/>
  <c r="E51" i="3"/>
  <c r="AR28" i="3"/>
  <c r="BQ28" i="3"/>
  <c r="BJ53" i="3"/>
  <c r="AP54" i="3"/>
  <c r="AP28" i="3"/>
  <c r="BB54" i="3"/>
  <c r="BB55" i="3" s="1"/>
  <c r="BB28" i="3"/>
  <c r="AM41" i="3"/>
  <c r="AM27" i="3" s="1"/>
  <c r="AM26" i="3" s="1"/>
  <c r="AS134" i="3"/>
  <c r="AS65" i="3"/>
  <c r="AS41" i="3"/>
  <c r="AT41" i="3" s="1"/>
  <c r="AO44" i="3"/>
  <c r="AO43" i="3" s="1"/>
  <c r="AO6" i="14" s="1"/>
  <c r="AN43" i="3"/>
  <c r="BB43" i="3"/>
  <c r="V53" i="3"/>
  <c r="AJ52" i="3"/>
  <c r="Y55" i="3"/>
  <c r="Z54" i="3"/>
  <c r="V56" i="3"/>
  <c r="J60" i="3"/>
  <c r="J61" i="3" s="1"/>
  <c r="J63" i="3" s="1"/>
  <c r="O110" i="3"/>
  <c r="P109" i="3"/>
  <c r="P110" i="3" s="1"/>
  <c r="AQ87" i="3"/>
  <c r="AP56" i="3"/>
  <c r="J112" i="3"/>
  <c r="J113" i="3" s="1"/>
  <c r="J105" i="3"/>
  <c r="AH112" i="3"/>
  <c r="AH113" i="3" s="1"/>
  <c r="AH107" i="3"/>
  <c r="AH108" i="3" s="1"/>
  <c r="BF112" i="3"/>
  <c r="BF113" i="3" s="1"/>
  <c r="BF107" i="3"/>
  <c r="BF108" i="3" s="1"/>
  <c r="BJ28" i="3"/>
  <c r="BW28" i="3"/>
  <c r="AW28" i="3"/>
  <c r="BU28" i="3"/>
  <c r="BV83" i="3" s="1"/>
  <c r="BH55" i="3"/>
  <c r="T111" i="3"/>
  <c r="T113" i="3" s="1"/>
  <c r="AR111" i="3"/>
  <c r="BQ111" i="3"/>
  <c r="S134" i="3"/>
  <c r="S65" i="3"/>
  <c r="BJ135" i="3"/>
  <c r="BJ146" i="3"/>
  <c r="AI51" i="3"/>
  <c r="Y53" i="3"/>
  <c r="Z52" i="3"/>
  <c r="AL53" i="3"/>
  <c r="BB60" i="3"/>
  <c r="BB61" i="3" s="1"/>
  <c r="BB63" i="3" s="1"/>
  <c r="W83" i="3"/>
  <c r="I117" i="3"/>
  <c r="AJ117" i="3"/>
  <c r="AS111" i="3"/>
  <c r="AT36" i="3"/>
  <c r="AT111" i="3" s="1"/>
  <c r="M41" i="3"/>
  <c r="M27" i="3" s="1"/>
  <c r="M26" i="3" s="1"/>
  <c r="T134" i="3"/>
  <c r="T65" i="3"/>
  <c r="AW134" i="3"/>
  <c r="AW65" i="3"/>
  <c r="AP60" i="3"/>
  <c r="AP61" i="3" s="1"/>
  <c r="AP63" i="3" s="1"/>
  <c r="AQ61" i="3"/>
  <c r="AQ63" i="3" s="1"/>
  <c r="S87" i="3"/>
  <c r="V112" i="3"/>
  <c r="V113" i="3" s="1"/>
  <c r="BY28" i="3"/>
  <c r="BY51" i="3" s="1"/>
  <c r="AY29" i="3"/>
  <c r="AY28" i="3" s="1"/>
  <c r="BK53" i="3"/>
  <c r="M51" i="3"/>
  <c r="Y83" i="3"/>
  <c r="J117" i="3"/>
  <c r="K33" i="3"/>
  <c r="AU111" i="3"/>
  <c r="K37" i="3"/>
  <c r="K128" i="3" s="1"/>
  <c r="K129" i="3" s="1"/>
  <c r="AJ37" i="3"/>
  <c r="AJ128" i="3" s="1"/>
  <c r="AJ129" i="3" s="1"/>
  <c r="BI37" i="3"/>
  <c r="BI128" i="3" s="1"/>
  <c r="BM134" i="3"/>
  <c r="BM65" i="3"/>
  <c r="BM43" i="11" s="1"/>
  <c r="BF43" i="3"/>
  <c r="BS44" i="3"/>
  <c r="BS43" i="3" s="1"/>
  <c r="BS6" i="14" s="1"/>
  <c r="BR43" i="3"/>
  <c r="AK51" i="3"/>
  <c r="BE60" i="3"/>
  <c r="BE61" i="3" s="1"/>
  <c r="BE63" i="3" s="1"/>
  <c r="BG60" i="3"/>
  <c r="BG61" i="3" s="1"/>
  <c r="BG63" i="3" s="1"/>
  <c r="BR112" i="3"/>
  <c r="BR113" i="3" s="1"/>
  <c r="AZ28" i="3"/>
  <c r="BM28" i="3"/>
  <c r="BL53" i="3"/>
  <c r="BX29" i="3"/>
  <c r="BX28" i="3" s="1"/>
  <c r="Z30" i="3"/>
  <c r="Z28" i="3" s="1"/>
  <c r="L117" i="3"/>
  <c r="AT117" i="3"/>
  <c r="W111" i="3"/>
  <c r="AI111" i="3"/>
  <c r="AV111" i="3"/>
  <c r="BT111" i="3"/>
  <c r="AK134" i="3"/>
  <c r="AK65" i="3"/>
  <c r="V43" i="3"/>
  <c r="AH43" i="3"/>
  <c r="Q60" i="3"/>
  <c r="BY65" i="3"/>
  <c r="AN83" i="3"/>
  <c r="H53" i="3"/>
  <c r="AN53" i="3"/>
  <c r="AO52" i="3"/>
  <c r="BA53" i="3"/>
  <c r="BM53" i="3"/>
  <c r="BN52" i="3"/>
  <c r="BY53" i="3"/>
  <c r="CF53" i="3" s="1"/>
  <c r="CG53" i="3" s="1"/>
  <c r="CI53" i="3" s="1"/>
  <c r="CJ53" i="3" s="1"/>
  <c r="CK53" i="3" s="1"/>
  <c r="CL53" i="3" s="1"/>
  <c r="CN53" i="3" s="1"/>
  <c r="CO53" i="3" s="1"/>
  <c r="CP53" i="3" s="1"/>
  <c r="CQ53" i="3" s="1"/>
  <c r="CS53" i="3" s="1"/>
  <c r="CT53" i="3" s="1"/>
  <c r="CU53" i="3" s="1"/>
  <c r="CV53" i="3" s="1"/>
  <c r="CX53" i="3" s="1"/>
  <c r="CY53" i="3" s="1"/>
  <c r="CZ53" i="3" s="1"/>
  <c r="DA53" i="3" s="1"/>
  <c r="M117" i="3"/>
  <c r="AY117" i="3"/>
  <c r="X111" i="3"/>
  <c r="AW111" i="3"/>
  <c r="BU111" i="3"/>
  <c r="AX128" i="3"/>
  <c r="AX129" i="3" s="1"/>
  <c r="AY37" i="3"/>
  <c r="AY128" i="3" s="1"/>
  <c r="AY129" i="3" s="1"/>
  <c r="I65" i="3"/>
  <c r="I132" i="3" s="1"/>
  <c r="I134" i="3"/>
  <c r="K44" i="3"/>
  <c r="K43" i="3" s="1"/>
  <c r="K6" i="14" s="1"/>
  <c r="J43" i="3"/>
  <c r="AN51" i="3"/>
  <c r="AN57" i="3" s="1"/>
  <c r="AD53" i="3"/>
  <c r="O51" i="3"/>
  <c r="O57" i="3" s="1"/>
  <c r="AO29" i="3"/>
  <c r="BB53" i="3"/>
  <c r="BN29" i="3"/>
  <c r="BN28" i="3" s="1"/>
  <c r="P30" i="3"/>
  <c r="P28" i="3" s="1"/>
  <c r="AB55" i="3"/>
  <c r="AO54" i="3"/>
  <c r="N117" i="3"/>
  <c r="BD117" i="3"/>
  <c r="Y111" i="3"/>
  <c r="AK111" i="3"/>
  <c r="AX111" i="3"/>
  <c r="BJ111" i="3"/>
  <c r="BV111" i="3"/>
  <c r="Y134" i="3"/>
  <c r="Y65" i="3"/>
  <c r="Y132" i="3" s="1"/>
  <c r="BP65" i="3"/>
  <c r="BP43" i="11" s="1"/>
  <c r="W51" i="3"/>
  <c r="R53" i="3"/>
  <c r="AE52" i="3"/>
  <c r="M54" i="3"/>
  <c r="AK54" i="3"/>
  <c r="BY54" i="3"/>
  <c r="BZ55" i="3" s="1"/>
  <c r="S60" i="3"/>
  <c r="S61" i="3" s="1"/>
  <c r="S63" i="3" s="1"/>
  <c r="T60" i="3"/>
  <c r="T61" i="3" s="1"/>
  <c r="T63" i="3" s="1"/>
  <c r="AJ34" i="4"/>
  <c r="AF34" i="4"/>
  <c r="AE32" i="4"/>
  <c r="AF39" i="4" s="1"/>
  <c r="AJ39" i="4" s="1"/>
  <c r="AJ40" i="4" s="1"/>
  <c r="BU87" i="3"/>
  <c r="BT56" i="3"/>
  <c r="D112" i="3"/>
  <c r="D113" i="3" s="1"/>
  <c r="D107" i="3"/>
  <c r="D108" i="3" s="1"/>
  <c r="AB112" i="3"/>
  <c r="AB107" i="3"/>
  <c r="AB108" i="3" s="1"/>
  <c r="AN112" i="3"/>
  <c r="AN107" i="3"/>
  <c r="AZ112" i="3"/>
  <c r="AZ107" i="3"/>
  <c r="AZ108" i="3" s="1"/>
  <c r="BL112" i="3"/>
  <c r="BL107" i="3"/>
  <c r="BL108" i="3" s="1"/>
  <c r="AM19" i="3"/>
  <c r="AC51" i="3"/>
  <c r="Q55" i="3"/>
  <c r="AO30" i="3"/>
  <c r="BI117" i="3"/>
  <c r="Z36" i="3"/>
  <c r="Z111" i="3" s="1"/>
  <c r="AL111" i="3"/>
  <c r="AY36" i="3"/>
  <c r="AY111" i="3" s="1"/>
  <c r="BK111" i="3"/>
  <c r="BK113" i="3" s="1"/>
  <c r="BW111" i="3"/>
  <c r="BX36" i="3"/>
  <c r="BX111" i="3" s="1"/>
  <c r="S41" i="3"/>
  <c r="BJ41" i="3"/>
  <c r="BY41" i="3"/>
  <c r="CC41" i="3" s="1"/>
  <c r="CF41" i="3" s="1"/>
  <c r="CG41" i="3" s="1"/>
  <c r="CH41" i="3" s="1"/>
  <c r="CI41" i="3" s="1"/>
  <c r="CJ41" i="3" s="1"/>
  <c r="CK41" i="3" s="1"/>
  <c r="CL41" i="3" s="1"/>
  <c r="CM41" i="3" s="1"/>
  <c r="CN41" i="3" s="1"/>
  <c r="CO41" i="3" s="1"/>
  <c r="CP41" i="3" s="1"/>
  <c r="CQ41" i="3" s="1"/>
  <c r="CR41" i="3" s="1"/>
  <c r="CS41" i="3" s="1"/>
  <c r="CT41" i="3" s="1"/>
  <c r="CU41" i="3" s="1"/>
  <c r="CV41" i="3" s="1"/>
  <c r="CW41" i="3" s="1"/>
  <c r="CX41" i="3" s="1"/>
  <c r="CY41" i="3" s="1"/>
  <c r="CZ41" i="3" s="1"/>
  <c r="DA41" i="3" s="1"/>
  <c r="DB41" i="3" s="1"/>
  <c r="BK51" i="3"/>
  <c r="D53" i="3"/>
  <c r="S53" i="3"/>
  <c r="BI54" i="3"/>
  <c r="BJ55" i="3" s="1"/>
  <c r="AU60" i="3"/>
  <c r="AU61" i="3" s="1"/>
  <c r="AU63" i="3" s="1"/>
  <c r="AN111" i="3"/>
  <c r="AZ111" i="3"/>
  <c r="BL111" i="3"/>
  <c r="BT60" i="3"/>
  <c r="BT61" i="3" s="1"/>
  <c r="BT63" i="3" s="1"/>
  <c r="CC72" i="3"/>
  <c r="L60" i="3"/>
  <c r="L61" i="3" s="1"/>
  <c r="L63" i="3" s="1"/>
  <c r="AW60" i="3"/>
  <c r="AW61" i="3" s="1"/>
  <c r="AW63" i="3" s="1"/>
  <c r="AX60" i="3"/>
  <c r="AX61" i="3" s="1"/>
  <c r="AX63" i="3" s="1"/>
  <c r="AI106" i="3"/>
  <c r="AJ105" i="3"/>
  <c r="AJ106" i="3" s="1"/>
  <c r="AZ60" i="3"/>
  <c r="AA60" i="3"/>
  <c r="AO117" i="3"/>
  <c r="D60" i="3"/>
  <c r="D61" i="3" s="1"/>
  <c r="D63" i="3" s="1"/>
  <c r="AO109" i="3"/>
  <c r="AO110" i="3" s="1"/>
  <c r="AN110" i="3"/>
  <c r="N127" i="3"/>
  <c r="AX116" i="3"/>
  <c r="BJ129" i="3"/>
  <c r="BJ116" i="3"/>
  <c r="BH106" i="3"/>
  <c r="BI105" i="3"/>
  <c r="BI106" i="3" s="1"/>
  <c r="T106" i="3"/>
  <c r="BM129" i="3"/>
  <c r="BM116" i="3"/>
  <c r="BY129" i="3"/>
  <c r="AC129" i="3"/>
  <c r="AN106" i="3"/>
  <c r="F6" i="4"/>
  <c r="AJ109" i="3"/>
  <c r="AJ110" i="3" s="1"/>
  <c r="AI110" i="3"/>
  <c r="BQ129" i="3"/>
  <c r="F46" i="4"/>
  <c r="K8" i="4"/>
  <c r="BN105" i="3"/>
  <c r="BN106" i="3" s="1"/>
  <c r="BM110" i="3"/>
  <c r="BN109" i="3"/>
  <c r="BN110" i="3" s="1"/>
  <c r="K109" i="3"/>
  <c r="K110" i="3" s="1"/>
  <c r="B129" i="3"/>
  <c r="CF143" i="3"/>
  <c r="CG143" i="3" s="1"/>
  <c r="CC143" i="3"/>
  <c r="AY13" i="4"/>
  <c r="BS6" i="4"/>
  <c r="AG127" i="3"/>
  <c r="BE127" i="3"/>
  <c r="BI29" i="4"/>
  <c r="BI11" i="4"/>
  <c r="BI13" i="4"/>
  <c r="BL115" i="3"/>
  <c r="BL125" i="3" s="1"/>
  <c r="BN11" i="4"/>
  <c r="BN13" i="4"/>
  <c r="AY11" i="4"/>
  <c r="K11" i="4"/>
  <c r="BS13" i="4"/>
  <c r="BS11" i="4"/>
  <c r="BD11" i="4"/>
  <c r="N116" i="3"/>
  <c r="BV129" i="3"/>
  <c r="AH14" i="4"/>
  <c r="AH33" i="4" s="1"/>
  <c r="AH21" i="4"/>
  <c r="BL18" i="4"/>
  <c r="BL14" i="4"/>
  <c r="BL33" i="4" s="1"/>
  <c r="BN17" i="4"/>
  <c r="BN18" i="4" s="1"/>
  <c r="V127" i="3"/>
  <c r="BN6" i="4"/>
  <c r="AG37" i="4"/>
  <c r="AG38" i="4" s="1"/>
  <c r="K6" i="4"/>
  <c r="U149" i="3"/>
  <c r="BG33" i="4"/>
  <c r="AO149" i="3"/>
  <c r="AJ17" i="4"/>
  <c r="AJ18" i="4" s="1"/>
  <c r="AF14" i="4"/>
  <c r="AF21" i="4"/>
  <c r="AF18" i="4"/>
  <c r="AZ33" i="4"/>
  <c r="D127" i="3"/>
  <c r="AB127" i="3"/>
  <c r="AZ127" i="3"/>
  <c r="K149" i="3"/>
  <c r="BY18" i="4"/>
  <c r="BY14" i="4"/>
  <c r="BY33" i="4" s="1"/>
  <c r="BY21" i="4"/>
  <c r="BX25" i="4"/>
  <c r="CC49" i="4"/>
  <c r="AZ18" i="4"/>
  <c r="BM18" i="4"/>
  <c r="BM14" i="4"/>
  <c r="BM33" i="4" s="1"/>
  <c r="N42" i="4"/>
  <c r="BA18" i="4"/>
  <c r="BA14" i="4"/>
  <c r="BA33" i="4" s="1"/>
  <c r="AJ46" i="4"/>
  <c r="Z29" i="4"/>
  <c r="F15" i="4"/>
  <c r="F16" i="4" s="1"/>
  <c r="BA21" i="4"/>
  <c r="AO17" i="4"/>
  <c r="AO18" i="4" s="1"/>
  <c r="BP14" i="4"/>
  <c r="BP33" i="4" s="1"/>
  <c r="BP21" i="4"/>
  <c r="AD21" i="4"/>
  <c r="BB21" i="4"/>
  <c r="BB22" i="4" s="1"/>
  <c r="O26" i="4"/>
  <c r="P26" i="4" s="1"/>
  <c r="U11" i="4"/>
  <c r="AC18" i="4"/>
  <c r="AC14" i="4"/>
  <c r="AP18" i="4"/>
  <c r="AT17" i="4"/>
  <c r="AT18" i="4" s="1"/>
  <c r="BD17" i="4"/>
  <c r="BD18" i="4" s="1"/>
  <c r="BN28" i="4"/>
  <c r="BN29" i="4" s="1"/>
  <c r="BJ18" i="4"/>
  <c r="BJ28" i="4"/>
  <c r="BJ29" i="4" s="1"/>
  <c r="AO29" i="4"/>
  <c r="AT13" i="4"/>
  <c r="AD14" i="4"/>
  <c r="AD33" i="4" s="1"/>
  <c r="AE17" i="4"/>
  <c r="AE18" i="4" s="1"/>
  <c r="AR14" i="4"/>
  <c r="AR33" i="4" s="1"/>
  <c r="AR21" i="4"/>
  <c r="AT21" i="4" s="1"/>
  <c r="BS28" i="4"/>
  <c r="BS29" i="4" s="1"/>
  <c r="U29" i="4"/>
  <c r="P13" i="4"/>
  <c r="BX13" i="4"/>
  <c r="AV18" i="4"/>
  <c r="BH18" i="4"/>
  <c r="BT18" i="4"/>
  <c r="AK28" i="4"/>
  <c r="AK29" i="4" s="1"/>
  <c r="AK18" i="4"/>
  <c r="AW18" i="4"/>
  <c r="BU18" i="4"/>
  <c r="BC26" i="4"/>
  <c r="BD26" i="4" s="1"/>
  <c r="N37" i="4"/>
  <c r="N38" i="4" s="1"/>
  <c r="BF21" i="4"/>
  <c r="BR21" i="4"/>
  <c r="F25" i="4"/>
  <c r="AA28" i="4"/>
  <c r="AA29" i="4" s="1"/>
  <c r="AG36" i="4"/>
  <c r="AI21" i="4"/>
  <c r="AU21" i="4"/>
  <c r="AY21" i="4" s="1"/>
  <c r="BG21" i="4"/>
  <c r="BI17" i="4"/>
  <c r="BI18" i="4" s="1"/>
  <c r="BR26" i="4"/>
  <c r="AI26" i="4"/>
  <c r="AJ26" i="4" s="1"/>
  <c r="AU14" i="4"/>
  <c r="AB101" i="2"/>
  <c r="Y101" i="2"/>
  <c r="BA101" i="2"/>
  <c r="BN101" i="2"/>
  <c r="L101" i="2"/>
  <c r="BB101" i="2"/>
  <c r="BX101" i="2"/>
  <c r="AJ101" i="2"/>
  <c r="P101" i="2"/>
  <c r="I101" i="2"/>
  <c r="X101" i="2"/>
  <c r="AK101" i="2"/>
  <c r="BM101" i="2"/>
  <c r="U101" i="2"/>
  <c r="B101" i="2"/>
  <c r="AD101" i="2"/>
  <c r="AQ101" i="2"/>
  <c r="BE101" i="2"/>
  <c r="Z101" i="2"/>
  <c r="AE101" i="2"/>
  <c r="AR101" i="2"/>
  <c r="BU101" i="2"/>
  <c r="R101" i="2"/>
  <c r="BG101" i="2"/>
  <c r="BV101" i="2"/>
  <c r="S101" i="2"/>
  <c r="BH101" i="2"/>
  <c r="AO101" i="2"/>
  <c r="F101" i="2"/>
  <c r="B63" i="3"/>
  <c r="AO60" i="3"/>
  <c r="AO61" i="3" s="1"/>
  <c r="AL67" i="2"/>
  <c r="AL66" i="2" s="1"/>
  <c r="AL23" i="2"/>
  <c r="AL25" i="2"/>
  <c r="AD68" i="2"/>
  <c r="AD95" i="2"/>
  <c r="AE26" i="2"/>
  <c r="Z24" i="2"/>
  <c r="V23" i="2"/>
  <c r="V67" i="2"/>
  <c r="V66" i="2" s="1"/>
  <c r="AO28" i="2"/>
  <c r="AO29" i="2" s="1"/>
  <c r="AK102" i="2"/>
  <c r="AK98" i="2"/>
  <c r="AA102" i="2"/>
  <c r="AA98" i="2"/>
  <c r="W23" i="2"/>
  <c r="W17" i="2" s="1"/>
  <c r="W67" i="2"/>
  <c r="W66" i="2" s="1"/>
  <c r="W25" i="2"/>
  <c r="BO102" i="2"/>
  <c r="BO98" i="2"/>
  <c r="DA20" i="2"/>
  <c r="X23" i="2"/>
  <c r="X17" i="2" s="1"/>
  <c r="X25" i="2"/>
  <c r="H95" i="2"/>
  <c r="H23" i="2"/>
  <c r="H27" i="2"/>
  <c r="R67" i="2"/>
  <c r="R66" i="2" s="1"/>
  <c r="R23" i="2"/>
  <c r="R17" i="2" s="1"/>
  <c r="AJ28" i="2"/>
  <c r="AJ29" i="2" s="1"/>
  <c r="BH67" i="2"/>
  <c r="BI24" i="2"/>
  <c r="BI31" i="11" s="1"/>
  <c r="BH23" i="2"/>
  <c r="BX24" i="2"/>
  <c r="BX31" i="11" s="1"/>
  <c r="R25" i="2"/>
  <c r="I26" i="2"/>
  <c r="I23" i="2" s="1"/>
  <c r="BR67" i="2"/>
  <c r="BR23" i="2"/>
  <c r="BS24" i="2"/>
  <c r="BS31" i="11" s="1"/>
  <c r="BW67" i="2"/>
  <c r="BR25" i="2"/>
  <c r="BS28" i="2"/>
  <c r="BS29" i="2" s="1"/>
  <c r="D95" i="2"/>
  <c r="D98" i="2" s="1"/>
  <c r="F94" i="2"/>
  <c r="L67" i="2"/>
  <c r="AX67" i="2"/>
  <c r="AX23" i="2"/>
  <c r="AX25" i="2"/>
  <c r="O53" i="2"/>
  <c r="H68" i="2"/>
  <c r="AY24" i="2"/>
  <c r="BC95" i="2"/>
  <c r="BD95" i="2" s="1"/>
  <c r="K28" i="2"/>
  <c r="K29" i="2" s="1"/>
  <c r="AS67" i="2"/>
  <c r="AT24" i="2"/>
  <c r="P55" i="2"/>
  <c r="CY20" i="2"/>
  <c r="N67" i="2"/>
  <c r="N25" i="2"/>
  <c r="BH25" i="2"/>
  <c r="BW25" i="2"/>
  <c r="AE28" i="2"/>
  <c r="AE29" i="2" s="1"/>
  <c r="U55" i="2"/>
  <c r="T53" i="2"/>
  <c r="AL112" i="2"/>
  <c r="AY111" i="2"/>
  <c r="AX112" i="2"/>
  <c r="CU20" i="2"/>
  <c r="L23" i="2"/>
  <c r="B67" i="2"/>
  <c r="B66" i="2" s="1"/>
  <c r="B25" i="2"/>
  <c r="F24" i="2"/>
  <c r="Y95" i="2"/>
  <c r="BH95" i="2"/>
  <c r="BI95" i="2" s="1"/>
  <c r="AB25" i="2"/>
  <c r="AB67" i="2"/>
  <c r="Z26" i="2"/>
  <c r="BI26" i="2"/>
  <c r="BI32" i="11" s="1"/>
  <c r="AC67" i="2"/>
  <c r="AC25" i="2"/>
  <c r="BD28" i="2"/>
  <c r="BD29" i="2" s="1"/>
  <c r="BM95" i="2"/>
  <c r="P94" i="2"/>
  <c r="BN24" i="2"/>
  <c r="BN31" i="11" s="1"/>
  <c r="AJ26" i="2"/>
  <c r="BN26" i="2"/>
  <c r="BN32" i="11" s="1"/>
  <c r="R102" i="2"/>
  <c r="AS68" i="2"/>
  <c r="BA98" i="2"/>
  <c r="BA102" i="2"/>
  <c r="AM102" i="2"/>
  <c r="AM98" i="2"/>
  <c r="BB102" i="2"/>
  <c r="BB98" i="2"/>
  <c r="Q68" i="2"/>
  <c r="Q95" i="2"/>
  <c r="Q98" i="2" s="1"/>
  <c r="BX26" i="2"/>
  <c r="BX32" i="11" s="1"/>
  <c r="BS94" i="2"/>
  <c r="C102" i="2"/>
  <c r="C98" i="2"/>
  <c r="X96" i="2"/>
  <c r="X97" i="2" s="1"/>
  <c r="X102" i="2"/>
  <c r="X103" i="2" s="1"/>
  <c r="X104" i="2" s="1"/>
  <c r="BE102" i="2"/>
  <c r="BE98" i="2"/>
  <c r="R98" i="2"/>
  <c r="AX95" i="2"/>
  <c r="AX98" i="2" s="1"/>
  <c r="AP102" i="2"/>
  <c r="BW95" i="2"/>
  <c r="BX95" i="2" s="1"/>
  <c r="M102" i="2"/>
  <c r="BK102" i="2"/>
  <c r="BK98" i="2"/>
  <c r="BY98" i="2"/>
  <c r="BY102" i="2"/>
  <c r="AD112" i="2"/>
  <c r="AQ112" i="2"/>
  <c r="BP112" i="2"/>
  <c r="BN94" i="2"/>
  <c r="N102" i="2"/>
  <c r="N98" i="2"/>
  <c r="AE111" i="2"/>
  <c r="AR112" i="2"/>
  <c r="BQ112" i="2"/>
  <c r="AS112" i="2"/>
  <c r="BF112" i="2"/>
  <c r="BR112" i="2"/>
  <c r="AJ94" i="2"/>
  <c r="BG112" i="2"/>
  <c r="U111" i="2"/>
  <c r="T112" i="2"/>
  <c r="K94" i="2"/>
  <c r="AL102" i="2"/>
  <c r="AL98" i="2"/>
  <c r="K127" i="3"/>
  <c r="K116" i="3"/>
  <c r="W129" i="3"/>
  <c r="W125" i="3"/>
  <c r="W127" i="3"/>
  <c r="W116" i="3"/>
  <c r="AI127" i="3"/>
  <c r="AI129" i="3"/>
  <c r="AI125" i="3"/>
  <c r="AI116" i="3"/>
  <c r="AU127" i="3"/>
  <c r="AU129" i="3"/>
  <c r="AU125" i="3"/>
  <c r="AU116" i="3"/>
  <c r="BG125" i="3"/>
  <c r="BG129" i="3"/>
  <c r="BG127" i="3"/>
  <c r="BG116" i="3"/>
  <c r="BS129" i="3"/>
  <c r="BS125" i="3"/>
  <c r="BS116" i="3"/>
  <c r="BJ98" i="2"/>
  <c r="E98" i="2"/>
  <c r="E102" i="2"/>
  <c r="S102" i="2"/>
  <c r="S98" i="2"/>
  <c r="AH98" i="2"/>
  <c r="Z111" i="2"/>
  <c r="Y112" i="2"/>
  <c r="BL112" i="2"/>
  <c r="B123" i="3"/>
  <c r="F123" i="3" s="1"/>
  <c r="B122" i="3"/>
  <c r="T94" i="2"/>
  <c r="T95" i="2" s="1"/>
  <c r="BQ98" i="2"/>
  <c r="BV98" i="2"/>
  <c r="BV102" i="2"/>
  <c r="E127" i="3"/>
  <c r="E125" i="3"/>
  <c r="E116" i="3"/>
  <c r="Q116" i="3"/>
  <c r="Q127" i="3"/>
  <c r="Q125" i="3"/>
  <c r="AC127" i="3"/>
  <c r="AC125" i="3"/>
  <c r="AC116" i="3"/>
  <c r="AO125" i="3"/>
  <c r="BA129" i="3"/>
  <c r="BA127" i="3"/>
  <c r="BA116" i="3"/>
  <c r="AG102" i="2"/>
  <c r="AN112" i="2"/>
  <c r="J108" i="3"/>
  <c r="K107" i="3"/>
  <c r="K108" i="3" s="1"/>
  <c r="AB112" i="2"/>
  <c r="AE109" i="3"/>
  <c r="AE110" i="3" s="1"/>
  <c r="BA125" i="3"/>
  <c r="CC73" i="3"/>
  <c r="F116" i="3"/>
  <c r="R127" i="3"/>
  <c r="R116" i="3"/>
  <c r="R129" i="3"/>
  <c r="AD116" i="3"/>
  <c r="AD127" i="3"/>
  <c r="AP116" i="3"/>
  <c r="AP127" i="3"/>
  <c r="AP129" i="3"/>
  <c r="AP125" i="3"/>
  <c r="BB116" i="3"/>
  <c r="BB129" i="3"/>
  <c r="BB125" i="3"/>
  <c r="AD129" i="3"/>
  <c r="G127" i="3"/>
  <c r="G116" i="3"/>
  <c r="G129" i="3"/>
  <c r="G125" i="3"/>
  <c r="S127" i="3"/>
  <c r="S116" i="3"/>
  <c r="S125" i="3"/>
  <c r="S129" i="3"/>
  <c r="AQ116" i="3"/>
  <c r="AQ127" i="3"/>
  <c r="AQ129" i="3"/>
  <c r="BC116" i="3"/>
  <c r="BC129" i="3"/>
  <c r="BC125" i="3"/>
  <c r="BO129" i="3"/>
  <c r="BO116" i="3"/>
  <c r="BO125" i="3"/>
  <c r="BO127" i="3"/>
  <c r="H116" i="3"/>
  <c r="H129" i="3"/>
  <c r="H125" i="3"/>
  <c r="H127" i="3"/>
  <c r="T116" i="3"/>
  <c r="AF127" i="3"/>
  <c r="AF116" i="3"/>
  <c r="AF129" i="3"/>
  <c r="AF125" i="3"/>
  <c r="AR116" i="3"/>
  <c r="AR129" i="3"/>
  <c r="AR125" i="3"/>
  <c r="AR127" i="3"/>
  <c r="BP116" i="3"/>
  <c r="BP125" i="3"/>
  <c r="BP127" i="3"/>
  <c r="CH73" i="3"/>
  <c r="BC127" i="3"/>
  <c r="AQ125" i="3"/>
  <c r="Z46" i="4"/>
  <c r="AE8" i="4"/>
  <c r="AE6" i="4"/>
  <c r="AE16" i="4"/>
  <c r="BH110" i="3"/>
  <c r="BI109" i="3"/>
  <c r="BI110" i="3" s="1"/>
  <c r="L129" i="3"/>
  <c r="L125" i="3"/>
  <c r="L116" i="3"/>
  <c r="X129" i="3"/>
  <c r="X125" i="3"/>
  <c r="AJ116" i="3"/>
  <c r="AV127" i="3"/>
  <c r="AV129" i="3"/>
  <c r="AV125" i="3"/>
  <c r="AV116" i="3"/>
  <c r="BH129" i="3"/>
  <c r="BH127" i="3"/>
  <c r="BT127" i="3"/>
  <c r="BT125" i="3"/>
  <c r="BT129" i="3"/>
  <c r="BT116" i="3"/>
  <c r="AZ123" i="3"/>
  <c r="AT149" i="3"/>
  <c r="BI149" i="3"/>
  <c r="AA122" i="3"/>
  <c r="AA123" i="3"/>
  <c r="AZ122" i="3"/>
  <c r="Q122" i="3"/>
  <c r="I129" i="3"/>
  <c r="I125" i="3"/>
  <c r="AS127" i="3"/>
  <c r="AS129" i="3"/>
  <c r="BE125" i="3"/>
  <c r="P8" i="4"/>
  <c r="K46" i="4"/>
  <c r="BS46" i="4"/>
  <c r="BX8" i="4"/>
  <c r="BX6" i="4"/>
  <c r="U109" i="3"/>
  <c r="U110" i="3" s="1"/>
  <c r="J129" i="3"/>
  <c r="J125" i="3"/>
  <c r="V129" i="3"/>
  <c r="V125" i="3"/>
  <c r="AH129" i="3"/>
  <c r="AH125" i="3"/>
  <c r="AH127" i="3"/>
  <c r="BF127" i="3"/>
  <c r="BF125" i="3"/>
  <c r="BR129" i="3"/>
  <c r="BR125" i="3"/>
  <c r="AG116" i="3"/>
  <c r="BQ116" i="3"/>
  <c r="AF123" i="3"/>
  <c r="B125" i="3"/>
  <c r="N129" i="3"/>
  <c r="Z149" i="3"/>
  <c r="AS110" i="3"/>
  <c r="Y129" i="3"/>
  <c r="Y125" i="3"/>
  <c r="AK129" i="3"/>
  <c r="AK125" i="3"/>
  <c r="AW127" i="3"/>
  <c r="AW125" i="3"/>
  <c r="AA125" i="3"/>
  <c r="Z127" i="3"/>
  <c r="BQ127" i="3"/>
  <c r="AJ16" i="4"/>
  <c r="AE46" i="4"/>
  <c r="AJ8" i="4"/>
  <c r="AJ6" i="4"/>
  <c r="AZ42" i="4"/>
  <c r="AL129" i="3"/>
  <c r="AL125" i="3"/>
  <c r="AX125" i="3"/>
  <c r="BJ127" i="3"/>
  <c r="BJ125" i="3"/>
  <c r="U116" i="3"/>
  <c r="BE116" i="3"/>
  <c r="I127" i="3"/>
  <c r="AA127" i="3"/>
  <c r="BR127" i="3"/>
  <c r="BS149" i="3"/>
  <c r="AM42" i="4"/>
  <c r="AO41" i="4"/>
  <c r="Z109" i="3"/>
  <c r="Z110" i="3" s="1"/>
  <c r="C127" i="3"/>
  <c r="C129" i="3"/>
  <c r="AM129" i="3"/>
  <c r="AM116" i="3"/>
  <c r="AY116" i="3"/>
  <c r="BK127" i="3"/>
  <c r="BK125" i="3"/>
  <c r="BK116" i="3"/>
  <c r="BW127" i="3"/>
  <c r="BW129" i="3"/>
  <c r="BW116" i="3"/>
  <c r="V116" i="3"/>
  <c r="AL116" i="3"/>
  <c r="BF116" i="3"/>
  <c r="BV116" i="3"/>
  <c r="J127" i="3"/>
  <c r="P46" i="4"/>
  <c r="U6" i="4"/>
  <c r="U16" i="4"/>
  <c r="BU46" i="4"/>
  <c r="BY25" i="4"/>
  <c r="BY28" i="4"/>
  <c r="BY29" i="4" s="1"/>
  <c r="BY16" i="4"/>
  <c r="BY6" i="4"/>
  <c r="AY149" i="3"/>
  <c r="U46" i="4"/>
  <c r="Z8" i="4"/>
  <c r="Z16" i="4"/>
  <c r="Z6" i="4"/>
  <c r="BY127" i="3"/>
  <c r="AZ129" i="3"/>
  <c r="AO46" i="4"/>
  <c r="AT16" i="4"/>
  <c r="AO39" i="4"/>
  <c r="AO40" i="4" s="1"/>
  <c r="BY125" i="3"/>
  <c r="AT46" i="4"/>
  <c r="AY6" i="4"/>
  <c r="AY16" i="4"/>
  <c r="AY8" i="4"/>
  <c r="BY8" i="4"/>
  <c r="F39" i="4"/>
  <c r="BO42" i="4"/>
  <c r="AO8" i="4"/>
  <c r="BN46" i="4"/>
  <c r="BS16" i="4"/>
  <c r="AO6" i="4"/>
  <c r="AH36" i="4"/>
  <c r="AH37" i="4"/>
  <c r="AH38" i="4" s="1"/>
  <c r="V36" i="4"/>
  <c r="BK37" i="4"/>
  <c r="BK38" i="4" s="1"/>
  <c r="F41" i="4"/>
  <c r="V42" i="4"/>
  <c r="BB36" i="4"/>
  <c r="BD6" i="4"/>
  <c r="AH42" i="4"/>
  <c r="BI46" i="4"/>
  <c r="BN16" i="4"/>
  <c r="BD8" i="4"/>
  <c r="AG42" i="4"/>
  <c r="AM37" i="4"/>
  <c r="AM38" i="4" s="1"/>
  <c r="W42" i="4"/>
  <c r="CK118" i="2" l="1"/>
  <c r="BP134" i="3"/>
  <c r="AL12" i="2"/>
  <c r="AL113" i="2" s="1"/>
  <c r="CA121" i="3"/>
  <c r="CA32" i="2"/>
  <c r="AV51" i="3"/>
  <c r="AQ42" i="4"/>
  <c r="AV83" i="3"/>
  <c r="H65" i="3"/>
  <c r="H132" i="3" s="1"/>
  <c r="AV103" i="2"/>
  <c r="AV104" i="2" s="1"/>
  <c r="BI14" i="4"/>
  <c r="BI33" i="4" s="1"/>
  <c r="AB42" i="4"/>
  <c r="AL65" i="3"/>
  <c r="CA78" i="3"/>
  <c r="CA81" i="3" s="1"/>
  <c r="AL134" i="3"/>
  <c r="BN5" i="2"/>
  <c r="H26" i="3"/>
  <c r="AR37" i="4"/>
  <c r="AR38" i="4" s="1"/>
  <c r="J24" i="4"/>
  <c r="AF41" i="3"/>
  <c r="AF27" i="3" s="1"/>
  <c r="AF26" i="3" s="1"/>
  <c r="AQ37" i="4"/>
  <c r="AQ38" i="4" s="1"/>
  <c r="AB37" i="4"/>
  <c r="AB38" i="4" s="1"/>
  <c r="AV27" i="3"/>
  <c r="AV26" i="3" s="1"/>
  <c r="AF65" i="3"/>
  <c r="BK42" i="4"/>
  <c r="F26" i="4"/>
  <c r="H26" i="4"/>
  <c r="G26" i="4" s="1"/>
  <c r="G108" i="3" s="1"/>
  <c r="BI125" i="3"/>
  <c r="BF42" i="4"/>
  <c r="BF36" i="4"/>
  <c r="AY39" i="4"/>
  <c r="AY40" i="4" s="1"/>
  <c r="BT113" i="3"/>
  <c r="CF11" i="3"/>
  <c r="CG11" i="3" s="1"/>
  <c r="CH11" i="3" s="1"/>
  <c r="CI11" i="3" s="1"/>
  <c r="CD29" i="2"/>
  <c r="Y21" i="2"/>
  <c r="Z21" i="2" s="1"/>
  <c r="D41" i="2"/>
  <c r="BX127" i="3"/>
  <c r="M65" i="3"/>
  <c r="D94" i="3"/>
  <c r="D59" i="2"/>
  <c r="R19" i="3"/>
  <c r="R5" i="3" s="1"/>
  <c r="R4" i="3" s="1"/>
  <c r="BX129" i="3"/>
  <c r="AZ19" i="3"/>
  <c r="AZ5" i="3" s="1"/>
  <c r="AZ4" i="3" s="1"/>
  <c r="AZ140" i="3" s="1"/>
  <c r="AP93" i="3"/>
  <c r="BC19" i="3"/>
  <c r="BD19" i="3" s="1"/>
  <c r="BD5" i="3" s="1"/>
  <c r="BD4" i="3" s="1"/>
  <c r="BD140" i="3" s="1"/>
  <c r="Y96" i="3"/>
  <c r="Z60" i="3"/>
  <c r="Z61" i="3" s="1"/>
  <c r="CC63" i="3"/>
  <c r="BA78" i="3"/>
  <c r="BA81" i="3" s="1"/>
  <c r="BA82" i="3" s="1"/>
  <c r="BA121" i="3"/>
  <c r="BA123" i="3" s="1"/>
  <c r="BZ4" i="2"/>
  <c r="BZ21" i="11" s="1"/>
  <c r="BZ19" i="11" s="1"/>
  <c r="BA30" i="2"/>
  <c r="BZ35" i="4"/>
  <c r="BZ37" i="4" s="1"/>
  <c r="BZ38" i="4" s="1"/>
  <c r="BB64" i="2"/>
  <c r="CB121" i="3"/>
  <c r="CB78" i="3"/>
  <c r="CB81" i="3" s="1"/>
  <c r="CB82" i="3" s="1"/>
  <c r="H113" i="2"/>
  <c r="H114" i="2" s="1"/>
  <c r="H12" i="2"/>
  <c r="BJ62" i="2"/>
  <c r="AN32" i="2"/>
  <c r="AO32" i="2" s="1"/>
  <c r="BI65" i="3"/>
  <c r="BI43" i="11" s="1"/>
  <c r="BI134" i="3"/>
  <c r="CB5" i="2"/>
  <c r="CB35" i="4" s="1"/>
  <c r="BA79" i="2"/>
  <c r="BA60" i="2"/>
  <c r="AC83" i="3"/>
  <c r="BJ65" i="3"/>
  <c r="BJ43" i="11" s="1"/>
  <c r="Z30" i="2"/>
  <c r="W27" i="3"/>
  <c r="W26" i="3" s="1"/>
  <c r="CA4" i="2"/>
  <c r="BN87" i="3"/>
  <c r="AT87" i="3"/>
  <c r="BN125" i="3"/>
  <c r="BN127" i="3"/>
  <c r="U51" i="3"/>
  <c r="AP87" i="3"/>
  <c r="V103" i="2"/>
  <c r="V104" i="2" s="1"/>
  <c r="BJ25" i="2"/>
  <c r="AP25" i="2"/>
  <c r="AX83" i="3"/>
  <c r="V83" i="3"/>
  <c r="AX41" i="3"/>
  <c r="AY41" i="3" s="1"/>
  <c r="BL103" i="2"/>
  <c r="BL104" i="2" s="1"/>
  <c r="BN129" i="3"/>
  <c r="X113" i="3"/>
  <c r="AU41" i="3"/>
  <c r="AU27" i="3" s="1"/>
  <c r="AU26" i="3" s="1"/>
  <c r="AH11" i="2"/>
  <c r="AH12" i="2" s="1"/>
  <c r="AH113" i="2" s="1"/>
  <c r="AH114" i="2" s="1"/>
  <c r="AH116" i="2" s="1"/>
  <c r="AH118" i="2" s="1"/>
  <c r="BL83" i="3"/>
  <c r="AZ21" i="2"/>
  <c r="AZ28" i="11" s="1"/>
  <c r="AX65" i="3"/>
  <c r="AX132" i="3" s="1"/>
  <c r="BI56" i="3"/>
  <c r="AU65" i="3"/>
  <c r="AU132" i="3" s="1"/>
  <c r="BL96" i="2"/>
  <c r="BL97" i="2" s="1"/>
  <c r="BI88" i="3"/>
  <c r="AG9" i="2"/>
  <c r="AG59" i="2" s="1"/>
  <c r="BJ87" i="3"/>
  <c r="Y42" i="4"/>
  <c r="Y37" i="4"/>
  <c r="Y38" i="4" s="1"/>
  <c r="Y36" i="4"/>
  <c r="BQ19" i="3"/>
  <c r="BQ5" i="3" s="1"/>
  <c r="BQ4" i="3" s="1"/>
  <c r="BQ140" i="3" s="1"/>
  <c r="BK60" i="2"/>
  <c r="AQ122" i="3"/>
  <c r="X65" i="3"/>
  <c r="X132" i="3" s="1"/>
  <c r="AV93" i="3"/>
  <c r="Z41" i="3"/>
  <c r="AJ87" i="3"/>
  <c r="BK79" i="2"/>
  <c r="X134" i="3"/>
  <c r="X135" i="3" s="1"/>
  <c r="W65" i="3"/>
  <c r="W132" i="3" s="1"/>
  <c r="BD125" i="3"/>
  <c r="AK37" i="4"/>
  <c r="W134" i="3"/>
  <c r="D37" i="4"/>
  <c r="D38" i="4" s="1"/>
  <c r="BY122" i="3"/>
  <c r="D42" i="4"/>
  <c r="AK36" i="4"/>
  <c r="AY88" i="3"/>
  <c r="Y4" i="2"/>
  <c r="Y39" i="2" s="1"/>
  <c r="AT129" i="3"/>
  <c r="Z5" i="2"/>
  <c r="BD129" i="3"/>
  <c r="M96" i="2"/>
  <c r="M97" i="2" s="1"/>
  <c r="AE21" i="4"/>
  <c r="AK81" i="3"/>
  <c r="AK82" i="3" s="1"/>
  <c r="P39" i="4"/>
  <c r="P40" i="4" s="1"/>
  <c r="AS132" i="3"/>
  <c r="W19" i="4"/>
  <c r="W17" i="4" s="1"/>
  <c r="AH96" i="2"/>
  <c r="AH97" i="2" s="1"/>
  <c r="BE81" i="3"/>
  <c r="BE82" i="3" s="1"/>
  <c r="BL59" i="2"/>
  <c r="AT28" i="3"/>
  <c r="AT27" i="3" s="1"/>
  <c r="AT26" i="3" s="1"/>
  <c r="BL19" i="2"/>
  <c r="BL41" i="2"/>
  <c r="AD27" i="2"/>
  <c r="H10" i="2"/>
  <c r="M103" i="2"/>
  <c r="M104" i="2" s="1"/>
  <c r="BP93" i="3"/>
  <c r="AQ10" i="2"/>
  <c r="AI41" i="3"/>
  <c r="AJ41" i="3" s="1"/>
  <c r="BD28" i="3"/>
  <c r="BD51" i="3" s="1"/>
  <c r="AQ60" i="2"/>
  <c r="R42" i="4"/>
  <c r="B57" i="3"/>
  <c r="B66" i="3" s="1"/>
  <c r="AQ12" i="2"/>
  <c r="AQ113" i="2" s="1"/>
  <c r="AQ114" i="2" s="1"/>
  <c r="AQ116" i="2" s="1"/>
  <c r="AQ118" i="2" s="1"/>
  <c r="B96" i="2"/>
  <c r="B97" i="2" s="1"/>
  <c r="R37" i="4"/>
  <c r="R38" i="4" s="1"/>
  <c r="BS39" i="4"/>
  <c r="BS40" i="4" s="1"/>
  <c r="CC97" i="3"/>
  <c r="BI71" i="2"/>
  <c r="B103" i="2"/>
  <c r="B104" i="2" s="1"/>
  <c r="AM55" i="3"/>
  <c r="AT39" i="4"/>
  <c r="AT40" i="4" s="1"/>
  <c r="AI134" i="3"/>
  <c r="AI146" i="3" s="1"/>
  <c r="AI147" i="3" s="1"/>
  <c r="BM55" i="3"/>
  <c r="BE17" i="2"/>
  <c r="V9" i="2"/>
  <c r="V22" i="2" s="1"/>
  <c r="BS28" i="3"/>
  <c r="BT96" i="2" s="1"/>
  <c r="BT97" i="2" s="1"/>
  <c r="B27" i="3"/>
  <c r="B26" i="3" s="1"/>
  <c r="B48" i="3" s="1"/>
  <c r="C83" i="3"/>
  <c r="C96" i="2"/>
  <c r="C97" i="2" s="1"/>
  <c r="B132" i="3"/>
  <c r="AM121" i="3"/>
  <c r="AM123" i="3" s="1"/>
  <c r="CA82" i="3"/>
  <c r="O17" i="15"/>
  <c r="AF36" i="4"/>
  <c r="BI28" i="3"/>
  <c r="BJ83" i="3" s="1"/>
  <c r="AZ93" i="3"/>
  <c r="Q81" i="3"/>
  <c r="Q82" i="3" s="1"/>
  <c r="BQ15" i="2"/>
  <c r="AA87" i="3"/>
  <c r="R41" i="2"/>
  <c r="BK22" i="2"/>
  <c r="BH4" i="2"/>
  <c r="BI4" i="2" s="1"/>
  <c r="CA122" i="3"/>
  <c r="CA123" i="3"/>
  <c r="AI35" i="4"/>
  <c r="AJ35" i="4" s="1"/>
  <c r="AJ36" i="4" s="1"/>
  <c r="BZ24" i="11"/>
  <c r="CA11" i="2"/>
  <c r="CB11" i="2" s="1"/>
  <c r="CA21" i="2"/>
  <c r="CF21" i="2" s="1"/>
  <c r="CK21" i="2" s="1"/>
  <c r="CA30" i="2"/>
  <c r="G65" i="3"/>
  <c r="G132" i="3" s="1"/>
  <c r="AC37" i="4"/>
  <c r="AC38" i="4" s="1"/>
  <c r="G36" i="4"/>
  <c r="AN64" i="2"/>
  <c r="AN121" i="3" s="1"/>
  <c r="AT54" i="3"/>
  <c r="AU55" i="3" s="1"/>
  <c r="G26" i="3"/>
  <c r="BV103" i="2"/>
  <c r="BV104" i="2" s="1"/>
  <c r="AC42" i="4"/>
  <c r="AB51" i="3"/>
  <c r="R96" i="3"/>
  <c r="R39" i="2" s="1"/>
  <c r="CC44" i="3"/>
  <c r="L19" i="3"/>
  <c r="L5" i="3" s="1"/>
  <c r="L4" i="3" s="1"/>
  <c r="L140" i="3" s="1"/>
  <c r="AM41" i="2"/>
  <c r="AB83" i="3"/>
  <c r="AJ5" i="2"/>
  <c r="AB96" i="2"/>
  <c r="AB97" i="2" s="1"/>
  <c r="CA9" i="2"/>
  <c r="CA8" i="2"/>
  <c r="BK41" i="2"/>
  <c r="AO63" i="3"/>
  <c r="CA37" i="4"/>
  <c r="CA38" i="4" s="1"/>
  <c r="CA36" i="4"/>
  <c r="CA42" i="4"/>
  <c r="BS30" i="11"/>
  <c r="BY43" i="11"/>
  <c r="M16" i="15"/>
  <c r="BH83" i="3"/>
  <c r="AB134" i="3"/>
  <c r="AB146" i="3" s="1"/>
  <c r="AB147" i="3" s="1"/>
  <c r="N96" i="3"/>
  <c r="N39" i="2" s="1"/>
  <c r="BZ12" i="2"/>
  <c r="BZ113" i="2" s="1"/>
  <c r="BZ82" i="3"/>
  <c r="N17" i="15"/>
  <c r="AC96" i="2"/>
  <c r="AC97" i="2" s="1"/>
  <c r="K50" i="2"/>
  <c r="BV41" i="3"/>
  <c r="BV27" i="3" s="1"/>
  <c r="BV26" i="3" s="1"/>
  <c r="AC103" i="2"/>
  <c r="AC104" i="2" s="1"/>
  <c r="BZ10" i="2"/>
  <c r="AP81" i="3"/>
  <c r="AP82" i="3" s="1"/>
  <c r="BV65" i="3"/>
  <c r="BV43" i="11" s="1"/>
  <c r="BK59" i="2"/>
  <c r="BK61" i="2" s="1"/>
  <c r="BZ79" i="2"/>
  <c r="AT127" i="3"/>
  <c r="M37" i="4"/>
  <c r="M38" i="4" s="1"/>
  <c r="BO37" i="4"/>
  <c r="BO38" i="4" s="1"/>
  <c r="K28" i="3"/>
  <c r="K83" i="3" s="1"/>
  <c r="BX99" i="3"/>
  <c r="BK19" i="2"/>
  <c r="BZ60" i="2"/>
  <c r="BL42" i="4"/>
  <c r="I19" i="3"/>
  <c r="I5" i="3" s="1"/>
  <c r="I4" i="3" s="1"/>
  <c r="I140" i="3" s="1"/>
  <c r="AY53" i="3"/>
  <c r="BL37" i="4"/>
  <c r="BL38" i="4" s="1"/>
  <c r="BT27" i="3"/>
  <c r="BT26" i="3" s="1"/>
  <c r="BD108" i="3"/>
  <c r="AZ113" i="3"/>
  <c r="BQ41" i="3"/>
  <c r="P53" i="3"/>
  <c r="AN8" i="2"/>
  <c r="P99" i="3"/>
  <c r="B27" i="2"/>
  <c r="C27" i="2"/>
  <c r="AU113" i="3"/>
  <c r="BU96" i="2"/>
  <c r="BU97" i="2" s="1"/>
  <c r="AB104" i="3"/>
  <c r="AG83" i="3"/>
  <c r="BT37" i="4"/>
  <c r="BX30" i="11"/>
  <c r="AE80" i="2"/>
  <c r="S96" i="3"/>
  <c r="S39" i="2" s="1"/>
  <c r="AY50" i="2"/>
  <c r="BN63" i="3"/>
  <c r="BX39" i="4"/>
  <c r="BX40" i="4" s="1"/>
  <c r="BA132" i="3"/>
  <c r="BA43" i="11"/>
  <c r="AJ83" i="3"/>
  <c r="AJ51" i="3"/>
  <c r="AK83" i="3"/>
  <c r="AK96" i="2"/>
  <c r="AK97" i="2" s="1"/>
  <c r="C98" i="3"/>
  <c r="C100" i="3"/>
  <c r="AJ62" i="2"/>
  <c r="BI127" i="3"/>
  <c r="BE123" i="3"/>
  <c r="BI30" i="11"/>
  <c r="BA134" i="3"/>
  <c r="BL22" i="11"/>
  <c r="BT21" i="2"/>
  <c r="BT17" i="2" s="1"/>
  <c r="BT34" i="11"/>
  <c r="BI69" i="2"/>
  <c r="BI35" i="11"/>
  <c r="BI8" i="14"/>
  <c r="BI10" i="14" s="1"/>
  <c r="BP103" i="2"/>
  <c r="BP104" i="2" s="1"/>
  <c r="F65" i="3"/>
  <c r="AI62" i="2"/>
  <c r="Q42" i="4"/>
  <c r="AN96" i="3"/>
  <c r="AN39" i="2" s="1"/>
  <c r="AT134" i="3"/>
  <c r="AT146" i="3" s="1"/>
  <c r="AT147" i="3" s="1"/>
  <c r="AT6" i="14"/>
  <c r="BD69" i="2"/>
  <c r="BD35" i="11"/>
  <c r="BD8" i="14"/>
  <c r="BD10" i="14" s="1"/>
  <c r="BS35" i="11"/>
  <c r="BS8" i="14"/>
  <c r="BS10" i="14" s="1"/>
  <c r="BT26" i="11"/>
  <c r="BT22" i="11"/>
  <c r="F134" i="3"/>
  <c r="F135" i="3" s="1"/>
  <c r="BS31" i="2"/>
  <c r="BN72" i="2"/>
  <c r="BN38" i="11"/>
  <c r="AG96" i="2"/>
  <c r="AG97" i="2" s="1"/>
  <c r="BU30" i="2"/>
  <c r="BU34" i="11"/>
  <c r="C22" i="2"/>
  <c r="C59" i="2"/>
  <c r="C61" i="2" s="1"/>
  <c r="BP8" i="2"/>
  <c r="BP21" i="11"/>
  <c r="BP19" i="11" s="1"/>
  <c r="BZ34" i="11"/>
  <c r="BZ33" i="11"/>
  <c r="BX35" i="11"/>
  <c r="BX8" i="14"/>
  <c r="BX10" i="14" s="1"/>
  <c r="N104" i="3"/>
  <c r="BA57" i="3"/>
  <c r="BA66" i="3" s="1"/>
  <c r="C41" i="2"/>
  <c r="AP37" i="4"/>
  <c r="AP38" i="4" s="1"/>
  <c r="H96" i="3"/>
  <c r="AG12" i="2"/>
  <c r="AG113" i="2" s="1"/>
  <c r="BA21" i="2"/>
  <c r="BA34" i="11"/>
  <c r="BC69" i="2"/>
  <c r="BC35" i="11"/>
  <c r="R41" i="3"/>
  <c r="R27" i="3" s="1"/>
  <c r="R26" i="3" s="1"/>
  <c r="R48" i="3" s="1"/>
  <c r="BX72" i="2"/>
  <c r="C15" i="9"/>
  <c r="BX38" i="11"/>
  <c r="CC49" i="2"/>
  <c r="AG10" i="2"/>
  <c r="AG16" i="2" s="1"/>
  <c r="AG78" i="2" s="1"/>
  <c r="BY21" i="2"/>
  <c r="N13" i="9" s="1"/>
  <c r="BY34" i="11"/>
  <c r="BY33" i="11"/>
  <c r="BL127" i="3"/>
  <c r="BN30" i="11"/>
  <c r="AL113" i="3"/>
  <c r="AW96" i="2"/>
  <c r="AW97" i="2" s="1"/>
  <c r="BY81" i="3"/>
  <c r="R65" i="3"/>
  <c r="AO35" i="4"/>
  <c r="AO42" i="4" s="1"/>
  <c r="AF83" i="3"/>
  <c r="BX20" i="2"/>
  <c r="AJ134" i="3"/>
  <c r="AJ135" i="3" s="1"/>
  <c r="AJ6" i="14"/>
  <c r="C14" i="9"/>
  <c r="BX37" i="11"/>
  <c r="BS72" i="2"/>
  <c r="BS38" i="11"/>
  <c r="S42" i="4"/>
  <c r="S37" i="4"/>
  <c r="S38" i="4" s="1"/>
  <c r="BI129" i="3"/>
  <c r="BB96" i="2"/>
  <c r="BB97" i="2" s="1"/>
  <c r="T96" i="3"/>
  <c r="Z35" i="4"/>
  <c r="Z36" i="4" s="1"/>
  <c r="Z134" i="3"/>
  <c r="Z146" i="3" s="1"/>
  <c r="Z147" i="3" s="1"/>
  <c r="Z6" i="14"/>
  <c r="AZ9" i="2"/>
  <c r="AZ41" i="2" s="1"/>
  <c r="AZ21" i="11"/>
  <c r="BI31" i="2"/>
  <c r="BL11" i="2"/>
  <c r="BL79" i="2" s="1"/>
  <c r="BL25" i="11"/>
  <c r="BK22" i="11"/>
  <c r="BT33" i="11"/>
  <c r="AG79" i="2"/>
  <c r="R140" i="3"/>
  <c r="M96" i="3"/>
  <c r="M39" i="2" s="1"/>
  <c r="AY134" i="3"/>
  <c r="AY146" i="3" s="1"/>
  <c r="AY6" i="14"/>
  <c r="BK26" i="11"/>
  <c r="BB103" i="2"/>
  <c r="BB104" i="2" s="1"/>
  <c r="CC50" i="2"/>
  <c r="BF26" i="11"/>
  <c r="BF22" i="11"/>
  <c r="BA41" i="3"/>
  <c r="BA27" i="3" s="1"/>
  <c r="BA26" i="3" s="1"/>
  <c r="BD72" i="2"/>
  <c r="BD38" i="11"/>
  <c r="BE9" i="2"/>
  <c r="BE23" i="11" s="1"/>
  <c r="BG22" i="11"/>
  <c r="AX113" i="3"/>
  <c r="AP113" i="2"/>
  <c r="AP114" i="2" s="1"/>
  <c r="BI72" i="2"/>
  <c r="BI38" i="11"/>
  <c r="BE8" i="2"/>
  <c r="S19" i="3"/>
  <c r="S5" i="3" s="1"/>
  <c r="S4" i="3" s="1"/>
  <c r="S140" i="3" s="1"/>
  <c r="BN35" i="11"/>
  <c r="BN8" i="14"/>
  <c r="BN10" i="14" s="1"/>
  <c r="AP140" i="3"/>
  <c r="BD87" i="3"/>
  <c r="AC65" i="3"/>
  <c r="AC132" i="3" s="1"/>
  <c r="AJ65" i="3"/>
  <c r="AC41" i="3"/>
  <c r="AZ25" i="2"/>
  <c r="P43" i="2"/>
  <c r="P72" i="2" s="1"/>
  <c r="Q37" i="3"/>
  <c r="AM103" i="2"/>
  <c r="AM104" i="2" s="1"/>
  <c r="BN60" i="3"/>
  <c r="BN61" i="3" s="1"/>
  <c r="AZ8" i="2"/>
  <c r="M19" i="3"/>
  <c r="M5" i="3" s="1"/>
  <c r="M4" i="3" s="1"/>
  <c r="M140" i="3" s="1"/>
  <c r="G123" i="3"/>
  <c r="AM96" i="2"/>
  <c r="AM97" i="2" s="1"/>
  <c r="BH41" i="3"/>
  <c r="BI41" i="3" s="1"/>
  <c r="BY30" i="2"/>
  <c r="N15" i="9" s="1"/>
  <c r="AF81" i="3"/>
  <c r="AF82" i="3" s="1"/>
  <c r="AL51" i="3"/>
  <c r="BH134" i="3"/>
  <c r="S96" i="2"/>
  <c r="S97" i="2" s="1"/>
  <c r="BL68" i="2"/>
  <c r="BL66" i="2" s="1"/>
  <c r="BM13" i="2"/>
  <c r="BN13" i="2" s="1"/>
  <c r="AO34" i="2"/>
  <c r="AO69" i="2" s="1"/>
  <c r="L10" i="2"/>
  <c r="Z63" i="3"/>
  <c r="BS20" i="2"/>
  <c r="BW113" i="3"/>
  <c r="O96" i="3"/>
  <c r="AG41" i="3"/>
  <c r="AG27" i="3" s="1"/>
  <c r="AG26" i="3" s="1"/>
  <c r="AT69" i="2"/>
  <c r="AP41" i="3"/>
  <c r="AP27" i="3" s="1"/>
  <c r="AP26" i="3" s="1"/>
  <c r="AP48" i="3" s="1"/>
  <c r="L12" i="2"/>
  <c r="L79" i="2"/>
  <c r="AL27" i="3"/>
  <c r="AL26" i="3" s="1"/>
  <c r="AL96" i="2"/>
  <c r="AL97" i="2" s="1"/>
  <c r="AG134" i="3"/>
  <c r="AG146" i="3" s="1"/>
  <c r="AG147" i="3" s="1"/>
  <c r="AP65" i="3"/>
  <c r="AH41" i="2"/>
  <c r="AE8" i="3"/>
  <c r="AJ20" i="4" s="1"/>
  <c r="AN19" i="3"/>
  <c r="AO19" i="3" s="1"/>
  <c r="AZ16" i="2"/>
  <c r="AZ78" i="2" s="1"/>
  <c r="AL103" i="2"/>
  <c r="AL104" i="2" s="1"/>
  <c r="AM83" i="3"/>
  <c r="BV57" i="3"/>
  <c r="BV64" i="3" s="1"/>
  <c r="AJ50" i="2"/>
  <c r="BM4" i="2"/>
  <c r="BM21" i="11" s="1"/>
  <c r="BM19" i="11" s="1"/>
  <c r="AH19" i="2"/>
  <c r="N19" i="3"/>
  <c r="N5" i="3" s="1"/>
  <c r="N4" i="3" s="1"/>
  <c r="N140" i="3" s="1"/>
  <c r="AY56" i="3"/>
  <c r="AB41" i="3"/>
  <c r="AB27" i="3" s="1"/>
  <c r="AB26" i="3" s="1"/>
  <c r="AH22" i="2"/>
  <c r="M8" i="2"/>
  <c r="AZ22" i="2"/>
  <c r="BJ36" i="4"/>
  <c r="BX134" i="3"/>
  <c r="BX146" i="3" s="1"/>
  <c r="BX65" i="3"/>
  <c r="BZ30" i="2"/>
  <c r="BZ21" i="2"/>
  <c r="G37" i="4"/>
  <c r="G38" i="4" s="1"/>
  <c r="U27" i="3"/>
  <c r="U26" i="3" s="1"/>
  <c r="AD19" i="3"/>
  <c r="AE19" i="3" s="1"/>
  <c r="L42" i="4"/>
  <c r="I64" i="11"/>
  <c r="I3" i="11"/>
  <c r="I47" i="11"/>
  <c r="I20" i="11"/>
  <c r="I108" i="11"/>
  <c r="I91" i="11"/>
  <c r="AL79" i="2"/>
  <c r="AL10" i="2"/>
  <c r="N108" i="11"/>
  <c r="N91" i="11"/>
  <c r="N64" i="11"/>
  <c r="N3" i="11"/>
  <c r="N47" i="11"/>
  <c r="N20" i="11"/>
  <c r="S19" i="4"/>
  <c r="S17" i="4" s="1"/>
  <c r="S18" i="4" s="1"/>
  <c r="O95" i="2"/>
  <c r="BI21" i="4"/>
  <c r="Z53" i="3"/>
  <c r="AH103" i="2"/>
  <c r="AH104" i="2" s="1"/>
  <c r="O104" i="3"/>
  <c r="L20" i="11"/>
  <c r="L108" i="11"/>
  <c r="L91" i="11"/>
  <c r="L64" i="11"/>
  <c r="L3" i="11"/>
  <c r="L47" i="11"/>
  <c r="AZ37" i="4"/>
  <c r="O68" i="2"/>
  <c r="E79" i="3"/>
  <c r="X57" i="3"/>
  <c r="X66" i="3" s="1"/>
  <c r="J3" i="11"/>
  <c r="J47" i="11"/>
  <c r="J20" i="11"/>
  <c r="J108" i="11"/>
  <c r="J91" i="11"/>
  <c r="J64" i="11"/>
  <c r="J96" i="3"/>
  <c r="X42" i="4"/>
  <c r="E42" i="4"/>
  <c r="AZ111" i="2"/>
  <c r="AZ112" i="2" s="1"/>
  <c r="BD112" i="2" s="1"/>
  <c r="AL19" i="3"/>
  <c r="AL5" i="3" s="1"/>
  <c r="AL4" i="3" s="1"/>
  <c r="AL140" i="3" s="1"/>
  <c r="U50" i="2"/>
  <c r="BS6" i="2"/>
  <c r="BV11" i="2"/>
  <c r="AM11" i="2"/>
  <c r="AN11" i="2" s="1"/>
  <c r="K47" i="11"/>
  <c r="K20" i="11"/>
  <c r="K108" i="11"/>
  <c r="K91" i="11"/>
  <c r="K64" i="11"/>
  <c r="K3" i="11"/>
  <c r="BZ8" i="2"/>
  <c r="BZ9" i="2"/>
  <c r="BY8" i="2"/>
  <c r="BY9" i="2"/>
  <c r="N9" i="9" s="1"/>
  <c r="BJ113" i="3"/>
  <c r="J19" i="3"/>
  <c r="K19" i="3" s="1"/>
  <c r="H108" i="3"/>
  <c r="AM68" i="2"/>
  <c r="AM66" i="2" s="1"/>
  <c r="BZ42" i="4"/>
  <c r="BZ36" i="4"/>
  <c r="AR68" i="2"/>
  <c r="AR66" i="2" s="1"/>
  <c r="AR11" i="2"/>
  <c r="AR12" i="2" s="1"/>
  <c r="AR113" i="2" s="1"/>
  <c r="H30" i="2"/>
  <c r="H21" i="2"/>
  <c r="H62" i="2" s="1"/>
  <c r="AY113" i="3"/>
  <c r="E37" i="4"/>
  <c r="E38" i="4" s="1"/>
  <c r="P63" i="3"/>
  <c r="BL132" i="3"/>
  <c r="BU113" i="3"/>
  <c r="AE88" i="3"/>
  <c r="AL93" i="3"/>
  <c r="BO113" i="3"/>
  <c r="BP19" i="3"/>
  <c r="BP5" i="3" s="1"/>
  <c r="BP4" i="3" s="1"/>
  <c r="BP140" i="3" s="1"/>
  <c r="K113" i="3"/>
  <c r="BZ122" i="3"/>
  <c r="BB42" i="4"/>
  <c r="AE53" i="3"/>
  <c r="AW113" i="3"/>
  <c r="BQ113" i="3"/>
  <c r="AF87" i="3"/>
  <c r="I19" i="4"/>
  <c r="I17" i="4" s="1"/>
  <c r="BG96" i="2"/>
  <c r="BG97" i="2" s="1"/>
  <c r="BB113" i="3"/>
  <c r="H50" i="3"/>
  <c r="H64" i="11"/>
  <c r="H3" i="11"/>
  <c r="H47" i="11"/>
  <c r="H20" i="11"/>
  <c r="H108" i="11"/>
  <c r="H91" i="11"/>
  <c r="AI113" i="3"/>
  <c r="AE56" i="3"/>
  <c r="AF132" i="3"/>
  <c r="O11" i="2"/>
  <c r="O12" i="2" s="1"/>
  <c r="G44" i="4"/>
  <c r="G91" i="11"/>
  <c r="G64" i="11"/>
  <c r="G3" i="11"/>
  <c r="G47" i="11"/>
  <c r="G20" i="11"/>
  <c r="G108" i="11"/>
  <c r="BK12" i="2"/>
  <c r="BK113" i="2" s="1"/>
  <c r="BK10" i="2"/>
  <c r="BK16" i="2" s="1"/>
  <c r="BK78" i="2" s="1"/>
  <c r="AZ113" i="2"/>
  <c r="AZ114" i="2" s="1"/>
  <c r="V111" i="2"/>
  <c r="V112" i="2" s="1"/>
  <c r="AT125" i="3"/>
  <c r="BS21" i="4"/>
  <c r="AT116" i="3"/>
  <c r="AO14" i="4"/>
  <c r="AO33" i="4" s="1"/>
  <c r="AO20" i="2"/>
  <c r="AT14" i="4"/>
  <c r="AT33" i="4" s="1"/>
  <c r="AJ21" i="4"/>
  <c r="BL116" i="3"/>
  <c r="BS14" i="4"/>
  <c r="BS33" i="4" s="1"/>
  <c r="BL129" i="3"/>
  <c r="BD14" i="4"/>
  <c r="BD33" i="4" s="1"/>
  <c r="BX108" i="3"/>
  <c r="F60" i="3"/>
  <c r="F61" i="3" s="1"/>
  <c r="AE60" i="3"/>
  <c r="AE61" i="3" s="1"/>
  <c r="BF140" i="3"/>
  <c r="BN55" i="3"/>
  <c r="V55" i="3"/>
  <c r="AR96" i="2"/>
  <c r="AR97" i="2" s="1"/>
  <c r="N103" i="2"/>
  <c r="N104" i="2" s="1"/>
  <c r="AJ27" i="3"/>
  <c r="AJ26" i="3" s="1"/>
  <c r="AT60" i="3"/>
  <c r="AT61" i="3" s="1"/>
  <c r="AF103" i="2"/>
  <c r="AF104" i="2" s="1"/>
  <c r="BG55" i="3"/>
  <c r="BX63" i="3"/>
  <c r="AO12" i="3"/>
  <c r="AO101" i="3" s="1"/>
  <c r="AN101" i="3"/>
  <c r="AN104" i="3" s="1"/>
  <c r="AR113" i="3"/>
  <c r="BA113" i="3"/>
  <c r="AM113" i="3"/>
  <c r="AK113" i="3"/>
  <c r="AO53" i="3"/>
  <c r="AD96" i="3"/>
  <c r="BS8" i="3"/>
  <c r="BT20" i="4" s="1"/>
  <c r="AH19" i="3"/>
  <c r="AH5" i="3" s="1"/>
  <c r="AH4" i="3" s="1"/>
  <c r="AH140" i="3" s="1"/>
  <c r="U53" i="3"/>
  <c r="Y14" i="4"/>
  <c r="Y33" i="4" s="1"/>
  <c r="E96" i="3"/>
  <c r="E39" i="2" s="1"/>
  <c r="Y18" i="4"/>
  <c r="AQ19" i="3"/>
  <c r="AQ5" i="3" s="1"/>
  <c r="AQ4" i="3" s="1"/>
  <c r="AQ140" i="3" s="1"/>
  <c r="Y21" i="4"/>
  <c r="BS53" i="3"/>
  <c r="AQ93" i="3"/>
  <c r="AO8" i="3"/>
  <c r="AT20" i="4" s="1"/>
  <c r="D5" i="3"/>
  <c r="D4" i="3" s="1"/>
  <c r="D140" i="3" s="1"/>
  <c r="N19" i="4"/>
  <c r="N17" i="4" s="1"/>
  <c r="N18" i="4" s="1"/>
  <c r="BT36" i="4"/>
  <c r="Q37" i="4"/>
  <c r="BT113" i="2"/>
  <c r="BT115" i="2" s="1"/>
  <c r="BT117" i="2" s="1"/>
  <c r="BO113" i="2"/>
  <c r="BO114" i="2" s="1"/>
  <c r="C116" i="2"/>
  <c r="C118" i="2" s="1"/>
  <c r="AE112" i="2"/>
  <c r="Q111" i="2"/>
  <c r="Q112" i="2" s="1"/>
  <c r="U112" i="2" s="1"/>
  <c r="BK123" i="3"/>
  <c r="E123" i="3"/>
  <c r="F121" i="3"/>
  <c r="F122" i="3" s="1"/>
  <c r="BW64" i="2"/>
  <c r="BX64" i="2" s="1"/>
  <c r="BX78" i="3" s="1"/>
  <c r="BX81" i="3" s="1"/>
  <c r="BS50" i="2"/>
  <c r="AE50" i="2"/>
  <c r="BN50" i="2"/>
  <c r="BD50" i="2"/>
  <c r="Z50" i="2"/>
  <c r="AO50" i="2"/>
  <c r="AE34" i="2"/>
  <c r="AE69" i="2" s="1"/>
  <c r="C115" i="2"/>
  <c r="C117" i="2" s="1"/>
  <c r="P34" i="2"/>
  <c r="P69" i="2" s="1"/>
  <c r="AO31" i="2"/>
  <c r="AK17" i="2"/>
  <c r="G17" i="2"/>
  <c r="AM17" i="2"/>
  <c r="AD62" i="2"/>
  <c r="AH79" i="2"/>
  <c r="AH60" i="2"/>
  <c r="L66" i="2"/>
  <c r="BR14" i="2"/>
  <c r="BR15" i="2" s="1"/>
  <c r="I11" i="2"/>
  <c r="I60" i="2" s="1"/>
  <c r="BZ114" i="2"/>
  <c r="BZ116" i="2" s="1"/>
  <c r="BZ118" i="2" s="1"/>
  <c r="BZ115" i="2"/>
  <c r="BZ117" i="2" s="1"/>
  <c r="AS66" i="2"/>
  <c r="AU113" i="2"/>
  <c r="AU114" i="2" s="1"/>
  <c r="M116" i="2"/>
  <c r="M118" i="2" s="1"/>
  <c r="AG22" i="2"/>
  <c r="AG41" i="2"/>
  <c r="AG19" i="2"/>
  <c r="BS7" i="2"/>
  <c r="V59" i="2"/>
  <c r="V61" i="2" s="1"/>
  <c r="AJ15" i="2"/>
  <c r="M36" i="4"/>
  <c r="V19" i="2"/>
  <c r="AI8" i="2"/>
  <c r="AI9" i="2"/>
  <c r="C42" i="4"/>
  <c r="V41" i="2"/>
  <c r="C16" i="2"/>
  <c r="C78" i="2" s="1"/>
  <c r="C19" i="2"/>
  <c r="AO15" i="2"/>
  <c r="AM19" i="2"/>
  <c r="AM59" i="2"/>
  <c r="AM85" i="2" s="1"/>
  <c r="BY37" i="4"/>
  <c r="BY38" i="4" s="1"/>
  <c r="BT42" i="4"/>
  <c r="C37" i="4"/>
  <c r="C38" i="4" s="1"/>
  <c r="BH42" i="4"/>
  <c r="BI20" i="4"/>
  <c r="BE20" i="4"/>
  <c r="BS20" i="4"/>
  <c r="BO20" i="4"/>
  <c r="AY20" i="4"/>
  <c r="AU20" i="4"/>
  <c r="BJ20" i="4"/>
  <c r="BN20" i="4"/>
  <c r="BQ104" i="3"/>
  <c r="BS60" i="3"/>
  <c r="BS61" i="3" s="1"/>
  <c r="AN113" i="3"/>
  <c r="D19" i="4"/>
  <c r="D17" i="4" s="1"/>
  <c r="T83" i="3"/>
  <c r="AT65" i="3"/>
  <c r="AB113" i="3"/>
  <c r="BI99" i="3"/>
  <c r="AA113" i="3"/>
  <c r="AY8" i="3"/>
  <c r="AY93" i="3" s="1"/>
  <c r="U8" i="3"/>
  <c r="U93" i="3" s="1"/>
  <c r="U96" i="3" s="1"/>
  <c r="BY146" i="3"/>
  <c r="BY147" i="3" s="1"/>
  <c r="AM57" i="3"/>
  <c r="AM64" i="3" s="1"/>
  <c r="AJ63" i="3"/>
  <c r="BC104" i="3"/>
  <c r="Z113" i="3"/>
  <c r="AP55" i="3"/>
  <c r="AV113" i="3"/>
  <c r="AM132" i="3"/>
  <c r="W55" i="3"/>
  <c r="G81" i="3"/>
  <c r="G82" i="3" s="1"/>
  <c r="AW103" i="2"/>
  <c r="AW104" i="2" s="1"/>
  <c r="AC113" i="3"/>
  <c r="BF20" i="4"/>
  <c r="BE93" i="3"/>
  <c r="BF96" i="3" s="1"/>
  <c r="BF39" i="2" s="1"/>
  <c r="K8" i="3"/>
  <c r="K93" i="3" s="1"/>
  <c r="AO20" i="4"/>
  <c r="AK20" i="4"/>
  <c r="E57" i="3"/>
  <c r="E66" i="3" s="1"/>
  <c r="AY65" i="3"/>
  <c r="P112" i="3"/>
  <c r="P113" i="3" s="1"/>
  <c r="J21" i="4"/>
  <c r="AI132" i="3"/>
  <c r="M132" i="3"/>
  <c r="F27" i="3"/>
  <c r="F26" i="3" s="1"/>
  <c r="BZ96" i="2"/>
  <c r="BZ97" i="2" s="1"/>
  <c r="BZ83" i="3"/>
  <c r="BZ103" i="2"/>
  <c r="BZ104" i="2" s="1"/>
  <c r="CF46" i="3"/>
  <c r="CG46" i="3" s="1"/>
  <c r="CI46" i="3" s="1"/>
  <c r="Y19" i="3"/>
  <c r="Z19" i="3" s="1"/>
  <c r="Z5" i="3" s="1"/>
  <c r="Z4" i="3" s="1"/>
  <c r="Z140" i="3" s="1"/>
  <c r="BU20" i="4"/>
  <c r="BT93" i="3"/>
  <c r="BU96" i="3" s="1"/>
  <c r="AA20" i="4"/>
  <c r="AE20" i="4"/>
  <c r="S103" i="2"/>
  <c r="S104" i="2" s="1"/>
  <c r="BY96" i="2"/>
  <c r="BY97" i="2" s="1"/>
  <c r="K53" i="3"/>
  <c r="R96" i="2"/>
  <c r="R97" i="2" s="1"/>
  <c r="AB132" i="3"/>
  <c r="Z65" i="3"/>
  <c r="BX60" i="3"/>
  <c r="BX61" i="3" s="1"/>
  <c r="AK132" i="3"/>
  <c r="AI55" i="3"/>
  <c r="BI63" i="3"/>
  <c r="BQ96" i="3"/>
  <c r="BC96" i="3"/>
  <c r="BX23" i="2"/>
  <c r="C11" i="9" s="1"/>
  <c r="AK55" i="3"/>
  <c r="K60" i="3"/>
  <c r="K61" i="3" s="1"/>
  <c r="F63" i="3"/>
  <c r="AJ60" i="3"/>
  <c r="AJ61" i="3" s="1"/>
  <c r="P60" i="3"/>
  <c r="P61" i="3" s="1"/>
  <c r="BI60" i="3"/>
  <c r="BI61" i="3" s="1"/>
  <c r="AY63" i="3"/>
  <c r="CK49" i="4"/>
  <c r="BS95" i="2"/>
  <c r="BS98" i="2" s="1"/>
  <c r="CL49" i="4"/>
  <c r="CJ49" i="4"/>
  <c r="G50" i="3"/>
  <c r="G47" i="2"/>
  <c r="G106" i="2"/>
  <c r="G3" i="3"/>
  <c r="AS96" i="2"/>
  <c r="AS97" i="2" s="1"/>
  <c r="G131" i="3"/>
  <c r="AS98" i="2"/>
  <c r="AT95" i="2"/>
  <c r="AT98" i="2" s="1"/>
  <c r="BR98" i="2"/>
  <c r="H70" i="3"/>
  <c r="G92" i="3"/>
  <c r="H44" i="4"/>
  <c r="G23" i="4"/>
  <c r="H23" i="4"/>
  <c r="G48" i="4"/>
  <c r="H93" i="2"/>
  <c r="G31" i="4"/>
  <c r="G93" i="2"/>
  <c r="G76" i="2"/>
  <c r="H106" i="2"/>
  <c r="G3" i="2"/>
  <c r="H47" i="2"/>
  <c r="G70" i="3"/>
  <c r="H76" i="2"/>
  <c r="H58" i="2"/>
  <c r="G142" i="3"/>
  <c r="G58" i="2"/>
  <c r="G3" i="4"/>
  <c r="H142" i="3"/>
  <c r="H3" i="3"/>
  <c r="H48" i="4"/>
  <c r="H3" i="2"/>
  <c r="H3" i="4"/>
  <c r="H31" i="4"/>
  <c r="H131" i="3"/>
  <c r="AO95" i="2"/>
  <c r="AO96" i="2" s="1"/>
  <c r="AO97" i="2" s="1"/>
  <c r="CA5" i="11"/>
  <c r="H92" i="3"/>
  <c r="AI102" i="2"/>
  <c r="AJ102" i="2" s="1"/>
  <c r="AJ103" i="2" s="1"/>
  <c r="AJ104" i="2" s="1"/>
  <c r="AJ95" i="2"/>
  <c r="AJ96" i="2" s="1"/>
  <c r="AJ97" i="2" s="1"/>
  <c r="AQ103" i="2"/>
  <c r="AQ104" i="2" s="1"/>
  <c r="F95" i="2"/>
  <c r="F96" i="2" s="1"/>
  <c r="F97" i="2" s="1"/>
  <c r="L98" i="2"/>
  <c r="U94" i="2"/>
  <c r="CC25" i="4"/>
  <c r="I131" i="3"/>
  <c r="I23" i="4"/>
  <c r="I44" i="4"/>
  <c r="I3" i="4"/>
  <c r="I142" i="3"/>
  <c r="I48" i="4"/>
  <c r="I3" i="3"/>
  <c r="I70" i="3"/>
  <c r="I92" i="3"/>
  <c r="I50" i="3"/>
  <c r="I106" i="2"/>
  <c r="I31" i="4"/>
  <c r="I76" i="2"/>
  <c r="I58" i="2"/>
  <c r="I47" i="2"/>
  <c r="I3" i="2"/>
  <c r="I93" i="2"/>
  <c r="J23" i="4"/>
  <c r="J44" i="4"/>
  <c r="J3" i="4"/>
  <c r="J142" i="3"/>
  <c r="J48" i="4"/>
  <c r="J70" i="3"/>
  <c r="J131" i="3"/>
  <c r="J92" i="3"/>
  <c r="J50" i="3"/>
  <c r="J106" i="2"/>
  <c r="J31" i="4"/>
  <c r="J58" i="2"/>
  <c r="J76" i="2"/>
  <c r="J47" i="2"/>
  <c r="J3" i="2"/>
  <c r="J93" i="2"/>
  <c r="J3" i="3"/>
  <c r="L142" i="3"/>
  <c r="L48" i="4"/>
  <c r="L31" i="4"/>
  <c r="L92" i="3"/>
  <c r="L3" i="4"/>
  <c r="L131" i="3"/>
  <c r="L106" i="2"/>
  <c r="L44" i="4"/>
  <c r="L23" i="4"/>
  <c r="L58" i="2"/>
  <c r="L50" i="3"/>
  <c r="L47" i="2"/>
  <c r="L3" i="2"/>
  <c r="L3" i="3"/>
  <c r="L70" i="3"/>
  <c r="L93" i="2"/>
  <c r="L76" i="2"/>
  <c r="BS134" i="3"/>
  <c r="BS65" i="3"/>
  <c r="E16" i="15" s="1"/>
  <c r="BY27" i="3"/>
  <c r="BY57" i="3"/>
  <c r="BY64" i="3" s="1"/>
  <c r="M15" i="15" s="1"/>
  <c r="BY83" i="3"/>
  <c r="BL27" i="3"/>
  <c r="BL26" i="3" s="1"/>
  <c r="BF59" i="2"/>
  <c r="BF19" i="2"/>
  <c r="BF41" i="2"/>
  <c r="BB8" i="2"/>
  <c r="BB9" i="2"/>
  <c r="BB23" i="11" s="1"/>
  <c r="Z121" i="3"/>
  <c r="Z122" i="3" s="1"/>
  <c r="V122" i="3"/>
  <c r="V123" i="3"/>
  <c r="BH135" i="3"/>
  <c r="BH146" i="3"/>
  <c r="U134" i="3"/>
  <c r="U65" i="3"/>
  <c r="U132" i="3" s="1"/>
  <c r="D51" i="3"/>
  <c r="D83" i="3"/>
  <c r="D27" i="3"/>
  <c r="D26" i="3" s="1"/>
  <c r="E96" i="2"/>
  <c r="E97" i="2" s="1"/>
  <c r="E83" i="3"/>
  <c r="BJ93" i="3"/>
  <c r="R123" i="3"/>
  <c r="AI11" i="2"/>
  <c r="AI68" i="2"/>
  <c r="AJ13" i="2"/>
  <c r="AJ68" i="2" s="1"/>
  <c r="R122" i="3"/>
  <c r="AN64" i="3"/>
  <c r="S55" i="3"/>
  <c r="T55" i="3"/>
  <c r="AP146" i="3"/>
  <c r="AP147" i="3" s="1"/>
  <c r="AP135" i="3"/>
  <c r="J134" i="3"/>
  <c r="J65" i="3"/>
  <c r="J41" i="3"/>
  <c r="J27" i="3" s="1"/>
  <c r="J26" i="3" s="1"/>
  <c r="BG135" i="3"/>
  <c r="BG146" i="3"/>
  <c r="Z83" i="3"/>
  <c r="Z51" i="3"/>
  <c r="Z27" i="3"/>
  <c r="Z26" i="3" s="1"/>
  <c r="AA96" i="2"/>
  <c r="AA97" i="2" s="1"/>
  <c r="AA83" i="3"/>
  <c r="AD71" i="2"/>
  <c r="AE38" i="2"/>
  <c r="BV68" i="2"/>
  <c r="BV66" i="2" s="1"/>
  <c r="BW13" i="2"/>
  <c r="BV93" i="3"/>
  <c r="BV96" i="3" s="1"/>
  <c r="AU37" i="4"/>
  <c r="AU38" i="4" s="1"/>
  <c r="AU36" i="4"/>
  <c r="AU42" i="4"/>
  <c r="BA114" i="2"/>
  <c r="BA116" i="2" s="1"/>
  <c r="BA118" i="2" s="1"/>
  <c r="BA115" i="2"/>
  <c r="BA117" i="2" s="1"/>
  <c r="AO13" i="2"/>
  <c r="AO68" i="2" s="1"/>
  <c r="AN68" i="2"/>
  <c r="E55" i="3"/>
  <c r="P18" i="2"/>
  <c r="AE95" i="2"/>
  <c r="AD98" i="2"/>
  <c r="BY101" i="3"/>
  <c r="BZ104" i="3" s="1"/>
  <c r="BY19" i="3"/>
  <c r="CC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AE101" i="3"/>
  <c r="AE104" i="3" s="1"/>
  <c r="AE5" i="3"/>
  <c r="AE4" i="3" s="1"/>
  <c r="AE140" i="3" s="1"/>
  <c r="BV19" i="3"/>
  <c r="W122" i="3"/>
  <c r="W123" i="3"/>
  <c r="AT107" i="3"/>
  <c r="AT108" i="3" s="1"/>
  <c r="AS108" i="3"/>
  <c r="BS71" i="2"/>
  <c r="BR5" i="3"/>
  <c r="BR4" i="3" s="1"/>
  <c r="BR140" i="3" s="1"/>
  <c r="AX19" i="3"/>
  <c r="AY19" i="3" s="1"/>
  <c r="AE62" i="2"/>
  <c r="AE20" i="2"/>
  <c r="BD54" i="3"/>
  <c r="BE55" i="3" s="1"/>
  <c r="BC55" i="3"/>
  <c r="AU81" i="3"/>
  <c r="AU82" i="3" s="1"/>
  <c r="AS121" i="3"/>
  <c r="AS78" i="3"/>
  <c r="AS81" i="3" s="1"/>
  <c r="AS82" i="3" s="1"/>
  <c r="BS87" i="3"/>
  <c r="BO87" i="3"/>
  <c r="BN56" i="3"/>
  <c r="BN88" i="3"/>
  <c r="BO25" i="2"/>
  <c r="AR121" i="3"/>
  <c r="AR78" i="3"/>
  <c r="AR81" i="3" s="1"/>
  <c r="AR82" i="3" s="1"/>
  <c r="AT64" i="2"/>
  <c r="AT78" i="3" s="1"/>
  <c r="AT81" i="3" s="1"/>
  <c r="AT82" i="3" s="1"/>
  <c r="AV42" i="4"/>
  <c r="AV36" i="4"/>
  <c r="AV37" i="4"/>
  <c r="AV38" i="4" s="1"/>
  <c r="BO140" i="3"/>
  <c r="AI101" i="3"/>
  <c r="AI104" i="3" s="1"/>
  <c r="AJ12" i="3"/>
  <c r="AI19" i="3"/>
  <c r="AJ19" i="3" s="1"/>
  <c r="C93" i="3"/>
  <c r="C5" i="3"/>
  <c r="C4" i="3" s="1"/>
  <c r="C139" i="3" s="1"/>
  <c r="C79" i="3"/>
  <c r="D79" i="3"/>
  <c r="L9" i="2"/>
  <c r="L8" i="2"/>
  <c r="F32" i="2"/>
  <c r="B21" i="2"/>
  <c r="B30" i="2"/>
  <c r="BN95" i="2"/>
  <c r="BN96" i="2" s="1"/>
  <c r="BN97" i="2" s="1"/>
  <c r="BM98" i="2"/>
  <c r="AF33" i="4"/>
  <c r="AJ14" i="4"/>
  <c r="AJ33" i="4" s="1"/>
  <c r="P83" i="3"/>
  <c r="P51" i="3"/>
  <c r="P27" i="3"/>
  <c r="P26" i="3" s="1"/>
  <c r="U83" i="3"/>
  <c r="BN134" i="3"/>
  <c r="BN65" i="3"/>
  <c r="P101" i="3"/>
  <c r="J121" i="3"/>
  <c r="J78" i="3"/>
  <c r="J81" i="3" s="1"/>
  <c r="J82" i="3" s="1"/>
  <c r="AG57" i="3"/>
  <c r="K20" i="2"/>
  <c r="AF146" i="3"/>
  <c r="AF147" i="3" s="1"/>
  <c r="AF135" i="3"/>
  <c r="BS101" i="3"/>
  <c r="AT31" i="2"/>
  <c r="Z62" i="2"/>
  <c r="AT71" i="2"/>
  <c r="G101" i="3"/>
  <c r="G19" i="3"/>
  <c r="G5" i="3" s="1"/>
  <c r="G4" i="3" s="1"/>
  <c r="G140" i="3" s="1"/>
  <c r="AU122" i="3"/>
  <c r="AU123" i="3"/>
  <c r="AB60" i="2"/>
  <c r="AB10" i="2"/>
  <c r="AB12" i="2"/>
  <c r="AB113" i="2" s="1"/>
  <c r="AB79" i="2"/>
  <c r="AV101" i="3"/>
  <c r="AV19" i="3"/>
  <c r="AV5" i="3" s="1"/>
  <c r="AV4" i="3" s="1"/>
  <c r="AV140" i="3" s="1"/>
  <c r="T69" i="2"/>
  <c r="U34" i="2"/>
  <c r="U69" i="2" s="1"/>
  <c r="AI108" i="3"/>
  <c r="AJ107" i="3"/>
  <c r="AJ108" i="3" s="1"/>
  <c r="AW68" i="2"/>
  <c r="AW66" i="2" s="1"/>
  <c r="AW11" i="2"/>
  <c r="AX13" i="2"/>
  <c r="AX68" i="2" s="1"/>
  <c r="AX66" i="2" s="1"/>
  <c r="BR35" i="4"/>
  <c r="BR4" i="2"/>
  <c r="BR21" i="11" s="1"/>
  <c r="BR19" i="11" s="1"/>
  <c r="O35" i="4"/>
  <c r="O111" i="2"/>
  <c r="O4" i="2"/>
  <c r="O8" i="2" s="1"/>
  <c r="AJ99" i="3"/>
  <c r="AJ20" i="2"/>
  <c r="U60" i="3"/>
  <c r="U61" i="3" s="1"/>
  <c r="Q61" i="3"/>
  <c r="Q63" i="3" s="1"/>
  <c r="U63" i="3" s="1"/>
  <c r="H146" i="3"/>
  <c r="H147" i="3" s="1"/>
  <c r="H135" i="3"/>
  <c r="BX112" i="3"/>
  <c r="BX113" i="3" s="1"/>
  <c r="BX53" i="3"/>
  <c r="BA146" i="3"/>
  <c r="BA135" i="3"/>
  <c r="I66" i="3"/>
  <c r="I64" i="3"/>
  <c r="AF101" i="3"/>
  <c r="AF19" i="3"/>
  <c r="AF5" i="3" s="1"/>
  <c r="AF4" i="3" s="1"/>
  <c r="BF121" i="3"/>
  <c r="BF78" i="3"/>
  <c r="BF81" i="3" s="1"/>
  <c r="BF82" i="3" s="1"/>
  <c r="BG64" i="2"/>
  <c r="BF32" i="2"/>
  <c r="U28" i="2"/>
  <c r="U29" i="2" s="1"/>
  <c r="J15" i="2"/>
  <c r="K14" i="2"/>
  <c r="K15" i="2" s="1"/>
  <c r="Q30" i="2"/>
  <c r="Q62" i="2"/>
  <c r="T31" i="2"/>
  <c r="T30" i="2" s="1"/>
  <c r="AP36" i="4"/>
  <c r="AP42" i="4"/>
  <c r="BM36" i="4"/>
  <c r="BN35" i="4"/>
  <c r="BN36" i="4" s="1"/>
  <c r="D122" i="3"/>
  <c r="D123" i="3"/>
  <c r="N55" i="3"/>
  <c r="M55" i="3"/>
  <c r="BB134" i="3"/>
  <c r="BB65" i="3"/>
  <c r="BB43" i="11" s="1"/>
  <c r="BB41" i="3"/>
  <c r="BK101" i="3"/>
  <c r="BK19" i="3"/>
  <c r="BK5" i="3" s="1"/>
  <c r="BK4" i="3" s="1"/>
  <c r="T64" i="3"/>
  <c r="T66" i="3"/>
  <c r="AA27" i="3"/>
  <c r="AA26" i="3" s="1"/>
  <c r="AA48" i="3" s="1"/>
  <c r="AM5" i="3"/>
  <c r="AM4" i="3" s="1"/>
  <c r="AM48" i="3" s="1"/>
  <c r="C66" i="3"/>
  <c r="C64" i="3"/>
  <c r="AL114" i="2"/>
  <c r="AL116" i="2" s="1"/>
  <c r="AL118" i="2" s="1"/>
  <c r="AL115" i="2"/>
  <c r="AL117" i="2" s="1"/>
  <c r="AU101" i="3"/>
  <c r="AU19" i="3"/>
  <c r="AU5" i="3" s="1"/>
  <c r="AU4" i="3" s="1"/>
  <c r="BD80" i="2"/>
  <c r="T71" i="2"/>
  <c r="U38" i="2"/>
  <c r="I113" i="2"/>
  <c r="I114" i="2" s="1"/>
  <c r="J11" i="2"/>
  <c r="M41" i="2"/>
  <c r="M59" i="2"/>
  <c r="R85" i="2" s="1"/>
  <c r="M16" i="2"/>
  <c r="M19" i="2"/>
  <c r="M22" i="2"/>
  <c r="O41" i="4"/>
  <c r="O80" i="2"/>
  <c r="P6" i="2"/>
  <c r="P80" i="2" s="1"/>
  <c r="AH134" i="3"/>
  <c r="AH41" i="3"/>
  <c r="AH65" i="3"/>
  <c r="AW146" i="3"/>
  <c r="AW147" i="3" s="1"/>
  <c r="AW135" i="3"/>
  <c r="AN134" i="3"/>
  <c r="AN65" i="3"/>
  <c r="AN132" i="3" s="1"/>
  <c r="AN41" i="3"/>
  <c r="BJ19" i="3"/>
  <c r="BJ5" i="3" s="1"/>
  <c r="BJ4" i="3" s="1"/>
  <c r="BJ140" i="3" s="1"/>
  <c r="AA146" i="3"/>
  <c r="AA147" i="3" s="1"/>
  <c r="AA135" i="3"/>
  <c r="AK113" i="2"/>
  <c r="AK114" i="2" s="1"/>
  <c r="AK111" i="2"/>
  <c r="BJ122" i="3"/>
  <c r="BJ123" i="3"/>
  <c r="O15" i="2"/>
  <c r="AX35" i="4"/>
  <c r="AX42" i="4" s="1"/>
  <c r="AX4" i="2"/>
  <c r="I101" i="3"/>
  <c r="BX71" i="2"/>
  <c r="P68" i="2"/>
  <c r="AN27" i="2"/>
  <c r="AC33" i="4"/>
  <c r="AE14" i="4"/>
  <c r="AE33" i="4" s="1"/>
  <c r="BA22" i="4"/>
  <c r="BD21" i="4"/>
  <c r="AO134" i="3"/>
  <c r="AO65" i="3"/>
  <c r="BQ83" i="3"/>
  <c r="BQ51" i="3"/>
  <c r="BQ132" i="3" s="1"/>
  <c r="BQ27" i="3"/>
  <c r="BQ26" i="3" s="1"/>
  <c r="BQ48" i="3" s="1"/>
  <c r="BQ103" i="2"/>
  <c r="BQ104" i="2" s="1"/>
  <c r="BQ96" i="2"/>
  <c r="BQ97" i="2" s="1"/>
  <c r="BR83" i="3"/>
  <c r="BR96" i="2"/>
  <c r="BR97" i="2" s="1"/>
  <c r="BJ111" i="2"/>
  <c r="BJ37" i="4"/>
  <c r="BJ38" i="4" s="1"/>
  <c r="BJ113" i="2"/>
  <c r="BJ114" i="2" s="1"/>
  <c r="M121" i="3"/>
  <c r="M78" i="3"/>
  <c r="M81" i="3" s="1"/>
  <c r="M82" i="3" s="1"/>
  <c r="N64" i="2"/>
  <c r="BM93" i="3"/>
  <c r="BQ68" i="2"/>
  <c r="BR13" i="2"/>
  <c r="BQ11" i="2"/>
  <c r="BQ24" i="11" s="1"/>
  <c r="Q9" i="2"/>
  <c r="Q22" i="2" s="1"/>
  <c r="Q8" i="2"/>
  <c r="CS20" i="4"/>
  <c r="CO20" i="4"/>
  <c r="CP20" i="4" s="1"/>
  <c r="CQ20" i="4" s="1"/>
  <c r="BB140" i="3"/>
  <c r="AR60" i="2"/>
  <c r="BD41" i="4"/>
  <c r="BO62" i="2"/>
  <c r="BO17" i="2"/>
  <c r="BJ51" i="3"/>
  <c r="BJ27" i="3"/>
  <c r="BJ26" i="3" s="1"/>
  <c r="BK83" i="3"/>
  <c r="BK96" i="2"/>
  <c r="BK97" i="2" s="1"/>
  <c r="BM108" i="3"/>
  <c r="BN107" i="3"/>
  <c r="BN108" i="3" s="1"/>
  <c r="X5" i="3"/>
  <c r="X4" i="3" s="1"/>
  <c r="X140" i="3" s="1"/>
  <c r="BK93" i="3"/>
  <c r="Z93" i="3"/>
  <c r="AA37" i="4"/>
  <c r="AA38" i="4" s="1"/>
  <c r="AA42" i="4"/>
  <c r="N9" i="2"/>
  <c r="N8" i="2"/>
  <c r="BU35" i="4"/>
  <c r="BU79" i="2"/>
  <c r="BU4" i="2"/>
  <c r="BU21" i="11" s="1"/>
  <c r="BV5" i="2"/>
  <c r="BW5" i="2" s="1"/>
  <c r="BF41" i="3"/>
  <c r="BF134" i="3"/>
  <c r="BF65" i="3"/>
  <c r="BF43" i="11" s="1"/>
  <c r="W101" i="3"/>
  <c r="W104" i="3" s="1"/>
  <c r="W19" i="3"/>
  <c r="W5" i="3" s="1"/>
  <c r="W4" i="3" s="1"/>
  <c r="AR55" i="3"/>
  <c r="AQ55" i="3"/>
  <c r="BW7" i="2"/>
  <c r="BX7" i="2" s="1"/>
  <c r="AB8" i="2"/>
  <c r="AB9" i="2"/>
  <c r="BM27" i="3"/>
  <c r="BM26" i="3" s="1"/>
  <c r="BM51" i="3"/>
  <c r="BM132" i="3" s="1"/>
  <c r="BM83" i="3"/>
  <c r="BA101" i="3"/>
  <c r="BA104" i="3" s="1"/>
  <c r="BA19" i="3"/>
  <c r="BA5" i="3" s="1"/>
  <c r="BA4" i="3" s="1"/>
  <c r="BT55" i="3"/>
  <c r="BS55" i="3"/>
  <c r="BN71" i="2"/>
  <c r="P7" i="2"/>
  <c r="BG36" i="4"/>
  <c r="BG37" i="4"/>
  <c r="BG38" i="4" s="1"/>
  <c r="BG42" i="4"/>
  <c r="AZ83" i="3"/>
  <c r="AZ51" i="3"/>
  <c r="AZ27" i="3"/>
  <c r="AZ26" i="3" s="1"/>
  <c r="AZ48" i="3" s="1"/>
  <c r="BA83" i="3"/>
  <c r="BA96" i="2"/>
  <c r="BA97" i="2" s="1"/>
  <c r="AK122" i="3"/>
  <c r="AK123" i="3"/>
  <c r="BE51" i="3"/>
  <c r="BE27" i="3"/>
  <c r="BE26" i="3" s="1"/>
  <c r="BF96" i="2"/>
  <c r="BF97" i="2" s="1"/>
  <c r="AJ71" i="2"/>
  <c r="C17" i="2"/>
  <c r="F23" i="2"/>
  <c r="K134" i="3"/>
  <c r="K65" i="3"/>
  <c r="U88" i="3"/>
  <c r="Z87" i="3"/>
  <c r="U56" i="3"/>
  <c r="U57" i="3" s="1"/>
  <c r="V87" i="3"/>
  <c r="V25" i="2"/>
  <c r="BA122" i="3"/>
  <c r="AZ61" i="3"/>
  <c r="AZ63" i="3" s="1"/>
  <c r="BD63" i="3" s="1"/>
  <c r="BD60" i="3"/>
  <c r="BD61" i="3" s="1"/>
  <c r="BR134" i="3"/>
  <c r="BR41" i="3"/>
  <c r="BR65" i="3"/>
  <c r="AY27" i="3"/>
  <c r="AY26" i="3" s="1"/>
  <c r="AZ96" i="2"/>
  <c r="AZ97" i="2" s="1"/>
  <c r="AY51" i="3"/>
  <c r="AZ103" i="2"/>
  <c r="AZ104" i="2" s="1"/>
  <c r="BW83" i="3"/>
  <c r="BW27" i="3"/>
  <c r="BW26" i="3" s="1"/>
  <c r="BW51" i="3"/>
  <c r="BW57" i="3" s="1"/>
  <c r="BO134" i="3"/>
  <c r="BO65" i="3"/>
  <c r="BO43" i="11" s="1"/>
  <c r="BO41" i="3"/>
  <c r="BH53" i="3"/>
  <c r="BI52" i="3"/>
  <c r="BI53" i="3" s="1"/>
  <c r="BN99" i="3"/>
  <c r="AA36" i="4"/>
  <c r="V16" i="2"/>
  <c r="AL36" i="4"/>
  <c r="AL42" i="4"/>
  <c r="AL37" i="4"/>
  <c r="AL38" i="4" s="1"/>
  <c r="AD64" i="3"/>
  <c r="AK8" i="2"/>
  <c r="AO4" i="2"/>
  <c r="AO8" i="2" s="1"/>
  <c r="AK9" i="2"/>
  <c r="AA23" i="2"/>
  <c r="AA17" i="2" s="1"/>
  <c r="AE24" i="2"/>
  <c r="AA25" i="2"/>
  <c r="AA67" i="2"/>
  <c r="AA66" i="2" s="1"/>
  <c r="AW36" i="4"/>
  <c r="AW37" i="4"/>
  <c r="AW38" i="4" s="1"/>
  <c r="AW42" i="4"/>
  <c r="R139" i="3"/>
  <c r="BU60" i="2"/>
  <c r="BU10" i="2"/>
  <c r="BU12" i="2"/>
  <c r="BU113" i="2" s="1"/>
  <c r="BP42" i="4"/>
  <c r="BP36" i="4"/>
  <c r="BP37" i="4"/>
  <c r="BP38" i="4" s="1"/>
  <c r="E103" i="2"/>
  <c r="E104" i="2" s="1"/>
  <c r="BS26" i="4"/>
  <c r="BS108" i="3" s="1"/>
  <c r="BR108" i="3"/>
  <c r="V134" i="3"/>
  <c r="V65" i="3"/>
  <c r="V132" i="3" s="1"/>
  <c r="V41" i="3"/>
  <c r="AJ88" i="3"/>
  <c r="AO87" i="3"/>
  <c r="AK87" i="3"/>
  <c r="AJ56" i="3"/>
  <c r="Q135" i="3"/>
  <c r="Q146" i="3"/>
  <c r="Q147" i="3" s="1"/>
  <c r="AL122" i="3"/>
  <c r="AL123" i="3"/>
  <c r="Q87" i="3"/>
  <c r="P88" i="3"/>
  <c r="P56" i="3"/>
  <c r="U87" i="3"/>
  <c r="T19" i="4"/>
  <c r="T17" i="4" s="1"/>
  <c r="T20" i="2" s="1"/>
  <c r="AW93" i="3"/>
  <c r="G115" i="2"/>
  <c r="G117" i="2" s="1"/>
  <c r="G112" i="2"/>
  <c r="X96" i="3"/>
  <c r="X39" i="2" s="1"/>
  <c r="BF60" i="2"/>
  <c r="BF12" i="2"/>
  <c r="BF113" i="2" s="1"/>
  <c r="BF10" i="2"/>
  <c r="BF16" i="2" s="1"/>
  <c r="BY112" i="2"/>
  <c r="AQ134" i="3"/>
  <c r="AQ65" i="3"/>
  <c r="AQ41" i="3"/>
  <c r="AQ27" i="3" s="1"/>
  <c r="AQ26" i="3" s="1"/>
  <c r="D113" i="2"/>
  <c r="D10" i="2"/>
  <c r="D12" i="2"/>
  <c r="D60" i="2"/>
  <c r="D61" i="2" s="1"/>
  <c r="D79" i="2"/>
  <c r="BY113" i="3"/>
  <c r="CF113" i="3" s="1"/>
  <c r="CG113" i="3" s="1"/>
  <c r="CI113" i="3" s="1"/>
  <c r="CJ113" i="3" s="1"/>
  <c r="CK113" i="3" s="1"/>
  <c r="CL113" i="3" s="1"/>
  <c r="CN113" i="3" s="1"/>
  <c r="CO113" i="3" s="1"/>
  <c r="CP113" i="3" s="1"/>
  <c r="CQ113" i="3" s="1"/>
  <c r="CS113" i="3" s="1"/>
  <c r="CT113" i="3" s="1"/>
  <c r="CU113" i="3" s="1"/>
  <c r="CV113" i="3" s="1"/>
  <c r="CX113" i="3" s="1"/>
  <c r="CY113" i="3" s="1"/>
  <c r="CZ113" i="3" s="1"/>
  <c r="DA113" i="3" s="1"/>
  <c r="Y71" i="2"/>
  <c r="AL62" i="2"/>
  <c r="X146" i="3"/>
  <c r="X147" i="3" s="1"/>
  <c r="N83" i="3"/>
  <c r="N51" i="3"/>
  <c r="N57" i="3" s="1"/>
  <c r="N27" i="3"/>
  <c r="N26" i="3" s="1"/>
  <c r="AT52" i="3"/>
  <c r="AT53" i="3" s="1"/>
  <c r="AS53" i="3"/>
  <c r="BI39" i="4"/>
  <c r="BI40" i="4" s="1"/>
  <c r="BE111" i="2"/>
  <c r="C19" i="4"/>
  <c r="C17" i="4" s="1"/>
  <c r="AF93" i="3"/>
  <c r="AG96" i="3" s="1"/>
  <c r="AG39" i="2" s="1"/>
  <c r="AA66" i="3"/>
  <c r="AA64" i="3"/>
  <c r="BL93" i="3"/>
  <c r="BT101" i="3"/>
  <c r="BT19" i="3"/>
  <c r="BT5" i="3" s="1"/>
  <c r="BT4" i="3" s="1"/>
  <c r="P71" i="2"/>
  <c r="K7" i="2"/>
  <c r="AI69" i="2"/>
  <c r="AJ34" i="2"/>
  <c r="AJ69" i="2" s="1"/>
  <c r="R60" i="2"/>
  <c r="R61" i="2" s="1"/>
  <c r="R10" i="2"/>
  <c r="Q11" i="2"/>
  <c r="R12" i="2"/>
  <c r="R113" i="2" s="1"/>
  <c r="W37" i="4"/>
  <c r="W38" i="4" s="1"/>
  <c r="W36" i="4"/>
  <c r="BG68" i="2"/>
  <c r="BG66" i="2" s="1"/>
  <c r="BH13" i="2"/>
  <c r="BI13" i="2" s="1"/>
  <c r="BG11" i="2"/>
  <c r="BG24" i="11" s="1"/>
  <c r="BG26" i="11" s="1"/>
  <c r="P134" i="3"/>
  <c r="P65" i="3"/>
  <c r="F111" i="2"/>
  <c r="E112" i="2"/>
  <c r="BI35" i="4"/>
  <c r="BI36" i="4" s="1"/>
  <c r="BE36" i="4"/>
  <c r="BR96" i="3"/>
  <c r="AG101" i="3"/>
  <c r="AH104" i="3" s="1"/>
  <c r="L21" i="2"/>
  <c r="O32" i="2"/>
  <c r="O30" i="2" s="1"/>
  <c r="P30" i="2" s="1"/>
  <c r="AK25" i="2"/>
  <c r="BW41" i="4"/>
  <c r="BW80" i="2"/>
  <c r="AC8" i="2"/>
  <c r="AC9" i="2"/>
  <c r="BO8" i="2"/>
  <c r="BO9" i="2"/>
  <c r="BW108" i="3"/>
  <c r="O108" i="3"/>
  <c r="AI96" i="2"/>
  <c r="AI97" i="2" s="1"/>
  <c r="K24" i="4"/>
  <c r="I24" i="4"/>
  <c r="AN108" i="3"/>
  <c r="AO107" i="3"/>
  <c r="AO108" i="3" s="1"/>
  <c r="BP146" i="3"/>
  <c r="BP135" i="3"/>
  <c r="Y113" i="3"/>
  <c r="AO28" i="3"/>
  <c r="I146" i="3"/>
  <c r="I147" i="3" s="1"/>
  <c r="I135" i="3"/>
  <c r="AK146" i="3"/>
  <c r="AK147" i="3" s="1"/>
  <c r="AK135" i="3"/>
  <c r="W113" i="3"/>
  <c r="T146" i="3"/>
  <c r="T147" i="3" s="1"/>
  <c r="T135" i="3"/>
  <c r="AI57" i="3"/>
  <c r="AS146" i="3"/>
  <c r="AS147" i="3" s="1"/>
  <c r="AS135" i="3"/>
  <c r="BE113" i="2"/>
  <c r="BE114" i="2" s="1"/>
  <c r="BK132" i="3"/>
  <c r="AZ146" i="3"/>
  <c r="AZ135" i="3"/>
  <c r="AT51" i="3"/>
  <c r="AU112" i="2"/>
  <c r="AY112" i="2" s="1"/>
  <c r="F132" i="3"/>
  <c r="BX55" i="3"/>
  <c r="Y64" i="3"/>
  <c r="Y66" i="3"/>
  <c r="K87" i="3"/>
  <c r="F88" i="3"/>
  <c r="G87" i="3"/>
  <c r="F56" i="3"/>
  <c r="F57" i="3" s="1"/>
  <c r="Y122" i="3"/>
  <c r="Y123" i="3"/>
  <c r="B135" i="3"/>
  <c r="B146" i="3"/>
  <c r="B147" i="3" s="1"/>
  <c r="X122" i="3"/>
  <c r="X123" i="3"/>
  <c r="H19" i="4"/>
  <c r="H17" i="4" s="1"/>
  <c r="AK93" i="3"/>
  <c r="AK5" i="3"/>
  <c r="AK4" i="3" s="1"/>
  <c r="B64" i="3"/>
  <c r="R135" i="3"/>
  <c r="R146" i="3"/>
  <c r="R147" i="3" s="1"/>
  <c r="O27" i="3"/>
  <c r="O26" i="3" s="1"/>
  <c r="AS64" i="3"/>
  <c r="AS66" i="3"/>
  <c r="M146" i="3"/>
  <c r="M147" i="3" s="1"/>
  <c r="M135" i="3"/>
  <c r="H35" i="4"/>
  <c r="H111" i="2"/>
  <c r="H79" i="2"/>
  <c r="H4" i="2"/>
  <c r="AD134" i="3"/>
  <c r="AD41" i="3"/>
  <c r="AD65" i="3"/>
  <c r="AD132" i="3" s="1"/>
  <c r="BY113" i="2"/>
  <c r="BY114" i="2" s="1"/>
  <c r="BN31" i="2"/>
  <c r="O132" i="3"/>
  <c r="AS32" i="2"/>
  <c r="AS30" i="2" s="1"/>
  <c r="AP21" i="2"/>
  <c r="AP30" i="2"/>
  <c r="AF9" i="2"/>
  <c r="AJ4" i="2"/>
  <c r="AJ8" i="2" s="1"/>
  <c r="AF8" i="2"/>
  <c r="BP60" i="2"/>
  <c r="BP10" i="2"/>
  <c r="BP12" i="2"/>
  <c r="BP113" i="2" s="1"/>
  <c r="BC35" i="4"/>
  <c r="BC42" i="4" s="1"/>
  <c r="BC4" i="2"/>
  <c r="BC21" i="11" s="1"/>
  <c r="BS5" i="2"/>
  <c r="AA59" i="2"/>
  <c r="AA19" i="2"/>
  <c r="AA16" i="2"/>
  <c r="AA41" i="2"/>
  <c r="AR94" i="3"/>
  <c r="AR59" i="2"/>
  <c r="AR22" i="2"/>
  <c r="AR19" i="2"/>
  <c r="AR41" i="2"/>
  <c r="AG61" i="2"/>
  <c r="AD35" i="4"/>
  <c r="AE35" i="4" s="1"/>
  <c r="AD4" i="2"/>
  <c r="AE4" i="2" s="1"/>
  <c r="AE8" i="2" s="1"/>
  <c r="BD99" i="3"/>
  <c r="AF57" i="3"/>
  <c r="AG27" i="2"/>
  <c r="BM146" i="3"/>
  <c r="BM135" i="3"/>
  <c r="R83" i="3"/>
  <c r="R51" i="3"/>
  <c r="S68" i="2"/>
  <c r="S66" i="2" s="1"/>
  <c r="S11" i="2"/>
  <c r="BE101" i="3"/>
  <c r="BE19" i="3"/>
  <c r="BE5" i="3" s="1"/>
  <c r="BE4" i="3" s="1"/>
  <c r="BE140" i="3" s="1"/>
  <c r="AU59" i="2"/>
  <c r="AU19" i="2"/>
  <c r="AU16" i="2"/>
  <c r="AU41" i="2"/>
  <c r="BE42" i="4"/>
  <c r="BW46" i="4"/>
  <c r="P108" i="3"/>
  <c r="R103" i="2"/>
  <c r="R104" i="2" s="1"/>
  <c r="AO55" i="3"/>
  <c r="CI143" i="3"/>
  <c r="CJ143" i="3" s="1"/>
  <c r="CK143" i="3" s="1"/>
  <c r="CL143" i="3" s="1"/>
  <c r="CH143" i="3"/>
  <c r="AB57" i="3"/>
  <c r="AC27" i="2"/>
  <c r="AB27" i="2"/>
  <c r="AX146" i="3"/>
  <c r="AX135" i="3"/>
  <c r="R19" i="4"/>
  <c r="R17" i="4" s="1"/>
  <c r="AU93" i="3"/>
  <c r="K63" i="3"/>
  <c r="S113" i="3"/>
  <c r="J83" i="3"/>
  <c r="J51" i="3"/>
  <c r="J57" i="3" s="1"/>
  <c r="BX87" i="3"/>
  <c r="BT87" i="3"/>
  <c r="BS56" i="3"/>
  <c r="BS88" i="3"/>
  <c r="BT25" i="2"/>
  <c r="F99" i="3"/>
  <c r="F93" i="3"/>
  <c r="G96" i="3" s="1"/>
  <c r="G39" i="2" s="1"/>
  <c r="BP113" i="3"/>
  <c r="D135" i="3"/>
  <c r="D146" i="3"/>
  <c r="D147" i="3" s="1"/>
  <c r="K64" i="2"/>
  <c r="K78" i="3" s="1"/>
  <c r="K81" i="3" s="1"/>
  <c r="K82" i="3" s="1"/>
  <c r="AA113" i="2"/>
  <c r="AA114" i="2" s="1"/>
  <c r="AG132" i="3"/>
  <c r="W21" i="4"/>
  <c r="W18" i="4"/>
  <c r="W14" i="4"/>
  <c r="W33" i="4" s="1"/>
  <c r="W20" i="2"/>
  <c r="O113" i="3"/>
  <c r="BG103" i="2"/>
  <c r="BG104" i="2" s="1"/>
  <c r="Y104" i="3"/>
  <c r="BF103" i="2"/>
  <c r="BF104" i="2" s="1"/>
  <c r="Y69" i="2"/>
  <c r="Z34" i="2"/>
  <c r="Z69" i="2" s="1"/>
  <c r="AS83" i="3"/>
  <c r="AY31" i="2"/>
  <c r="T15" i="2"/>
  <c r="U14" i="2"/>
  <c r="BR41" i="4"/>
  <c r="X37" i="4"/>
  <c r="X38" i="4" s="1"/>
  <c r="X36" i="4"/>
  <c r="AE134" i="3"/>
  <c r="AE65" i="3"/>
  <c r="BI50" i="2"/>
  <c r="BD20" i="2"/>
  <c r="O146" i="3"/>
  <c r="O147" i="3" s="1"/>
  <c r="O135" i="3"/>
  <c r="BN113" i="3"/>
  <c r="T21" i="2"/>
  <c r="BB104" i="3"/>
  <c r="X11" i="2"/>
  <c r="X68" i="2"/>
  <c r="X66" i="2" s="1"/>
  <c r="Y9" i="2"/>
  <c r="Y41" i="2" s="1"/>
  <c r="Y8" i="2"/>
  <c r="AP41" i="2"/>
  <c r="AP59" i="2"/>
  <c r="AP16" i="2"/>
  <c r="AP19" i="2"/>
  <c r="BT57" i="3"/>
  <c r="BL146" i="3"/>
  <c r="BL135" i="3"/>
  <c r="BL78" i="3"/>
  <c r="BL81" i="3" s="1"/>
  <c r="BL82" i="3" s="1"/>
  <c r="BL121" i="3"/>
  <c r="BL32" i="2"/>
  <c r="B37" i="4"/>
  <c r="F35" i="4"/>
  <c r="F42" i="4" s="1"/>
  <c r="X9" i="2"/>
  <c r="X8" i="2"/>
  <c r="W60" i="2"/>
  <c r="W12" i="2"/>
  <c r="W113" i="2" s="1"/>
  <c r="W10" i="2"/>
  <c r="Y146" i="3"/>
  <c r="Y147" i="3" s="1"/>
  <c r="Y135" i="3"/>
  <c r="W146" i="3"/>
  <c r="W147" i="3" s="1"/>
  <c r="W135" i="3"/>
  <c r="CC31" i="3"/>
  <c r="CC58" i="3" s="1"/>
  <c r="Z55" i="3"/>
  <c r="BB83" i="3"/>
  <c r="BB51" i="3"/>
  <c r="BB27" i="3"/>
  <c r="BB26" i="3" s="1"/>
  <c r="BB48" i="3" s="1"/>
  <c r="F108" i="3"/>
  <c r="BS63" i="3"/>
  <c r="AL146" i="3"/>
  <c r="AL147" i="3" s="1"/>
  <c r="AL135" i="3"/>
  <c r="AH115" i="2"/>
  <c r="AH117" i="2" s="1"/>
  <c r="BH132" i="3"/>
  <c r="J55" i="3"/>
  <c r="K54" i="3"/>
  <c r="AQ113" i="3"/>
  <c r="E132" i="3"/>
  <c r="AY107" i="3"/>
  <c r="AY108" i="3" s="1"/>
  <c r="AX108" i="3"/>
  <c r="C146" i="3"/>
  <c r="C147" i="3" s="1"/>
  <c r="C135" i="3"/>
  <c r="V27" i="2"/>
  <c r="BD113" i="3"/>
  <c r="BG101" i="3"/>
  <c r="BG104" i="3" s="1"/>
  <c r="BG19" i="3"/>
  <c r="BG5" i="3" s="1"/>
  <c r="BG4" i="3" s="1"/>
  <c r="BG140" i="3" s="1"/>
  <c r="I21" i="2"/>
  <c r="I30" i="2"/>
  <c r="J32" i="2"/>
  <c r="J30" i="2" s="1"/>
  <c r="BB68" i="2"/>
  <c r="BB66" i="2" s="1"/>
  <c r="BC13" i="2"/>
  <c r="BB11" i="2"/>
  <c r="BB24" i="11" s="1"/>
  <c r="BR64" i="3"/>
  <c r="AG121" i="3"/>
  <c r="AG78" i="3"/>
  <c r="AG81" i="3" s="1"/>
  <c r="AG82" i="3" s="1"/>
  <c r="AH64" i="2"/>
  <c r="AI64" i="2" s="1"/>
  <c r="BV121" i="3"/>
  <c r="BV78" i="3"/>
  <c r="BV81" i="3" s="1"/>
  <c r="BV82" i="3" s="1"/>
  <c r="BV32" i="2"/>
  <c r="AU146" i="3"/>
  <c r="AU147" i="3" s="1"/>
  <c r="AU135" i="3"/>
  <c r="BU21" i="2"/>
  <c r="BU28" i="11" s="1"/>
  <c r="I5" i="2"/>
  <c r="J5" i="2" s="1"/>
  <c r="BQ146" i="3"/>
  <c r="BQ135" i="3"/>
  <c r="M18" i="4"/>
  <c r="M21" i="4"/>
  <c r="M14" i="4"/>
  <c r="M33" i="4" s="1"/>
  <c r="M20" i="2"/>
  <c r="BU101" i="3"/>
  <c r="BU5" i="3"/>
  <c r="BU4" i="3" s="1"/>
  <c r="BU140" i="3" s="1"/>
  <c r="BP96" i="3"/>
  <c r="BP39" i="2" s="1"/>
  <c r="Q36" i="4"/>
  <c r="D66" i="2"/>
  <c r="BX6" i="2"/>
  <c r="BX80" i="2" s="1"/>
  <c r="AY80" i="2"/>
  <c r="AY15" i="2"/>
  <c r="AM79" i="2"/>
  <c r="BL66" i="3"/>
  <c r="BT59" i="2"/>
  <c r="BT41" i="2"/>
  <c r="BT19" i="2"/>
  <c r="BT16" i="2"/>
  <c r="BW15" i="2"/>
  <c r="BN27" i="3"/>
  <c r="BN51" i="3"/>
  <c r="AD108" i="3"/>
  <c r="AE107" i="3"/>
  <c r="AE108" i="3" s="1"/>
  <c r="AR93" i="3"/>
  <c r="O19" i="4"/>
  <c r="O17" i="4" s="1"/>
  <c r="AY60" i="3"/>
  <c r="AY61" i="3" s="1"/>
  <c r="AC27" i="3"/>
  <c r="AC26" i="3" s="1"/>
  <c r="K117" i="3"/>
  <c r="AS27" i="3"/>
  <c r="AS26" i="3" s="1"/>
  <c r="M115" i="2"/>
  <c r="M117" i="2" s="1"/>
  <c r="BA103" i="2"/>
  <c r="BA104" i="2" s="1"/>
  <c r="AB66" i="2"/>
  <c r="AS103" i="2"/>
  <c r="AS104" i="2" s="1"/>
  <c r="BN14" i="4"/>
  <c r="BN33" i="4" s="1"/>
  <c r="BK57" i="3"/>
  <c r="BL27" i="2"/>
  <c r="O64" i="3"/>
  <c r="O66" i="3"/>
  <c r="G146" i="3"/>
  <c r="G147" i="3" s="1"/>
  <c r="G135" i="3"/>
  <c r="BJ147" i="3"/>
  <c r="AG19" i="3"/>
  <c r="AG5" i="3" s="1"/>
  <c r="AG4" i="3" s="1"/>
  <c r="V93" i="3"/>
  <c r="V96" i="3" s="1"/>
  <c r="V39" i="2" s="1"/>
  <c r="V19" i="3"/>
  <c r="V5" i="3" s="1"/>
  <c r="V4" i="3" s="1"/>
  <c r="V140" i="3" s="1"/>
  <c r="AR135" i="3"/>
  <c r="AR146" i="3"/>
  <c r="AR147" i="3" s="1"/>
  <c r="L83" i="3"/>
  <c r="L27" i="3"/>
  <c r="L26" i="3" s="1"/>
  <c r="L51" i="3"/>
  <c r="AC101" i="3"/>
  <c r="AC19" i="3"/>
  <c r="AC5" i="3" s="1"/>
  <c r="AC4" i="3" s="1"/>
  <c r="AC140" i="3" s="1"/>
  <c r="AT99" i="3"/>
  <c r="AL55" i="3"/>
  <c r="E135" i="3"/>
  <c r="E146" i="3"/>
  <c r="E147" i="3" s="1"/>
  <c r="AP113" i="3"/>
  <c r="AP112" i="2"/>
  <c r="AU57" i="3"/>
  <c r="AV27" i="2"/>
  <c r="BP121" i="3"/>
  <c r="BP78" i="3"/>
  <c r="BP81" i="3" s="1"/>
  <c r="BP82" i="3" s="1"/>
  <c r="BP32" i="2"/>
  <c r="BQ64" i="2"/>
  <c r="L122" i="3"/>
  <c r="L123" i="3"/>
  <c r="AQ96" i="2"/>
  <c r="AQ97" i="2" s="1"/>
  <c r="BW146" i="3"/>
  <c r="BW135" i="3"/>
  <c r="BF79" i="2"/>
  <c r="T13" i="2"/>
  <c r="T68" i="2" s="1"/>
  <c r="AX67" i="3"/>
  <c r="AE83" i="3"/>
  <c r="AE51" i="3"/>
  <c r="AF96" i="2"/>
  <c r="AF97" i="2" s="1"/>
  <c r="BT122" i="3"/>
  <c r="BT123" i="3"/>
  <c r="W8" i="2"/>
  <c r="W9" i="2"/>
  <c r="BJ8" i="2"/>
  <c r="BJ9" i="2"/>
  <c r="BJ23" i="11" s="1"/>
  <c r="BU146" i="3"/>
  <c r="BU135" i="3"/>
  <c r="BM42" i="4"/>
  <c r="BN41" i="4"/>
  <c r="BD134" i="3"/>
  <c r="BD65" i="3"/>
  <c r="BD43" i="11" s="1"/>
  <c r="BT132" i="3"/>
  <c r="AQ21" i="2"/>
  <c r="AQ30" i="2"/>
  <c r="Y62" i="2"/>
  <c r="AP123" i="3"/>
  <c r="AP122" i="3"/>
  <c r="R79" i="2"/>
  <c r="T41" i="4"/>
  <c r="T80" i="2"/>
  <c r="U12" i="3"/>
  <c r="T101" i="3"/>
  <c r="T104" i="3" s="1"/>
  <c r="T19" i="3"/>
  <c r="U19" i="3" s="1"/>
  <c r="BN15" i="2"/>
  <c r="BE59" i="2"/>
  <c r="BE41" i="2"/>
  <c r="BE22" i="2"/>
  <c r="BE16" i="2"/>
  <c r="BE19" i="2"/>
  <c r="AW41" i="2"/>
  <c r="AW19" i="2"/>
  <c r="AW59" i="2"/>
  <c r="BO36" i="4"/>
  <c r="BL67" i="3"/>
  <c r="AE15" i="2"/>
  <c r="T132" i="3"/>
  <c r="AC135" i="3"/>
  <c r="AC146" i="3"/>
  <c r="AC147" i="3" s="1"/>
  <c r="L115" i="2"/>
  <c r="L117" i="2" s="1"/>
  <c r="L112" i="2"/>
  <c r="BE37" i="4"/>
  <c r="BE38" i="4" s="1"/>
  <c r="AE39" i="4"/>
  <c r="AE40" i="4" s="1"/>
  <c r="BY46" i="4"/>
  <c r="AA61" i="3"/>
  <c r="AA63" i="3" s="1"/>
  <c r="AE63" i="3" s="1"/>
  <c r="BV113" i="3"/>
  <c r="O83" i="3"/>
  <c r="AA55" i="3"/>
  <c r="AT113" i="3"/>
  <c r="AJ53" i="3"/>
  <c r="AP51" i="3"/>
  <c r="F112" i="3"/>
  <c r="F113" i="3" s="1"/>
  <c r="L135" i="3"/>
  <c r="L146" i="3"/>
  <c r="L147" i="3" s="1"/>
  <c r="BH27" i="3"/>
  <c r="BH26" i="3" s="1"/>
  <c r="BD53" i="3"/>
  <c r="AT88" i="3"/>
  <c r="AU87" i="3"/>
  <c r="AT56" i="3"/>
  <c r="AY87" i="3"/>
  <c r="AI83" i="3"/>
  <c r="AD113" i="3"/>
  <c r="BB121" i="3"/>
  <c r="BB78" i="3"/>
  <c r="BB81" i="3" s="1"/>
  <c r="BB82" i="3" s="1"/>
  <c r="BC64" i="2"/>
  <c r="BB32" i="2"/>
  <c r="BX50" i="2"/>
  <c r="I96" i="3"/>
  <c r="BG83" i="3"/>
  <c r="BG51" i="3"/>
  <c r="BG27" i="3"/>
  <c r="BG26" i="3" s="1"/>
  <c r="V113" i="2"/>
  <c r="V114" i="2" s="1"/>
  <c r="BC113" i="3"/>
  <c r="BF83" i="3"/>
  <c r="BF51" i="3"/>
  <c r="BW93" i="3"/>
  <c r="BY36" i="4"/>
  <c r="AX66" i="3"/>
  <c r="AR101" i="3"/>
  <c r="AR104" i="3" s="1"/>
  <c r="AR19" i="3"/>
  <c r="AR5" i="3" s="1"/>
  <c r="AR4" i="3" s="1"/>
  <c r="AR140" i="3" s="1"/>
  <c r="BN20" i="2"/>
  <c r="AE54" i="3"/>
  <c r="AD55" i="3"/>
  <c r="BE146" i="3"/>
  <c r="BE135" i="3"/>
  <c r="G9" i="2"/>
  <c r="G8" i="2"/>
  <c r="E9" i="2"/>
  <c r="E8" i="2"/>
  <c r="AT50" i="2"/>
  <c r="E68" i="2"/>
  <c r="E66" i="2" s="1"/>
  <c r="E11" i="2"/>
  <c r="BC134" i="3"/>
  <c r="BC65" i="3"/>
  <c r="BC43" i="11" s="1"/>
  <c r="BC41" i="3"/>
  <c r="BT135" i="3"/>
  <c r="BT146" i="3"/>
  <c r="U43" i="2"/>
  <c r="U72" i="2" s="1"/>
  <c r="U18" i="2"/>
  <c r="BM113" i="3"/>
  <c r="AS35" i="4"/>
  <c r="AT35" i="4" s="1"/>
  <c r="AS4" i="2"/>
  <c r="T108" i="3"/>
  <c r="U107" i="3"/>
  <c r="U108" i="3" s="1"/>
  <c r="G57" i="3"/>
  <c r="AM96" i="3"/>
  <c r="AM39" i="2" s="1"/>
  <c r="Z38" i="2"/>
  <c r="D98" i="3"/>
  <c r="D100" i="3"/>
  <c r="D95" i="3"/>
  <c r="BG59" i="2"/>
  <c r="BL85" i="2" s="1"/>
  <c r="BG19" i="2"/>
  <c r="BG41" i="2"/>
  <c r="AN59" i="2"/>
  <c r="AN19" i="2"/>
  <c r="N113" i="2"/>
  <c r="N60" i="2"/>
  <c r="N10" i="2"/>
  <c r="N12" i="2"/>
  <c r="BU66" i="2"/>
  <c r="BA8" i="2"/>
  <c r="BA9" i="2"/>
  <c r="BA23" i="11" s="1"/>
  <c r="AH61" i="2"/>
  <c r="AQ94" i="3"/>
  <c r="AQ59" i="2"/>
  <c r="AQ19" i="2"/>
  <c r="AQ16" i="2"/>
  <c r="AQ41" i="2"/>
  <c r="J41" i="4"/>
  <c r="J80" i="2"/>
  <c r="Z15" i="2"/>
  <c r="W57" i="3"/>
  <c r="X27" i="2"/>
  <c r="BI135" i="3"/>
  <c r="BI146" i="3"/>
  <c r="G27" i="2"/>
  <c r="BH37" i="4"/>
  <c r="BH38" i="4" s="1"/>
  <c r="CC4" i="4"/>
  <c r="Y27" i="2"/>
  <c r="BR103" i="2"/>
  <c r="BR104" i="2" s="1"/>
  <c r="AR36" i="4"/>
  <c r="CC54" i="3"/>
  <c r="CD55" i="3" s="1"/>
  <c r="BY55" i="3"/>
  <c r="BY132" i="3"/>
  <c r="M57" i="3"/>
  <c r="AS113" i="3"/>
  <c r="BU83" i="3"/>
  <c r="BU27" i="3"/>
  <c r="BU26" i="3" s="1"/>
  <c r="BU51" i="3"/>
  <c r="BV96" i="2"/>
  <c r="BV97" i="2" s="1"/>
  <c r="BU103" i="2"/>
  <c r="BU104" i="2" s="1"/>
  <c r="E101" i="3"/>
  <c r="E104" i="3" s="1"/>
  <c r="F12" i="3"/>
  <c r="E5" i="3"/>
  <c r="E4" i="3" s="1"/>
  <c r="E140" i="3" s="1"/>
  <c r="BH64" i="3"/>
  <c r="BH66" i="3"/>
  <c r="E19" i="4"/>
  <c r="E17" i="4" s="1"/>
  <c r="AH93" i="3"/>
  <c r="AH96" i="3" s="1"/>
  <c r="AH39" i="2" s="1"/>
  <c r="BK147" i="3"/>
  <c r="O19" i="3"/>
  <c r="P19" i="3" s="1"/>
  <c r="P5" i="3" s="1"/>
  <c r="P4" i="3" s="1"/>
  <c r="P140" i="3" s="1"/>
  <c r="AV132" i="3"/>
  <c r="V57" i="3"/>
  <c r="W27" i="2"/>
  <c r="BO81" i="3"/>
  <c r="BO82" i="3" s="1"/>
  <c r="F53" i="3"/>
  <c r="BM64" i="2"/>
  <c r="BY93" i="3"/>
  <c r="BZ96" i="3" s="1"/>
  <c r="AB93" i="3"/>
  <c r="AB96" i="3" s="1"/>
  <c r="AB39" i="2" s="1"/>
  <c r="AB19" i="3"/>
  <c r="AB5" i="3" s="1"/>
  <c r="AB4" i="3" s="1"/>
  <c r="AB140" i="3" s="1"/>
  <c r="BF55" i="3"/>
  <c r="M104" i="3"/>
  <c r="AW101" i="3"/>
  <c r="AS101" i="3"/>
  <c r="AS19" i="3"/>
  <c r="AT19" i="3" s="1"/>
  <c r="AT12" i="3"/>
  <c r="S121" i="3"/>
  <c r="S78" i="3"/>
  <c r="S81" i="3" s="1"/>
  <c r="S82" i="3" s="1"/>
  <c r="P50" i="2"/>
  <c r="J20" i="2"/>
  <c r="T64" i="2"/>
  <c r="BL19" i="3"/>
  <c r="Q83" i="3"/>
  <c r="Q51" i="3"/>
  <c r="Q132" i="3" s="1"/>
  <c r="BE132" i="3"/>
  <c r="N135" i="3"/>
  <c r="N146" i="3"/>
  <c r="N147" i="3" s="1"/>
  <c r="BU122" i="3"/>
  <c r="BU123" i="3"/>
  <c r="AU21" i="2"/>
  <c r="BF53" i="2"/>
  <c r="BV146" i="3"/>
  <c r="BV135" i="3"/>
  <c r="L25" i="2"/>
  <c r="AY20" i="2"/>
  <c r="BJ17" i="2"/>
  <c r="AT5" i="2"/>
  <c r="BH101" i="3"/>
  <c r="BH19" i="3"/>
  <c r="BI19" i="3" s="1"/>
  <c r="BI12" i="3"/>
  <c r="AA104" i="3"/>
  <c r="Y13" i="2"/>
  <c r="BP9" i="2"/>
  <c r="BP23" i="11" s="1"/>
  <c r="D21" i="2"/>
  <c r="D30" i="2"/>
  <c r="BD31" i="2"/>
  <c r="AB121" i="3"/>
  <c r="AB78" i="3"/>
  <c r="AB81" i="3" s="1"/>
  <c r="AB82" i="3" s="1"/>
  <c r="AC64" i="2"/>
  <c r="AD64" i="2" s="1"/>
  <c r="AC57" i="3"/>
  <c r="AR83" i="3"/>
  <c r="AR51" i="3"/>
  <c r="AR27" i="3"/>
  <c r="AR26" i="3" s="1"/>
  <c r="AM146" i="3"/>
  <c r="AM147" i="3" s="1"/>
  <c r="AM135" i="3"/>
  <c r="H121" i="3"/>
  <c r="H78" i="3"/>
  <c r="H81" i="3" s="1"/>
  <c r="H82" i="3" s="1"/>
  <c r="AO71" i="2"/>
  <c r="B8" i="2"/>
  <c r="F4" i="2"/>
  <c r="B39" i="2"/>
  <c r="B9" i="2"/>
  <c r="BR104" i="3"/>
  <c r="T35" i="4"/>
  <c r="T4" i="2"/>
  <c r="S9" i="2"/>
  <c r="S8" i="2"/>
  <c r="AV12" i="2"/>
  <c r="AV113" i="2" s="1"/>
  <c r="AV10" i="2"/>
  <c r="AV60" i="2"/>
  <c r="BQ35" i="4"/>
  <c r="BQ4" i="2"/>
  <c r="AN102" i="2"/>
  <c r="AN103" i="2" s="1"/>
  <c r="AN104" i="2" s="1"/>
  <c r="AN98" i="2"/>
  <c r="N66" i="2"/>
  <c r="AF37" i="4"/>
  <c r="AF111" i="2"/>
  <c r="AF113" i="2"/>
  <c r="AF114" i="2" s="1"/>
  <c r="BG93" i="3"/>
  <c r="BG96" i="3" s="1"/>
  <c r="BG39" i="2" s="1"/>
  <c r="K88" i="3"/>
  <c r="P87" i="3"/>
  <c r="L87" i="3"/>
  <c r="K56" i="3"/>
  <c r="AH83" i="3"/>
  <c r="AH51" i="3"/>
  <c r="AH27" i="2" s="1"/>
  <c r="AR103" i="2"/>
  <c r="AR104" i="2" s="1"/>
  <c r="H66" i="3"/>
  <c r="H64" i="3"/>
  <c r="AT20" i="2"/>
  <c r="V37" i="4"/>
  <c r="AA115" i="2"/>
  <c r="AA117" i="2" s="1"/>
  <c r="BO96" i="2"/>
  <c r="BO97" i="2" s="1"/>
  <c r="AU33" i="4"/>
  <c r="AY14" i="4"/>
  <c r="AY33" i="4" s="1"/>
  <c r="BL113" i="3"/>
  <c r="BN53" i="3"/>
  <c r="BX27" i="3"/>
  <c r="BX51" i="3"/>
  <c r="BX83" i="3"/>
  <c r="AK57" i="3"/>
  <c r="AK27" i="2"/>
  <c r="S135" i="3"/>
  <c r="S146" i="3"/>
  <c r="S147" i="3" s="1"/>
  <c r="AW83" i="3"/>
  <c r="AW27" i="3"/>
  <c r="AW26" i="3" s="1"/>
  <c r="AW51" i="3"/>
  <c r="AW132" i="3" s="1"/>
  <c r="J106" i="3"/>
  <c r="K105" i="3"/>
  <c r="K106" i="3" s="1"/>
  <c r="AV57" i="3"/>
  <c r="AX101" i="3"/>
  <c r="AY12" i="3"/>
  <c r="BO83" i="3"/>
  <c r="BO51" i="3"/>
  <c r="BP96" i="2"/>
  <c r="BP97" i="2" s="1"/>
  <c r="BC108" i="3"/>
  <c r="E106" i="3"/>
  <c r="F105" i="3"/>
  <c r="F106" i="3" s="1"/>
  <c r="BO112" i="2"/>
  <c r="BO115" i="2"/>
  <c r="BO117" i="2" s="1"/>
  <c r="BO55" i="3"/>
  <c r="Q101" i="3"/>
  <c r="Q19" i="3"/>
  <c r="BM101" i="3"/>
  <c r="BM104" i="3" s="1"/>
  <c r="BM19" i="3"/>
  <c r="BN19" i="3" s="1"/>
  <c r="BN12" i="3"/>
  <c r="BW101" i="3"/>
  <c r="BW104" i="3" s="1"/>
  <c r="BW5" i="3"/>
  <c r="BW4" i="3" s="1"/>
  <c r="BW140" i="3" s="1"/>
  <c r="BX12" i="3"/>
  <c r="AT63" i="3"/>
  <c r="AV135" i="3"/>
  <c r="AV146" i="3"/>
  <c r="AV147" i="3" s="1"/>
  <c r="Z107" i="3"/>
  <c r="Z108" i="3" s="1"/>
  <c r="Y108" i="3"/>
  <c r="Q96" i="3"/>
  <c r="Q39" i="2" s="1"/>
  <c r="C123" i="3"/>
  <c r="C122" i="3"/>
  <c r="AW19" i="3"/>
  <c r="X19" i="4"/>
  <c r="X17" i="4" s="1"/>
  <c r="BA93" i="3"/>
  <c r="BA96" i="3" s="1"/>
  <c r="BA39" i="2" s="1"/>
  <c r="BO122" i="3"/>
  <c r="BO123" i="3"/>
  <c r="BP83" i="3"/>
  <c r="BP51" i="3"/>
  <c r="BP132" i="3" s="1"/>
  <c r="BP27" i="3"/>
  <c r="BP26" i="3" s="1"/>
  <c r="BI87" i="3"/>
  <c r="BE87" i="3"/>
  <c r="BD56" i="3"/>
  <c r="BD88" i="3"/>
  <c r="S83" i="3"/>
  <c r="S51" i="3"/>
  <c r="S27" i="3"/>
  <c r="S26" i="3" s="1"/>
  <c r="BX93" i="3"/>
  <c r="BI93" i="3"/>
  <c r="AL9" i="2"/>
  <c r="AP94" i="3" s="1"/>
  <c r="AL8" i="2"/>
  <c r="AQ83" i="3"/>
  <c r="AQ51" i="3"/>
  <c r="BI20" i="2"/>
  <c r="BC83" i="3"/>
  <c r="BC51" i="3"/>
  <c r="BC57" i="3" s="1"/>
  <c r="BC27" i="3"/>
  <c r="BC26" i="3" s="1"/>
  <c r="K71" i="2"/>
  <c r="BQ41" i="4"/>
  <c r="BQ80" i="2"/>
  <c r="AV121" i="3"/>
  <c r="AV78" i="3"/>
  <c r="AV81" i="3" s="1"/>
  <c r="AV82" i="3" s="1"/>
  <c r="AW64" i="2"/>
  <c r="AV32" i="2"/>
  <c r="BQ66" i="2"/>
  <c r="K101" i="3"/>
  <c r="L104" i="3" s="1"/>
  <c r="AC68" i="2"/>
  <c r="AC66" i="2" s="1"/>
  <c r="AC11" i="2"/>
  <c r="BD101" i="3"/>
  <c r="U6" i="2"/>
  <c r="AV59" i="2"/>
  <c r="AV41" i="2"/>
  <c r="AV19" i="2"/>
  <c r="BH108" i="3"/>
  <c r="BI107" i="3"/>
  <c r="BI108" i="3" s="1"/>
  <c r="H19" i="3"/>
  <c r="I79" i="3" s="1"/>
  <c r="H101" i="3"/>
  <c r="H104" i="3" s="1"/>
  <c r="AN37" i="4"/>
  <c r="AN38" i="4" s="1"/>
  <c r="AN36" i="4"/>
  <c r="BP79" i="2"/>
  <c r="BD71" i="2"/>
  <c r="BA36" i="4"/>
  <c r="BA37" i="4"/>
  <c r="BA38" i="4" s="1"/>
  <c r="H25" i="2"/>
  <c r="H67" i="2"/>
  <c r="H66" i="2" s="1"/>
  <c r="AZ17" i="2"/>
  <c r="Z67" i="2"/>
  <c r="Z25" i="2"/>
  <c r="BI96" i="2"/>
  <c r="BI97" i="2" s="1"/>
  <c r="BI98" i="2"/>
  <c r="CZ20" i="2"/>
  <c r="BO103" i="2"/>
  <c r="BO104" i="2" s="1"/>
  <c r="BS102" i="2"/>
  <c r="BS103" i="2" s="1"/>
  <c r="BS104" i="2" s="1"/>
  <c r="AL17" i="2"/>
  <c r="Q38" i="4"/>
  <c r="J67" i="2"/>
  <c r="J25" i="2"/>
  <c r="K24" i="2"/>
  <c r="BM96" i="2"/>
  <c r="BM97" i="2" s="1"/>
  <c r="BM102" i="2"/>
  <c r="BM103" i="2" s="1"/>
  <c r="BM104" i="2" s="1"/>
  <c r="AT25" i="2"/>
  <c r="AT67" i="2"/>
  <c r="AT66" i="2" s="1"/>
  <c r="I27" i="2"/>
  <c r="I68" i="2"/>
  <c r="I66" i="2" s="1"/>
  <c r="I95" i="2"/>
  <c r="J26" i="2"/>
  <c r="K26" i="2" s="1"/>
  <c r="AE68" i="2"/>
  <c r="AE27" i="2"/>
  <c r="T96" i="2"/>
  <c r="T97" i="2" s="1"/>
  <c r="T102" i="2"/>
  <c r="T103" i="2" s="1"/>
  <c r="T104" i="2" s="1"/>
  <c r="AK103" i="2"/>
  <c r="AK104" i="2" s="1"/>
  <c r="CS20" i="2"/>
  <c r="L38" i="4"/>
  <c r="BK103" i="2"/>
  <c r="BK104" i="2" s="1"/>
  <c r="O96" i="2"/>
  <c r="O97" i="2" s="1"/>
  <c r="O102" i="2"/>
  <c r="O103" i="2" s="1"/>
  <c r="O104" i="2" s="1"/>
  <c r="BC25" i="2"/>
  <c r="BD24" i="2"/>
  <c r="BD31" i="11" s="1"/>
  <c r="BD30" i="11" s="1"/>
  <c r="BC67" i="2"/>
  <c r="BC23" i="2"/>
  <c r="L17" i="2"/>
  <c r="BS67" i="2"/>
  <c r="BS25" i="2"/>
  <c r="AG67" i="2"/>
  <c r="AG66" i="2" s="1"/>
  <c r="AG23" i="2"/>
  <c r="AG25" i="2"/>
  <c r="AJ24" i="2"/>
  <c r="AK38" i="4"/>
  <c r="BX96" i="2"/>
  <c r="BX97" i="2" s="1"/>
  <c r="BX98" i="2"/>
  <c r="BS23" i="2"/>
  <c r="BV46" i="4"/>
  <c r="O98" i="2"/>
  <c r="P53" i="2"/>
  <c r="AZ38" i="4"/>
  <c r="BW102" i="2"/>
  <c r="BW96" i="2"/>
  <c r="BW97" i="2" s="1"/>
  <c r="BW98" i="2"/>
  <c r="BD98" i="2"/>
  <c r="BD96" i="2"/>
  <c r="BD97" i="2" s="1"/>
  <c r="Z27" i="2"/>
  <c r="BH102" i="2"/>
  <c r="BH103" i="2" s="1"/>
  <c r="BH104" i="2" s="1"/>
  <c r="BH96" i="2"/>
  <c r="BH97" i="2" s="1"/>
  <c r="BH98" i="2"/>
  <c r="U53" i="2"/>
  <c r="AD96" i="2"/>
  <c r="AD97" i="2" s="1"/>
  <c r="AD102" i="2"/>
  <c r="AD103" i="2" s="1"/>
  <c r="AD104" i="2" s="1"/>
  <c r="BT38" i="4"/>
  <c r="AG103" i="2"/>
  <c r="AG104" i="2" s="1"/>
  <c r="T98" i="2"/>
  <c r="Q102" i="2"/>
  <c r="U95" i="2"/>
  <c r="U96" i="2" s="1"/>
  <c r="U97" i="2" s="1"/>
  <c r="Q96" i="2"/>
  <c r="Q97" i="2" s="1"/>
  <c r="Y102" i="2"/>
  <c r="Y96" i="2"/>
  <c r="Y97" i="2" s="1"/>
  <c r="Z95" i="2"/>
  <c r="Y98" i="2"/>
  <c r="AY23" i="2"/>
  <c r="BX25" i="2"/>
  <c r="BX67" i="2"/>
  <c r="V17" i="2"/>
  <c r="BY26" i="4"/>
  <c r="BY108" i="3" s="1"/>
  <c r="BC96" i="2"/>
  <c r="BC97" i="2" s="1"/>
  <c r="BC102" i="2"/>
  <c r="BC103" i="2" s="1"/>
  <c r="BC104" i="2" s="1"/>
  <c r="BC98" i="2"/>
  <c r="D102" i="2"/>
  <c r="D103" i="2" s="1"/>
  <c r="D104" i="2" s="1"/>
  <c r="D96" i="2"/>
  <c r="D97" i="2" s="1"/>
  <c r="BI23" i="2"/>
  <c r="H102" i="2"/>
  <c r="H96" i="2"/>
  <c r="H97" i="2" s="1"/>
  <c r="H98" i="2"/>
  <c r="BY103" i="2"/>
  <c r="BY104" i="2" s="1"/>
  <c r="AT102" i="2"/>
  <c r="AT103" i="2" s="1"/>
  <c r="AT104" i="2" s="1"/>
  <c r="Q25" i="2"/>
  <c r="U24" i="2"/>
  <c r="Q23" i="2"/>
  <c r="Q67" i="2"/>
  <c r="Q66" i="2" s="1"/>
  <c r="O25" i="2"/>
  <c r="O67" i="2"/>
  <c r="O66" i="2" s="1"/>
  <c r="O23" i="2"/>
  <c r="P23" i="2" s="1"/>
  <c r="L103" i="2"/>
  <c r="L104" i="2" s="1"/>
  <c r="BI67" i="2"/>
  <c r="BI25" i="2"/>
  <c r="AA103" i="2"/>
  <c r="AA104" i="2" s="1"/>
  <c r="C103" i="2"/>
  <c r="C104" i="2" s="1"/>
  <c r="Y67" i="2"/>
  <c r="Y25" i="2"/>
  <c r="Y23" i="2"/>
  <c r="Y17" i="2" s="1"/>
  <c r="CC28" i="4"/>
  <c r="AX102" i="2"/>
  <c r="AX96" i="2"/>
  <c r="AX97" i="2" s="1"/>
  <c r="AY95" i="2"/>
  <c r="BN25" i="2"/>
  <c r="BN67" i="2"/>
  <c r="F67" i="2"/>
  <c r="F66" i="2" s="1"/>
  <c r="F25" i="2"/>
  <c r="AY67" i="2"/>
  <c r="AY25" i="2"/>
  <c r="P24" i="2"/>
  <c r="P95" i="2"/>
  <c r="P96" i="2" s="1"/>
  <c r="P97" i="2" s="1"/>
  <c r="CL118" i="2" l="1"/>
  <c r="BX135" i="3"/>
  <c r="BO116" i="2"/>
  <c r="BO118" i="2" s="1"/>
  <c r="AF20" i="4"/>
  <c r="AQ96" i="3"/>
  <c r="AQ39" i="2" s="1"/>
  <c r="AL132" i="3"/>
  <c r="CF4" i="11"/>
  <c r="AY132" i="3"/>
  <c r="C16" i="15"/>
  <c r="CJ21" i="2"/>
  <c r="CO21" i="2" s="1"/>
  <c r="AN21" i="2"/>
  <c r="BD4" i="2"/>
  <c r="CJ11" i="3"/>
  <c r="CK11" i="3" s="1"/>
  <c r="CL11" i="3" s="1"/>
  <c r="CM11" i="3" s="1"/>
  <c r="AZ96" i="3"/>
  <c r="AZ39" i="2" s="1"/>
  <c r="AJ146" i="3"/>
  <c r="AJ147" i="3" s="1"/>
  <c r="AN5" i="3"/>
  <c r="AN4" i="3" s="1"/>
  <c r="AN140" i="3" s="1"/>
  <c r="L96" i="2"/>
  <c r="L97" i="2" s="1"/>
  <c r="BT103" i="2"/>
  <c r="BT104" i="2" s="1"/>
  <c r="K51" i="3"/>
  <c r="BS83" i="3"/>
  <c r="BS51" i="3"/>
  <c r="BT27" i="2" s="1"/>
  <c r="AL96" i="3"/>
  <c r="AL39" i="2" s="1"/>
  <c r="BT83" i="3"/>
  <c r="AQ115" i="2"/>
  <c r="AQ117" i="2" s="1"/>
  <c r="AN30" i="2"/>
  <c r="AO30" i="2" s="1"/>
  <c r="F146" i="3"/>
  <c r="F147" i="3" s="1"/>
  <c r="AM122" i="3"/>
  <c r="AO93" i="3"/>
  <c r="BE83" i="3"/>
  <c r="AB135" i="3"/>
  <c r="X64" i="3"/>
  <c r="D139" i="3"/>
  <c r="BC5" i="3"/>
  <c r="BC4" i="3" s="1"/>
  <c r="BC140" i="3" s="1"/>
  <c r="BD83" i="3"/>
  <c r="BV132" i="3"/>
  <c r="BV66" i="3"/>
  <c r="AI27" i="3"/>
  <c r="AI26" i="3" s="1"/>
  <c r="BE103" i="2"/>
  <c r="BE104" i="2" s="1"/>
  <c r="AJ42" i="4"/>
  <c r="BY23" i="11"/>
  <c r="CB123" i="3"/>
  <c r="CB122" i="3"/>
  <c r="BM68" i="2"/>
  <c r="BM66" i="2" s="1"/>
  <c r="CB36" i="4"/>
  <c r="CB37" i="4"/>
  <c r="CB38" i="4" s="1"/>
  <c r="CB42" i="4"/>
  <c r="BM8" i="2"/>
  <c r="BM9" i="2"/>
  <c r="BM23" i="11" s="1"/>
  <c r="BM22" i="11" s="1"/>
  <c r="BN4" i="2"/>
  <c r="U80" i="2"/>
  <c r="CB60" i="2"/>
  <c r="CB24" i="11"/>
  <c r="CB79" i="2"/>
  <c r="AZ62" i="2"/>
  <c r="AH10" i="2"/>
  <c r="AH16" i="2" s="1"/>
  <c r="AH78" i="2" s="1"/>
  <c r="AT135" i="3"/>
  <c r="CB12" i="2"/>
  <c r="CB113" i="2" s="1"/>
  <c r="CB10" i="2"/>
  <c r="AM10" i="2"/>
  <c r="AM16" i="2" s="1"/>
  <c r="BJ103" i="2"/>
  <c r="BJ104" i="2" s="1"/>
  <c r="AU103" i="2"/>
  <c r="AU104" i="2" s="1"/>
  <c r="BJ96" i="2"/>
  <c r="BJ97" i="2" s="1"/>
  <c r="BI27" i="3"/>
  <c r="BN83" i="3"/>
  <c r="BI51" i="3"/>
  <c r="BI57" i="3" s="1"/>
  <c r="M48" i="3"/>
  <c r="N79" i="3"/>
  <c r="AU83" i="3"/>
  <c r="AY83" i="3"/>
  <c r="BW32" i="2"/>
  <c r="BW30" i="2" s="1"/>
  <c r="AU96" i="2"/>
  <c r="AU97" i="2" s="1"/>
  <c r="BA64" i="3"/>
  <c r="BA67" i="3" s="1"/>
  <c r="AR10" i="2"/>
  <c r="AR16" i="2" s="1"/>
  <c r="AO27" i="2"/>
  <c r="AM27" i="2"/>
  <c r="AL57" i="3"/>
  <c r="AL27" i="2"/>
  <c r="AZ35" i="2"/>
  <c r="AZ37" i="2" s="1"/>
  <c r="S20" i="2"/>
  <c r="AW96" i="3"/>
  <c r="AW39" i="2" s="1"/>
  <c r="AP115" i="2"/>
  <c r="AP117" i="2" s="1"/>
  <c r="S14" i="4"/>
  <c r="S33" i="4" s="1"/>
  <c r="AV96" i="3"/>
  <c r="AV39" i="2" s="1"/>
  <c r="AQ48" i="3"/>
  <c r="AR79" i="2"/>
  <c r="AS11" i="2"/>
  <c r="AS79" i="2" s="1"/>
  <c r="AX27" i="3"/>
  <c r="AX26" i="3" s="1"/>
  <c r="V19" i="4"/>
  <c r="BR80" i="2"/>
  <c r="AI37" i="4"/>
  <c r="AI38" i="4" s="1"/>
  <c r="BS93" i="3"/>
  <c r="BX96" i="3" s="1"/>
  <c r="BS5" i="3"/>
  <c r="BS4" i="3" s="1"/>
  <c r="AI42" i="4"/>
  <c r="AO36" i="4"/>
  <c r="AM12" i="2"/>
  <c r="AM113" i="2" s="1"/>
  <c r="AM115" i="2" s="1"/>
  <c r="AM117" i="2" s="1"/>
  <c r="I33" i="9"/>
  <c r="M33" i="9" s="1"/>
  <c r="AM60" i="2"/>
  <c r="AM61" i="2" s="1"/>
  <c r="BS57" i="3"/>
  <c r="N48" i="3"/>
  <c r="H17" i="2"/>
  <c r="BH11" i="2"/>
  <c r="BH24" i="11" s="1"/>
  <c r="AG135" i="3"/>
  <c r="J5" i="3"/>
  <c r="J4" i="3" s="1"/>
  <c r="J140" i="3" s="1"/>
  <c r="AI135" i="3"/>
  <c r="BS14" i="2"/>
  <c r="BS15" i="2" s="1"/>
  <c r="AL48" i="3"/>
  <c r="BL79" i="3"/>
  <c r="BE96" i="2"/>
  <c r="BE97" i="2" s="1"/>
  <c r="Z4" i="2"/>
  <c r="Z8" i="2" s="1"/>
  <c r="BY62" i="2"/>
  <c r="BI83" i="3"/>
  <c r="AM79" i="3"/>
  <c r="L48" i="3"/>
  <c r="BK85" i="2"/>
  <c r="CP21" i="2"/>
  <c r="AI36" i="4"/>
  <c r="BL96" i="3"/>
  <c r="BL39" i="2" s="1"/>
  <c r="AJ132" i="3"/>
  <c r="BQ79" i="3"/>
  <c r="BI25" i="11"/>
  <c r="BI68" i="2"/>
  <c r="P27" i="2"/>
  <c r="BL10" i="2"/>
  <c r="BL16" i="2" s="1"/>
  <c r="I10" i="2"/>
  <c r="BW79" i="3"/>
  <c r="BL60" i="2"/>
  <c r="BL61" i="2" s="1"/>
  <c r="AL79" i="3"/>
  <c r="AO121" i="3"/>
  <c r="AO122" i="3" s="1"/>
  <c r="CC16" i="11"/>
  <c r="CC4" i="11"/>
  <c r="AJ57" i="3"/>
  <c r="AJ64" i="3" s="1"/>
  <c r="BW78" i="3"/>
  <c r="BW81" i="3" s="1"/>
  <c r="BW82" i="3" s="1"/>
  <c r="BS96" i="2"/>
  <c r="BS97" i="2" s="1"/>
  <c r="BW121" i="3"/>
  <c r="BX121" i="3" s="1"/>
  <c r="BX122" i="3" s="1"/>
  <c r="BY82" i="3"/>
  <c r="M17" i="15"/>
  <c r="Z42" i="4"/>
  <c r="BP48" i="3"/>
  <c r="BN26" i="3"/>
  <c r="D26" i="15"/>
  <c r="AO64" i="2"/>
  <c r="AO78" i="3" s="1"/>
  <c r="AO81" i="3" s="1"/>
  <c r="AO82" i="3" s="1"/>
  <c r="BI26" i="3"/>
  <c r="C26" i="15"/>
  <c r="AY55" i="3"/>
  <c r="CA62" i="2"/>
  <c r="CA22" i="2"/>
  <c r="CA17" i="2"/>
  <c r="BX82" i="3"/>
  <c r="F17" i="15"/>
  <c r="BX26" i="3"/>
  <c r="F26" i="15"/>
  <c r="BH8" i="2"/>
  <c r="AU115" i="2"/>
  <c r="AU117" i="2" s="1"/>
  <c r="AN78" i="3"/>
  <c r="AN81" i="3" s="1"/>
  <c r="AN82" i="3" s="1"/>
  <c r="BY26" i="3"/>
  <c r="M26" i="15"/>
  <c r="CA60" i="2"/>
  <c r="CA12" i="2"/>
  <c r="CA113" i="2" s="1"/>
  <c r="CA10" i="2"/>
  <c r="CA79" i="2"/>
  <c r="BH9" i="2"/>
  <c r="BK94" i="3" s="1"/>
  <c r="AU116" i="2"/>
  <c r="AU118" i="2" s="1"/>
  <c r="AT55" i="3"/>
  <c r="BZ23" i="11"/>
  <c r="BZ26" i="11" s="1"/>
  <c r="BX43" i="11"/>
  <c r="F16" i="15"/>
  <c r="BS35" i="4"/>
  <c r="BS36" i="4" s="1"/>
  <c r="BR8" i="2"/>
  <c r="BD35" i="4"/>
  <c r="BD36" i="4" s="1"/>
  <c r="BN43" i="11"/>
  <c r="D16" i="15"/>
  <c r="AZ59" i="2"/>
  <c r="AZ85" i="2" s="1"/>
  <c r="BH21" i="11"/>
  <c r="S79" i="3"/>
  <c r="S48" i="3"/>
  <c r="CA59" i="2"/>
  <c r="CA19" i="2"/>
  <c r="CA41" i="2"/>
  <c r="D5" i="9"/>
  <c r="AY135" i="3"/>
  <c r="BX132" i="3"/>
  <c r="BY17" i="2"/>
  <c r="Y22" i="2"/>
  <c r="Z135" i="3"/>
  <c r="S21" i="4"/>
  <c r="BG41" i="11"/>
  <c r="BC68" i="2"/>
  <c r="BC66" i="2" s="1"/>
  <c r="BC25" i="11"/>
  <c r="BD8" i="2"/>
  <c r="BD21" i="11"/>
  <c r="P32" i="2"/>
  <c r="BV10" i="2"/>
  <c r="BV24" i="11"/>
  <c r="BI8" i="2"/>
  <c r="BI21" i="11"/>
  <c r="BB34" i="11"/>
  <c r="BB33" i="11"/>
  <c r="BV34" i="11"/>
  <c r="BV33" i="11"/>
  <c r="BH68" i="2"/>
  <c r="BH66" i="2" s="1"/>
  <c r="BH25" i="11"/>
  <c r="BU19" i="11"/>
  <c r="BF34" i="11"/>
  <c r="BF33" i="11"/>
  <c r="BY22" i="11"/>
  <c r="BY26" i="11"/>
  <c r="BF41" i="11"/>
  <c r="V115" i="2"/>
  <c r="V117" i="2" s="1"/>
  <c r="BZ28" i="11"/>
  <c r="BH104" i="3"/>
  <c r="BX13" i="2"/>
  <c r="BW25" i="11"/>
  <c r="BT28" i="11"/>
  <c r="BT29" i="11" s="1"/>
  <c r="BT36" i="11" s="1"/>
  <c r="BT39" i="11" s="1"/>
  <c r="BT22" i="2"/>
  <c r="BT62" i="2"/>
  <c r="BL12" i="2"/>
  <c r="BL113" i="2" s="1"/>
  <c r="BL24" i="11"/>
  <c r="BL26" i="11" s="1"/>
  <c r="BY28" i="11"/>
  <c r="BP34" i="11"/>
  <c r="BP33" i="11"/>
  <c r="BO22" i="2"/>
  <c r="BO23" i="11"/>
  <c r="BR132" i="3"/>
  <c r="BR43" i="11"/>
  <c r="BK41" i="11"/>
  <c r="BK29" i="11"/>
  <c r="BK36" i="11" s="1"/>
  <c r="BK39" i="11" s="1"/>
  <c r="BA28" i="11"/>
  <c r="BA62" i="2"/>
  <c r="BN8" i="2"/>
  <c r="BN21" i="11"/>
  <c r="AG114" i="2"/>
  <c r="AG116" i="2" s="1"/>
  <c r="AG118" i="2" s="1"/>
  <c r="AG115" i="2"/>
  <c r="AG117" i="2" s="1"/>
  <c r="BP26" i="11"/>
  <c r="BP22" i="11"/>
  <c r="BJ26" i="11"/>
  <c r="BJ22" i="11"/>
  <c r="BB26" i="11"/>
  <c r="BS132" i="3"/>
  <c r="BS43" i="11"/>
  <c r="BE26" i="11"/>
  <c r="BE22" i="11"/>
  <c r="BA17" i="2"/>
  <c r="BQ8" i="2"/>
  <c r="BQ21" i="11"/>
  <c r="BQ19" i="11" s="1"/>
  <c r="BN68" i="2"/>
  <c r="BN66" i="2" s="1"/>
  <c r="BN25" i="11"/>
  <c r="AZ19" i="2"/>
  <c r="AZ23" i="11"/>
  <c r="BB22" i="11"/>
  <c r="BT41" i="11"/>
  <c r="BL34" i="11"/>
  <c r="BL33" i="11"/>
  <c r="BR68" i="2"/>
  <c r="BR66" i="2" s="1"/>
  <c r="BR25" i="11"/>
  <c r="AZ115" i="2"/>
  <c r="AZ117" i="2" s="1"/>
  <c r="BA22" i="11"/>
  <c r="BA26" i="11"/>
  <c r="BM11" i="2"/>
  <c r="BM25" i="11"/>
  <c r="CA6" i="11"/>
  <c r="CC5" i="11"/>
  <c r="AG104" i="3"/>
  <c r="CC5" i="4"/>
  <c r="BT114" i="2"/>
  <c r="BT116" i="2" s="1"/>
  <c r="BT118" i="2" s="1"/>
  <c r="AX104" i="3"/>
  <c r="AE93" i="3"/>
  <c r="AF96" i="3" s="1"/>
  <c r="AF39" i="2" s="1"/>
  <c r="B19" i="4"/>
  <c r="B17" i="4" s="1"/>
  <c r="B14" i="4" s="1"/>
  <c r="Y11" i="2"/>
  <c r="Z11" i="2" s="1"/>
  <c r="Q128" i="3"/>
  <c r="Q129" i="3" s="1"/>
  <c r="Q41" i="3"/>
  <c r="Q27" i="3" s="1"/>
  <c r="Q26" i="3" s="1"/>
  <c r="M79" i="3"/>
  <c r="L19" i="4"/>
  <c r="L17" i="4" s="1"/>
  <c r="O79" i="2"/>
  <c r="I14" i="4"/>
  <c r="I33" i="4" s="1"/>
  <c r="I21" i="4"/>
  <c r="C35" i="2"/>
  <c r="C37" i="2" s="1"/>
  <c r="C42" i="2" s="1"/>
  <c r="P11" i="2"/>
  <c r="P79" i="2" s="1"/>
  <c r="AD5" i="3"/>
  <c r="AD4" i="3" s="1"/>
  <c r="AD140" i="3" s="1"/>
  <c r="Q91" i="11"/>
  <c r="Q64" i="11"/>
  <c r="Q3" i="11"/>
  <c r="Q47" i="11"/>
  <c r="Q20" i="11"/>
  <c r="Q108" i="11"/>
  <c r="BK35" i="2"/>
  <c r="BK37" i="2" s="1"/>
  <c r="BK70" i="2" s="1"/>
  <c r="O113" i="2"/>
  <c r="O115" i="2" s="1"/>
  <c r="BK115" i="2"/>
  <c r="BK117" i="2" s="1"/>
  <c r="BK114" i="2"/>
  <c r="BK116" i="2" s="1"/>
  <c r="BK118" i="2" s="1"/>
  <c r="BY59" i="2"/>
  <c r="BY41" i="2"/>
  <c r="BY19" i="2"/>
  <c r="BY16" i="2"/>
  <c r="BY22" i="2"/>
  <c r="O10" i="2"/>
  <c r="P10" i="2" s="1"/>
  <c r="P102" i="3" s="1"/>
  <c r="O108" i="11"/>
  <c r="O91" i="11"/>
  <c r="O64" i="11"/>
  <c r="O3" i="11"/>
  <c r="O47" i="11"/>
  <c r="O20" i="11"/>
  <c r="AO5" i="3"/>
  <c r="AO4" i="3" s="1"/>
  <c r="AO140" i="3" s="1"/>
  <c r="CH46" i="3"/>
  <c r="CJ46" i="3" s="1"/>
  <c r="CK46" i="3" s="1"/>
  <c r="CL46" i="3" s="1"/>
  <c r="CN46" i="3" s="1"/>
  <c r="O60" i="2"/>
  <c r="P91" i="11"/>
  <c r="P64" i="11"/>
  <c r="P3" i="11"/>
  <c r="P47" i="11"/>
  <c r="P20" i="11"/>
  <c r="P108" i="11"/>
  <c r="BZ19" i="2"/>
  <c r="BZ59" i="2"/>
  <c r="N5" i="15" s="1"/>
  <c r="N6" i="15" s="1"/>
  <c r="BZ41" i="2"/>
  <c r="BZ16" i="2"/>
  <c r="M20" i="11"/>
  <c r="M108" i="11"/>
  <c r="M91" i="11"/>
  <c r="M64" i="11"/>
  <c r="M3" i="11"/>
  <c r="M47" i="11"/>
  <c r="BZ62" i="2"/>
  <c r="BZ22" i="2"/>
  <c r="AA94" i="3"/>
  <c r="AA98" i="3" s="1"/>
  <c r="BV60" i="2"/>
  <c r="AP20" i="4"/>
  <c r="BZ17" i="2"/>
  <c r="BS13" i="2"/>
  <c r="BX20" i="4"/>
  <c r="E64" i="3"/>
  <c r="E67" i="3" s="1"/>
  <c r="BX5" i="2"/>
  <c r="AM66" i="3"/>
  <c r="L132" i="3"/>
  <c r="K132" i="3"/>
  <c r="S91" i="11"/>
  <c r="S64" i="11"/>
  <c r="S3" i="11"/>
  <c r="S47" i="11"/>
  <c r="S20" i="11"/>
  <c r="S108" i="11"/>
  <c r="N20" i="2"/>
  <c r="N21" i="4"/>
  <c r="N14" i="4"/>
  <c r="N33" i="4" s="1"/>
  <c r="AW27" i="2"/>
  <c r="AT132" i="3"/>
  <c r="D48" i="3"/>
  <c r="Q5" i="3"/>
  <c r="Q4" i="3" s="1"/>
  <c r="Q140" i="3" s="1"/>
  <c r="AH139" i="3"/>
  <c r="AS104" i="3"/>
  <c r="AW104" i="3"/>
  <c r="X104" i="3"/>
  <c r="BV79" i="3"/>
  <c r="BJ79" i="3"/>
  <c r="Y79" i="3"/>
  <c r="AA79" i="3"/>
  <c r="BN79" i="3"/>
  <c r="Y5" i="3"/>
  <c r="Y4" i="3" s="1"/>
  <c r="Y140" i="3" s="1"/>
  <c r="BN37" i="4"/>
  <c r="BN38" i="4" s="1"/>
  <c r="AO37" i="4"/>
  <c r="AO38" i="4" s="1"/>
  <c r="Z37" i="4"/>
  <c r="K30" i="2"/>
  <c r="T62" i="2"/>
  <c r="F37" i="4"/>
  <c r="F38" i="4" s="1"/>
  <c r="F30" i="2"/>
  <c r="AY13" i="2"/>
  <c r="AY68" i="2" s="1"/>
  <c r="AY66" i="2" s="1"/>
  <c r="BI66" i="2"/>
  <c r="V38" i="4"/>
  <c r="K5" i="2"/>
  <c r="AI59" i="2"/>
  <c r="AI19" i="2"/>
  <c r="AI22" i="2"/>
  <c r="AI41" i="2"/>
  <c r="BY116" i="2"/>
  <c r="BY118" i="2" s="1"/>
  <c r="P15" i="2"/>
  <c r="AS42" i="4"/>
  <c r="AF140" i="3"/>
  <c r="AF48" i="3"/>
  <c r="AY27" i="2"/>
  <c r="BO132" i="3"/>
  <c r="U79" i="3"/>
  <c r="BD20" i="4"/>
  <c r="AZ20" i="4"/>
  <c r="BF79" i="3"/>
  <c r="BT104" i="3"/>
  <c r="AI5" i="3"/>
  <c r="AI4" i="3" s="1"/>
  <c r="AI48" i="3" s="1"/>
  <c r="BV5" i="3"/>
  <c r="BV4" i="3" s="1"/>
  <c r="BV140" i="3" s="1"/>
  <c r="CC28" i="2"/>
  <c r="CC29" i="2" s="1"/>
  <c r="AH132" i="3"/>
  <c r="BZ79" i="3"/>
  <c r="AS5" i="3"/>
  <c r="AS4" i="3" s="1"/>
  <c r="AS140" i="3" s="1"/>
  <c r="BC48" i="3"/>
  <c r="BM5" i="3"/>
  <c r="BM4" i="3" s="1"/>
  <c r="BM140" i="3" s="1"/>
  <c r="I104" i="3"/>
  <c r="BN132" i="3"/>
  <c r="AQ132" i="3"/>
  <c r="D21" i="4"/>
  <c r="D14" i="4"/>
  <c r="D33" i="4" s="1"/>
  <c r="BS27" i="2"/>
  <c r="AE132" i="3"/>
  <c r="BW132" i="3"/>
  <c r="BL5" i="3"/>
  <c r="BL4" i="3" s="1"/>
  <c r="BL48" i="3" s="1"/>
  <c r="O79" i="3"/>
  <c r="G48" i="3"/>
  <c r="BB96" i="3"/>
  <c r="BB39" i="2" s="1"/>
  <c r="AW79" i="3"/>
  <c r="Z79" i="3"/>
  <c r="T5" i="3"/>
  <c r="T4" i="3" s="1"/>
  <c r="BM96" i="3"/>
  <c r="BM39" i="2" s="1"/>
  <c r="BM79" i="3"/>
  <c r="AR48" i="3"/>
  <c r="BE48" i="3"/>
  <c r="BK79" i="3"/>
  <c r="BA79" i="3"/>
  <c r="BH79" i="3"/>
  <c r="BK96" i="3"/>
  <c r="BK39" i="2" s="1"/>
  <c r="AX5" i="3"/>
  <c r="AX4" i="3" s="1"/>
  <c r="AX140" i="3" s="1"/>
  <c r="H5" i="3"/>
  <c r="H4" i="3" s="1"/>
  <c r="H140" i="3" s="1"/>
  <c r="X79" i="3"/>
  <c r="BY5" i="3"/>
  <c r="CM49" i="4"/>
  <c r="BN98" i="2"/>
  <c r="AT96" i="2"/>
  <c r="AT97" i="2" s="1"/>
  <c r="AO98" i="2"/>
  <c r="AI103" i="2"/>
  <c r="AI104" i="2" s="1"/>
  <c r="AJ98" i="2"/>
  <c r="R70" i="3"/>
  <c r="M3" i="4"/>
  <c r="M3" i="2"/>
  <c r="M50" i="3"/>
  <c r="M3" i="3"/>
  <c r="M92" i="3"/>
  <c r="M131" i="3"/>
  <c r="M106" i="2"/>
  <c r="M44" i="4"/>
  <c r="M47" i="2"/>
  <c r="M31" i="4"/>
  <c r="M23" i="4"/>
  <c r="M142" i="3"/>
  <c r="M58" i="2"/>
  <c r="M48" i="4"/>
  <c r="M76" i="2"/>
  <c r="M93" i="2"/>
  <c r="M70" i="3"/>
  <c r="F98" i="2"/>
  <c r="O31" i="4"/>
  <c r="O92" i="3"/>
  <c r="O48" i="4"/>
  <c r="O106" i="2"/>
  <c r="O44" i="4"/>
  <c r="O50" i="3"/>
  <c r="O23" i="4"/>
  <c r="O58" i="2"/>
  <c r="O93" i="2"/>
  <c r="O3" i="4"/>
  <c r="O3" i="2"/>
  <c r="O3" i="3"/>
  <c r="O76" i="2"/>
  <c r="O47" i="2"/>
  <c r="O142" i="3"/>
  <c r="O70" i="3"/>
  <c r="O131" i="3"/>
  <c r="Q131" i="3"/>
  <c r="Q23" i="4"/>
  <c r="Q106" i="2"/>
  <c r="Q44" i="4"/>
  <c r="Q50" i="3"/>
  <c r="Q92" i="3"/>
  <c r="Q3" i="3"/>
  <c r="Q142" i="3"/>
  <c r="Q31" i="4"/>
  <c r="Q93" i="2"/>
  <c r="Q3" i="4"/>
  <c r="Q3" i="2"/>
  <c r="Q76" i="2"/>
  <c r="Q47" i="2"/>
  <c r="Q70" i="3"/>
  <c r="Q58" i="2"/>
  <c r="Q48" i="4"/>
  <c r="AO102" i="2"/>
  <c r="AO103" i="2" s="1"/>
  <c r="AO104" i="2" s="1"/>
  <c r="K44" i="4"/>
  <c r="K3" i="4"/>
  <c r="K142" i="3"/>
  <c r="K48" i="4"/>
  <c r="K31" i="4"/>
  <c r="K92" i="3"/>
  <c r="K70" i="3"/>
  <c r="K131" i="3"/>
  <c r="K23" i="4"/>
  <c r="K58" i="2"/>
  <c r="K3" i="3"/>
  <c r="K50" i="3"/>
  <c r="K47" i="2"/>
  <c r="K3" i="2"/>
  <c r="K93" i="2"/>
  <c r="K76" i="2"/>
  <c r="K106" i="2"/>
  <c r="N48" i="4"/>
  <c r="N31" i="4"/>
  <c r="N92" i="3"/>
  <c r="N106" i="2"/>
  <c r="N44" i="4"/>
  <c r="N50" i="3"/>
  <c r="N58" i="2"/>
  <c r="N93" i="2"/>
  <c r="N3" i="4"/>
  <c r="N3" i="2"/>
  <c r="N23" i="4"/>
  <c r="N3" i="3"/>
  <c r="N142" i="3"/>
  <c r="N70" i="3"/>
  <c r="N76" i="2"/>
  <c r="N47" i="2"/>
  <c r="N131" i="3"/>
  <c r="AE102" i="2"/>
  <c r="AE103" i="2" s="1"/>
  <c r="AE104" i="2" s="1"/>
  <c r="BN102" i="2"/>
  <c r="BN103" i="2" s="1"/>
  <c r="BN104" i="2" s="1"/>
  <c r="BA140" i="3"/>
  <c r="BA48" i="3"/>
  <c r="AE36" i="4"/>
  <c r="AE42" i="4"/>
  <c r="AP98" i="3"/>
  <c r="AP100" i="3"/>
  <c r="AP95" i="3"/>
  <c r="F66" i="3"/>
  <c r="F64" i="3"/>
  <c r="BK140" i="3"/>
  <c r="BK48" i="3"/>
  <c r="BK139" i="3"/>
  <c r="W140" i="3"/>
  <c r="W48" i="3"/>
  <c r="BT140" i="3"/>
  <c r="BT48" i="3"/>
  <c r="AG140" i="3"/>
  <c r="AG48" i="3"/>
  <c r="AG139" i="3"/>
  <c r="AE25" i="2"/>
  <c r="AE67" i="2"/>
  <c r="AE66" i="2" s="1"/>
  <c r="BS64" i="3"/>
  <c r="E15" i="15" s="1"/>
  <c r="BS66" i="3"/>
  <c r="AT36" i="4"/>
  <c r="AT42" i="4"/>
  <c r="AU140" i="3"/>
  <c r="AU48" i="3"/>
  <c r="AW121" i="3"/>
  <c r="AW78" i="3"/>
  <c r="AW81" i="3" s="1"/>
  <c r="AW82" i="3" s="1"/>
  <c r="AW32" i="2"/>
  <c r="AX32" i="2" s="1"/>
  <c r="AX30" i="2" s="1"/>
  <c r="T9" i="2"/>
  <c r="T22" i="2" s="1"/>
  <c r="T8" i="2"/>
  <c r="BF123" i="3"/>
  <c r="BF122" i="3"/>
  <c r="C96" i="3"/>
  <c r="C39" i="2" s="1"/>
  <c r="C95" i="3"/>
  <c r="D96" i="3"/>
  <c r="D39" i="2" s="1"/>
  <c r="BL78" i="2"/>
  <c r="F101" i="3"/>
  <c r="F104" i="3" s="1"/>
  <c r="F5" i="3"/>
  <c r="F4" i="3" s="1"/>
  <c r="P55" i="3"/>
  <c r="K55" i="3"/>
  <c r="L55" i="3"/>
  <c r="U15" i="2"/>
  <c r="AT30" i="2"/>
  <c r="AO83" i="3"/>
  <c r="AO51" i="3"/>
  <c r="AO132" i="3" s="1"/>
  <c r="AP96" i="2"/>
  <c r="AP97" i="2" s="1"/>
  <c r="T11" i="2"/>
  <c r="U11" i="2" s="1"/>
  <c r="Q10" i="2"/>
  <c r="Q16" i="2" s="1"/>
  <c r="Q60" i="2"/>
  <c r="Q79" i="2"/>
  <c r="Q12" i="2"/>
  <c r="Q113" i="2" s="1"/>
  <c r="BO79" i="3"/>
  <c r="BP79" i="3"/>
  <c r="U4" i="2"/>
  <c r="U8" i="2" s="1"/>
  <c r="AK112" i="2"/>
  <c r="AK115" i="2"/>
  <c r="AK117" i="2" s="1"/>
  <c r="BN146" i="3"/>
  <c r="BN135" i="3"/>
  <c r="E59" i="2"/>
  <c r="E41" i="2"/>
  <c r="E19" i="2"/>
  <c r="E22" i="2"/>
  <c r="AF115" i="2"/>
  <c r="AF117" i="2" s="1"/>
  <c r="AF112" i="2"/>
  <c r="G66" i="3"/>
  <c r="G64" i="3"/>
  <c r="H71" i="3" s="1"/>
  <c r="H75" i="3" s="1"/>
  <c r="BO146" i="3"/>
  <c r="BO135" i="3"/>
  <c r="Z96" i="3"/>
  <c r="Z39" i="2" s="1"/>
  <c r="AA96" i="3"/>
  <c r="AA39" i="2" s="1"/>
  <c r="AH79" i="3"/>
  <c r="AI79" i="3"/>
  <c r="P48" i="3"/>
  <c r="AJ101" i="3"/>
  <c r="AJ5" i="3"/>
  <c r="AJ4" i="3" s="1"/>
  <c r="BY66" i="3"/>
  <c r="N26" i="9" s="1"/>
  <c r="BZ71" i="3"/>
  <c r="BZ75" i="3" s="1"/>
  <c r="Z112" i="2"/>
  <c r="V116" i="2"/>
  <c r="AT101" i="3"/>
  <c r="AT104" i="3" s="1"/>
  <c r="AT5" i="3"/>
  <c r="AT4" i="3" s="1"/>
  <c r="AT140" i="3" s="1"/>
  <c r="BB21" i="2"/>
  <c r="BB28" i="11" s="1"/>
  <c r="BB30" i="2"/>
  <c r="BC32" i="2"/>
  <c r="H37" i="4"/>
  <c r="H36" i="4"/>
  <c r="BP147" i="3"/>
  <c r="BV35" i="4"/>
  <c r="BV4" i="2"/>
  <c r="BV21" i="11" s="1"/>
  <c r="BV79" i="2"/>
  <c r="AR114" i="2"/>
  <c r="AR116" i="2" s="1"/>
  <c r="AR118" i="2" s="1"/>
  <c r="AR115" i="2"/>
  <c r="AR117" i="2" s="1"/>
  <c r="AH135" i="3"/>
  <c r="AH146" i="3"/>
  <c r="AH147" i="3" s="1"/>
  <c r="P57" i="3"/>
  <c r="Q27" i="2"/>
  <c r="J146" i="3"/>
  <c r="J147" i="3" s="1"/>
  <c r="J135" i="3"/>
  <c r="F102" i="2"/>
  <c r="F103" i="2" s="1"/>
  <c r="F104" i="2" s="1"/>
  <c r="X21" i="4"/>
  <c r="X18" i="4"/>
  <c r="X14" i="4"/>
  <c r="X33" i="4" s="1"/>
  <c r="X20" i="2"/>
  <c r="BX101" i="3"/>
  <c r="BX104" i="3" s="1"/>
  <c r="BX5" i="3"/>
  <c r="BY79" i="3"/>
  <c r="AV64" i="3"/>
  <c r="AV66" i="3"/>
  <c r="AK66" i="3"/>
  <c r="AK64" i="3"/>
  <c r="D77" i="2"/>
  <c r="Q57" i="3"/>
  <c r="R27" i="2"/>
  <c r="U27" i="2"/>
  <c r="BM121" i="3"/>
  <c r="BN121" i="3" s="1"/>
  <c r="BN122" i="3" s="1"/>
  <c r="BM78" i="3"/>
  <c r="BM81" i="3" s="1"/>
  <c r="BM82" i="3" s="1"/>
  <c r="BN64" i="2"/>
  <c r="BN78" i="3" s="1"/>
  <c r="BN81" i="3" s="1"/>
  <c r="BI147" i="3"/>
  <c r="BC121" i="3"/>
  <c r="BD121" i="3" s="1"/>
  <c r="BD122" i="3" s="1"/>
  <c r="BC78" i="3"/>
  <c r="BC81" i="3" s="1"/>
  <c r="BC82" i="3" s="1"/>
  <c r="AP83" i="3"/>
  <c r="BW122" i="3"/>
  <c r="BW123" i="3"/>
  <c r="BP122" i="3"/>
  <c r="BP123" i="3"/>
  <c r="Q19" i="4"/>
  <c r="AT93" i="3"/>
  <c r="AT96" i="3" s="1"/>
  <c r="AU79" i="3"/>
  <c r="I35" i="4"/>
  <c r="I111" i="2"/>
  <c r="I79" i="2"/>
  <c r="I4" i="2"/>
  <c r="K32" i="2"/>
  <c r="BL123" i="3"/>
  <c r="BL122" i="3"/>
  <c r="AE135" i="3"/>
  <c r="AE146" i="3"/>
  <c r="AE147" i="3" s="1"/>
  <c r="O5" i="3"/>
  <c r="O4" i="3" s="1"/>
  <c r="O140" i="3" s="1"/>
  <c r="BI42" i="4"/>
  <c r="AR78" i="2"/>
  <c r="AR35" i="2"/>
  <c r="AR37" i="2" s="1"/>
  <c r="H21" i="4"/>
  <c r="H14" i="4"/>
  <c r="H33" i="4" s="1"/>
  <c r="AT83" i="3"/>
  <c r="O21" i="2"/>
  <c r="L22" i="2"/>
  <c r="L62" i="2"/>
  <c r="P132" i="3"/>
  <c r="AA67" i="3"/>
  <c r="BY115" i="2"/>
  <c r="BY117" i="2" s="1"/>
  <c r="BW27" i="2"/>
  <c r="BN93" i="3"/>
  <c r="BS96" i="3" s="1"/>
  <c r="BW48" i="3"/>
  <c r="V63" i="2"/>
  <c r="V77" i="2"/>
  <c r="BU39" i="2"/>
  <c r="BU9" i="2"/>
  <c r="BU23" i="11" s="1"/>
  <c r="BU26" i="11" s="1"/>
  <c r="BU8" i="2"/>
  <c r="M122" i="3"/>
  <c r="M123" i="3"/>
  <c r="AF104" i="3"/>
  <c r="AE96" i="3"/>
  <c r="AE39" i="2" s="1"/>
  <c r="AI10" i="2"/>
  <c r="AI12" i="2"/>
  <c r="AI113" i="2" s="1"/>
  <c r="AI60" i="2"/>
  <c r="AI79" i="2"/>
  <c r="AJ11" i="2"/>
  <c r="U146" i="3"/>
  <c r="U147" i="3" s="1"/>
  <c r="U135" i="3"/>
  <c r="BF139" i="3"/>
  <c r="BF61" i="2"/>
  <c r="BE147" i="3"/>
  <c r="L116" i="2"/>
  <c r="R57" i="3"/>
  <c r="S27" i="2"/>
  <c r="AX64" i="2"/>
  <c r="K121" i="3"/>
  <c r="K122" i="3" s="1"/>
  <c r="H123" i="3"/>
  <c r="H122" i="3"/>
  <c r="Z71" i="2"/>
  <c r="BF57" i="3"/>
  <c r="BG27" i="2"/>
  <c r="BP21" i="2"/>
  <c r="BP28" i="11" s="1"/>
  <c r="BP30" i="2"/>
  <c r="AP62" i="2"/>
  <c r="AP17" i="2"/>
  <c r="AS21" i="2"/>
  <c r="AT21" i="2" s="1"/>
  <c r="AP22" i="2"/>
  <c r="BJ48" i="3"/>
  <c r="CC55" i="3"/>
  <c r="CF54" i="3"/>
  <c r="CG54" i="3" s="1"/>
  <c r="CH54" i="3" s="1"/>
  <c r="U64" i="3"/>
  <c r="U66" i="3"/>
  <c r="AG77" i="2"/>
  <c r="AG63" i="2"/>
  <c r="H112" i="2"/>
  <c r="H116" i="2" s="1"/>
  <c r="H118" i="2" s="1"/>
  <c r="H115" i="2"/>
  <c r="H117" i="2" s="1"/>
  <c r="AI64" i="3"/>
  <c r="AI66" i="3"/>
  <c r="N66" i="3"/>
  <c r="N64" i="3"/>
  <c r="O71" i="3" s="1"/>
  <c r="O75" i="3" s="1"/>
  <c r="AX96" i="3"/>
  <c r="AX39" i="2" s="1"/>
  <c r="S57" i="3"/>
  <c r="T27" i="2"/>
  <c r="BN57" i="3"/>
  <c r="BO27" i="2"/>
  <c r="AP139" i="3"/>
  <c r="AP61" i="2"/>
  <c r="BM147" i="3"/>
  <c r="BW64" i="3"/>
  <c r="BW66" i="3"/>
  <c r="AZ116" i="2"/>
  <c r="AZ118" i="2" s="1"/>
  <c r="F112" i="2"/>
  <c r="AD67" i="2"/>
  <c r="AD66" i="2" s="1"/>
  <c r="K5" i="3"/>
  <c r="K4" i="3" s="1"/>
  <c r="K140" i="3" s="1"/>
  <c r="AQ57" i="3"/>
  <c r="AR27" i="2"/>
  <c r="O27" i="2"/>
  <c r="F8" i="2"/>
  <c r="F39" i="2"/>
  <c r="AR57" i="3"/>
  <c r="AS27" i="2"/>
  <c r="BU57" i="3"/>
  <c r="BV27" i="2"/>
  <c r="AQ139" i="3"/>
  <c r="AQ61" i="2"/>
  <c r="AS9" i="2"/>
  <c r="AS8" i="2"/>
  <c r="AT4" i="2"/>
  <c r="BD41" i="3"/>
  <c r="BC79" i="3"/>
  <c r="BG48" i="3"/>
  <c r="BD64" i="2"/>
  <c r="BD78" i="3" s="1"/>
  <c r="BD81" i="3" s="1"/>
  <c r="BD82" i="3" s="1"/>
  <c r="AQ62" i="2"/>
  <c r="AQ17" i="2"/>
  <c r="AQ35" i="2" s="1"/>
  <c r="AQ37" i="2" s="1"/>
  <c r="AQ22" i="2"/>
  <c r="N132" i="3"/>
  <c r="AC48" i="3"/>
  <c r="AG122" i="3"/>
  <c r="AG123" i="3"/>
  <c r="AG79" i="3"/>
  <c r="C77" i="2"/>
  <c r="C63" i="2"/>
  <c r="Y67" i="3"/>
  <c r="Y71" i="3"/>
  <c r="Y75" i="3" s="1"/>
  <c r="P135" i="3"/>
  <c r="P146" i="3"/>
  <c r="P147" i="3" s="1"/>
  <c r="W96" i="3"/>
  <c r="W39" i="2" s="1"/>
  <c r="AD66" i="3"/>
  <c r="X48" i="3"/>
  <c r="J113" i="2"/>
  <c r="J60" i="2"/>
  <c r="J12" i="2"/>
  <c r="J10" i="2"/>
  <c r="K11" i="2"/>
  <c r="BR9" i="2"/>
  <c r="BR23" i="11" s="1"/>
  <c r="BR39" i="2"/>
  <c r="AV79" i="3"/>
  <c r="AG64" i="3"/>
  <c r="AG66" i="3"/>
  <c r="AX79" i="3"/>
  <c r="P4" i="2"/>
  <c r="AS123" i="3"/>
  <c r="AS122" i="3"/>
  <c r="BV67" i="3"/>
  <c r="BH147" i="3"/>
  <c r="AB123" i="3"/>
  <c r="AB122" i="3"/>
  <c r="K41" i="4"/>
  <c r="BF27" i="3"/>
  <c r="BF26" i="3" s="1"/>
  <c r="BF48" i="3" s="1"/>
  <c r="BP114" i="2"/>
  <c r="BP116" i="2" s="1"/>
  <c r="BP118" i="2" s="1"/>
  <c r="BP115" i="2"/>
  <c r="BP117" i="2" s="1"/>
  <c r="BS41" i="3"/>
  <c r="BR27" i="3"/>
  <c r="BR26" i="3" s="1"/>
  <c r="BR48" i="3" s="1"/>
  <c r="BR79" i="3"/>
  <c r="T36" i="4"/>
  <c r="T37" i="4"/>
  <c r="U35" i="4"/>
  <c r="U36" i="4" s="1"/>
  <c r="V64" i="3"/>
  <c r="V66" i="3"/>
  <c r="BV123" i="3"/>
  <c r="BV122" i="3"/>
  <c r="R132" i="3"/>
  <c r="BR135" i="3"/>
  <c r="BR146" i="3"/>
  <c r="K41" i="3"/>
  <c r="J79" i="3"/>
  <c r="Z48" i="3"/>
  <c r="AF38" i="4"/>
  <c r="AJ37" i="4"/>
  <c r="AJ38" i="4" s="1"/>
  <c r="Z13" i="2"/>
  <c r="Z68" i="2" s="1"/>
  <c r="Z66" i="2" s="1"/>
  <c r="Y68" i="2"/>
  <c r="Y66" i="2" s="1"/>
  <c r="AQ78" i="2"/>
  <c r="BQ42" i="4"/>
  <c r="BS41" i="4"/>
  <c r="BX57" i="3"/>
  <c r="BY27" i="2"/>
  <c r="BP94" i="3"/>
  <c r="BP41" i="2"/>
  <c r="BP59" i="2"/>
  <c r="BP16" i="2"/>
  <c r="BP19" i="2"/>
  <c r="BU48" i="3"/>
  <c r="BC132" i="3"/>
  <c r="BG57" i="3"/>
  <c r="BH27" i="2"/>
  <c r="BK77" i="2"/>
  <c r="BK63" i="2"/>
  <c r="BW147" i="3"/>
  <c r="AU64" i="3"/>
  <c r="AU66" i="3"/>
  <c r="BK66" i="3"/>
  <c r="BK64" i="3"/>
  <c r="AM77" i="2"/>
  <c r="AM86" i="2"/>
  <c r="AM63" i="2"/>
  <c r="BR67" i="3"/>
  <c r="J21" i="2"/>
  <c r="K21" i="2" s="1"/>
  <c r="I62" i="2"/>
  <c r="U21" i="2"/>
  <c r="AB66" i="3"/>
  <c r="AB64" i="3"/>
  <c r="BE104" i="3"/>
  <c r="AF66" i="3"/>
  <c r="AF64" i="3"/>
  <c r="BU132" i="3"/>
  <c r="AZ147" i="3"/>
  <c r="H24" i="4"/>
  <c r="J28" i="4"/>
  <c r="J29" i="4" s="1"/>
  <c r="J18" i="4"/>
  <c r="BS4" i="2"/>
  <c r="BS21" i="11" s="1"/>
  <c r="BG60" i="2"/>
  <c r="BG61" i="2" s="1"/>
  <c r="BL86" i="2" s="1"/>
  <c r="BG12" i="2"/>
  <c r="BG113" i="2" s="1"/>
  <c r="BG10" i="2"/>
  <c r="BG79" i="2"/>
  <c r="BI11" i="2"/>
  <c r="BI24" i="11" s="1"/>
  <c r="BF114" i="2"/>
  <c r="BF115" i="2"/>
  <c r="BF117" i="2" s="1"/>
  <c r="AD67" i="3"/>
  <c r="C70" i="2"/>
  <c r="V139" i="3"/>
  <c r="BU36" i="4"/>
  <c r="BU42" i="4"/>
  <c r="BU37" i="4"/>
  <c r="BQ57" i="3"/>
  <c r="BR27" i="2"/>
  <c r="O42" i="4"/>
  <c r="P41" i="4"/>
  <c r="I12" i="2"/>
  <c r="C71" i="3"/>
  <c r="C75" i="3" s="1"/>
  <c r="C67" i="3"/>
  <c r="BK104" i="3"/>
  <c r="BL104" i="3"/>
  <c r="I67" i="3"/>
  <c r="I71" i="3"/>
  <c r="I75" i="3" s="1"/>
  <c r="AV104" i="3"/>
  <c r="H79" i="3"/>
  <c r="T79" i="3"/>
  <c r="L59" i="2"/>
  <c r="L16" i="2"/>
  <c r="L35" i="2" s="1"/>
  <c r="L41" i="2"/>
  <c r="L19" i="2"/>
  <c r="AE96" i="2"/>
  <c r="AE97" i="2" s="1"/>
  <c r="AE98" i="2"/>
  <c r="BW11" i="2"/>
  <c r="BW68" i="2"/>
  <c r="BW66" i="2" s="1"/>
  <c r="AI96" i="3"/>
  <c r="AI39" i="2" s="1"/>
  <c r="BS146" i="3"/>
  <c r="BS135" i="3"/>
  <c r="BQ36" i="4"/>
  <c r="BQ37" i="4"/>
  <c r="BQ38" i="4" s="1"/>
  <c r="M66" i="3"/>
  <c r="M64" i="3"/>
  <c r="BQ121" i="3"/>
  <c r="BQ78" i="3"/>
  <c r="BQ81" i="3" s="1"/>
  <c r="BQ82" i="3" s="1"/>
  <c r="BQ32" i="2"/>
  <c r="BV21" i="2"/>
  <c r="BV30" i="2"/>
  <c r="BM19" i="2"/>
  <c r="AY101" i="3"/>
  <c r="BD104" i="3" s="1"/>
  <c r="AY5" i="3"/>
  <c r="AY4" i="3" s="1"/>
  <c r="AY140" i="3" s="1"/>
  <c r="AZ79" i="3"/>
  <c r="J66" i="3"/>
  <c r="J64" i="3"/>
  <c r="AS67" i="3"/>
  <c r="AJ55" i="3"/>
  <c r="AE55" i="3"/>
  <c r="AF55" i="3"/>
  <c r="BD13" i="2"/>
  <c r="R77" i="2"/>
  <c r="R63" i="2"/>
  <c r="S123" i="3"/>
  <c r="S122" i="3"/>
  <c r="BR64" i="2"/>
  <c r="BS64" i="2" s="1"/>
  <c r="BS78" i="3" s="1"/>
  <c r="BS81" i="3" s="1"/>
  <c r="BQ60" i="2"/>
  <c r="BQ12" i="2"/>
  <c r="BQ113" i="2" s="1"/>
  <c r="BQ10" i="2"/>
  <c r="BR11" i="2"/>
  <c r="BR24" i="11" s="1"/>
  <c r="BX46" i="4"/>
  <c r="AC60" i="2"/>
  <c r="AC12" i="2"/>
  <c r="AC113" i="2" s="1"/>
  <c r="AC10" i="2"/>
  <c r="AC16" i="2" s="1"/>
  <c r="AC79" i="2"/>
  <c r="B94" i="3"/>
  <c r="B59" i="2"/>
  <c r="E94" i="3"/>
  <c r="F9" i="2"/>
  <c r="B41" i="2"/>
  <c r="B16" i="2"/>
  <c r="B19" i="2"/>
  <c r="AT32" i="2"/>
  <c r="BE57" i="3"/>
  <c r="BF27" i="2"/>
  <c r="Z57" i="3"/>
  <c r="AA27" i="2"/>
  <c r="Z132" i="3"/>
  <c r="BX27" i="2"/>
  <c r="H42" i="4"/>
  <c r="AW57" i="3"/>
  <c r="AX27" i="2"/>
  <c r="AW5" i="3"/>
  <c r="AW4" i="3" s="1"/>
  <c r="AW140" i="3" s="1"/>
  <c r="W64" i="3"/>
  <c r="X71" i="3" s="1"/>
  <c r="X75" i="3" s="1"/>
  <c r="W66" i="3"/>
  <c r="AH77" i="2"/>
  <c r="AH63" i="2"/>
  <c r="N114" i="2"/>
  <c r="N115" i="2"/>
  <c r="N117" i="2" s="1"/>
  <c r="AS36" i="4"/>
  <c r="AS37" i="4"/>
  <c r="BC146" i="3"/>
  <c r="BC135" i="3"/>
  <c r="BE35" i="2"/>
  <c r="BE37" i="2" s="1"/>
  <c r="BE78" i="2"/>
  <c r="BE88" i="2" s="1"/>
  <c r="BR66" i="3"/>
  <c r="W114" i="2"/>
  <c r="W116" i="2" s="1"/>
  <c r="W118" i="2" s="1"/>
  <c r="W115" i="2"/>
  <c r="W117" i="2" s="1"/>
  <c r="BL147" i="3"/>
  <c r="J35" i="4"/>
  <c r="J42" i="4" s="1"/>
  <c r="J111" i="2"/>
  <c r="J79" i="2"/>
  <c r="J4" i="2"/>
  <c r="U13" i="2"/>
  <c r="U68" i="2" s="1"/>
  <c r="BD93" i="3"/>
  <c r="BI96" i="3" s="1"/>
  <c r="BI39" i="2" s="1"/>
  <c r="P28" i="4"/>
  <c r="P29" i="4" s="1"/>
  <c r="L28" i="4"/>
  <c r="L29" i="4" s="1"/>
  <c r="AC94" i="3"/>
  <c r="AC59" i="2"/>
  <c r="AC41" i="2"/>
  <c r="AC22" i="2"/>
  <c r="AC19" i="2"/>
  <c r="V79" i="3"/>
  <c r="V27" i="3"/>
  <c r="V26" i="3" s="1"/>
  <c r="V48" i="3" s="1"/>
  <c r="W79" i="3"/>
  <c r="AY57" i="3"/>
  <c r="AZ27" i="2"/>
  <c r="AB79" i="3"/>
  <c r="BM57" i="3"/>
  <c r="BM27" i="2"/>
  <c r="J104" i="3"/>
  <c r="BI132" i="3"/>
  <c r="BJ112" i="2"/>
  <c r="BJ115" i="2"/>
  <c r="BJ117" i="2" s="1"/>
  <c r="AY147" i="3"/>
  <c r="AV48" i="3"/>
  <c r="I17" i="2"/>
  <c r="BF21" i="2"/>
  <c r="BF28" i="11" s="1"/>
  <c r="BF29" i="11" s="1"/>
  <c r="BF36" i="11" s="1"/>
  <c r="BF39" i="11" s="1"/>
  <c r="BF30" i="2"/>
  <c r="BR42" i="4"/>
  <c r="BR37" i="4"/>
  <c r="BR38" i="4" s="1"/>
  <c r="BR36" i="4"/>
  <c r="J122" i="3"/>
  <c r="J123" i="3"/>
  <c r="BX41" i="4"/>
  <c r="AN60" i="2"/>
  <c r="AN61" i="2" s="1"/>
  <c r="AN10" i="2"/>
  <c r="AR102" i="3" s="1"/>
  <c r="AN12" i="2"/>
  <c r="AN113" i="2" s="1"/>
  <c r="AN79" i="2"/>
  <c r="AO11" i="2"/>
  <c r="Z123" i="3"/>
  <c r="K57" i="3"/>
  <c r="L27" i="2"/>
  <c r="AA78" i="2"/>
  <c r="K146" i="3"/>
  <c r="K147" i="3" s="1"/>
  <c r="K135" i="3"/>
  <c r="AM67" i="3"/>
  <c r="BL77" i="2"/>
  <c r="BU147" i="3"/>
  <c r="Q104" i="3"/>
  <c r="R104" i="3"/>
  <c r="X60" i="2"/>
  <c r="X12" i="2"/>
  <c r="X113" i="2" s="1"/>
  <c r="X10" i="2"/>
  <c r="X16" i="2" s="1"/>
  <c r="X79" i="2"/>
  <c r="AK94" i="3"/>
  <c r="AN94" i="3"/>
  <c r="AK41" i="2"/>
  <c r="AK59" i="2"/>
  <c r="AK19" i="2"/>
  <c r="AK16" i="2"/>
  <c r="AO9" i="2"/>
  <c r="AK22" i="2"/>
  <c r="AV122" i="3"/>
  <c r="AV123" i="3"/>
  <c r="AH57" i="3"/>
  <c r="AI27" i="2"/>
  <c r="BY96" i="3"/>
  <c r="BY39" i="2" s="1"/>
  <c r="BG139" i="3"/>
  <c r="AP78" i="2"/>
  <c r="BF78" i="2"/>
  <c r="BK88" i="2" s="1"/>
  <c r="AP57" i="3"/>
  <c r="AQ27" i="2"/>
  <c r="AT27" i="2"/>
  <c r="O67" i="3"/>
  <c r="BO19" i="2"/>
  <c r="BO16" i="2"/>
  <c r="BO59" i="2"/>
  <c r="BT85" i="2" s="1"/>
  <c r="BO41" i="2"/>
  <c r="BI27" i="2"/>
  <c r="AQ95" i="3"/>
  <c r="AQ98" i="3"/>
  <c r="AQ100" i="3"/>
  <c r="AP132" i="3"/>
  <c r="S59" i="2"/>
  <c r="S19" i="2"/>
  <c r="S22" i="2"/>
  <c r="S41" i="2"/>
  <c r="E14" i="4"/>
  <c r="E33" i="4" s="1"/>
  <c r="E21" i="4"/>
  <c r="BB123" i="3"/>
  <c r="BB122" i="3"/>
  <c r="AP116" i="2"/>
  <c r="AP118" i="2" s="1"/>
  <c r="AT112" i="2"/>
  <c r="P102" i="2"/>
  <c r="P103" i="2" s="1"/>
  <c r="P104" i="2" s="1"/>
  <c r="BI37" i="4"/>
  <c r="BI38" i="4" s="1"/>
  <c r="AZ70" i="2"/>
  <c r="AZ42" i="2"/>
  <c r="BH12" i="2"/>
  <c r="BH113" i="2" s="1"/>
  <c r="BH10" i="2"/>
  <c r="BH60" i="2"/>
  <c r="BH79" i="2"/>
  <c r="AL94" i="3"/>
  <c r="AL19" i="2"/>
  <c r="AL16" i="2"/>
  <c r="AL78" i="2" s="1"/>
  <c r="AL88" i="2" s="1"/>
  <c r="AL41" i="2"/>
  <c r="AL59" i="2"/>
  <c r="AQ85" i="2" s="1"/>
  <c r="AM94" i="3"/>
  <c r="BN101" i="3"/>
  <c r="BS104" i="3" s="1"/>
  <c r="BN5" i="3"/>
  <c r="H67" i="3"/>
  <c r="AC66" i="3"/>
  <c r="AC64" i="3"/>
  <c r="AH35" i="2"/>
  <c r="AH37" i="2" s="1"/>
  <c r="BI101" i="3"/>
  <c r="BI5" i="3"/>
  <c r="K80" i="2"/>
  <c r="T121" i="3"/>
  <c r="U121" i="3" s="1"/>
  <c r="U122" i="3" s="1"/>
  <c r="T78" i="3"/>
  <c r="T81" i="3" s="1"/>
  <c r="T82" i="3" s="1"/>
  <c r="U64" i="2"/>
  <c r="U78" i="3" s="1"/>
  <c r="U81" i="3" s="1"/>
  <c r="U82" i="3" s="1"/>
  <c r="S132" i="3"/>
  <c r="E113" i="2"/>
  <c r="E12" i="2"/>
  <c r="E60" i="2"/>
  <c r="E79" i="2"/>
  <c r="E10" i="2"/>
  <c r="E16" i="2" s="1"/>
  <c r="F11" i="2"/>
  <c r="U101" i="3"/>
  <c r="U5" i="3"/>
  <c r="U4" i="3" s="1"/>
  <c r="U140" i="3" s="1"/>
  <c r="BD146" i="3"/>
  <c r="BD135" i="3"/>
  <c r="AE57" i="3"/>
  <c r="AF27" i="2"/>
  <c r="AC104" i="3"/>
  <c r="AD104" i="3"/>
  <c r="O14" i="4"/>
  <c r="O33" i="4" s="1"/>
  <c r="O21" i="4"/>
  <c r="O18" i="4"/>
  <c r="BT78" i="2"/>
  <c r="BT35" i="2"/>
  <c r="BU62" i="2"/>
  <c r="BU17" i="2"/>
  <c r="AR132" i="3"/>
  <c r="AP96" i="3"/>
  <c r="AP39" i="2" s="1"/>
  <c r="AA116" i="2"/>
  <c r="R20" i="2"/>
  <c r="R21" i="4"/>
  <c r="R14" i="4"/>
  <c r="R33" i="4" s="1"/>
  <c r="R18" i="4"/>
  <c r="CN143" i="3"/>
  <c r="CO143" i="3" s="1"/>
  <c r="CP143" i="3" s="1"/>
  <c r="CQ143" i="3" s="1"/>
  <c r="CM143" i="3"/>
  <c r="S60" i="2"/>
  <c r="S12" i="2"/>
  <c r="S113" i="2" s="1"/>
  <c r="S10" i="2"/>
  <c r="S79" i="2"/>
  <c r="AR139" i="3"/>
  <c r="AR85" i="2"/>
  <c r="AR61" i="2"/>
  <c r="BC9" i="2"/>
  <c r="BC23" i="11" s="1"/>
  <c r="BC8" i="2"/>
  <c r="BC39" i="2"/>
  <c r="C21" i="4"/>
  <c r="C14" i="4"/>
  <c r="C33" i="4" s="1"/>
  <c r="AB48" i="3"/>
  <c r="CT20" i="4"/>
  <c r="CU20" i="4" s="1"/>
  <c r="CV20" i="4" s="1"/>
  <c r="CX20" i="4"/>
  <c r="CY20" i="4" s="1"/>
  <c r="CZ20" i="4" s="1"/>
  <c r="DA20" i="4" s="1"/>
  <c r="AO41" i="3"/>
  <c r="AN27" i="3"/>
  <c r="AN26" i="3" s="1"/>
  <c r="AN48" i="3" s="1"/>
  <c r="AN79" i="3"/>
  <c r="BG121" i="3"/>
  <c r="BG78" i="3"/>
  <c r="BG81" i="3" s="1"/>
  <c r="BG82" i="3" s="1"/>
  <c r="BG32" i="2"/>
  <c r="BX15" i="2"/>
  <c r="BF104" i="3"/>
  <c r="O20" i="2"/>
  <c r="AE71" i="2"/>
  <c r="BG147" i="3"/>
  <c r="AN66" i="3"/>
  <c r="BJ96" i="3"/>
  <c r="BJ39" i="2" s="1"/>
  <c r="K96" i="3"/>
  <c r="L96" i="3"/>
  <c r="L39" i="2" s="1"/>
  <c r="BE139" i="3"/>
  <c r="BE61" i="2"/>
  <c r="BE85" i="2"/>
  <c r="BT139" i="3"/>
  <c r="BT61" i="2"/>
  <c r="BB60" i="2"/>
  <c r="BB10" i="2"/>
  <c r="BB16" i="2" s="1"/>
  <c r="BB12" i="2"/>
  <c r="BB113" i="2" s="1"/>
  <c r="BC11" i="2"/>
  <c r="BB79" i="2"/>
  <c r="G79" i="3"/>
  <c r="BH96" i="3"/>
  <c r="BH39" i="2" s="1"/>
  <c r="AW85" i="2"/>
  <c r="BX147" i="3"/>
  <c r="AX147" i="3"/>
  <c r="D57" i="3"/>
  <c r="D27" i="2"/>
  <c r="E27" i="2"/>
  <c r="F27" i="2"/>
  <c r="AA139" i="3"/>
  <c r="AA61" i="2"/>
  <c r="AA85" i="2"/>
  <c r="AK140" i="3"/>
  <c r="AK48" i="3"/>
  <c r="BT147" i="3"/>
  <c r="AH121" i="3"/>
  <c r="AH78" i="3"/>
  <c r="AH81" i="3" s="1"/>
  <c r="AH82" i="3" s="1"/>
  <c r="AJ64" i="2"/>
  <c r="AJ78" i="3" s="1"/>
  <c r="AJ81" i="3" s="1"/>
  <c r="AJ82" i="3" s="1"/>
  <c r="AT57" i="3"/>
  <c r="AU27" i="2"/>
  <c r="BG79" i="3"/>
  <c r="AD23" i="2"/>
  <c r="AE23" i="2" s="1"/>
  <c r="AJ27" i="2"/>
  <c r="AV16" i="2"/>
  <c r="AU62" i="2"/>
  <c r="AU22" i="2"/>
  <c r="AU17" i="2"/>
  <c r="AU35" i="2" s="1"/>
  <c r="AU37" i="2" s="1"/>
  <c r="BD132" i="3"/>
  <c r="AP103" i="2"/>
  <c r="AP104" i="2" s="1"/>
  <c r="BO27" i="3"/>
  <c r="BO26" i="3" s="1"/>
  <c r="BO48" i="3" s="1"/>
  <c r="BQ39" i="2"/>
  <c r="BQ9" i="2"/>
  <c r="AC121" i="3"/>
  <c r="AC78" i="3"/>
  <c r="AC81" i="3" s="1"/>
  <c r="AC82" i="3" s="1"/>
  <c r="AE64" i="2"/>
  <c r="AE78" i="3" s="1"/>
  <c r="AE81" i="3" s="1"/>
  <c r="AE82" i="3" s="1"/>
  <c r="BH5" i="3"/>
  <c r="BH4" i="3" s="1"/>
  <c r="BH140" i="3" s="1"/>
  <c r="BH67" i="3"/>
  <c r="BU79" i="3"/>
  <c r="BN42" i="4"/>
  <c r="W59" i="2"/>
  <c r="W19" i="2"/>
  <c r="W16" i="2"/>
  <c r="Y94" i="3"/>
  <c r="W22" i="2"/>
  <c r="W41" i="2"/>
  <c r="Z9" i="2"/>
  <c r="L57" i="3"/>
  <c r="M27" i="2"/>
  <c r="AR96" i="3"/>
  <c r="AR39" i="2" s="1"/>
  <c r="AS96" i="3"/>
  <c r="AS39" i="2" s="1"/>
  <c r="I48" i="3"/>
  <c r="Y59" i="2"/>
  <c r="Y19" i="2"/>
  <c r="E48" i="3"/>
  <c r="AD9" i="2"/>
  <c r="AF94" i="3" s="1"/>
  <c r="AD8" i="2"/>
  <c r="AR95" i="3"/>
  <c r="AR98" i="3"/>
  <c r="AR100" i="3"/>
  <c r="AI94" i="3"/>
  <c r="AF59" i="2"/>
  <c r="AJ9" i="2"/>
  <c r="AF19" i="2"/>
  <c r="AF16" i="2"/>
  <c r="AF41" i="2"/>
  <c r="AF22" i="2"/>
  <c r="AE41" i="3"/>
  <c r="AD79" i="3"/>
  <c r="AD27" i="3"/>
  <c r="AD26" i="3" s="1"/>
  <c r="AD48" i="3" s="1"/>
  <c r="AY79" i="3"/>
  <c r="P96" i="3"/>
  <c r="BE115" i="2"/>
  <c r="BE117" i="2" s="1"/>
  <c r="BE112" i="2"/>
  <c r="AL22" i="2"/>
  <c r="D16" i="2"/>
  <c r="G116" i="2"/>
  <c r="V146" i="3"/>
  <c r="V147" i="3" s="1"/>
  <c r="V135" i="3"/>
  <c r="BU114" i="2"/>
  <c r="BU115" i="2"/>
  <c r="BU117" i="2" s="1"/>
  <c r="BF132" i="3"/>
  <c r="N59" i="2"/>
  <c r="N16" i="2"/>
  <c r="N41" i="2"/>
  <c r="N19" i="2"/>
  <c r="N22" i="2"/>
  <c r="AO146" i="3"/>
  <c r="AO147" i="3" s="1"/>
  <c r="AO135" i="3"/>
  <c r="M35" i="2"/>
  <c r="M37" i="2" s="1"/>
  <c r="M78" i="2"/>
  <c r="AM140" i="3"/>
  <c r="AM139" i="3"/>
  <c r="BB79" i="3"/>
  <c r="U30" i="2"/>
  <c r="BH64" i="2"/>
  <c r="AD11" i="2"/>
  <c r="AE11" i="2" s="1"/>
  <c r="BD55" i="3"/>
  <c r="BI55" i="3"/>
  <c r="AN67" i="3"/>
  <c r="AN71" i="3"/>
  <c r="AN75" i="3" s="1"/>
  <c r="BC64" i="3"/>
  <c r="BC66" i="3"/>
  <c r="BT66" i="3"/>
  <c r="BT64" i="3"/>
  <c r="AD37" i="4"/>
  <c r="AD38" i="4" s="1"/>
  <c r="AD36" i="4"/>
  <c r="AD42" i="4"/>
  <c r="B75" i="3"/>
  <c r="B67" i="3"/>
  <c r="R114" i="2"/>
  <c r="R116" i="2" s="1"/>
  <c r="R118" i="2" s="1"/>
  <c r="R115" i="2"/>
  <c r="R117" i="2" s="1"/>
  <c r="AR79" i="3"/>
  <c r="AQ79" i="3"/>
  <c r="V78" i="2"/>
  <c r="Q59" i="2"/>
  <c r="Q19" i="2"/>
  <c r="Q41" i="2"/>
  <c r="T39" i="2"/>
  <c r="BB146" i="3"/>
  <c r="BB135" i="3"/>
  <c r="BB59" i="2"/>
  <c r="BG85" i="2" s="1"/>
  <c r="BB19" i="2"/>
  <c r="BB41" i="2"/>
  <c r="AA35" i="2"/>
  <c r="AA37" i="2" s="1"/>
  <c r="BB57" i="3"/>
  <c r="BB27" i="2"/>
  <c r="BC27" i="2"/>
  <c r="AU139" i="3"/>
  <c r="AU61" i="2"/>
  <c r="AU85" i="2"/>
  <c r="H39" i="2"/>
  <c r="H9" i="2"/>
  <c r="H8" i="2"/>
  <c r="T18" i="4"/>
  <c r="T14" i="4"/>
  <c r="T33" i="4" s="1"/>
  <c r="T21" i="4"/>
  <c r="O9" i="2"/>
  <c r="O94" i="3" s="1"/>
  <c r="O39" i="2"/>
  <c r="AC79" i="3"/>
  <c r="R16" i="2"/>
  <c r="AB94" i="3"/>
  <c r="AB59" i="2"/>
  <c r="AB22" i="2"/>
  <c r="AB16" i="2"/>
  <c r="AB41" i="2"/>
  <c r="AB19" i="2"/>
  <c r="T67" i="3"/>
  <c r="O112" i="2"/>
  <c r="P111" i="2"/>
  <c r="AV114" i="2"/>
  <c r="AV115" i="2"/>
  <c r="AV117" i="2" s="1"/>
  <c r="BV147" i="3"/>
  <c r="CF44" i="3"/>
  <c r="CF49" i="2" s="1"/>
  <c r="AI121" i="3"/>
  <c r="AI78" i="3"/>
  <c r="AI81" i="3" s="1"/>
  <c r="AI82" i="3" s="1"/>
  <c r="AQ135" i="3"/>
  <c r="AQ146" i="3"/>
  <c r="AQ147" i="3" s="1"/>
  <c r="BW35" i="4"/>
  <c r="BW4" i="2"/>
  <c r="BJ57" i="3"/>
  <c r="BK27" i="2"/>
  <c r="BJ132" i="3"/>
  <c r="AS60" i="2"/>
  <c r="N121" i="3"/>
  <c r="N78" i="3"/>
  <c r="N81" i="3" s="1"/>
  <c r="N82" i="3" s="1"/>
  <c r="O64" i="2"/>
  <c r="AX8" i="2"/>
  <c r="AX9" i="2"/>
  <c r="BA94" i="3" s="1"/>
  <c r="AY4" i="2"/>
  <c r="BD57" i="3"/>
  <c r="BE27" i="2"/>
  <c r="B62" i="2"/>
  <c r="F21" i="2"/>
  <c r="B17" i="2"/>
  <c r="B22" i="2"/>
  <c r="J132" i="3"/>
  <c r="AH27" i="3"/>
  <c r="AH26" i="3" s="1"/>
  <c r="AH48" i="3" s="1"/>
  <c r="D62" i="2"/>
  <c r="D63" i="2" s="1"/>
  <c r="D22" i="2"/>
  <c r="D17" i="2"/>
  <c r="G94" i="3"/>
  <c r="G19" i="2"/>
  <c r="G16" i="2"/>
  <c r="G41" i="2"/>
  <c r="G22" i="2"/>
  <c r="G59" i="2"/>
  <c r="BJ59" i="2"/>
  <c r="BJ41" i="2"/>
  <c r="BJ19" i="2"/>
  <c r="BJ16" i="2"/>
  <c r="BJ22" i="2"/>
  <c r="BU104" i="3"/>
  <c r="BV104" i="3"/>
  <c r="BL30" i="2"/>
  <c r="BL21" i="2"/>
  <c r="BL28" i="11" s="1"/>
  <c r="BM32" i="2"/>
  <c r="D132" i="3"/>
  <c r="AZ57" i="3"/>
  <c r="BA27" i="2"/>
  <c r="BD27" i="2"/>
  <c r="AX36" i="4"/>
  <c r="AX37" i="4"/>
  <c r="AX38" i="4" s="1"/>
  <c r="AY35" i="4"/>
  <c r="AL64" i="3"/>
  <c r="AL66" i="3"/>
  <c r="O36" i="4"/>
  <c r="O37" i="4"/>
  <c r="P35" i="4"/>
  <c r="P36" i="4" s="1"/>
  <c r="BN27" i="2"/>
  <c r="AD25" i="2"/>
  <c r="O17" i="2"/>
  <c r="P17" i="2" s="1"/>
  <c r="BS112" i="2"/>
  <c r="AV139" i="3"/>
  <c r="AV61" i="2"/>
  <c r="AV85" i="2"/>
  <c r="AV21" i="2"/>
  <c r="AV30" i="2"/>
  <c r="BP57" i="3"/>
  <c r="BQ27" i="2"/>
  <c r="BO57" i="3"/>
  <c r="BP27" i="2"/>
  <c r="AZ132" i="3"/>
  <c r="BQ79" i="2"/>
  <c r="AD121" i="3"/>
  <c r="AD78" i="3"/>
  <c r="AD81" i="3" s="1"/>
  <c r="AD82" i="3" s="1"/>
  <c r="N27" i="2"/>
  <c r="BA59" i="2"/>
  <c r="BA41" i="2"/>
  <c r="BA19" i="2"/>
  <c r="BA22" i="2"/>
  <c r="BA16" i="2"/>
  <c r="AN139" i="3"/>
  <c r="AN85" i="2"/>
  <c r="BW96" i="3"/>
  <c r="AC96" i="3"/>
  <c r="AC39" i="2" s="1"/>
  <c r="T42" i="4"/>
  <c r="U41" i="4"/>
  <c r="AP104" i="3"/>
  <c r="AS79" i="3"/>
  <c r="BG132" i="3"/>
  <c r="BQ147" i="3"/>
  <c r="V17" i="4"/>
  <c r="Z19" i="4"/>
  <c r="Z20" i="4" s="1"/>
  <c r="X19" i="2"/>
  <c r="X41" i="2"/>
  <c r="X59" i="2"/>
  <c r="X22" i="2"/>
  <c r="BU27" i="2"/>
  <c r="AU78" i="2"/>
  <c r="BC36" i="4"/>
  <c r="BC37" i="4"/>
  <c r="BC38" i="4" s="1"/>
  <c r="AD135" i="3"/>
  <c r="AD146" i="3"/>
  <c r="AD147" i="3" s="1"/>
  <c r="D114" i="2"/>
  <c r="D115" i="2"/>
  <c r="D117" i="2" s="1"/>
  <c r="X67" i="3"/>
  <c r="BV12" i="2"/>
  <c r="BV113" i="2" s="1"/>
  <c r="BF135" i="3"/>
  <c r="BF146" i="3"/>
  <c r="BD42" i="4"/>
  <c r="AN123" i="3"/>
  <c r="AO123" i="3" s="1"/>
  <c r="AN122" i="3"/>
  <c r="AN146" i="3"/>
  <c r="AN147" i="3" s="1"/>
  <c r="AN135" i="3"/>
  <c r="M139" i="3"/>
  <c r="M61" i="2"/>
  <c r="U39" i="2"/>
  <c r="U71" i="2"/>
  <c r="BB132" i="3"/>
  <c r="U31" i="2"/>
  <c r="U62" i="2" s="1"/>
  <c r="BA147" i="3"/>
  <c r="G19" i="4"/>
  <c r="AJ93" i="3"/>
  <c r="AJ96" i="3" s="1"/>
  <c r="AJ39" i="2" s="1"/>
  <c r="AK79" i="3"/>
  <c r="AW60" i="2"/>
  <c r="AW61" i="2" s="1"/>
  <c r="AW12" i="2"/>
  <c r="AW113" i="2" s="1"/>
  <c r="AW10" i="2"/>
  <c r="AW79" i="2"/>
  <c r="AX11" i="2"/>
  <c r="AB114" i="2"/>
  <c r="AB116" i="2" s="1"/>
  <c r="AB118" i="2" s="1"/>
  <c r="AB115" i="2"/>
  <c r="AB117" i="2" s="1"/>
  <c r="P104" i="3"/>
  <c r="C140" i="3"/>
  <c r="C48" i="3"/>
  <c r="AR123" i="3"/>
  <c r="AT121" i="3"/>
  <c r="AT122" i="3" s="1"/>
  <c r="AR122" i="3"/>
  <c r="AD39" i="2"/>
  <c r="AJ25" i="2"/>
  <c r="AJ67" i="2"/>
  <c r="AJ66" i="2" s="1"/>
  <c r="U25" i="2"/>
  <c r="U67" i="2"/>
  <c r="AX103" i="2"/>
  <c r="AX104" i="2" s="1"/>
  <c r="AY102" i="2"/>
  <c r="AY103" i="2" s="1"/>
  <c r="AY104" i="2" s="1"/>
  <c r="H103" i="2"/>
  <c r="H104" i="2" s="1"/>
  <c r="U102" i="2"/>
  <c r="U103" i="2" s="1"/>
  <c r="U104" i="2" s="1"/>
  <c r="Q103" i="2"/>
  <c r="Q104" i="2" s="1"/>
  <c r="Q17" i="2"/>
  <c r="BD23" i="2"/>
  <c r="K27" i="2"/>
  <c r="K68" i="2"/>
  <c r="Y103" i="2"/>
  <c r="Y104" i="2" s="1"/>
  <c r="Z102" i="2"/>
  <c r="Z103" i="2" s="1"/>
  <c r="Z104" i="2" s="1"/>
  <c r="P25" i="2"/>
  <c r="P67" i="2"/>
  <c r="P66" i="2" s="1"/>
  <c r="CI125" i="3"/>
  <c r="K67" i="2"/>
  <c r="K25" i="2"/>
  <c r="AL35" i="2"/>
  <c r="BI102" i="2"/>
  <c r="BI103" i="2" s="1"/>
  <c r="BI104" i="2" s="1"/>
  <c r="BD67" i="2"/>
  <c r="BD25" i="2"/>
  <c r="J95" i="2"/>
  <c r="J27" i="2"/>
  <c r="J68" i="2"/>
  <c r="J66" i="2" s="1"/>
  <c r="CC15" i="4"/>
  <c r="CC16" i="4" s="1"/>
  <c r="AI23" i="2"/>
  <c r="AI17" i="2" s="1"/>
  <c r="AI67" i="2"/>
  <c r="AI66" i="2" s="1"/>
  <c r="AI25" i="2"/>
  <c r="BD102" i="2"/>
  <c r="BD103" i="2" s="1"/>
  <c r="BD104" i="2" s="1"/>
  <c r="U98" i="2"/>
  <c r="I102" i="2"/>
  <c r="I103" i="2" s="1"/>
  <c r="I104" i="2" s="1"/>
  <c r="I96" i="2"/>
  <c r="I97" i="2" s="1"/>
  <c r="I98" i="2"/>
  <c r="AY96" i="2"/>
  <c r="AY97" i="2" s="1"/>
  <c r="AY98" i="2"/>
  <c r="Z96" i="2"/>
  <c r="Z97" i="2" s="1"/>
  <c r="Z98" i="2"/>
  <c r="AN25" i="2"/>
  <c r="AN67" i="2"/>
  <c r="AN66" i="2" s="1"/>
  <c r="AN23" i="2"/>
  <c r="AO24" i="2"/>
  <c r="Z23" i="2"/>
  <c r="P98" i="2"/>
  <c r="AG17" i="2"/>
  <c r="J23" i="2"/>
  <c r="T23" i="2"/>
  <c r="T17" i="2" s="1"/>
  <c r="T67" i="2"/>
  <c r="T66" i="2" s="1"/>
  <c r="T25" i="2"/>
  <c r="V35" i="2"/>
  <c r="Z17" i="2"/>
  <c r="BW103" i="2"/>
  <c r="BW104" i="2" s="1"/>
  <c r="BX102" i="2"/>
  <c r="BX103" i="2" s="1"/>
  <c r="BX104" i="2" s="1"/>
  <c r="CX20" i="2"/>
  <c r="CO118" i="2" l="1"/>
  <c r="CP118" i="2" s="1"/>
  <c r="CQ118" i="2" s="1"/>
  <c r="CS118" i="2" s="1"/>
  <c r="CT118" i="2" s="1"/>
  <c r="CU118" i="2" s="1"/>
  <c r="CV118" i="2" s="1"/>
  <c r="CX118" i="2" s="1"/>
  <c r="CY118" i="2" s="1"/>
  <c r="CZ118" i="2" s="1"/>
  <c r="DA118" i="2" s="1"/>
  <c r="AN62" i="2"/>
  <c r="AN22" i="2"/>
  <c r="AO21" i="2"/>
  <c r="AO62" i="2" s="1"/>
  <c r="P19" i="4"/>
  <c r="P20" i="4" s="1"/>
  <c r="E24" i="15"/>
  <c r="AO22" i="2"/>
  <c r="BY85" i="2"/>
  <c r="CD85" i="2"/>
  <c r="L10" i="9"/>
  <c r="CD102" i="3"/>
  <c r="BX32" i="2"/>
  <c r="BI9" i="2"/>
  <c r="BI23" i="11" s="1"/>
  <c r="BI26" i="11" s="1"/>
  <c r="Q48" i="3"/>
  <c r="CG4" i="11"/>
  <c r="CD46" i="4"/>
  <c r="AS12" i="2"/>
  <c r="AS113" i="2" s="1"/>
  <c r="BM41" i="2"/>
  <c r="AT11" i="2"/>
  <c r="BN9" i="2"/>
  <c r="BN23" i="11" s="1"/>
  <c r="BN22" i="11" s="1"/>
  <c r="BM59" i="2"/>
  <c r="BO94" i="3"/>
  <c r="Q79" i="3"/>
  <c r="M22" i="15"/>
  <c r="N11" i="9"/>
  <c r="BM94" i="3"/>
  <c r="AS10" i="2"/>
  <c r="AV102" i="3" s="1"/>
  <c r="AV118" i="3" s="1"/>
  <c r="AV119" i="3" s="1"/>
  <c r="BS80" i="2"/>
  <c r="CN21" i="2"/>
  <c r="CN28" i="11" s="1"/>
  <c r="CA46" i="4"/>
  <c r="CB46" i="4"/>
  <c r="BW33" i="11"/>
  <c r="BW34" i="11"/>
  <c r="AM102" i="3"/>
  <c r="CB102" i="3"/>
  <c r="CB115" i="2"/>
  <c r="CB117" i="2" s="1"/>
  <c r="CB114" i="2"/>
  <c r="CB116" i="2" s="1"/>
  <c r="CB118" i="2" s="1"/>
  <c r="S102" i="3"/>
  <c r="S103" i="3" s="1"/>
  <c r="BT96" i="3"/>
  <c r="BT39" i="2" s="1"/>
  <c r="R102" i="3"/>
  <c r="BJ27" i="2"/>
  <c r="BZ22" i="11"/>
  <c r="BS42" i="4"/>
  <c r="AI61" i="2"/>
  <c r="AM114" i="2"/>
  <c r="AM116" i="2" s="1"/>
  <c r="AM118" i="2" s="1"/>
  <c r="J48" i="3"/>
  <c r="K79" i="2"/>
  <c r="R79" i="3"/>
  <c r="CC6" i="4"/>
  <c r="CF11" i="4" s="1"/>
  <c r="I34" i="9"/>
  <c r="M34" i="9" s="1"/>
  <c r="AA100" i="3"/>
  <c r="AA95" i="3"/>
  <c r="Y79" i="2"/>
  <c r="Y10" i="2"/>
  <c r="BX35" i="4"/>
  <c r="BX36" i="4" s="1"/>
  <c r="AJ66" i="3"/>
  <c r="Y12" i="2"/>
  <c r="Y113" i="2" s="1"/>
  <c r="Y114" i="2" s="1"/>
  <c r="Y116" i="2" s="1"/>
  <c r="Y118" i="2" s="1"/>
  <c r="Y60" i="2"/>
  <c r="CC6" i="11"/>
  <c r="CA16" i="2"/>
  <c r="F17" i="4"/>
  <c r="BI4" i="3"/>
  <c r="BI48" i="3" s="1"/>
  <c r="C24" i="15"/>
  <c r="BV48" i="3"/>
  <c r="BN82" i="3"/>
  <c r="D17" i="15"/>
  <c r="BX4" i="3"/>
  <c r="F24" i="15"/>
  <c r="BH23" i="11"/>
  <c r="BH26" i="11" s="1"/>
  <c r="CA114" i="2"/>
  <c r="CA116" i="2" s="1"/>
  <c r="CA118" i="2" s="1"/>
  <c r="CA115" i="2"/>
  <c r="CA117" i="2" s="1"/>
  <c r="BS140" i="3"/>
  <c r="E21" i="15"/>
  <c r="N22" i="15"/>
  <c r="BH19" i="2"/>
  <c r="BH94" i="3"/>
  <c r="BS82" i="3"/>
  <c r="E17" i="15"/>
  <c r="BY4" i="3"/>
  <c r="BY139" i="3" s="1"/>
  <c r="M24" i="15"/>
  <c r="BH41" i="2"/>
  <c r="BJ94" i="3"/>
  <c r="BJ100" i="3" s="1"/>
  <c r="BN4" i="3"/>
  <c r="D24" i="15"/>
  <c r="P12" i="2"/>
  <c r="BH59" i="2"/>
  <c r="CA61" i="2"/>
  <c r="O5" i="15"/>
  <c r="O6" i="15" s="1"/>
  <c r="BH16" i="2"/>
  <c r="BH78" i="2" s="1"/>
  <c r="P60" i="2"/>
  <c r="BL94" i="3"/>
  <c r="BL100" i="3" s="1"/>
  <c r="BX30" i="2"/>
  <c r="C12" i="9" s="1"/>
  <c r="BY61" i="2"/>
  <c r="CD86" i="2" s="1"/>
  <c r="M5" i="15"/>
  <c r="M6" i="15" s="1"/>
  <c r="AZ139" i="3"/>
  <c r="AZ61" i="2"/>
  <c r="AZ86" i="2" s="1"/>
  <c r="CG15" i="4"/>
  <c r="CG5" i="4"/>
  <c r="CG5" i="11" s="1"/>
  <c r="BU22" i="2"/>
  <c r="BF42" i="11"/>
  <c r="BF40" i="11"/>
  <c r="BF44" i="11" s="1"/>
  <c r="BT42" i="11"/>
  <c r="BT40" i="11"/>
  <c r="BT44" i="11" s="1"/>
  <c r="BV19" i="11"/>
  <c r="BN11" i="2"/>
  <c r="BM24" i="11"/>
  <c r="BM26" i="11" s="1"/>
  <c r="BM79" i="2"/>
  <c r="BM60" i="2"/>
  <c r="BM12" i="2"/>
  <c r="BM113" i="2" s="1"/>
  <c r="BM10" i="2"/>
  <c r="BB41" i="11"/>
  <c r="BB29" i="11"/>
  <c r="BB36" i="11" s="1"/>
  <c r="BB39" i="11" s="1"/>
  <c r="CI28" i="11"/>
  <c r="BX68" i="2"/>
  <c r="BX66" i="2" s="1"/>
  <c r="BX25" i="11"/>
  <c r="BY29" i="11"/>
  <c r="BY36" i="11" s="1"/>
  <c r="BY39" i="11" s="1"/>
  <c r="BY41" i="11"/>
  <c r="BC22" i="11"/>
  <c r="BS68" i="2"/>
  <c r="BS66" i="2" s="1"/>
  <c r="BS25" i="11"/>
  <c r="AZ22" i="11"/>
  <c r="AZ26" i="11"/>
  <c r="BL41" i="11"/>
  <c r="BL29" i="11"/>
  <c r="BL36" i="11" s="1"/>
  <c r="BL39" i="11" s="1"/>
  <c r="BS19" i="11"/>
  <c r="BL114" i="2"/>
  <c r="BL116" i="2" s="1"/>
  <c r="BL118" i="2" s="1"/>
  <c r="BL115" i="2"/>
  <c r="BL117" i="2" s="1"/>
  <c r="CA28" i="11"/>
  <c r="BW21" i="2"/>
  <c r="BV28" i="11"/>
  <c r="BW79" i="2"/>
  <c r="BW24" i="11"/>
  <c r="BA41" i="11"/>
  <c r="BA29" i="11"/>
  <c r="BA36" i="11" s="1"/>
  <c r="BA39" i="11" s="1"/>
  <c r="BJ41" i="11"/>
  <c r="BJ29" i="11"/>
  <c r="BJ36" i="11" s="1"/>
  <c r="BJ39" i="11" s="1"/>
  <c r="BK40" i="11"/>
  <c r="BK44" i="11" s="1"/>
  <c r="BK42" i="11"/>
  <c r="BD11" i="2"/>
  <c r="BD24" i="11" s="1"/>
  <c r="BC24" i="11"/>
  <c r="BC26" i="11" s="1"/>
  <c r="BR32" i="2"/>
  <c r="BQ34" i="11"/>
  <c r="BQ33" i="11"/>
  <c r="CJ28" i="11"/>
  <c r="BU41" i="11"/>
  <c r="BU29" i="11"/>
  <c r="BU36" i="11" s="1"/>
  <c r="BU39" i="11" s="1"/>
  <c r="BC30" i="2"/>
  <c r="BD30" i="2" s="1"/>
  <c r="BC34" i="11"/>
  <c r="BC33" i="11"/>
  <c r="BP29" i="11"/>
  <c r="BP36" i="11" s="1"/>
  <c r="BP39" i="11" s="1"/>
  <c r="BP41" i="11"/>
  <c r="BW8" i="2"/>
  <c r="BW21" i="11"/>
  <c r="BW19" i="11" s="1"/>
  <c r="BC94" i="3"/>
  <c r="AG94" i="3"/>
  <c r="BS9" i="2"/>
  <c r="BS23" i="11" s="1"/>
  <c r="BQ23" i="11"/>
  <c r="BU22" i="11"/>
  <c r="BR26" i="11"/>
  <c r="BR22" i="11"/>
  <c r="BO22" i="11"/>
  <c r="BO26" i="11"/>
  <c r="BD9" i="2"/>
  <c r="BD23" i="11" s="1"/>
  <c r="AH94" i="3"/>
  <c r="BD68" i="2"/>
  <c r="BD66" i="2" s="1"/>
  <c r="BD25" i="11"/>
  <c r="BM30" i="2"/>
  <c r="BM34" i="11"/>
  <c r="BM33" i="11"/>
  <c r="BX34" i="11"/>
  <c r="BX33" i="11"/>
  <c r="BE41" i="11"/>
  <c r="BE29" i="11"/>
  <c r="BE36" i="11" s="1"/>
  <c r="BE39" i="11" s="1"/>
  <c r="BG34" i="11"/>
  <c r="BG33" i="11"/>
  <c r="BN19" i="11"/>
  <c r="BZ29" i="11"/>
  <c r="BZ36" i="11" s="1"/>
  <c r="BZ39" i="11" s="1"/>
  <c r="BZ41" i="11"/>
  <c r="BI22" i="11"/>
  <c r="P113" i="2"/>
  <c r="CM46" i="3"/>
  <c r="CO46" i="3" s="1"/>
  <c r="CP46" i="3" s="1"/>
  <c r="CQ46" i="3" s="1"/>
  <c r="BK42" i="2"/>
  <c r="O114" i="2"/>
  <c r="O116" i="2" s="1"/>
  <c r="O118" i="2" s="1"/>
  <c r="O102" i="3"/>
  <c r="U66" i="2"/>
  <c r="W94" i="3"/>
  <c r="U9" i="2"/>
  <c r="U19" i="2" s="1"/>
  <c r="AJ121" i="3"/>
  <c r="AJ122" i="3" s="1"/>
  <c r="F19" i="4"/>
  <c r="F20" i="4" s="1"/>
  <c r="BZ46" i="4"/>
  <c r="B21" i="4"/>
  <c r="F21" i="4" s="1"/>
  <c r="T94" i="3"/>
  <c r="T98" i="3" s="1"/>
  <c r="X94" i="3"/>
  <c r="P103" i="3"/>
  <c r="P118" i="3"/>
  <c r="P119" i="3" s="1"/>
  <c r="U64" i="11"/>
  <c r="U3" i="11"/>
  <c r="U47" i="11"/>
  <c r="U20" i="11"/>
  <c r="U108" i="11"/>
  <c r="U91" i="11"/>
  <c r="T64" i="11"/>
  <c r="T3" i="11"/>
  <c r="T47" i="11"/>
  <c r="T20" i="11"/>
  <c r="T108" i="11"/>
  <c r="T91" i="11"/>
  <c r="BY78" i="2"/>
  <c r="CD88" i="2" s="1"/>
  <c r="BY35" i="2"/>
  <c r="V3" i="11"/>
  <c r="V47" i="11"/>
  <c r="V20" i="11"/>
  <c r="V108" i="11"/>
  <c r="V91" i="11"/>
  <c r="V64" i="11"/>
  <c r="BZ35" i="2"/>
  <c r="BZ78" i="2"/>
  <c r="K104" i="3"/>
  <c r="G104" i="3"/>
  <c r="BZ139" i="3"/>
  <c r="BZ61" i="2"/>
  <c r="X20" i="11"/>
  <c r="X108" i="11"/>
  <c r="X91" i="11"/>
  <c r="X64" i="11"/>
  <c r="X3" i="11"/>
  <c r="X47" i="11"/>
  <c r="U23" i="2"/>
  <c r="R93" i="2"/>
  <c r="R91" i="11"/>
  <c r="R64" i="11"/>
  <c r="R3" i="11"/>
  <c r="R47" i="11"/>
  <c r="R20" i="11"/>
  <c r="R108" i="11"/>
  <c r="AS48" i="3"/>
  <c r="BM48" i="3"/>
  <c r="Y48" i="3"/>
  <c r="AT123" i="3"/>
  <c r="AE121" i="3"/>
  <c r="AE122" i="3" s="1"/>
  <c r="BD32" i="2"/>
  <c r="F10" i="2"/>
  <c r="F102" i="3" s="1"/>
  <c r="E102" i="3"/>
  <c r="E118" i="3" s="1"/>
  <c r="E119" i="3" s="1"/>
  <c r="I102" i="3"/>
  <c r="I118" i="3" s="1"/>
  <c r="I119" i="3" s="1"/>
  <c r="AA102" i="3"/>
  <c r="AA103" i="3" s="1"/>
  <c r="BR94" i="3"/>
  <c r="BR98" i="3" s="1"/>
  <c r="S94" i="3"/>
  <c r="S95" i="3" s="1"/>
  <c r="BS37" i="4"/>
  <c r="BS38" i="4" s="1"/>
  <c r="AE37" i="4"/>
  <c r="AE38" i="4" s="1"/>
  <c r="AI140" i="3"/>
  <c r="AI139" i="3"/>
  <c r="H48" i="3"/>
  <c r="BX123" i="3"/>
  <c r="BY104" i="3"/>
  <c r="AT48" i="3"/>
  <c r="T140" i="3"/>
  <c r="T48" i="3"/>
  <c r="AX48" i="3"/>
  <c r="U48" i="3"/>
  <c r="AW139" i="3"/>
  <c r="BY48" i="3"/>
  <c r="O48" i="3"/>
  <c r="P39" i="2"/>
  <c r="BL140" i="3"/>
  <c r="BL139" i="3"/>
  <c r="AD17" i="2"/>
  <c r="CQ49" i="4"/>
  <c r="CN49" i="4"/>
  <c r="CN11" i="3" s="1"/>
  <c r="CP49" i="4"/>
  <c r="CO49" i="4"/>
  <c r="CJ50" i="4"/>
  <c r="R31" i="4"/>
  <c r="R142" i="3"/>
  <c r="R58" i="2"/>
  <c r="R48" i="4"/>
  <c r="R92" i="3"/>
  <c r="R50" i="3"/>
  <c r="CF25" i="4"/>
  <c r="R106" i="2"/>
  <c r="R3" i="4"/>
  <c r="R76" i="2"/>
  <c r="R23" i="4"/>
  <c r="R3" i="2"/>
  <c r="R131" i="3"/>
  <c r="R3" i="3"/>
  <c r="R47" i="2"/>
  <c r="R44" i="4"/>
  <c r="V23" i="4"/>
  <c r="V44" i="4"/>
  <c r="V3" i="4"/>
  <c r="V142" i="3"/>
  <c r="V48" i="4"/>
  <c r="V31" i="4"/>
  <c r="V70" i="3"/>
  <c r="V93" i="2"/>
  <c r="V3" i="3"/>
  <c r="V58" i="2"/>
  <c r="V76" i="2"/>
  <c r="V106" i="2"/>
  <c r="V92" i="3"/>
  <c r="V131" i="3"/>
  <c r="V50" i="3"/>
  <c r="V3" i="2"/>
  <c r="V47" i="2"/>
  <c r="P31" i="4"/>
  <c r="P92" i="3"/>
  <c r="P131" i="3"/>
  <c r="P106" i="2"/>
  <c r="P44" i="4"/>
  <c r="P50" i="3"/>
  <c r="P23" i="4"/>
  <c r="P3" i="3"/>
  <c r="P93" i="2"/>
  <c r="P3" i="4"/>
  <c r="P3" i="2"/>
  <c r="P76" i="2"/>
  <c r="P47" i="2"/>
  <c r="P70" i="3"/>
  <c r="P58" i="2"/>
  <c r="P142" i="3"/>
  <c r="P48" i="4"/>
  <c r="CH4" i="4"/>
  <c r="T131" i="3"/>
  <c r="T23" i="4"/>
  <c r="T44" i="4"/>
  <c r="T3" i="4"/>
  <c r="T142" i="3"/>
  <c r="T92" i="3"/>
  <c r="T3" i="3"/>
  <c r="T31" i="4"/>
  <c r="T70" i="3"/>
  <c r="T76" i="2"/>
  <c r="T47" i="2"/>
  <c r="T48" i="4"/>
  <c r="T106" i="2"/>
  <c r="T93" i="2"/>
  <c r="T58" i="2"/>
  <c r="T50" i="3"/>
  <c r="T3" i="2"/>
  <c r="S131" i="3"/>
  <c r="S23" i="4"/>
  <c r="S44" i="4"/>
  <c r="S3" i="4"/>
  <c r="S142" i="3"/>
  <c r="S92" i="3"/>
  <c r="S3" i="3"/>
  <c r="S31" i="4"/>
  <c r="S70" i="3"/>
  <c r="S3" i="2"/>
  <c r="S76" i="2"/>
  <c r="S47" i="2"/>
  <c r="S93" i="2"/>
  <c r="S106" i="2"/>
  <c r="S48" i="4"/>
  <c r="S58" i="2"/>
  <c r="S50" i="3"/>
  <c r="CF5" i="4"/>
  <c r="CF5" i="11" s="1"/>
  <c r="CF6" i="11" s="1"/>
  <c r="CG25" i="4"/>
  <c r="CH25" i="4" s="1"/>
  <c r="CF15" i="4"/>
  <c r="E78" i="2"/>
  <c r="E35" i="2"/>
  <c r="E37" i="2" s="1"/>
  <c r="AQ42" i="2"/>
  <c r="AQ70" i="2"/>
  <c r="BB78" i="2"/>
  <c r="AT62" i="2"/>
  <c r="AR118" i="3"/>
  <c r="AR119" i="3" s="1"/>
  <c r="AR103" i="3"/>
  <c r="AE60" i="2"/>
  <c r="AE12" i="2"/>
  <c r="AE79" i="2"/>
  <c r="O100" i="3"/>
  <c r="O98" i="3"/>
  <c r="O95" i="3"/>
  <c r="X78" i="2"/>
  <c r="X35" i="2"/>
  <c r="X37" i="2" s="1"/>
  <c r="BK98" i="3"/>
  <c r="BK100" i="3"/>
  <c r="BK95" i="3"/>
  <c r="AM100" i="3"/>
  <c r="AM95" i="3"/>
  <c r="AM98" i="3"/>
  <c r="BM66" i="3"/>
  <c r="BM64" i="3"/>
  <c r="BR60" i="2"/>
  <c r="BR10" i="2"/>
  <c r="BR102" i="3" s="1"/>
  <c r="BR12" i="2"/>
  <c r="BR113" i="2" s="1"/>
  <c r="BR79" i="2"/>
  <c r="BS11" i="2"/>
  <c r="BS24" i="11" s="1"/>
  <c r="BQ64" i="3"/>
  <c r="BQ66" i="3"/>
  <c r="BI60" i="2"/>
  <c r="BI12" i="2"/>
  <c r="BI79" i="2"/>
  <c r="D133" i="3"/>
  <c r="D65" i="2"/>
  <c r="D81" i="2" s="1"/>
  <c r="D82" i="2"/>
  <c r="AJ140" i="3"/>
  <c r="AJ48" i="3"/>
  <c r="E139" i="3"/>
  <c r="E61" i="2"/>
  <c r="N78" i="2"/>
  <c r="N35" i="2"/>
  <c r="N37" i="2" s="1"/>
  <c r="AL139" i="3"/>
  <c r="AL61" i="2"/>
  <c r="AQ86" i="2" s="1"/>
  <c r="AL85" i="2"/>
  <c r="M67" i="3"/>
  <c r="BP139" i="3"/>
  <c r="BP85" i="2"/>
  <c r="BP61" i="2"/>
  <c r="J102" i="3"/>
  <c r="K10" i="2"/>
  <c r="K102" i="3" s="1"/>
  <c r="M102" i="3"/>
  <c r="L102" i="3"/>
  <c r="AM103" i="3"/>
  <c r="AM118" i="3"/>
  <c r="AM119" i="3" s="1"/>
  <c r="AJ104" i="3"/>
  <c r="AK104" i="3"/>
  <c r="AF116" i="2"/>
  <c r="AJ112" i="2"/>
  <c r="AO104" i="3"/>
  <c r="BJ78" i="2"/>
  <c r="BJ88" i="2" s="1"/>
  <c r="BJ35" i="2"/>
  <c r="AF79" i="3"/>
  <c r="AE79" i="3"/>
  <c r="AJ79" i="3"/>
  <c r="AE27" i="3"/>
  <c r="AE26" i="3" s="1"/>
  <c r="AE48" i="3" s="1"/>
  <c r="BG123" i="3"/>
  <c r="BG122" i="3"/>
  <c r="AH70" i="2"/>
  <c r="AH42" i="2"/>
  <c r="N116" i="2"/>
  <c r="N118" i="2" s="1"/>
  <c r="BH102" i="3"/>
  <c r="BG16" i="2"/>
  <c r="BI10" i="2"/>
  <c r="AF67" i="3"/>
  <c r="BN64" i="3"/>
  <c r="D15" i="15" s="1"/>
  <c r="BN66" i="3"/>
  <c r="BF77" i="2"/>
  <c r="BK87" i="2" s="1"/>
  <c r="V133" i="3"/>
  <c r="V82" i="2"/>
  <c r="V65" i="2"/>
  <c r="Z60" i="2"/>
  <c r="Z12" i="2"/>
  <c r="Z79" i="2"/>
  <c r="AK67" i="3"/>
  <c r="AK71" i="3"/>
  <c r="AK75" i="3" s="1"/>
  <c r="M63" i="2"/>
  <c r="M77" i="2"/>
  <c r="R87" i="2" s="1"/>
  <c r="BD37" i="4"/>
  <c r="BD38" i="4" s="1"/>
  <c r="CS143" i="3"/>
  <c r="CT143" i="3" s="1"/>
  <c r="CU143" i="3" s="1"/>
  <c r="CV143" i="3" s="1"/>
  <c r="CR143" i="3"/>
  <c r="E114" i="2"/>
  <c r="E116" i="2" s="1"/>
  <c r="E118" i="2" s="1"/>
  <c r="F113" i="2"/>
  <c r="E115" i="2"/>
  <c r="BV39" i="2"/>
  <c r="BV9" i="2"/>
  <c r="BV8" i="2"/>
  <c r="AU42" i="2"/>
  <c r="AU70" i="2"/>
  <c r="AV77" i="2"/>
  <c r="AV86" i="2"/>
  <c r="BN32" i="2"/>
  <c r="BJ139" i="3"/>
  <c r="BJ85" i="2"/>
  <c r="BJ61" i="2"/>
  <c r="P115" i="2"/>
  <c r="P117" i="2" s="1"/>
  <c r="O117" i="2"/>
  <c r="AB100" i="3"/>
  <c r="AB95" i="3"/>
  <c r="AB98" i="3"/>
  <c r="R94" i="3"/>
  <c r="AH100" i="3"/>
  <c r="AH98" i="3"/>
  <c r="AH95" i="3"/>
  <c r="AD59" i="2"/>
  <c r="AD19" i="2"/>
  <c r="AE9" i="2"/>
  <c r="AD41" i="2"/>
  <c r="AD22" i="2"/>
  <c r="Z94" i="3"/>
  <c r="Z59" i="2"/>
  <c r="Z22" i="2"/>
  <c r="Z19" i="2"/>
  <c r="AO79" i="3"/>
  <c r="AP79" i="3"/>
  <c r="AT79" i="3"/>
  <c r="BT37" i="2"/>
  <c r="BD147" i="3"/>
  <c r="BK44" i="2"/>
  <c r="BK45" i="2"/>
  <c r="AL95" i="3"/>
  <c r="AL100" i="3"/>
  <c r="AL98" i="3"/>
  <c r="AH64" i="3"/>
  <c r="AI71" i="3" s="1"/>
  <c r="AI75" i="3" s="1"/>
  <c r="AH66" i="3"/>
  <c r="AK95" i="3"/>
  <c r="AK100" i="3"/>
  <c r="AK98" i="3"/>
  <c r="K66" i="3"/>
  <c r="K64" i="3"/>
  <c r="B139" i="3"/>
  <c r="B61" i="2"/>
  <c r="BS8" i="2"/>
  <c r="BS39" i="2"/>
  <c r="BK86" i="2"/>
  <c r="BX66" i="3"/>
  <c r="C21" i="9" s="1"/>
  <c r="BX64" i="3"/>
  <c r="BE79" i="3"/>
  <c r="BI79" i="3"/>
  <c r="BD27" i="3"/>
  <c r="BD26" i="3" s="1"/>
  <c r="BD48" i="3" s="1"/>
  <c r="BD79" i="3"/>
  <c r="BS32" i="2"/>
  <c r="AX121" i="3"/>
  <c r="AY121" i="3" s="1"/>
  <c r="AY122" i="3" s="1"/>
  <c r="AX78" i="3"/>
  <c r="AX81" i="3" s="1"/>
  <c r="AX82" i="3" s="1"/>
  <c r="O22" i="2"/>
  <c r="O62" i="2"/>
  <c r="CC27" i="4"/>
  <c r="V118" i="2"/>
  <c r="BN147" i="3"/>
  <c r="F140" i="3"/>
  <c r="F48" i="3"/>
  <c r="BD12" i="2"/>
  <c r="BI104" i="3"/>
  <c r="BJ104" i="3"/>
  <c r="BU38" i="4"/>
  <c r="AZ64" i="3"/>
  <c r="AZ66" i="3"/>
  <c r="N139" i="3"/>
  <c r="N61" i="2"/>
  <c r="AE66" i="3"/>
  <c r="AE64" i="3"/>
  <c r="AF71" i="3" s="1"/>
  <c r="AF75" i="3" s="1"/>
  <c r="AK139" i="3"/>
  <c r="AK61" i="2"/>
  <c r="AP86" i="2" s="1"/>
  <c r="AK85" i="2"/>
  <c r="AH133" i="3"/>
  <c r="AH82" i="2"/>
  <c r="AH65" i="2"/>
  <c r="BC67" i="3"/>
  <c r="BK133" i="3"/>
  <c r="BK65" i="2"/>
  <c r="BK82" i="2"/>
  <c r="BV36" i="4"/>
  <c r="BV42" i="4"/>
  <c r="BV37" i="4"/>
  <c r="BV38" i="4" s="1"/>
  <c r="U60" i="2"/>
  <c r="U12" i="2"/>
  <c r="U79" i="2"/>
  <c r="AD123" i="3"/>
  <c r="AD122" i="3"/>
  <c r="BL62" i="2"/>
  <c r="BL63" i="2" s="1"/>
  <c r="BL17" i="2"/>
  <c r="BL22" i="2"/>
  <c r="BM21" i="2"/>
  <c r="BW36" i="4"/>
  <c r="BW37" i="4"/>
  <c r="BW38" i="4" s="1"/>
  <c r="R78" i="2"/>
  <c r="R88" i="2" s="1"/>
  <c r="R35" i="2"/>
  <c r="R37" i="2" s="1"/>
  <c r="BE116" i="2"/>
  <c r="BI112" i="2"/>
  <c r="AT64" i="3"/>
  <c r="AU71" i="3" s="1"/>
  <c r="AU75" i="3" s="1"/>
  <c r="AT66" i="3"/>
  <c r="BC59" i="2"/>
  <c r="BC41" i="2"/>
  <c r="BC19" i="2"/>
  <c r="BF94" i="3"/>
  <c r="BE94" i="3"/>
  <c r="BG94" i="3"/>
  <c r="AP66" i="3"/>
  <c r="AP64" i="3"/>
  <c r="Z64" i="3"/>
  <c r="Z66" i="3"/>
  <c r="B100" i="3"/>
  <c r="B95" i="3"/>
  <c r="B98" i="3"/>
  <c r="P9" i="2"/>
  <c r="C45" i="2"/>
  <c r="C44" i="2"/>
  <c r="AB67" i="3"/>
  <c r="AB71" i="3"/>
  <c r="AB75" i="3" s="1"/>
  <c r="AM87" i="2"/>
  <c r="K79" i="3"/>
  <c r="P79" i="3"/>
  <c r="K27" i="3"/>
  <c r="K26" i="3" s="1"/>
  <c r="K48" i="3" s="1"/>
  <c r="L79" i="3"/>
  <c r="AG67" i="3"/>
  <c r="AG71" i="3"/>
  <c r="AG75" i="3" s="1"/>
  <c r="AO96" i="3"/>
  <c r="AO39" i="2" s="1"/>
  <c r="BN48" i="3"/>
  <c r="AT39" i="2"/>
  <c r="AT8" i="2"/>
  <c r="AR66" i="3"/>
  <c r="AR64" i="3"/>
  <c r="BW67" i="3"/>
  <c r="BW71" i="3"/>
  <c r="BW75" i="3" s="1"/>
  <c r="N67" i="3"/>
  <c r="N71" i="3"/>
  <c r="N75" i="3" s="1"/>
  <c r="U67" i="3"/>
  <c r="P21" i="2"/>
  <c r="AR42" i="2"/>
  <c r="AR70" i="2"/>
  <c r="I39" i="2"/>
  <c r="I9" i="2"/>
  <c r="I8" i="2"/>
  <c r="AV71" i="3"/>
  <c r="AV75" i="3" s="1"/>
  <c r="AV67" i="3"/>
  <c r="Q102" i="3"/>
  <c r="AY37" i="4"/>
  <c r="AY38" i="4" s="1"/>
  <c r="G35" i="2"/>
  <c r="G37" i="2" s="1"/>
  <c r="G78" i="2"/>
  <c r="AF100" i="3"/>
  <c r="AF95" i="3"/>
  <c r="AF98" i="3"/>
  <c r="BW62" i="2"/>
  <c r="BW17" i="2"/>
  <c r="AC98" i="3"/>
  <c r="AC95" i="3"/>
  <c r="AC100" i="3"/>
  <c r="BW12" i="2"/>
  <c r="BW113" i="2" s="1"/>
  <c r="BW60" i="2"/>
  <c r="BW10" i="2"/>
  <c r="BX11" i="2"/>
  <c r="BX24" i="11" s="1"/>
  <c r="V67" i="3"/>
  <c r="V71" i="3"/>
  <c r="V75" i="3" s="1"/>
  <c r="BV114" i="2"/>
  <c r="BV116" i="2" s="1"/>
  <c r="BV118" i="2" s="1"/>
  <c r="BV115" i="2"/>
  <c r="BV117" i="2" s="1"/>
  <c r="AY8" i="2"/>
  <c r="E103" i="3"/>
  <c r="F94" i="3"/>
  <c r="F59" i="2"/>
  <c r="F19" i="2"/>
  <c r="F41" i="2"/>
  <c r="V21" i="4"/>
  <c r="Z21" i="4" s="1"/>
  <c r="Z17" i="4"/>
  <c r="Z18" i="4" s="1"/>
  <c r="V18" i="4"/>
  <c r="V14" i="4"/>
  <c r="V20" i="2"/>
  <c r="O38" i="4"/>
  <c r="P37" i="4"/>
  <c r="P38" i="4" s="1"/>
  <c r="AV116" i="2"/>
  <c r="L66" i="3"/>
  <c r="L64" i="3"/>
  <c r="M71" i="3" s="1"/>
  <c r="M75" i="3" s="1"/>
  <c r="S64" i="3"/>
  <c r="S66" i="3"/>
  <c r="Z113" i="2"/>
  <c r="G17" i="4"/>
  <c r="K19" i="4"/>
  <c r="K20" i="4" s="1"/>
  <c r="AU88" i="2"/>
  <c r="AZ88" i="2"/>
  <c r="BC100" i="3"/>
  <c r="BC95" i="3"/>
  <c r="BC98" i="3"/>
  <c r="AL71" i="3"/>
  <c r="AL75" i="3" s="1"/>
  <c r="AL67" i="3"/>
  <c r="BN30" i="2"/>
  <c r="BM98" i="3"/>
  <c r="BM95" i="3"/>
  <c r="BM100" i="3"/>
  <c r="O78" i="3"/>
  <c r="O81" i="3" s="1"/>
  <c r="O82" i="3" s="1"/>
  <c r="O121" i="3"/>
  <c r="P64" i="2"/>
  <c r="P78" i="3" s="1"/>
  <c r="P81" i="3" s="1"/>
  <c r="P82" i="3" s="1"/>
  <c r="R118" i="3"/>
  <c r="R119" i="3" s="1"/>
  <c r="R103" i="3"/>
  <c r="Q78" i="2"/>
  <c r="V88" i="2" s="1"/>
  <c r="M70" i="2"/>
  <c r="M42" i="2"/>
  <c r="AY48" i="3"/>
  <c r="AF78" i="2"/>
  <c r="AF88" i="2" s="1"/>
  <c r="AF35" i="2"/>
  <c r="AF37" i="2" s="1"/>
  <c r="AR86" i="2"/>
  <c r="AR63" i="2"/>
  <c r="AR77" i="2"/>
  <c r="AR87" i="2" s="1"/>
  <c r="U104" i="3"/>
  <c r="V104" i="3"/>
  <c r="Z104" i="3"/>
  <c r="AO60" i="2"/>
  <c r="AO12" i="2"/>
  <c r="AO79" i="2"/>
  <c r="AU96" i="3"/>
  <c r="AU39" i="2" s="1"/>
  <c r="W71" i="3"/>
  <c r="W75" i="3" s="1"/>
  <c r="W67" i="3"/>
  <c r="R133" i="3"/>
  <c r="R65" i="2"/>
  <c r="R68" i="3" s="1"/>
  <c r="R82" i="2"/>
  <c r="BM139" i="3"/>
  <c r="BM61" i="2"/>
  <c r="BS147" i="3"/>
  <c r="L78" i="2"/>
  <c r="BK67" i="3"/>
  <c r="BL71" i="3"/>
  <c r="BL75" i="3" s="1"/>
  <c r="BR147" i="3"/>
  <c r="AJ60" i="2"/>
  <c r="AJ12" i="2"/>
  <c r="AJ79" i="2"/>
  <c r="BN96" i="3"/>
  <c r="BN39" i="2" s="1"/>
  <c r="BO96" i="3"/>
  <c r="BO39" i="2" s="1"/>
  <c r="AK96" i="3"/>
  <c r="AK39" i="2" s="1"/>
  <c r="T10" i="2"/>
  <c r="T102" i="3" s="1"/>
  <c r="T60" i="2"/>
  <c r="T12" i="2"/>
  <c r="T113" i="2" s="1"/>
  <c r="T79" i="2"/>
  <c r="K4" i="2"/>
  <c r="BP64" i="3"/>
  <c r="BP66" i="3"/>
  <c r="CG44" i="3"/>
  <c r="CG49" i="2" s="1"/>
  <c r="BG21" i="2"/>
  <c r="BG28" i="11" s="1"/>
  <c r="BG29" i="11" s="1"/>
  <c r="BG36" i="11" s="1"/>
  <c r="BG39" i="11" s="1"/>
  <c r="BG30" i="2"/>
  <c r="BO95" i="3"/>
  <c r="BO98" i="3"/>
  <c r="BO100" i="3"/>
  <c r="L14" i="4"/>
  <c r="L21" i="4"/>
  <c r="P21" i="4" s="1"/>
  <c r="P17" i="4"/>
  <c r="P18" i="4" s="1"/>
  <c r="L20" i="2"/>
  <c r="L18" i="4"/>
  <c r="AW122" i="3"/>
  <c r="AW123" i="3"/>
  <c r="G95" i="3"/>
  <c r="G100" i="3"/>
  <c r="G98" i="3"/>
  <c r="AC67" i="3"/>
  <c r="AC71" i="3"/>
  <c r="AC75" i="3" s="1"/>
  <c r="F14" i="4"/>
  <c r="F33" i="4" s="1"/>
  <c r="B33" i="4"/>
  <c r="AN86" i="2"/>
  <c r="AN63" i="2"/>
  <c r="AN77" i="2"/>
  <c r="AB139" i="3"/>
  <c r="AB85" i="2"/>
  <c r="AB61" i="2"/>
  <c r="AG85" i="2"/>
  <c r="AA77" i="2"/>
  <c r="AA87" i="2" s="1"/>
  <c r="AA63" i="2"/>
  <c r="AA86" i="2"/>
  <c r="AN98" i="3"/>
  <c r="AN100" i="3"/>
  <c r="AN95" i="3"/>
  <c r="Q17" i="4"/>
  <c r="U19" i="4"/>
  <c r="U20" i="4" s="1"/>
  <c r="BI64" i="3"/>
  <c r="C15" i="15" s="1"/>
  <c r="BI66" i="3"/>
  <c r="K66" i="2"/>
  <c r="BA78" i="2"/>
  <c r="BA35" i="2"/>
  <c r="BA37" i="2" s="1"/>
  <c r="H94" i="3"/>
  <c r="H41" i="2"/>
  <c r="H16" i="2"/>
  <c r="H59" i="2"/>
  <c r="H19" i="2"/>
  <c r="H22" i="2"/>
  <c r="BB85" i="2"/>
  <c r="BB61" i="2"/>
  <c r="BG86" i="2" s="1"/>
  <c r="BB139" i="3"/>
  <c r="Y95" i="3"/>
  <c r="Y100" i="3"/>
  <c r="Y98" i="3"/>
  <c r="BE77" i="2"/>
  <c r="BE86" i="2"/>
  <c r="BE63" i="2"/>
  <c r="AA118" i="2"/>
  <c r="BI94" i="3"/>
  <c r="BI59" i="2"/>
  <c r="C5" i="15" s="1"/>
  <c r="C6" i="15" s="1"/>
  <c r="BI41" i="2"/>
  <c r="BI19" i="2"/>
  <c r="BO139" i="3"/>
  <c r="BO85" i="2"/>
  <c r="BO61" i="2"/>
  <c r="BT86" i="2" s="1"/>
  <c r="BJ116" i="2"/>
  <c r="BN112" i="2"/>
  <c r="AC78" i="2"/>
  <c r="AC35" i="2"/>
  <c r="AC37" i="2" s="1"/>
  <c r="J39" i="2"/>
  <c r="J9" i="2"/>
  <c r="J8" i="2"/>
  <c r="BE70" i="2"/>
  <c r="BE42" i="2"/>
  <c r="BE66" i="3"/>
  <c r="BE64" i="3"/>
  <c r="AC102" i="3"/>
  <c r="L139" i="3"/>
  <c r="L85" i="2"/>
  <c r="L61" i="2"/>
  <c r="AD71" i="3"/>
  <c r="AD75" i="3" s="1"/>
  <c r="G24" i="4"/>
  <c r="I28" i="4"/>
  <c r="I29" i="4" s="1"/>
  <c r="I18" i="4"/>
  <c r="BG64" i="3"/>
  <c r="BG66" i="3"/>
  <c r="P8" i="2"/>
  <c r="BW42" i="4"/>
  <c r="C133" i="3"/>
  <c r="C65" i="2"/>
  <c r="C82" i="2"/>
  <c r="AS59" i="2"/>
  <c r="AS41" i="2"/>
  <c r="AS19" i="2"/>
  <c r="AU94" i="3"/>
  <c r="AV94" i="3"/>
  <c r="AS94" i="3"/>
  <c r="AW94" i="3"/>
  <c r="AT9" i="2"/>
  <c r="AT22" i="2" s="1"/>
  <c r="CH55" i="3"/>
  <c r="CI54" i="3"/>
  <c r="CJ54" i="3" s="1"/>
  <c r="CK54" i="3" s="1"/>
  <c r="CL54" i="3" s="1"/>
  <c r="CM54" i="3" s="1"/>
  <c r="BP62" i="2"/>
  <c r="BP17" i="2"/>
  <c r="BP22" i="2"/>
  <c r="R66" i="3"/>
  <c r="R64" i="3"/>
  <c r="I112" i="2"/>
  <c r="I115" i="2"/>
  <c r="I117" i="2" s="1"/>
  <c r="BM122" i="3"/>
  <c r="BM123" i="3"/>
  <c r="BN123" i="3" s="1"/>
  <c r="BO147" i="3"/>
  <c r="AD94" i="3"/>
  <c r="AX12" i="2"/>
  <c r="AX113" i="2" s="1"/>
  <c r="AX60" i="2"/>
  <c r="AX10" i="2"/>
  <c r="AY10" i="2" s="1"/>
  <c r="AY102" i="3" s="1"/>
  <c r="AY11" i="2"/>
  <c r="AX79" i="2"/>
  <c r="D116" i="2"/>
  <c r="AS115" i="2"/>
  <c r="AS114" i="2"/>
  <c r="AT113" i="2"/>
  <c r="BB147" i="3"/>
  <c r="W100" i="3"/>
  <c r="W95" i="3"/>
  <c r="W98" i="3"/>
  <c r="S114" i="2"/>
  <c r="S116" i="2" s="1"/>
  <c r="S118" i="2" s="1"/>
  <c r="S115" i="2"/>
  <c r="S117" i="2" s="1"/>
  <c r="AK78" i="2"/>
  <c r="AK35" i="2"/>
  <c r="AK37" i="2" s="1"/>
  <c r="BP78" i="2"/>
  <c r="BP88" i="2" s="1"/>
  <c r="B78" i="2"/>
  <c r="F16" i="2"/>
  <c r="F78" i="2" s="1"/>
  <c r="AW16" i="2"/>
  <c r="AB78" i="2"/>
  <c r="AB35" i="2"/>
  <c r="AB37" i="2" s="1"/>
  <c r="AW114" i="2"/>
  <c r="AW116" i="2" s="1"/>
  <c r="AW118" i="2" s="1"/>
  <c r="AW115" i="2"/>
  <c r="AW117" i="2" s="1"/>
  <c r="BJ64" i="3"/>
  <c r="BJ66" i="3"/>
  <c r="BB64" i="3"/>
  <c r="BB66" i="3"/>
  <c r="AG98" i="3"/>
  <c r="AG95" i="3"/>
  <c r="AG100" i="3"/>
  <c r="AW86" i="2"/>
  <c r="AW77" i="2"/>
  <c r="AA88" i="2"/>
  <c r="BD96" i="3"/>
  <c r="BD39" i="2" s="1"/>
  <c r="BE96" i="3"/>
  <c r="BE39" i="2" s="1"/>
  <c r="BG114" i="2"/>
  <c r="BG116" i="2" s="1"/>
  <c r="BG118" i="2" s="1"/>
  <c r="BG115" i="2"/>
  <c r="BG117" i="2" s="1"/>
  <c r="AX59" i="2"/>
  <c r="AX19" i="2"/>
  <c r="AX41" i="2"/>
  <c r="AZ94" i="3"/>
  <c r="AX94" i="3"/>
  <c r="AY9" i="2"/>
  <c r="AM133" i="3"/>
  <c r="AM65" i="2"/>
  <c r="AM82" i="2"/>
  <c r="CF31" i="3"/>
  <c r="BD94" i="3"/>
  <c r="BD59" i="2"/>
  <c r="BD19" i="2"/>
  <c r="BD41" i="2"/>
  <c r="AY36" i="4"/>
  <c r="AY42" i="4"/>
  <c r="G139" i="3"/>
  <c r="G85" i="2"/>
  <c r="G61" i="2"/>
  <c r="N122" i="3"/>
  <c r="N123" i="3"/>
  <c r="BB94" i="3"/>
  <c r="Q139" i="3"/>
  <c r="Q85" i="2"/>
  <c r="Q61" i="2"/>
  <c r="V85" i="2"/>
  <c r="BU116" i="2"/>
  <c r="AJ94" i="3"/>
  <c r="AJ59" i="2"/>
  <c r="AJ19" i="2"/>
  <c r="AJ22" i="2"/>
  <c r="AJ41" i="2"/>
  <c r="Y139" i="3"/>
  <c r="Y61" i="2"/>
  <c r="W78" i="2"/>
  <c r="W35" i="2"/>
  <c r="W37" i="2" s="1"/>
  <c r="AH122" i="3"/>
  <c r="AH123" i="3"/>
  <c r="D66" i="3"/>
  <c r="D64" i="3"/>
  <c r="BH48" i="3"/>
  <c r="AW48" i="3"/>
  <c r="BJ102" i="3"/>
  <c r="BK102" i="3"/>
  <c r="S16" i="2"/>
  <c r="AP35" i="2"/>
  <c r="Z10" i="2"/>
  <c r="Z102" i="3" s="1"/>
  <c r="Y102" i="3"/>
  <c r="AN115" i="2"/>
  <c r="AN114" i="2"/>
  <c r="AO113" i="2"/>
  <c r="AC114" i="2"/>
  <c r="AC116" i="2" s="1"/>
  <c r="AC118" i="2" s="1"/>
  <c r="AC115" i="2"/>
  <c r="AC117" i="2" s="1"/>
  <c r="R86" i="2"/>
  <c r="BV62" i="2"/>
  <c r="BV17" i="2"/>
  <c r="P42" i="4"/>
  <c r="AQ88" i="2"/>
  <c r="AP63" i="2"/>
  <c r="AP77" i="2"/>
  <c r="AI63" i="2"/>
  <c r="AI77" i="2"/>
  <c r="BX4" i="2"/>
  <c r="BX21" i="11" s="1"/>
  <c r="BX19" i="11" s="1"/>
  <c r="I37" i="4"/>
  <c r="I38" i="4" s="1"/>
  <c r="I36" i="4"/>
  <c r="I42" i="4"/>
  <c r="P64" i="3"/>
  <c r="U71" i="3" s="1"/>
  <c r="U75" i="3" s="1"/>
  <c r="P66" i="3"/>
  <c r="K35" i="4"/>
  <c r="K36" i="4" s="1"/>
  <c r="AK116" i="2"/>
  <c r="AO112" i="2"/>
  <c r="AO57" i="3"/>
  <c r="AP27" i="2"/>
  <c r="T59" i="2"/>
  <c r="V94" i="3"/>
  <c r="T41" i="2"/>
  <c r="T19" i="2"/>
  <c r="F75" i="3"/>
  <c r="F67" i="3"/>
  <c r="BH121" i="3"/>
  <c r="BH78" i="3"/>
  <c r="BH81" i="3" s="1"/>
  <c r="BH82" i="3" s="1"/>
  <c r="AV78" i="2"/>
  <c r="AV88" i="2" s="1"/>
  <c r="BG77" i="2"/>
  <c r="BQ122" i="3"/>
  <c r="BQ123" i="3"/>
  <c r="BN94" i="3"/>
  <c r="BN59" i="2"/>
  <c r="D5" i="15" s="1"/>
  <c r="D6" i="15" s="1"/>
  <c r="BN19" i="2"/>
  <c r="BN41" i="2"/>
  <c r="G118" i="2"/>
  <c r="BB114" i="2"/>
  <c r="BB115" i="2"/>
  <c r="BB117" i="2" s="1"/>
  <c r="X95" i="3"/>
  <c r="X98" i="3"/>
  <c r="X100" i="3"/>
  <c r="BA98" i="3"/>
  <c r="BA100" i="3"/>
  <c r="BA95" i="3"/>
  <c r="BD66" i="3"/>
  <c r="BD64" i="3"/>
  <c r="D35" i="2"/>
  <c r="D37" i="2" s="1"/>
  <c r="D78" i="2"/>
  <c r="BQ114" i="2"/>
  <c r="BQ116" i="2" s="1"/>
  <c r="BQ118" i="2" s="1"/>
  <c r="BQ115" i="2"/>
  <c r="BQ117" i="2" s="1"/>
  <c r="Q114" i="2"/>
  <c r="Q115" i="2"/>
  <c r="Q117" i="2" s="1"/>
  <c r="AV62" i="2"/>
  <c r="AV63" i="2" s="1"/>
  <c r="AV22" i="2"/>
  <c r="AV17" i="2"/>
  <c r="AV35" i="2" s="1"/>
  <c r="BW39" i="2"/>
  <c r="BW9" i="2"/>
  <c r="E95" i="3"/>
  <c r="E100" i="3"/>
  <c r="E98" i="3"/>
  <c r="X139" i="3"/>
  <c r="X61" i="2"/>
  <c r="X85" i="2"/>
  <c r="BO64" i="3"/>
  <c r="BO66" i="3"/>
  <c r="B35" i="2"/>
  <c r="F17" i="2"/>
  <c r="AI122" i="3"/>
  <c r="AI123" i="3"/>
  <c r="AB102" i="3"/>
  <c r="Q94" i="3"/>
  <c r="AF139" i="3"/>
  <c r="AF85" i="2"/>
  <c r="AF61" i="2"/>
  <c r="Y16" i="2"/>
  <c r="AC123" i="3"/>
  <c r="AC122" i="3"/>
  <c r="F12" i="2"/>
  <c r="F60" i="2"/>
  <c r="F79" i="2"/>
  <c r="T122" i="3"/>
  <c r="T123" i="3"/>
  <c r="U123" i="3" s="1"/>
  <c r="BH114" i="2"/>
  <c r="BH116" i="2" s="1"/>
  <c r="BH118" i="2" s="1"/>
  <c r="BI113" i="2"/>
  <c r="BH115" i="2"/>
  <c r="BO35" i="2"/>
  <c r="BO37" i="2" s="1"/>
  <c r="BO78" i="2"/>
  <c r="X114" i="2"/>
  <c r="X115" i="2"/>
  <c r="X117" i="2" s="1"/>
  <c r="AP102" i="3"/>
  <c r="AN16" i="2"/>
  <c r="AN78" i="2" s="1"/>
  <c r="AQ102" i="3"/>
  <c r="BF62" i="2"/>
  <c r="BF63" i="2" s="1"/>
  <c r="BF17" i="2"/>
  <c r="BF22" i="2"/>
  <c r="J112" i="2"/>
  <c r="J115" i="2"/>
  <c r="K111" i="2"/>
  <c r="BC147" i="3"/>
  <c r="J71" i="3"/>
  <c r="J75" i="3" s="1"/>
  <c r="J67" i="3"/>
  <c r="BQ21" i="2"/>
  <c r="BQ28" i="11" s="1"/>
  <c r="BQ30" i="2"/>
  <c r="BR59" i="2"/>
  <c r="BR16" i="2"/>
  <c r="BR19" i="2"/>
  <c r="BR41" i="2"/>
  <c r="BT94" i="3"/>
  <c r="N102" i="3"/>
  <c r="AP85" i="2"/>
  <c r="AI67" i="3"/>
  <c r="BF66" i="3"/>
  <c r="BF64" i="3"/>
  <c r="P112" i="2"/>
  <c r="AJ113" i="2"/>
  <c r="AI114" i="2"/>
  <c r="AI115" i="2"/>
  <c r="AO10" i="2"/>
  <c r="AO102" i="3" s="1"/>
  <c r="H38" i="4"/>
  <c r="BY67" i="3"/>
  <c r="G67" i="3"/>
  <c r="G71" i="3"/>
  <c r="G75" i="3" s="1"/>
  <c r="AO27" i="3"/>
  <c r="AO26" i="3" s="1"/>
  <c r="AO48" i="3" s="1"/>
  <c r="AY64" i="2"/>
  <c r="AY78" i="3" s="1"/>
  <c r="AY81" i="3" s="1"/>
  <c r="AY82" i="3" s="1"/>
  <c r="BS67" i="3"/>
  <c r="BF147" i="3"/>
  <c r="AW64" i="3"/>
  <c r="AW66" i="3"/>
  <c r="K62" i="2"/>
  <c r="K60" i="2"/>
  <c r="K12" i="2"/>
  <c r="AM78" i="2"/>
  <c r="AM88" i="2" s="1"/>
  <c r="AM35" i="2"/>
  <c r="AM37" i="2" s="1"/>
  <c r="BA139" i="3"/>
  <c r="BA61" i="2"/>
  <c r="BA85" i="2"/>
  <c r="AS22" i="2"/>
  <c r="AS62" i="2"/>
  <c r="AS17" i="2"/>
  <c r="AT17" i="2" s="1"/>
  <c r="AG133" i="3"/>
  <c r="AG65" i="2"/>
  <c r="AG82" i="2"/>
  <c r="BB17" i="2"/>
  <c r="BB35" i="2" s="1"/>
  <c r="BB37" i="2" s="1"/>
  <c r="BB62" i="2"/>
  <c r="BB22" i="2"/>
  <c r="BC21" i="2"/>
  <c r="AJ67" i="3"/>
  <c r="O59" i="2"/>
  <c r="O16" i="2"/>
  <c r="O78" i="2" s="1"/>
  <c r="O19" i="2"/>
  <c r="O41" i="2"/>
  <c r="AY64" i="3"/>
  <c r="AY66" i="3"/>
  <c r="AY104" i="3"/>
  <c r="AZ104" i="3"/>
  <c r="BP100" i="3"/>
  <c r="BP98" i="3"/>
  <c r="BP95" i="3"/>
  <c r="BU64" i="3"/>
  <c r="BU66" i="3"/>
  <c r="K123" i="3"/>
  <c r="BF85" i="2"/>
  <c r="F118" i="3"/>
  <c r="F119" i="3" s="1"/>
  <c r="F103" i="3"/>
  <c r="BT63" i="2"/>
  <c r="BT77" i="2"/>
  <c r="BR121" i="3"/>
  <c r="BS121" i="3" s="1"/>
  <c r="BS122" i="3" s="1"/>
  <c r="BR78" i="3"/>
  <c r="BR81" i="3" s="1"/>
  <c r="BR82" i="3" s="1"/>
  <c r="T38" i="4"/>
  <c r="U37" i="4"/>
  <c r="U38" i="4" s="1"/>
  <c r="K113" i="2"/>
  <c r="J114" i="2"/>
  <c r="U42" i="4"/>
  <c r="F22" i="2"/>
  <c r="F62" i="2"/>
  <c r="AU86" i="2"/>
  <c r="AU77" i="2"/>
  <c r="AU63" i="2"/>
  <c r="BT71" i="3"/>
  <c r="BT75" i="3" s="1"/>
  <c r="BT67" i="3"/>
  <c r="AD60" i="2"/>
  <c r="AD10" i="2"/>
  <c r="AD102" i="3" s="1"/>
  <c r="AD12" i="2"/>
  <c r="AD113" i="2" s="1"/>
  <c r="AD79" i="2"/>
  <c r="AI100" i="3"/>
  <c r="AI95" i="3"/>
  <c r="AI98" i="3"/>
  <c r="AY96" i="3"/>
  <c r="AY39" i="2" s="1"/>
  <c r="W139" i="3"/>
  <c r="W61" i="2"/>
  <c r="W85" i="2"/>
  <c r="BQ94" i="3"/>
  <c r="BQ59" i="2"/>
  <c r="BQ41" i="2"/>
  <c r="BQ16" i="2"/>
  <c r="BQ19" i="2"/>
  <c r="BC60" i="2"/>
  <c r="BC12" i="2"/>
  <c r="BC113" i="2" s="1"/>
  <c r="BC10" i="2"/>
  <c r="BC79" i="2"/>
  <c r="BI64" i="2"/>
  <c r="BI78" i="3" s="1"/>
  <c r="BI81" i="3" s="1"/>
  <c r="H102" i="3"/>
  <c r="G102" i="3"/>
  <c r="BN104" i="3"/>
  <c r="BO104" i="3"/>
  <c r="AZ44" i="2"/>
  <c r="AZ45" i="2"/>
  <c r="S139" i="3"/>
  <c r="S85" i="2"/>
  <c r="S61" i="2"/>
  <c r="AO94" i="3"/>
  <c r="AO59" i="2"/>
  <c r="AO19" i="2"/>
  <c r="AO41" i="2"/>
  <c r="AM71" i="3"/>
  <c r="AM75" i="3" s="1"/>
  <c r="BH32" i="2"/>
  <c r="AC139" i="3"/>
  <c r="AC85" i="2"/>
  <c r="AC61" i="2"/>
  <c r="AH85" i="2"/>
  <c r="J37" i="4"/>
  <c r="J38" i="4" s="1"/>
  <c r="J36" i="4"/>
  <c r="AS38" i="4"/>
  <c r="AT37" i="4"/>
  <c r="AT38" i="4" s="1"/>
  <c r="BF116" i="2"/>
  <c r="BF118" i="2" s="1"/>
  <c r="J62" i="2"/>
  <c r="AU67" i="3"/>
  <c r="BT79" i="3"/>
  <c r="BS27" i="3"/>
  <c r="BS79" i="3"/>
  <c r="BX79" i="3"/>
  <c r="AU104" i="3"/>
  <c r="AQ63" i="2"/>
  <c r="AQ77" i="2"/>
  <c r="AQ66" i="3"/>
  <c r="AQ64" i="3"/>
  <c r="Z41" i="2"/>
  <c r="L118" i="2"/>
  <c r="AI16" i="2"/>
  <c r="AI78" i="2" s="1"/>
  <c r="AK102" i="3"/>
  <c r="AL102" i="3"/>
  <c r="AI102" i="3"/>
  <c r="AJ10" i="2"/>
  <c r="AJ102" i="3" s="1"/>
  <c r="BU94" i="3"/>
  <c r="BU41" i="2"/>
  <c r="BU59" i="2"/>
  <c r="BZ85" i="2" s="1"/>
  <c r="BU19" i="2"/>
  <c r="BU16" i="2"/>
  <c r="AN102" i="3"/>
  <c r="BC122" i="3"/>
  <c r="BC123" i="3"/>
  <c r="BD123" i="3" s="1"/>
  <c r="Q66" i="3"/>
  <c r="Q64" i="3"/>
  <c r="AW21" i="2"/>
  <c r="AX21" i="2" s="1"/>
  <c r="AY21" i="2" s="1"/>
  <c r="AW30" i="2"/>
  <c r="AY30" i="2" s="1"/>
  <c r="AY32" i="2"/>
  <c r="CF125" i="3"/>
  <c r="AJ23" i="2"/>
  <c r="AN17" i="2"/>
  <c r="AO23" i="2"/>
  <c r="CF97" i="3"/>
  <c r="AG35" i="2"/>
  <c r="AJ17" i="2"/>
  <c r="J96" i="2"/>
  <c r="J97" i="2" s="1"/>
  <c r="J102" i="2"/>
  <c r="J103" i="2" s="1"/>
  <c r="J104" i="2" s="1"/>
  <c r="J98" i="2"/>
  <c r="K95" i="2"/>
  <c r="AL37" i="2"/>
  <c r="V37" i="2"/>
  <c r="Q35" i="2"/>
  <c r="U17" i="2"/>
  <c r="AE17" i="2"/>
  <c r="CA7" i="11"/>
  <c r="AA42" i="2"/>
  <c r="AA70" i="2"/>
  <c r="J17" i="2"/>
  <c r="K23" i="2"/>
  <c r="AO25" i="2"/>
  <c r="AO67" i="2"/>
  <c r="AO66" i="2" s="1"/>
  <c r="CJ125" i="3"/>
  <c r="CN125" i="3"/>
  <c r="CC48" i="2"/>
  <c r="L37" i="2"/>
  <c r="CG11" i="4" l="1"/>
  <c r="BM85" i="2"/>
  <c r="CI4" i="4"/>
  <c r="CI15" i="4" s="1"/>
  <c r="CL4" i="4"/>
  <c r="CG6" i="11"/>
  <c r="CD118" i="3"/>
  <c r="CD119" i="3" s="1"/>
  <c r="CD103" i="3"/>
  <c r="U22" i="2"/>
  <c r="AV103" i="3"/>
  <c r="BY37" i="2"/>
  <c r="N17" i="9"/>
  <c r="AS16" i="2"/>
  <c r="BY88" i="2"/>
  <c r="N23" i="9"/>
  <c r="S118" i="3"/>
  <c r="S119" i="3" s="1"/>
  <c r="BS41" i="2"/>
  <c r="AU102" i="3"/>
  <c r="BS19" i="2"/>
  <c r="AT10" i="2"/>
  <c r="AT102" i="3" s="1"/>
  <c r="AT118" i="3" s="1"/>
  <c r="AT119" i="3" s="1"/>
  <c r="AW102" i="3"/>
  <c r="U59" i="2"/>
  <c r="BS59" i="2"/>
  <c r="E5" i="15" s="1"/>
  <c r="E6" i="15" s="1"/>
  <c r="U94" i="3"/>
  <c r="U100" i="3" s="1"/>
  <c r="AS102" i="3"/>
  <c r="BS94" i="3"/>
  <c r="AT79" i="2"/>
  <c r="AT12" i="2"/>
  <c r="AT60" i="2"/>
  <c r="U41" i="2"/>
  <c r="CB118" i="3"/>
  <c r="CB119" i="3" s="1"/>
  <c r="CB103" i="3"/>
  <c r="BJ98" i="3"/>
  <c r="BD60" i="2"/>
  <c r="BJ95" i="3"/>
  <c r="T95" i="3"/>
  <c r="T100" i="3"/>
  <c r="P114" i="2"/>
  <c r="BD79" i="2"/>
  <c r="BX42" i="4"/>
  <c r="Y115" i="2"/>
  <c r="Y117" i="2" s="1"/>
  <c r="BR95" i="3"/>
  <c r="BR100" i="3"/>
  <c r="CA78" i="2"/>
  <c r="E5" i="9"/>
  <c r="N33" i="9"/>
  <c r="BZ102" i="3"/>
  <c r="O22" i="15"/>
  <c r="BW23" i="11"/>
  <c r="BW26" i="11" s="1"/>
  <c r="BH22" i="11"/>
  <c r="CA35" i="2"/>
  <c r="BL98" i="3"/>
  <c r="BL95" i="3"/>
  <c r="BH61" i="2"/>
  <c r="BY63" i="2"/>
  <c r="BY77" i="2"/>
  <c r="CD87" i="2" s="1"/>
  <c r="L88" i="2"/>
  <c r="BH139" i="3"/>
  <c r="BY86" i="2"/>
  <c r="AA118" i="3"/>
  <c r="AA119" i="3" s="1"/>
  <c r="BN140" i="3"/>
  <c r="D21" i="15"/>
  <c r="BH95" i="3"/>
  <c r="BH100" i="3"/>
  <c r="BH98" i="3"/>
  <c r="BY71" i="3"/>
  <c r="BY75" i="3" s="1"/>
  <c r="N25" i="9" s="1"/>
  <c r="F15" i="15"/>
  <c r="BX140" i="3"/>
  <c r="F21" i="15"/>
  <c r="BX48" i="3"/>
  <c r="CA77" i="2"/>
  <c r="BI82" i="3"/>
  <c r="C17" i="15"/>
  <c r="BV23" i="11"/>
  <c r="BV26" i="11" s="1"/>
  <c r="BV41" i="11" s="1"/>
  <c r="BZ37" i="2"/>
  <c r="BZ42" i="2" s="1"/>
  <c r="BY140" i="3"/>
  <c r="M21" i="15"/>
  <c r="CA63" i="2"/>
  <c r="BS26" i="3"/>
  <c r="BS48" i="3" s="1"/>
  <c r="E26" i="15"/>
  <c r="BS10" i="2"/>
  <c r="AZ77" i="2"/>
  <c r="AZ87" i="2" s="1"/>
  <c r="AZ63" i="2"/>
  <c r="BI140" i="3"/>
  <c r="C21" i="15"/>
  <c r="CA106" i="3"/>
  <c r="CF28" i="11"/>
  <c r="CS46" i="3"/>
  <c r="CR46" i="3"/>
  <c r="BN21" i="2"/>
  <c r="BN28" i="11" s="1"/>
  <c r="BM28" i="11"/>
  <c r="BM29" i="11" s="1"/>
  <c r="BM36" i="11" s="1"/>
  <c r="BM39" i="11" s="1"/>
  <c r="BP42" i="11"/>
  <c r="BP40" i="11"/>
  <c r="BP44" i="11" s="1"/>
  <c r="BN10" i="2"/>
  <c r="BP102" i="3"/>
  <c r="BM102" i="3"/>
  <c r="BO102" i="3"/>
  <c r="BM16" i="2"/>
  <c r="BH30" i="2"/>
  <c r="BI30" i="2" s="1"/>
  <c r="BH34" i="11"/>
  <c r="BH33" i="11"/>
  <c r="BN113" i="2"/>
  <c r="BM115" i="2"/>
  <c r="BM114" i="2"/>
  <c r="BS34" i="11"/>
  <c r="BS33" i="11"/>
  <c r="BD34" i="11"/>
  <c r="BD33" i="11"/>
  <c r="BR41" i="11"/>
  <c r="BC41" i="11"/>
  <c r="BI41" i="11"/>
  <c r="BJ42" i="11"/>
  <c r="BJ40" i="11"/>
  <c r="BJ44" i="11" s="1"/>
  <c r="BN34" i="11"/>
  <c r="BN33" i="11"/>
  <c r="BQ26" i="11"/>
  <c r="BQ22" i="11"/>
  <c r="BU40" i="11"/>
  <c r="BU44" i="11" s="1"/>
  <c r="BU42" i="11"/>
  <c r="BM41" i="11"/>
  <c r="AJ123" i="3"/>
  <c r="BG42" i="11"/>
  <c r="BG40" i="11"/>
  <c r="BG44" i="11" s="1"/>
  <c r="BS26" i="11"/>
  <c r="BA42" i="11"/>
  <c r="BA40" i="11"/>
  <c r="BA44" i="11" s="1"/>
  <c r="BS22" i="11"/>
  <c r="BY40" i="11"/>
  <c r="BY44" i="11" s="1"/>
  <c r="BY42" i="11"/>
  <c r="BN24" i="11"/>
  <c r="BN26" i="11" s="1"/>
  <c r="BN60" i="2"/>
  <c r="BN61" i="2" s="1"/>
  <c r="BN12" i="2"/>
  <c r="BN79" i="2"/>
  <c r="BZ42" i="11"/>
  <c r="BZ40" i="11"/>
  <c r="BZ44" i="11" s="1"/>
  <c r="BL40" i="11"/>
  <c r="BL44" i="11" s="1"/>
  <c r="BL42" i="11"/>
  <c r="AZ29" i="11"/>
  <c r="AZ36" i="11" s="1"/>
  <c r="AZ39" i="11" s="1"/>
  <c r="AZ41" i="11"/>
  <c r="BD26" i="11"/>
  <c r="BD22" i="11"/>
  <c r="BR30" i="2"/>
  <c r="BS30" i="2" s="1"/>
  <c r="BR34" i="11"/>
  <c r="BR33" i="11"/>
  <c r="BX21" i="2"/>
  <c r="BW28" i="11"/>
  <c r="BB40" i="11"/>
  <c r="BB44" i="11" s="1"/>
  <c r="BB42" i="11"/>
  <c r="BD21" i="2"/>
  <c r="BD28" i="11" s="1"/>
  <c r="BC28" i="11"/>
  <c r="BC29" i="11" s="1"/>
  <c r="BC36" i="11" s="1"/>
  <c r="BC39" i="11" s="1"/>
  <c r="BE42" i="11"/>
  <c r="BE40" i="11"/>
  <c r="BE44" i="11" s="1"/>
  <c r="BO41" i="11"/>
  <c r="BO29" i="11"/>
  <c r="BO36" i="11" s="1"/>
  <c r="BO39" i="11" s="1"/>
  <c r="BH41" i="11"/>
  <c r="CK4" i="4"/>
  <c r="CK4" i="11" s="1"/>
  <c r="CJ4" i="4"/>
  <c r="CO28" i="11"/>
  <c r="CA8" i="11"/>
  <c r="CS21" i="2"/>
  <c r="CS28" i="11" s="1"/>
  <c r="CK28" i="11"/>
  <c r="O103" i="3"/>
  <c r="O118" i="3"/>
  <c r="O119" i="3" s="1"/>
  <c r="CH5" i="11"/>
  <c r="CH4" i="11"/>
  <c r="CF29" i="2"/>
  <c r="CG29" i="2" s="1"/>
  <c r="AA108" i="11"/>
  <c r="AA91" i="11"/>
  <c r="AA64" i="11"/>
  <c r="AA3" i="11"/>
  <c r="AA47" i="11"/>
  <c r="AA20" i="11"/>
  <c r="AX16" i="2"/>
  <c r="AY16" i="2" s="1"/>
  <c r="AY78" i="2" s="1"/>
  <c r="AC91" i="11"/>
  <c r="AC64" i="11"/>
  <c r="AC3" i="11"/>
  <c r="AC47" i="11"/>
  <c r="AC20" i="11"/>
  <c r="AC108" i="11"/>
  <c r="T16" i="2"/>
  <c r="T78" i="2" s="1"/>
  <c r="T88" i="2" s="1"/>
  <c r="BZ77" i="2"/>
  <c r="BZ63" i="2"/>
  <c r="N9" i="15" s="1"/>
  <c r="N10" i="15" s="1"/>
  <c r="Y20" i="11"/>
  <c r="Y108" i="11"/>
  <c r="Y91" i="11"/>
  <c r="Y64" i="11"/>
  <c r="Y3" i="11"/>
  <c r="Y47" i="11"/>
  <c r="Z108" i="11"/>
  <c r="Z91" i="11"/>
  <c r="Z64" i="11"/>
  <c r="Z3" i="11"/>
  <c r="Z47" i="11"/>
  <c r="Z20" i="11"/>
  <c r="W31" i="4"/>
  <c r="W47" i="11"/>
  <c r="W20" i="11"/>
  <c r="W108" i="11"/>
  <c r="W91" i="11"/>
  <c r="W64" i="11"/>
  <c r="W3" i="11"/>
  <c r="BI32" i="2"/>
  <c r="BY70" i="2"/>
  <c r="M13" i="15" s="1"/>
  <c r="BY42" i="2"/>
  <c r="AJ71" i="3"/>
  <c r="AJ75" i="3" s="1"/>
  <c r="S100" i="3"/>
  <c r="S98" i="3"/>
  <c r="BI114" i="2"/>
  <c r="P116" i="2"/>
  <c r="P118" i="2" s="1"/>
  <c r="AE123" i="3"/>
  <c r="BO88" i="2"/>
  <c r="I103" i="3"/>
  <c r="W88" i="2"/>
  <c r="AK88" i="2"/>
  <c r="BZ118" i="3"/>
  <c r="BZ119" i="3" s="1"/>
  <c r="BZ103" i="3"/>
  <c r="U10" i="2"/>
  <c r="U102" i="3" s="1"/>
  <c r="U118" i="3" s="1"/>
  <c r="U119" i="3" s="1"/>
  <c r="BS16" i="2"/>
  <c r="X102" i="3"/>
  <c r="BW94" i="3"/>
  <c r="BW100" i="3" s="1"/>
  <c r="AW87" i="2"/>
  <c r="BV22" i="2"/>
  <c r="AJ16" i="2"/>
  <c r="AJ78" i="2" s="1"/>
  <c r="AN88" i="2"/>
  <c r="P16" i="2"/>
  <c r="P78" i="2" s="1"/>
  <c r="BX9" i="2"/>
  <c r="CA94" i="3" s="1"/>
  <c r="BA88" i="2"/>
  <c r="D68" i="3"/>
  <c r="BW22" i="2"/>
  <c r="BZ94" i="3"/>
  <c r="K37" i="4"/>
  <c r="K38" i="4" s="1"/>
  <c r="CF27" i="4"/>
  <c r="CO11" i="3"/>
  <c r="CP11" i="3" s="1"/>
  <c r="CQ11" i="3" s="1"/>
  <c r="CR11" i="3" s="1"/>
  <c r="BX17" i="2"/>
  <c r="C10" i="9" s="1"/>
  <c r="CR49" i="4"/>
  <c r="CK50" i="4"/>
  <c r="W131" i="3"/>
  <c r="W76" i="2"/>
  <c r="W48" i="4"/>
  <c r="W47" i="2"/>
  <c r="W142" i="3"/>
  <c r="W50" i="3"/>
  <c r="W58" i="2"/>
  <c r="W44" i="4"/>
  <c r="CH5" i="4"/>
  <c r="N34" i="9" s="1"/>
  <c r="P34" i="9" s="1"/>
  <c r="W70" i="3"/>
  <c r="W93" i="2"/>
  <c r="W92" i="3"/>
  <c r="W3" i="4"/>
  <c r="W106" i="2"/>
  <c r="W3" i="3"/>
  <c r="W23" i="4"/>
  <c r="CH15" i="4"/>
  <c r="CH16" i="4" s="1"/>
  <c r="W3" i="2"/>
  <c r="AB92" i="3"/>
  <c r="Y48" i="4"/>
  <c r="Y31" i="4"/>
  <c r="Y92" i="3"/>
  <c r="Y23" i="4"/>
  <c r="Y142" i="3"/>
  <c r="Y106" i="2"/>
  <c r="Y50" i="3"/>
  <c r="Y3" i="4"/>
  <c r="Y3" i="3"/>
  <c r="Y70" i="3"/>
  <c r="Y58" i="2"/>
  <c r="Y93" i="2"/>
  <c r="Y76" i="2"/>
  <c r="Y131" i="3"/>
  <c r="Y47" i="2"/>
  <c r="Y3" i="2"/>
  <c r="Y44" i="4"/>
  <c r="U131" i="3"/>
  <c r="U23" i="4"/>
  <c r="U44" i="4"/>
  <c r="U3" i="4"/>
  <c r="U142" i="3"/>
  <c r="U48" i="4"/>
  <c r="U3" i="3"/>
  <c r="U31" i="4"/>
  <c r="U70" i="3"/>
  <c r="U76" i="2"/>
  <c r="U106" i="2"/>
  <c r="U58" i="2"/>
  <c r="U93" i="2"/>
  <c r="U50" i="3"/>
  <c r="U3" i="2"/>
  <c r="U47" i="2"/>
  <c r="U92" i="3"/>
  <c r="AA31" i="4"/>
  <c r="AA92" i="3"/>
  <c r="AA142" i="3"/>
  <c r="AA106" i="2"/>
  <c r="AA50" i="3"/>
  <c r="AA3" i="4"/>
  <c r="AA131" i="3"/>
  <c r="AA70" i="3"/>
  <c r="AA58" i="2"/>
  <c r="AA93" i="2"/>
  <c r="AA3" i="2"/>
  <c r="AA76" i="2"/>
  <c r="AA47" i="2"/>
  <c r="AA23" i="4"/>
  <c r="AA3" i="3"/>
  <c r="AA48" i="4"/>
  <c r="AA44" i="4"/>
  <c r="K102" i="2"/>
  <c r="K103" i="2" s="1"/>
  <c r="K104" i="2" s="1"/>
  <c r="X142" i="3"/>
  <c r="X48" i="4"/>
  <c r="X31" i="4"/>
  <c r="X92" i="3"/>
  <c r="X44" i="4"/>
  <c r="X23" i="4"/>
  <c r="X106" i="2"/>
  <c r="X3" i="4"/>
  <c r="X3" i="3"/>
  <c r="X70" i="3"/>
  <c r="X58" i="2"/>
  <c r="X50" i="3"/>
  <c r="X3" i="2"/>
  <c r="X76" i="2"/>
  <c r="X131" i="3"/>
  <c r="X47" i="2"/>
  <c r="X93" i="2"/>
  <c r="BN22" i="2"/>
  <c r="AD118" i="3"/>
  <c r="AD119" i="3" s="1"/>
  <c r="AD103" i="3"/>
  <c r="T118" i="3"/>
  <c r="T119" i="3" s="1"/>
  <c r="T103" i="3"/>
  <c r="AV37" i="2"/>
  <c r="AY22" i="2"/>
  <c r="AY62" i="2"/>
  <c r="AV133" i="3"/>
  <c r="AV82" i="2"/>
  <c r="AV65" i="2"/>
  <c r="BB70" i="2"/>
  <c r="BB42" i="2"/>
  <c r="BF133" i="3"/>
  <c r="BF82" i="2"/>
  <c r="BF65" i="2"/>
  <c r="BK89" i="2" s="1"/>
  <c r="Q71" i="3"/>
  <c r="Q75" i="3" s="1"/>
  <c r="Q67" i="3"/>
  <c r="AS78" i="2"/>
  <c r="AS88" i="2" s="1"/>
  <c r="AS35" i="2"/>
  <c r="AS37" i="2" s="1"/>
  <c r="AT16" i="2"/>
  <c r="AT78" i="2" s="1"/>
  <c r="BA70" i="2"/>
  <c r="BA42" i="2"/>
  <c r="F98" i="3"/>
  <c r="F100" i="3"/>
  <c r="F95" i="3"/>
  <c r="BX113" i="2"/>
  <c r="BW114" i="2"/>
  <c r="BW115" i="2"/>
  <c r="BC139" i="3"/>
  <c r="BC85" i="2"/>
  <c r="BC61" i="2"/>
  <c r="BH86" i="2" s="1"/>
  <c r="G118" i="3"/>
  <c r="G119" i="3" s="1"/>
  <c r="G103" i="3"/>
  <c r="AF70" i="2"/>
  <c r="AF42" i="2"/>
  <c r="AR45" i="2"/>
  <c r="AR44" i="2"/>
  <c r="AZ71" i="3"/>
  <c r="AZ75" i="3" s="1"/>
  <c r="AZ67" i="3"/>
  <c r="BA71" i="3"/>
  <c r="BA75" i="3" s="1"/>
  <c r="BN67" i="3"/>
  <c r="BN71" i="3"/>
  <c r="BN75" i="3" s="1"/>
  <c r="E77" i="2"/>
  <c r="E63" i="2"/>
  <c r="J116" i="2"/>
  <c r="J118" i="2" s="1"/>
  <c r="K114" i="2"/>
  <c r="BT95" i="3"/>
  <c r="BT100" i="3"/>
  <c r="BT98" i="3"/>
  <c r="X63" i="2"/>
  <c r="X77" i="2"/>
  <c r="X86" i="2"/>
  <c r="B63" i="2"/>
  <c r="B77" i="2"/>
  <c r="R95" i="3"/>
  <c r="R98" i="3"/>
  <c r="R100" i="3"/>
  <c r="AV87" i="2"/>
  <c r="P20" i="2"/>
  <c r="Z139" i="3"/>
  <c r="Z61" i="2"/>
  <c r="Z85" i="2"/>
  <c r="W86" i="2"/>
  <c r="W63" i="2"/>
  <c r="W77" i="2"/>
  <c r="W87" i="2" s="1"/>
  <c r="BU67" i="3"/>
  <c r="BU71" i="3"/>
  <c r="BU75" i="3" s="1"/>
  <c r="BV71" i="3"/>
  <c r="BV75" i="3" s="1"/>
  <c r="AI116" i="2"/>
  <c r="AI118" i="2" s="1"/>
  <c r="AJ114" i="2"/>
  <c r="K115" i="2"/>
  <c r="K117" i="2" s="1"/>
  <c r="J117" i="2"/>
  <c r="Y103" i="3"/>
  <c r="Y118" i="3"/>
  <c r="Y119" i="3" s="1"/>
  <c r="AC88" i="2"/>
  <c r="AH88" i="2"/>
  <c r="P94" i="3"/>
  <c r="P59" i="2"/>
  <c r="P41" i="2"/>
  <c r="P19" i="2"/>
  <c r="BK77" i="3"/>
  <c r="BK73" i="2"/>
  <c r="BK56" i="2"/>
  <c r="BK151" i="3"/>
  <c r="AU44" i="2"/>
  <c r="AU45" i="2"/>
  <c r="CW143" i="3"/>
  <c r="CX143" i="3"/>
  <c r="CY143" i="3" s="1"/>
  <c r="CZ143" i="3" s="1"/>
  <c r="DA143" i="3" s="1"/>
  <c r="DB143" i="3" s="1"/>
  <c r="BH85" i="2"/>
  <c r="X70" i="2"/>
  <c r="X42" i="2"/>
  <c r="AN118" i="3"/>
  <c r="AN119" i="3" s="1"/>
  <c r="AN103" i="3"/>
  <c r="BS71" i="3"/>
  <c r="BS75" i="3" s="1"/>
  <c r="BR78" i="2"/>
  <c r="B37" i="2"/>
  <c r="F35" i="2"/>
  <c r="T139" i="3"/>
  <c r="T85" i="2"/>
  <c r="T61" i="2"/>
  <c r="Y86" i="2" s="1"/>
  <c r="Z118" i="3"/>
  <c r="Z119" i="3" s="1"/>
  <c r="Z103" i="3"/>
  <c r="AW118" i="3"/>
  <c r="AW119" i="3" s="1"/>
  <c r="AW103" i="3"/>
  <c r="F114" i="2"/>
  <c r="AT94" i="3"/>
  <c r="AT59" i="2"/>
  <c r="AT19" i="2"/>
  <c r="AT41" i="2"/>
  <c r="L33" i="4"/>
  <c r="P14" i="4"/>
  <c r="P33" i="4" s="1"/>
  <c r="M45" i="2"/>
  <c r="M44" i="2"/>
  <c r="V33" i="4"/>
  <c r="Z14" i="4"/>
  <c r="Z33" i="4" s="1"/>
  <c r="Z38" i="4" s="1"/>
  <c r="Q118" i="3"/>
  <c r="Q119" i="3" s="1"/>
  <c r="Q103" i="3"/>
  <c r="BK81" i="2"/>
  <c r="BK68" i="3"/>
  <c r="BT102" i="3"/>
  <c r="BU102" i="3"/>
  <c r="AK42" i="2"/>
  <c r="AK70" i="2"/>
  <c r="G42" i="2"/>
  <c r="G70" i="2"/>
  <c r="J16" i="2"/>
  <c r="J78" i="2" s="1"/>
  <c r="J88" i="2" s="1"/>
  <c r="J59" i="2"/>
  <c r="O85" i="2" s="1"/>
  <c r="J41" i="2"/>
  <c r="J19" i="2"/>
  <c r="M94" i="3"/>
  <c r="N94" i="3"/>
  <c r="L94" i="3"/>
  <c r="AS118" i="3"/>
  <c r="AS119" i="3" s="1"/>
  <c r="AS103" i="3"/>
  <c r="AV118" i="2"/>
  <c r="AI118" i="3"/>
  <c r="AI119" i="3" s="1"/>
  <c r="AI103" i="3"/>
  <c r="AO139" i="3"/>
  <c r="AO85" i="2"/>
  <c r="AO61" i="2"/>
  <c r="AN116" i="2"/>
  <c r="AN118" i="2" s="1"/>
  <c r="AO114" i="2"/>
  <c r="AB70" i="2"/>
  <c r="AB42" i="2"/>
  <c r="AB88" i="2"/>
  <c r="AG88" i="2"/>
  <c r="C81" i="2"/>
  <c r="C68" i="3"/>
  <c r="AB63" i="2"/>
  <c r="AB77" i="2"/>
  <c r="AB86" i="2"/>
  <c r="AG86" i="2"/>
  <c r="V100" i="3"/>
  <c r="V95" i="3"/>
  <c r="V98" i="3"/>
  <c r="AW78" i="2"/>
  <c r="AW88" i="2" s="1"/>
  <c r="BM86" i="2"/>
  <c r="BM77" i="2"/>
  <c r="AK63" i="2"/>
  <c r="AK86" i="2"/>
  <c r="AK77" i="2"/>
  <c r="AP87" i="2" s="1"/>
  <c r="K67" i="3"/>
  <c r="K71" i="3"/>
  <c r="K75" i="3" s="1"/>
  <c r="BB116" i="2"/>
  <c r="K42" i="4"/>
  <c r="O139" i="3"/>
  <c r="O61" i="2"/>
  <c r="BR139" i="3"/>
  <c r="BR85" i="2"/>
  <c r="BR61" i="2"/>
  <c r="BH21" i="2"/>
  <c r="BH28" i="11" s="1"/>
  <c r="BH29" i="11" s="1"/>
  <c r="BO70" i="2"/>
  <c r="BO42" i="2"/>
  <c r="AF86" i="2"/>
  <c r="AF63" i="2"/>
  <c r="AF77" i="2"/>
  <c r="AF87" i="2" s="1"/>
  <c r="D70" i="2"/>
  <c r="D42" i="2"/>
  <c r="BX39" i="2"/>
  <c r="BX8" i="2"/>
  <c r="X118" i="3"/>
  <c r="X119" i="3" s="1"/>
  <c r="X103" i="3"/>
  <c r="BU118" i="2"/>
  <c r="I116" i="2"/>
  <c r="K112" i="2"/>
  <c r="AW100" i="3"/>
  <c r="AW95" i="3"/>
  <c r="AW98" i="3"/>
  <c r="AC118" i="3"/>
  <c r="AC119" i="3" s="1"/>
  <c r="AC103" i="3"/>
  <c r="BJ118" i="2"/>
  <c r="BE133" i="3"/>
  <c r="BE65" i="2"/>
  <c r="BE82" i="2"/>
  <c r="AN87" i="2"/>
  <c r="T114" i="2"/>
  <c r="T116" i="2" s="1"/>
  <c r="T118" i="2" s="1"/>
  <c r="U113" i="2"/>
  <c r="T115" i="2"/>
  <c r="BG100" i="3"/>
  <c r="BG95" i="3"/>
  <c r="BG98" i="3"/>
  <c r="BI116" i="2"/>
  <c r="BI118" i="2" s="1"/>
  <c r="BE118" i="2"/>
  <c r="BL35" i="2"/>
  <c r="BL37" i="2" s="1"/>
  <c r="AE71" i="3"/>
  <c r="AE75" i="3" s="1"/>
  <c r="AE67" i="3"/>
  <c r="BV94" i="3"/>
  <c r="BV59" i="2"/>
  <c r="CA85" i="2" s="1"/>
  <c r="BV19" i="2"/>
  <c r="BV16" i="2"/>
  <c r="BV41" i="2"/>
  <c r="V81" i="2"/>
  <c r="V68" i="3"/>
  <c r="BL102" i="3"/>
  <c r="BI102" i="3"/>
  <c r="U139" i="3"/>
  <c r="U61" i="2"/>
  <c r="K118" i="3"/>
  <c r="K119" i="3" s="1"/>
  <c r="K103" i="3"/>
  <c r="AY71" i="3"/>
  <c r="AY75" i="3" s="1"/>
  <c r="AY67" i="3"/>
  <c r="N118" i="3"/>
  <c r="N119" i="3" s="1"/>
  <c r="N103" i="3"/>
  <c r="P71" i="3"/>
  <c r="P75" i="3" s="1"/>
  <c r="P67" i="3"/>
  <c r="Q116" i="2"/>
  <c r="BS60" i="2"/>
  <c r="BS61" i="2" s="1"/>
  <c r="BS12" i="2"/>
  <c r="BS79" i="2"/>
  <c r="AG81" i="2"/>
  <c r="AG68" i="3"/>
  <c r="AT103" i="3"/>
  <c r="AK118" i="3"/>
  <c r="AK119" i="3" s="1"/>
  <c r="AK103" i="3"/>
  <c r="AP88" i="2"/>
  <c r="Y78" i="2"/>
  <c r="Y35" i="2"/>
  <c r="Y37" i="2" s="1"/>
  <c r="Z37" i="2" s="1"/>
  <c r="Z70" i="2" s="1"/>
  <c r="AC86" i="2"/>
  <c r="AC63" i="2"/>
  <c r="AC77" i="2"/>
  <c r="AH86" i="2"/>
  <c r="BE102" i="3"/>
  <c r="BF102" i="3"/>
  <c r="AU133" i="3"/>
  <c r="AU82" i="2"/>
  <c r="AU65" i="2"/>
  <c r="BR123" i="3"/>
  <c r="BS123" i="3" s="1"/>
  <c r="BR122" i="3"/>
  <c r="BF71" i="3"/>
  <c r="BF75" i="3" s="1"/>
  <c r="BF67" i="3"/>
  <c r="BH117" i="2"/>
  <c r="BI115" i="2"/>
  <c r="BI117" i="2" s="1"/>
  <c r="BD71" i="3"/>
  <c r="BD75" i="3" s="1"/>
  <c r="BD67" i="3"/>
  <c r="AP37" i="2"/>
  <c r="W42" i="2"/>
  <c r="W70" i="2"/>
  <c r="BB71" i="3"/>
  <c r="BB75" i="3" s="1"/>
  <c r="BB67" i="3"/>
  <c r="AY60" i="2"/>
  <c r="AY12" i="2"/>
  <c r="AY79" i="2"/>
  <c r="R71" i="3"/>
  <c r="R75" i="3" s="1"/>
  <c r="R67" i="3"/>
  <c r="AS100" i="3"/>
  <c r="AS95" i="3"/>
  <c r="AS98" i="3"/>
  <c r="BE67" i="3"/>
  <c r="BE71" i="3"/>
  <c r="BE75" i="3" s="1"/>
  <c r="H139" i="3"/>
  <c r="H85" i="2"/>
  <c r="H61" i="2"/>
  <c r="M85" i="2"/>
  <c r="Q14" i="4"/>
  <c r="Q21" i="4"/>
  <c r="U21" i="4" s="1"/>
  <c r="Q18" i="4"/>
  <c r="Q20" i="2"/>
  <c r="U17" i="4"/>
  <c r="U18" i="4" s="1"/>
  <c r="AN133" i="3"/>
  <c r="AN65" i="2"/>
  <c r="AN82" i="2"/>
  <c r="BC102" i="3"/>
  <c r="S71" i="3"/>
  <c r="S75" i="3" s="1"/>
  <c r="S67" i="3"/>
  <c r="T71" i="3"/>
  <c r="T75" i="3" s="1"/>
  <c r="Z20" i="2"/>
  <c r="BE98" i="3"/>
  <c r="BE100" i="3"/>
  <c r="BE95" i="3"/>
  <c r="BL133" i="3"/>
  <c r="BL65" i="2"/>
  <c r="BL82" i="2"/>
  <c r="AE94" i="3"/>
  <c r="AE59" i="2"/>
  <c r="AJ85" i="2" s="1"/>
  <c r="AE19" i="2"/>
  <c r="AE22" i="2"/>
  <c r="AE41" i="2"/>
  <c r="BG78" i="2"/>
  <c r="BI16" i="2"/>
  <c r="BR118" i="3"/>
  <c r="BR119" i="3" s="1"/>
  <c r="BR103" i="3"/>
  <c r="BM71" i="3"/>
  <c r="BM75" i="3" s="1"/>
  <c r="BM67" i="3"/>
  <c r="AQ44" i="2"/>
  <c r="AQ45" i="2"/>
  <c r="AZ98" i="3"/>
  <c r="AZ100" i="3"/>
  <c r="AZ95" i="3"/>
  <c r="AA133" i="3"/>
  <c r="AA82" i="2"/>
  <c r="AA65" i="2"/>
  <c r="O123" i="3"/>
  <c r="P123" i="3" s="1"/>
  <c r="O122" i="3"/>
  <c r="P121" i="3"/>
  <c r="P122" i="3" s="1"/>
  <c r="AJ118" i="3"/>
  <c r="AJ119" i="3" s="1"/>
  <c r="AJ103" i="3"/>
  <c r="BQ139" i="3"/>
  <c r="BQ61" i="2"/>
  <c r="BQ85" i="2"/>
  <c r="AM42" i="2"/>
  <c r="AM70" i="2"/>
  <c r="AP118" i="3"/>
  <c r="AP119" i="3" s="1"/>
  <c r="AP103" i="3"/>
  <c r="AO16" i="2"/>
  <c r="AO78" i="2" s="1"/>
  <c r="G86" i="2"/>
  <c r="G63" i="2"/>
  <c r="G77" i="2"/>
  <c r="G87" i="2" s="1"/>
  <c r="BP71" i="3"/>
  <c r="BP75" i="3" s="1"/>
  <c r="BP67" i="3"/>
  <c r="AI117" i="2"/>
  <c r="AJ115" i="2"/>
  <c r="AJ117" i="2" s="1"/>
  <c r="AC70" i="2"/>
  <c r="AC42" i="2"/>
  <c r="CG31" i="3"/>
  <c r="CF58" i="3"/>
  <c r="BL87" i="2"/>
  <c r="Z100" i="3"/>
  <c r="Z95" i="3"/>
  <c r="Z98" i="3"/>
  <c r="S86" i="2"/>
  <c r="S63" i="2"/>
  <c r="S77" i="2"/>
  <c r="BU78" i="2"/>
  <c r="BU35" i="2"/>
  <c r="BD113" i="2"/>
  <c r="BC114" i="2"/>
  <c r="BC116" i="2" s="1"/>
  <c r="BC118" i="2" s="1"/>
  <c r="BC115" i="2"/>
  <c r="AU87" i="2"/>
  <c r="AW67" i="3"/>
  <c r="AW71" i="3"/>
  <c r="AW75" i="3" s="1"/>
  <c r="AX71" i="3"/>
  <c r="AX75" i="3" s="1"/>
  <c r="BQ62" i="2"/>
  <c r="BQ22" i="2"/>
  <c r="BQ17" i="2"/>
  <c r="BQ35" i="2" s="1"/>
  <c r="BQ37" i="2" s="1"/>
  <c r="BW59" i="2"/>
  <c r="BW16" i="2"/>
  <c r="BY94" i="3"/>
  <c r="BW19" i="2"/>
  <c r="BW41" i="2"/>
  <c r="AO66" i="3"/>
  <c r="AO64" i="3"/>
  <c r="AP71" i="3" s="1"/>
  <c r="AP75" i="3" s="1"/>
  <c r="AI133" i="3"/>
  <c r="AI82" i="2"/>
  <c r="AI65" i="2"/>
  <c r="S78" i="2"/>
  <c r="S88" i="2" s="1"/>
  <c r="S35" i="2"/>
  <c r="S37" i="2" s="1"/>
  <c r="Q86" i="2"/>
  <c r="Q63" i="2"/>
  <c r="Q77" i="2"/>
  <c r="V86" i="2"/>
  <c r="AM81" i="2"/>
  <c r="AM89" i="2"/>
  <c r="AM68" i="3"/>
  <c r="AZ102" i="3"/>
  <c r="BA102" i="3"/>
  <c r="AV100" i="3"/>
  <c r="AV95" i="3"/>
  <c r="AV98" i="3"/>
  <c r="BG67" i="3"/>
  <c r="BG71" i="3"/>
  <c r="BG75" i="3" s="1"/>
  <c r="BH71" i="3"/>
  <c r="BH75" i="3" s="1"/>
  <c r="BF88" i="2"/>
  <c r="H78" i="2"/>
  <c r="H35" i="2"/>
  <c r="H37" i="2" s="1"/>
  <c r="H42" i="2" s="1"/>
  <c r="BD10" i="2"/>
  <c r="V102" i="3"/>
  <c r="W102" i="3"/>
  <c r="R81" i="2"/>
  <c r="BT88" i="2"/>
  <c r="Q88" i="2"/>
  <c r="BF100" i="3"/>
  <c r="BF95" i="3"/>
  <c r="BF98" i="3"/>
  <c r="R70" i="2"/>
  <c r="R42" i="2"/>
  <c r="BJ77" i="2"/>
  <c r="BJ87" i="2" s="1"/>
  <c r="BJ86" i="2"/>
  <c r="BJ63" i="2"/>
  <c r="M133" i="3"/>
  <c r="M82" i="2"/>
  <c r="M65" i="2"/>
  <c r="BH118" i="3"/>
  <c r="BH119" i="3" s="1"/>
  <c r="BH103" i="3"/>
  <c r="BS139" i="3"/>
  <c r="BS85" i="2"/>
  <c r="E70" i="2"/>
  <c r="E42" i="2"/>
  <c r="BU95" i="3"/>
  <c r="BU98" i="3"/>
  <c r="BU100" i="3"/>
  <c r="AF102" i="3"/>
  <c r="AH102" i="3"/>
  <c r="AG102" i="3"/>
  <c r="AE10" i="2"/>
  <c r="AE102" i="3" s="1"/>
  <c r="E24" i="4"/>
  <c r="H28" i="4"/>
  <c r="H29" i="4" s="1"/>
  <c r="H18" i="4"/>
  <c r="BQ71" i="3"/>
  <c r="BQ75" i="3" s="1"/>
  <c r="BQ67" i="3"/>
  <c r="BR71" i="3"/>
  <c r="BR75" i="3" s="1"/>
  <c r="AS139" i="3"/>
  <c r="AS61" i="2"/>
  <c r="AS85" i="2"/>
  <c r="AX22" i="2"/>
  <c r="AX62" i="2"/>
  <c r="AX17" i="2"/>
  <c r="H103" i="3"/>
  <c r="H118" i="3"/>
  <c r="H119" i="3" s="1"/>
  <c r="BP86" i="2"/>
  <c r="BP63" i="2"/>
  <c r="BP77" i="2"/>
  <c r="BP87" i="2" s="1"/>
  <c r="X116" i="2"/>
  <c r="Z114" i="2"/>
  <c r="AO115" i="2"/>
  <c r="AO117" i="2" s="1"/>
  <c r="AN117" i="2"/>
  <c r="AJ139" i="3"/>
  <c r="AJ61" i="2"/>
  <c r="AX139" i="3"/>
  <c r="AX61" i="2"/>
  <c r="AX85" i="2"/>
  <c r="AT115" i="2"/>
  <c r="AT117" i="2" s="1"/>
  <c r="AS117" i="2"/>
  <c r="BI100" i="3"/>
  <c r="BI98" i="3"/>
  <c r="BI95" i="3"/>
  <c r="D118" i="2"/>
  <c r="F116" i="2"/>
  <c r="F118" i="2" s="1"/>
  <c r="BI67" i="3"/>
  <c r="BI71" i="3"/>
  <c r="BI75" i="3" s="1"/>
  <c r="K39" i="2"/>
  <c r="K8" i="2"/>
  <c r="AZ77" i="3"/>
  <c r="AZ73" i="2"/>
  <c r="AZ56" i="2"/>
  <c r="AZ151" i="3"/>
  <c r="BF35" i="2"/>
  <c r="Q98" i="3"/>
  <c r="Q95" i="3"/>
  <c r="Q100" i="3"/>
  <c r="O35" i="2"/>
  <c r="BK103" i="3"/>
  <c r="BK118" i="3"/>
  <c r="BK119" i="3" s="1"/>
  <c r="Y85" i="2"/>
  <c r="BD139" i="3"/>
  <c r="BD61" i="2"/>
  <c r="AI35" i="2"/>
  <c r="AI37" i="2" s="1"/>
  <c r="AU100" i="3"/>
  <c r="AU98" i="3"/>
  <c r="AU95" i="3"/>
  <c r="BO86" i="2"/>
  <c r="BO63" i="2"/>
  <c r="BO77" i="2"/>
  <c r="BT87" i="2" s="1"/>
  <c r="BB102" i="3"/>
  <c r="L71" i="3"/>
  <c r="L75" i="3" s="1"/>
  <c r="L67" i="3"/>
  <c r="BX12" i="2"/>
  <c r="BX60" i="2"/>
  <c r="BX79" i="2"/>
  <c r="AR67" i="3"/>
  <c r="AR71" i="3"/>
  <c r="AR75" i="3" s="1"/>
  <c r="AS71" i="3"/>
  <c r="AS75" i="3" s="1"/>
  <c r="BC71" i="3"/>
  <c r="BC75" i="3" s="1"/>
  <c r="N63" i="2"/>
  <c r="N77" i="2"/>
  <c r="CC109" i="3"/>
  <c r="CC110" i="3" s="1"/>
  <c r="CC15" i="3"/>
  <c r="BX71" i="3"/>
  <c r="BX75" i="3" s="1"/>
  <c r="C20" i="9" s="1"/>
  <c r="BX67" i="3"/>
  <c r="BT70" i="2"/>
  <c r="BT42" i="2"/>
  <c r="AD16" i="2"/>
  <c r="BJ37" i="2"/>
  <c r="AL86" i="2"/>
  <c r="AL77" i="2"/>
  <c r="AL87" i="2" s="1"/>
  <c r="AL63" i="2"/>
  <c r="BS95" i="3"/>
  <c r="BS100" i="3"/>
  <c r="BS98" i="3"/>
  <c r="CH44" i="3"/>
  <c r="CI44" i="3" s="1"/>
  <c r="CI49" i="2" s="1"/>
  <c r="CH49" i="2"/>
  <c r="BQ98" i="3"/>
  <c r="BQ95" i="3"/>
  <c r="BQ100" i="3"/>
  <c r="AO103" i="3"/>
  <c r="AO118" i="3"/>
  <c r="AO119" i="3" s="1"/>
  <c r="AU118" i="3"/>
  <c r="AU119" i="3" s="1"/>
  <c r="AU103" i="3"/>
  <c r="D71" i="3"/>
  <c r="D75" i="3" s="1"/>
  <c r="D67" i="3"/>
  <c r="E71" i="3"/>
  <c r="E75" i="3" s="1"/>
  <c r="AT114" i="2"/>
  <c r="AS116" i="2"/>
  <c r="CM55" i="3"/>
  <c r="CN54" i="3"/>
  <c r="CO54" i="3" s="1"/>
  <c r="CP54" i="3" s="1"/>
  <c r="CQ54" i="3" s="1"/>
  <c r="CR54" i="3" s="1"/>
  <c r="AF118" i="2"/>
  <c r="AJ100" i="3"/>
  <c r="AJ98" i="3"/>
  <c r="AJ95" i="3"/>
  <c r="BU139" i="3"/>
  <c r="BU61" i="2"/>
  <c r="BZ86" i="2" s="1"/>
  <c r="BU85" i="2"/>
  <c r="BT133" i="3"/>
  <c r="BT82" i="2"/>
  <c r="BT65" i="2"/>
  <c r="BC22" i="2"/>
  <c r="BC62" i="2"/>
  <c r="BC17" i="2"/>
  <c r="BD17" i="2" s="1"/>
  <c r="AB103" i="3"/>
  <c r="AB118" i="3"/>
  <c r="AB119" i="3" s="1"/>
  <c r="BN139" i="3"/>
  <c r="BN85" i="2"/>
  <c r="BH123" i="3"/>
  <c r="BI123" i="3" s="1"/>
  <c r="BH122" i="3"/>
  <c r="BI121" i="3"/>
  <c r="BI122" i="3" s="1"/>
  <c r="AK118" i="2"/>
  <c r="BJ118" i="3"/>
  <c r="BJ119" i="3" s="1"/>
  <c r="BJ103" i="3"/>
  <c r="Y63" i="2"/>
  <c r="Y77" i="2"/>
  <c r="BD98" i="3"/>
  <c r="BD95" i="3"/>
  <c r="BD100" i="3"/>
  <c r="AY94" i="3"/>
  <c r="AY59" i="2"/>
  <c r="BD85" i="2" s="1"/>
  <c r="AY41" i="2"/>
  <c r="AY19" i="2"/>
  <c r="BJ67" i="3"/>
  <c r="BJ71" i="3"/>
  <c r="BJ75" i="3" s="1"/>
  <c r="BP35" i="2"/>
  <c r="AX114" i="2"/>
  <c r="AX115" i="2"/>
  <c r="AY113" i="2"/>
  <c r="BR21" i="2"/>
  <c r="BE45" i="2"/>
  <c r="BE44" i="2"/>
  <c r="H100" i="3"/>
  <c r="H98" i="3"/>
  <c r="H95" i="3"/>
  <c r="BG62" i="2"/>
  <c r="BG63" i="2" s="1"/>
  <c r="BG17" i="2"/>
  <c r="BG35" i="2" s="1"/>
  <c r="BG37" i="2" s="1"/>
  <c r="BG22" i="2"/>
  <c r="AR88" i="2"/>
  <c r="AR133" i="3"/>
  <c r="AR82" i="2"/>
  <c r="AR65" i="2"/>
  <c r="BY102" i="3"/>
  <c r="BW102" i="3"/>
  <c r="BX10" i="2"/>
  <c r="CA102" i="3" s="1"/>
  <c r="Z16" i="2"/>
  <c r="Z78" i="2" s="1"/>
  <c r="I94" i="3"/>
  <c r="I41" i="2"/>
  <c r="I19" i="2"/>
  <c r="I16" i="2"/>
  <c r="I59" i="2"/>
  <c r="J94" i="3"/>
  <c r="I22" i="2"/>
  <c r="K9" i="2"/>
  <c r="AD139" i="3"/>
  <c r="AD85" i="2"/>
  <c r="AD61" i="2"/>
  <c r="AI85" i="2"/>
  <c r="L118" i="3"/>
  <c r="L119" i="3" s="1"/>
  <c r="L103" i="3"/>
  <c r="AX102" i="3"/>
  <c r="BS102" i="3"/>
  <c r="BV102" i="3"/>
  <c r="AH81" i="2"/>
  <c r="AH68" i="3"/>
  <c r="E117" i="2"/>
  <c r="F115" i="2"/>
  <c r="F117" i="2" s="1"/>
  <c r="AQ133" i="3"/>
  <c r="AQ82" i="2"/>
  <c r="AQ65" i="2"/>
  <c r="J103" i="3"/>
  <c r="J118" i="3"/>
  <c r="J119" i="3" s="1"/>
  <c r="L63" i="2"/>
  <c r="L86" i="2"/>
  <c r="L77" i="2"/>
  <c r="BI139" i="3"/>
  <c r="BI85" i="2"/>
  <c r="BI61" i="2"/>
  <c r="G21" i="4"/>
  <c r="K21" i="4" s="1"/>
  <c r="G14" i="4"/>
  <c r="K17" i="4"/>
  <c r="P22" i="2"/>
  <c r="P62" i="2"/>
  <c r="AT67" i="3"/>
  <c r="AX123" i="3"/>
  <c r="AY123" i="3" s="1"/>
  <c r="AX122" i="3"/>
  <c r="AL118" i="3"/>
  <c r="AL119" i="3" s="1"/>
  <c r="AL103" i="3"/>
  <c r="AO100" i="3"/>
  <c r="AO98" i="3"/>
  <c r="AO95" i="3"/>
  <c r="BB63" i="2"/>
  <c r="BB86" i="2"/>
  <c r="BB77" i="2"/>
  <c r="BB87" i="2" s="1"/>
  <c r="C151" i="3"/>
  <c r="C77" i="3"/>
  <c r="C73" i="2"/>
  <c r="C56" i="2"/>
  <c r="AP67" i="3"/>
  <c r="BM22" i="2"/>
  <c r="BM17" i="2"/>
  <c r="BM62" i="2"/>
  <c r="BM63" i="2" s="1"/>
  <c r="BX37" i="4"/>
  <c r="BX38" i="4" s="1"/>
  <c r="BH77" i="2"/>
  <c r="BS113" i="2"/>
  <c r="BR114" i="2"/>
  <c r="BR115" i="2"/>
  <c r="AQ67" i="3"/>
  <c r="AQ71" i="3"/>
  <c r="AQ75" i="3" s="1"/>
  <c r="AW62" i="2"/>
  <c r="AW63" i="2" s="1"/>
  <c r="AW22" i="2"/>
  <c r="AW17" i="2"/>
  <c r="J22" i="2"/>
  <c r="BQ78" i="2"/>
  <c r="BQ88" i="2" s="1"/>
  <c r="AE113" i="2"/>
  <c r="AD114" i="2"/>
  <c r="AD115" i="2"/>
  <c r="BA86" i="2"/>
  <c r="BA63" i="2"/>
  <c r="BA77" i="2"/>
  <c r="BA87" i="2" s="1"/>
  <c r="AQ118" i="3"/>
  <c r="AQ119" i="3" s="1"/>
  <c r="AQ103" i="3"/>
  <c r="AY103" i="3"/>
  <c r="AY118" i="3"/>
  <c r="AY119" i="3" s="1"/>
  <c r="BO71" i="3"/>
  <c r="BO75" i="3" s="1"/>
  <c r="BO67" i="3"/>
  <c r="BN98" i="3"/>
  <c r="BN100" i="3"/>
  <c r="BN95" i="3"/>
  <c r="AP133" i="3"/>
  <c r="AP65" i="2"/>
  <c r="AP82" i="2"/>
  <c r="BB98" i="3"/>
  <c r="BB100" i="3"/>
  <c r="BB95" i="3"/>
  <c r="AX100" i="3"/>
  <c r="AX98" i="3"/>
  <c r="AX95" i="3"/>
  <c r="AD95" i="3"/>
  <c r="AD98" i="3"/>
  <c r="AD100" i="3"/>
  <c r="BK71" i="3"/>
  <c r="BK75" i="3" s="1"/>
  <c r="F139" i="3"/>
  <c r="F61" i="2"/>
  <c r="G88" i="2"/>
  <c r="Z71" i="3"/>
  <c r="Z75" i="3" s="1"/>
  <c r="Z67" i="3"/>
  <c r="AA71" i="3"/>
  <c r="AA75" i="3" s="1"/>
  <c r="BC16" i="2"/>
  <c r="AH71" i="3"/>
  <c r="AH75" i="3" s="1"/>
  <c r="AH67" i="3"/>
  <c r="BF86" i="2"/>
  <c r="AH45" i="2"/>
  <c r="AH44" i="2"/>
  <c r="M103" i="3"/>
  <c r="M118" i="3"/>
  <c r="M119" i="3" s="1"/>
  <c r="N70" i="2"/>
  <c r="N42" i="2"/>
  <c r="BX22" i="2"/>
  <c r="CC32" i="3"/>
  <c r="AL70" i="2"/>
  <c r="AL42" i="2"/>
  <c r="V70" i="2"/>
  <c r="V42" i="2"/>
  <c r="K17" i="2"/>
  <c r="CF116" i="3"/>
  <c r="CH9" i="3"/>
  <c r="CI9" i="3" s="1"/>
  <c r="CJ9" i="3" s="1"/>
  <c r="CK9" i="3" s="1"/>
  <c r="CL9" i="3" s="1"/>
  <c r="CM9" i="3" s="1"/>
  <c r="CN9" i="3" s="1"/>
  <c r="CO9" i="3" s="1"/>
  <c r="CP9" i="3" s="1"/>
  <c r="CQ9" i="3" s="1"/>
  <c r="CR9" i="3" s="1"/>
  <c r="CG97" i="3"/>
  <c r="AN35" i="2"/>
  <c r="AO17" i="2"/>
  <c r="CG125" i="3"/>
  <c r="L70" i="2"/>
  <c r="L42" i="2"/>
  <c r="K96" i="2"/>
  <c r="K97" i="2" s="1"/>
  <c r="K98" i="2"/>
  <c r="AA44" i="2"/>
  <c r="AA45" i="2"/>
  <c r="AG37" i="2"/>
  <c r="Q37" i="2"/>
  <c r="CK125" i="3"/>
  <c r="CF129" i="3"/>
  <c r="CS125" i="3"/>
  <c r="CO125" i="3"/>
  <c r="U95" i="3" l="1"/>
  <c r="U98" i="3"/>
  <c r="BH36" i="11"/>
  <c r="BH39" i="11" s="1"/>
  <c r="CC59" i="3"/>
  <c r="CD60" i="3" s="1"/>
  <c r="CD61" i="3" s="1"/>
  <c r="CD100" i="2"/>
  <c r="CD101" i="2" s="1"/>
  <c r="Z115" i="2"/>
  <c r="Z117" i="2" s="1"/>
  <c r="BW22" i="11"/>
  <c r="BY87" i="2"/>
  <c r="N22" i="9"/>
  <c r="BD62" i="2"/>
  <c r="BD22" i="2"/>
  <c r="BN62" i="2"/>
  <c r="BN63" i="2" s="1"/>
  <c r="D9" i="15" s="1"/>
  <c r="D10" i="15" s="1"/>
  <c r="AX78" i="2"/>
  <c r="AX35" i="2"/>
  <c r="AX37" i="2" s="1"/>
  <c r="BV29" i="11"/>
  <c r="BV36" i="11" s="1"/>
  <c r="BV39" i="11" s="1"/>
  <c r="BV42" i="11" s="1"/>
  <c r="BW98" i="3"/>
  <c r="BW95" i="3"/>
  <c r="CT46" i="3"/>
  <c r="CU46" i="3" s="1"/>
  <c r="CV46" i="3" s="1"/>
  <c r="CX46" i="3" s="1"/>
  <c r="AJ116" i="2"/>
  <c r="AJ118" i="2" s="1"/>
  <c r="P33" i="9"/>
  <c r="CA37" i="2"/>
  <c r="BZ70" i="2"/>
  <c r="N13" i="15" s="1"/>
  <c r="BV22" i="11"/>
  <c r="T35" i="2"/>
  <c r="T37" i="2" s="1"/>
  <c r="T70" i="2" s="1"/>
  <c r="CA133" i="3"/>
  <c r="O9" i="15"/>
  <c r="O10" i="15" s="1"/>
  <c r="CA65" i="2"/>
  <c r="CA82" i="2"/>
  <c r="AZ82" i="2"/>
  <c r="AZ65" i="2"/>
  <c r="AZ89" i="2" s="1"/>
  <c r="AZ133" i="3"/>
  <c r="BE87" i="2"/>
  <c r="BS78" i="2"/>
  <c r="E22" i="15"/>
  <c r="Y88" i="2"/>
  <c r="CA103" i="3"/>
  <c r="CA118" i="3"/>
  <c r="CA119" i="3" s="1"/>
  <c r="BI78" i="2"/>
  <c r="C22" i="15"/>
  <c r="CC45" i="4"/>
  <c r="CC46" i="4" s="1"/>
  <c r="CA95" i="3"/>
  <c r="CA100" i="3"/>
  <c r="CA98" i="3"/>
  <c r="M9" i="15"/>
  <c r="M10" i="15" s="1"/>
  <c r="BY65" i="2"/>
  <c r="BY82" i="2"/>
  <c r="BY133" i="3"/>
  <c r="CI25" i="4"/>
  <c r="CI5" i="4"/>
  <c r="CI5" i="11" s="1"/>
  <c r="CF28" i="2"/>
  <c r="BH42" i="11"/>
  <c r="BH40" i="11"/>
  <c r="BH44" i="11" s="1"/>
  <c r="BN41" i="11"/>
  <c r="BN29" i="11"/>
  <c r="BN36" i="11" s="1"/>
  <c r="BN39" i="11" s="1"/>
  <c r="BM40" i="11"/>
  <c r="BM44" i="11" s="1"/>
  <c r="BM42" i="11"/>
  <c r="BC40" i="11"/>
  <c r="BC44" i="11" s="1"/>
  <c r="BC42" i="11"/>
  <c r="BD29" i="11"/>
  <c r="BD36" i="11" s="1"/>
  <c r="BD39" i="11" s="1"/>
  <c r="BD41" i="11"/>
  <c r="BO103" i="3"/>
  <c r="BO118" i="3"/>
  <c r="BO119" i="3" s="1"/>
  <c r="BM78" i="2"/>
  <c r="BM88" i="2" s="1"/>
  <c r="BN16" i="2"/>
  <c r="BX94" i="3"/>
  <c r="C7" i="9"/>
  <c r="BX23" i="11"/>
  <c r="AZ42" i="11"/>
  <c r="AZ40" i="11"/>
  <c r="AZ44" i="11" s="1"/>
  <c r="BM103" i="3"/>
  <c r="BM118" i="3"/>
  <c r="BM119" i="3" s="1"/>
  <c r="BX102" i="3"/>
  <c r="BX103" i="3" s="1"/>
  <c r="C8" i="9"/>
  <c r="BX28" i="11"/>
  <c r="BX62" i="2"/>
  <c r="BQ41" i="11"/>
  <c r="BQ29" i="11"/>
  <c r="BQ36" i="11" s="1"/>
  <c r="BQ39" i="11" s="1"/>
  <c r="BP103" i="3"/>
  <c r="BP118" i="3"/>
  <c r="BP119" i="3" s="1"/>
  <c r="BN102" i="3"/>
  <c r="BQ102" i="3"/>
  <c r="BS41" i="11"/>
  <c r="BS21" i="2"/>
  <c r="BS28" i="11" s="1"/>
  <c r="BS29" i="11" s="1"/>
  <c r="BS36" i="11" s="1"/>
  <c r="BS39" i="11" s="1"/>
  <c r="BR28" i="11"/>
  <c r="BR29" i="11" s="1"/>
  <c r="BR36" i="11" s="1"/>
  <c r="BR39" i="11" s="1"/>
  <c r="BO40" i="11"/>
  <c r="BO44" i="11" s="1"/>
  <c r="BO42" i="11"/>
  <c r="BM116" i="2"/>
  <c r="BN114" i="2"/>
  <c r="BM35" i="2"/>
  <c r="BM37" i="2" s="1"/>
  <c r="BV40" i="11"/>
  <c r="BV44" i="11" s="1"/>
  <c r="BM117" i="2"/>
  <c r="BN115" i="2"/>
  <c r="BN117" i="2" s="1"/>
  <c r="AY88" i="2"/>
  <c r="BW41" i="11"/>
  <c r="BW29" i="11"/>
  <c r="BW36" i="11" s="1"/>
  <c r="BW39" i="11" s="1"/>
  <c r="BI34" i="11"/>
  <c r="BI33" i="11"/>
  <c r="CT21" i="2"/>
  <c r="CT28" i="11" s="1"/>
  <c r="CM4" i="4"/>
  <c r="Q33" i="9" s="1"/>
  <c r="CS49" i="4"/>
  <c r="CS9" i="3" s="1"/>
  <c r="CI4" i="11"/>
  <c r="U103" i="3"/>
  <c r="CL5" i="4"/>
  <c r="CL5" i="11" s="1"/>
  <c r="CL4" i="11"/>
  <c r="CT49" i="4"/>
  <c r="CJ4" i="11"/>
  <c r="BX41" i="2"/>
  <c r="BX19" i="2"/>
  <c r="CP28" i="11"/>
  <c r="CX21" i="2"/>
  <c r="CX28" i="11" s="1"/>
  <c r="CH6" i="11"/>
  <c r="AF64" i="11"/>
  <c r="AF3" i="11"/>
  <c r="AF47" i="11"/>
  <c r="AF20" i="11"/>
  <c r="AF108" i="11"/>
  <c r="AF91" i="11"/>
  <c r="BY45" i="2"/>
  <c r="BY44" i="2"/>
  <c r="AE91" i="11"/>
  <c r="AE64" i="11"/>
  <c r="AE3" i="11"/>
  <c r="AE47" i="11"/>
  <c r="AE20" i="11"/>
  <c r="AE108" i="11"/>
  <c r="BZ65" i="2"/>
  <c r="N7" i="15" s="1"/>
  <c r="N8" i="15" s="1"/>
  <c r="BZ82" i="2"/>
  <c r="BZ133" i="3"/>
  <c r="AO116" i="2"/>
  <c r="AO118" i="2" s="1"/>
  <c r="AD91" i="11"/>
  <c r="AD64" i="11"/>
  <c r="AD3" i="11"/>
  <c r="AD47" i="11"/>
  <c r="AD20" i="11"/>
  <c r="AD108" i="11"/>
  <c r="AB91" i="11"/>
  <c r="AB64" i="11"/>
  <c r="AB3" i="11"/>
  <c r="AB47" i="11"/>
  <c r="AB20" i="11"/>
  <c r="AB108" i="11"/>
  <c r="BZ45" i="2"/>
  <c r="BZ44" i="2"/>
  <c r="AH3" i="11"/>
  <c r="AH47" i="11"/>
  <c r="AH20" i="11"/>
  <c r="AH108" i="11"/>
  <c r="AH91" i="11"/>
  <c r="AH64" i="11"/>
  <c r="U16" i="2"/>
  <c r="U78" i="2" s="1"/>
  <c r="Z88" i="2" s="1"/>
  <c r="AT71" i="3"/>
  <c r="AT75" i="3" s="1"/>
  <c r="AY17" i="2"/>
  <c r="AO88" i="2"/>
  <c r="BG87" i="2"/>
  <c r="BX59" i="2"/>
  <c r="F5" i="15" s="1"/>
  <c r="F6" i="15" s="1"/>
  <c r="X87" i="2"/>
  <c r="BZ100" i="3"/>
  <c r="BZ98" i="3"/>
  <c r="BZ95" i="3"/>
  <c r="BB88" i="2"/>
  <c r="X88" i="2"/>
  <c r="H70" i="2"/>
  <c r="BU88" i="2"/>
  <c r="BZ88" i="2"/>
  <c r="J35" i="2"/>
  <c r="J37" i="2" s="1"/>
  <c r="CF110" i="3"/>
  <c r="CG110" i="3" s="1"/>
  <c r="CG27" i="4"/>
  <c r="CI29" i="2"/>
  <c r="CI28" i="2" s="1"/>
  <c r="CG28" i="2"/>
  <c r="CC60" i="3"/>
  <c r="CC61" i="3" s="1"/>
  <c r="CJ25" i="4"/>
  <c r="CV49" i="4"/>
  <c r="AB50" i="3"/>
  <c r="CU49" i="4"/>
  <c r="CC7" i="4"/>
  <c r="CC8" i="4" s="1"/>
  <c r="CL50" i="4"/>
  <c r="CM50" i="4" s="1"/>
  <c r="CK25" i="4"/>
  <c r="CJ15" i="4"/>
  <c r="CL25" i="4"/>
  <c r="CM25" i="4" s="1"/>
  <c r="CJ5" i="4"/>
  <c r="CJ5" i="11" s="1"/>
  <c r="CL15" i="4"/>
  <c r="AB70" i="3"/>
  <c r="AB47" i="2"/>
  <c r="CK15" i="4"/>
  <c r="AB3" i="3"/>
  <c r="CH6" i="4"/>
  <c r="CK11" i="4" s="1"/>
  <c r="CK5" i="4"/>
  <c r="CK5" i="11" s="1"/>
  <c r="CK6" i="11" s="1"/>
  <c r="AB48" i="4"/>
  <c r="AB3" i="4"/>
  <c r="AB106" i="2"/>
  <c r="AB23" i="4"/>
  <c r="AB142" i="3"/>
  <c r="AB44" i="4"/>
  <c r="AB58" i="2"/>
  <c r="AB131" i="3"/>
  <c r="AB76" i="2"/>
  <c r="AB31" i="4"/>
  <c r="AB3" i="2"/>
  <c r="AB93" i="2"/>
  <c r="Z48" i="4"/>
  <c r="Z31" i="4"/>
  <c r="Z92" i="3"/>
  <c r="Z23" i="4"/>
  <c r="Z142" i="3"/>
  <c r="Z106" i="2"/>
  <c r="Z50" i="3"/>
  <c r="Z3" i="4"/>
  <c r="Z131" i="3"/>
  <c r="Z3" i="3"/>
  <c r="Z70" i="3"/>
  <c r="Z58" i="2"/>
  <c r="Z93" i="2"/>
  <c r="Z3" i="2"/>
  <c r="Z76" i="2"/>
  <c r="Z47" i="2"/>
  <c r="Z44" i="4"/>
  <c r="AD131" i="3"/>
  <c r="AD23" i="4"/>
  <c r="AD44" i="4"/>
  <c r="AD3" i="4"/>
  <c r="AD50" i="3"/>
  <c r="AD48" i="4"/>
  <c r="AD3" i="3"/>
  <c r="AD70" i="3"/>
  <c r="AD93" i="2"/>
  <c r="AD3" i="2"/>
  <c r="AD76" i="2"/>
  <c r="AD47" i="2"/>
  <c r="AD142" i="3"/>
  <c r="AD106" i="2"/>
  <c r="AD31" i="4"/>
  <c r="AD58" i="2"/>
  <c r="AD92" i="3"/>
  <c r="AC131" i="3"/>
  <c r="AC23" i="4"/>
  <c r="AC31" i="4"/>
  <c r="AC106" i="2"/>
  <c r="AC50" i="3"/>
  <c r="AC3" i="4"/>
  <c r="AC48" i="4"/>
  <c r="AC3" i="3"/>
  <c r="AC93" i="2"/>
  <c r="AC3" i="2"/>
  <c r="AC76" i="2"/>
  <c r="AC47" i="2"/>
  <c r="AC142" i="3"/>
  <c r="AC44" i="4"/>
  <c r="AC92" i="3"/>
  <c r="AC58" i="2"/>
  <c r="AC70" i="3"/>
  <c r="AF131" i="3"/>
  <c r="AF23" i="4"/>
  <c r="AF44" i="4"/>
  <c r="AF3" i="4"/>
  <c r="AF142" i="3"/>
  <c r="AF48" i="4"/>
  <c r="AF3" i="3"/>
  <c r="AF70" i="3"/>
  <c r="AF93" i="2"/>
  <c r="AF76" i="2"/>
  <c r="AF47" i="2"/>
  <c r="AF50" i="3"/>
  <c r="AF106" i="2"/>
  <c r="AF92" i="3"/>
  <c r="AF58" i="2"/>
  <c r="AF31" i="4"/>
  <c r="AF3" i="2"/>
  <c r="AX70" i="2"/>
  <c r="AX42" i="2"/>
  <c r="AX44" i="2" s="1"/>
  <c r="BG70" i="2"/>
  <c r="BG42" i="2"/>
  <c r="BM133" i="3"/>
  <c r="BM82" i="2"/>
  <c r="BM65" i="2"/>
  <c r="J100" i="3"/>
  <c r="J98" i="3"/>
  <c r="J95" i="3"/>
  <c r="AX117" i="2"/>
  <c r="AY115" i="2"/>
  <c r="AY117" i="2" s="1"/>
  <c r="BU63" i="2"/>
  <c r="BU77" i="2"/>
  <c r="BU86" i="2"/>
  <c r="BT45" i="2"/>
  <c r="BT44" i="2"/>
  <c r="AX88" i="2"/>
  <c r="BW139" i="3"/>
  <c r="BW61" i="2"/>
  <c r="BW85" i="2"/>
  <c r="T117" i="2"/>
  <c r="U115" i="2"/>
  <c r="U117" i="2" s="1"/>
  <c r="AX118" i="3"/>
  <c r="AX119" i="3" s="1"/>
  <c r="AX103" i="3"/>
  <c r="BR22" i="2"/>
  <c r="BR62" i="2"/>
  <c r="BR63" i="2" s="1"/>
  <c r="BR17" i="2"/>
  <c r="BR35" i="2" s="1"/>
  <c r="BR37" i="2" s="1"/>
  <c r="AD78" i="2"/>
  <c r="AE16" i="2"/>
  <c r="AE78" i="2" s="1"/>
  <c r="AD35" i="2"/>
  <c r="AC133" i="3"/>
  <c r="AC82" i="2"/>
  <c r="AC65" i="2"/>
  <c r="BL118" i="3"/>
  <c r="BL119" i="3" s="1"/>
  <c r="BL103" i="3"/>
  <c r="BL70" i="2"/>
  <c r="BL42" i="2"/>
  <c r="BE81" i="2"/>
  <c r="BE68" i="3"/>
  <c r="BX100" i="3"/>
  <c r="BX95" i="3"/>
  <c r="BX98" i="3"/>
  <c r="AT88" i="2"/>
  <c r="H88" i="2"/>
  <c r="M88" i="2"/>
  <c r="BQ42" i="2"/>
  <c r="BQ70" i="2"/>
  <c r="AD63" i="2"/>
  <c r="AD77" i="2"/>
  <c r="AD86" i="2"/>
  <c r="AI86" i="2"/>
  <c r="M81" i="2"/>
  <c r="M68" i="3"/>
  <c r="S42" i="2"/>
  <c r="S70" i="2"/>
  <c r="BU37" i="2"/>
  <c r="E133" i="3"/>
  <c r="E65" i="2"/>
  <c r="E82" i="2"/>
  <c r="AW133" i="3"/>
  <c r="AW82" i="2"/>
  <c r="AW65" i="2"/>
  <c r="G33" i="4"/>
  <c r="K14" i="4"/>
  <c r="K33" i="4" s="1"/>
  <c r="AQ81" i="2"/>
  <c r="AQ68" i="3"/>
  <c r="K94" i="3"/>
  <c r="K59" i="2"/>
  <c r="P85" i="2" s="1"/>
  <c r="K19" i="2"/>
  <c r="K41" i="2"/>
  <c r="K22" i="2"/>
  <c r="AR89" i="2"/>
  <c r="AR81" i="2"/>
  <c r="AR68" i="3"/>
  <c r="CJ44" i="3"/>
  <c r="CJ49" i="2" s="1"/>
  <c r="BS86" i="2"/>
  <c r="BS77" i="2"/>
  <c r="BG102" i="3"/>
  <c r="BD102" i="3"/>
  <c r="AO67" i="3"/>
  <c r="AO71" i="3"/>
  <c r="AO75" i="3" s="1"/>
  <c r="BM42" i="2"/>
  <c r="BM70" i="2"/>
  <c r="BN86" i="2"/>
  <c r="BN77" i="2"/>
  <c r="F24" i="4"/>
  <c r="K18" i="4" s="1"/>
  <c r="D24" i="4"/>
  <c r="R45" i="2"/>
  <c r="R44" i="2"/>
  <c r="AQ87" i="2"/>
  <c r="H86" i="2"/>
  <c r="H77" i="2"/>
  <c r="H63" i="2"/>
  <c r="M86" i="2"/>
  <c r="BN17" i="2"/>
  <c r="BH22" i="2"/>
  <c r="BH62" i="2"/>
  <c r="BH63" i="2" s="1"/>
  <c r="BH17" i="2"/>
  <c r="BI21" i="2"/>
  <c r="BI28" i="11" s="1"/>
  <c r="BI29" i="11" s="1"/>
  <c r="BD114" i="2"/>
  <c r="AW35" i="2"/>
  <c r="AB45" i="2"/>
  <c r="AB44" i="2"/>
  <c r="AK44" i="2"/>
  <c r="AK45" i="2"/>
  <c r="X44" i="2"/>
  <c r="X45" i="2"/>
  <c r="X133" i="3"/>
  <c r="X82" i="2"/>
  <c r="X65" i="2"/>
  <c r="BC86" i="2"/>
  <c r="BC63" i="2"/>
  <c r="BC77" i="2"/>
  <c r="BH87" i="2" s="1"/>
  <c r="AS42" i="2"/>
  <c r="AS70" i="2"/>
  <c r="AJ63" i="2"/>
  <c r="AJ77" i="2"/>
  <c r="BR86" i="2"/>
  <c r="BR77" i="2"/>
  <c r="BR87" i="2" s="1"/>
  <c r="M77" i="3"/>
  <c r="M73" i="2"/>
  <c r="M56" i="2"/>
  <c r="M151" i="3"/>
  <c r="T86" i="2"/>
  <c r="T63" i="2"/>
  <c r="T77" i="2"/>
  <c r="P139" i="3"/>
  <c r="P61" i="2"/>
  <c r="BS115" i="2"/>
  <c r="BS117" i="2" s="1"/>
  <c r="BR117" i="2"/>
  <c r="AE118" i="3"/>
  <c r="AE119" i="3" s="1"/>
  <c r="AE103" i="3"/>
  <c r="BC117" i="2"/>
  <c r="BD115" i="2"/>
  <c r="BD117" i="2" s="1"/>
  <c r="G133" i="3"/>
  <c r="G82" i="2"/>
  <c r="G65" i="2"/>
  <c r="AE95" i="3"/>
  <c r="AE98" i="3"/>
  <c r="AE100" i="3"/>
  <c r="BC118" i="3"/>
  <c r="BC119" i="3" s="1"/>
  <c r="BC103" i="3"/>
  <c r="N98" i="3"/>
  <c r="N100" i="3"/>
  <c r="N95" i="3"/>
  <c r="P95" i="3"/>
  <c r="P100" i="3"/>
  <c r="P98" i="3"/>
  <c r="AE115" i="2"/>
  <c r="AE117" i="2" s="1"/>
  <c r="AD117" i="2"/>
  <c r="BS114" i="2"/>
  <c r="BR116" i="2"/>
  <c r="BI77" i="2"/>
  <c r="BI86" i="2"/>
  <c r="I78" i="2"/>
  <c r="K16" i="2"/>
  <c r="K78" i="2" s="1"/>
  <c r="I35" i="2"/>
  <c r="I37" i="2" s="1"/>
  <c r="BP37" i="2"/>
  <c r="Y133" i="3"/>
  <c r="Y82" i="2"/>
  <c r="Y65" i="2"/>
  <c r="AL133" i="3"/>
  <c r="AL65" i="2"/>
  <c r="AQ89" i="2" s="1"/>
  <c r="AL82" i="2"/>
  <c r="BD63" i="2"/>
  <c r="BD77" i="2"/>
  <c r="AG103" i="3"/>
  <c r="AG118" i="3"/>
  <c r="AG119" i="3" s="1"/>
  <c r="Q87" i="2"/>
  <c r="V87" i="2"/>
  <c r="M100" i="3"/>
  <c r="M98" i="3"/>
  <c r="M95" i="3"/>
  <c r="BU118" i="3"/>
  <c r="BU119" i="3" s="1"/>
  <c r="BU103" i="3"/>
  <c r="BW117" i="2"/>
  <c r="BX115" i="2"/>
  <c r="BX117" i="2" s="1"/>
  <c r="AV42" i="2"/>
  <c r="AV70" i="2"/>
  <c r="AO86" i="2"/>
  <c r="AO63" i="2"/>
  <c r="AO77" i="2"/>
  <c r="BT118" i="3"/>
  <c r="BT119" i="3" s="1"/>
  <c r="BT103" i="3"/>
  <c r="AR77" i="3"/>
  <c r="AR73" i="2"/>
  <c r="AR56" i="2"/>
  <c r="AR151" i="3"/>
  <c r="BW116" i="2"/>
  <c r="BX114" i="2"/>
  <c r="BF81" i="2"/>
  <c r="BF68" i="3"/>
  <c r="AP81" i="2"/>
  <c r="AP68" i="3"/>
  <c r="AQ77" i="3"/>
  <c r="AQ73" i="2"/>
  <c r="AQ56" i="2"/>
  <c r="AQ151" i="3"/>
  <c r="AE139" i="3"/>
  <c r="AE85" i="2"/>
  <c r="AE61" i="2"/>
  <c r="BB118" i="2"/>
  <c r="BD116" i="2"/>
  <c r="BD118" i="2" s="1"/>
  <c r="I139" i="3"/>
  <c r="I61" i="2"/>
  <c r="I85" i="2"/>
  <c r="N85" i="2"/>
  <c r="AX116" i="2"/>
  <c r="AY114" i="2"/>
  <c r="AI42" i="2"/>
  <c r="AI70" i="2"/>
  <c r="N44" i="2"/>
  <c r="N45" i="2"/>
  <c r="BC78" i="2"/>
  <c r="BD16" i="2"/>
  <c r="BD78" i="2" s="1"/>
  <c r="BD88" i="2" s="1"/>
  <c r="BC35" i="2"/>
  <c r="AD116" i="2"/>
  <c r="AE114" i="2"/>
  <c r="AS77" i="2"/>
  <c r="AS87" i="2" s="1"/>
  <c r="AS86" i="2"/>
  <c r="AS63" i="2"/>
  <c r="AH103" i="3"/>
  <c r="AH118" i="3"/>
  <c r="AH119" i="3" s="1"/>
  <c r="Q133" i="3"/>
  <c r="Q65" i="2"/>
  <c r="Q82" i="2"/>
  <c r="BY100" i="3"/>
  <c r="BY98" i="3"/>
  <c r="BY95" i="3"/>
  <c r="BL81" i="2"/>
  <c r="BL68" i="3"/>
  <c r="AN81" i="2"/>
  <c r="AN89" i="2"/>
  <c r="AN68" i="3"/>
  <c r="W44" i="2"/>
  <c r="W45" i="2"/>
  <c r="AU89" i="2"/>
  <c r="AU81" i="2"/>
  <c r="AU68" i="3"/>
  <c r="Y70" i="2"/>
  <c r="Y42" i="2"/>
  <c r="Z42" i="2" s="1"/>
  <c r="Z44" i="2" s="1"/>
  <c r="C51" i="2"/>
  <c r="C74" i="2"/>
  <c r="BG133" i="3"/>
  <c r="BG82" i="2"/>
  <c r="BG65" i="2"/>
  <c r="AF118" i="3"/>
  <c r="AF119" i="3" s="1"/>
  <c r="AF103" i="3"/>
  <c r="BW78" i="2"/>
  <c r="BW35" i="2"/>
  <c r="BX16" i="2"/>
  <c r="F22" i="15" s="1"/>
  <c r="AT35" i="2"/>
  <c r="BV78" i="2"/>
  <c r="BV35" i="2"/>
  <c r="D45" i="2"/>
  <c r="D44" i="2"/>
  <c r="O77" i="2"/>
  <c r="O63" i="2"/>
  <c r="AK87" i="2"/>
  <c r="F37" i="2"/>
  <c r="F70" i="2" s="1"/>
  <c r="B42" i="2"/>
  <c r="B70" i="2"/>
  <c r="AU77" i="3"/>
  <c r="AU151" i="3"/>
  <c r="AU56" i="2"/>
  <c r="AU73" i="2"/>
  <c r="AZ90" i="2" s="1"/>
  <c r="W133" i="3"/>
  <c r="W82" i="2"/>
  <c r="W65" i="2"/>
  <c r="AF45" i="2"/>
  <c r="AF44" i="2"/>
  <c r="BA133" i="3"/>
  <c r="BA82" i="2"/>
  <c r="BA65" i="2"/>
  <c r="BF89" i="2" s="1"/>
  <c r="BF37" i="2"/>
  <c r="L87" i="2"/>
  <c r="I100" i="3"/>
  <c r="I98" i="3"/>
  <c r="I95" i="3"/>
  <c r="X118" i="2"/>
  <c r="Z116" i="2"/>
  <c r="Z118" i="2" s="1"/>
  <c r="U20" i="2"/>
  <c r="AP70" i="2"/>
  <c r="AP42" i="2"/>
  <c r="AT37" i="2"/>
  <c r="AT70" i="2" s="1"/>
  <c r="AB87" i="2"/>
  <c r="AG87" i="2"/>
  <c r="J139" i="3"/>
  <c r="J85" i="2"/>
  <c r="J61" i="2"/>
  <c r="O86" i="2" s="1"/>
  <c r="AT139" i="3"/>
  <c r="AT85" i="2"/>
  <c r="AT61" i="2"/>
  <c r="U35" i="2"/>
  <c r="BJ70" i="2"/>
  <c r="BJ42" i="2"/>
  <c r="BN37" i="2"/>
  <c r="BN70" i="2" s="1"/>
  <c r="D13" i="15" s="1"/>
  <c r="BB103" i="3"/>
  <c r="BB118" i="3"/>
  <c r="BB119" i="3" s="1"/>
  <c r="AC44" i="2"/>
  <c r="AC45" i="2"/>
  <c r="BF118" i="3"/>
  <c r="BF119" i="3" s="1"/>
  <c r="BF103" i="3"/>
  <c r="U85" i="2"/>
  <c r="BV139" i="3"/>
  <c r="BV61" i="2"/>
  <c r="CA86" i="2" s="1"/>
  <c r="BV85" i="2"/>
  <c r="AK133" i="3"/>
  <c r="AK82" i="2"/>
  <c r="AK65" i="2"/>
  <c r="AP89" i="2" s="1"/>
  <c r="AB133" i="3"/>
  <c r="AB82" i="2"/>
  <c r="AB65" i="2"/>
  <c r="AT98" i="3"/>
  <c r="AT100" i="3"/>
  <c r="AT95" i="3"/>
  <c r="B133" i="3"/>
  <c r="B65" i="2"/>
  <c r="B82" i="2"/>
  <c r="BB44" i="2"/>
  <c r="BB45" i="2"/>
  <c r="BF87" i="2"/>
  <c r="N133" i="3"/>
  <c r="N82" i="2"/>
  <c r="N65" i="2"/>
  <c r="BO87" i="2"/>
  <c r="AZ74" i="2"/>
  <c r="AZ51" i="2"/>
  <c r="BP133" i="3"/>
  <c r="BP82" i="2"/>
  <c r="BP65" i="2"/>
  <c r="R89" i="2"/>
  <c r="AI81" i="2"/>
  <c r="AI68" i="3"/>
  <c r="Z35" i="2"/>
  <c r="AM44" i="2"/>
  <c r="AM45" i="2"/>
  <c r="BE118" i="3"/>
  <c r="BE119" i="3" s="1"/>
  <c r="BE103" i="3"/>
  <c r="U77" i="2"/>
  <c r="U63" i="2"/>
  <c r="BV100" i="3"/>
  <c r="BV95" i="3"/>
  <c r="BV98" i="3"/>
  <c r="AF133" i="3"/>
  <c r="AF82" i="2"/>
  <c r="AF65" i="2"/>
  <c r="BM87" i="2"/>
  <c r="Z63" i="2"/>
  <c r="Z77" i="2"/>
  <c r="Z86" i="2"/>
  <c r="BS103" i="3"/>
  <c r="BS118" i="3"/>
  <c r="BS119" i="3" s="1"/>
  <c r="BW103" i="3"/>
  <c r="BW118" i="3"/>
  <c r="BW119" i="3" s="1"/>
  <c r="AY100" i="3"/>
  <c r="AY98" i="3"/>
  <c r="AY95" i="3"/>
  <c r="BT81" i="2"/>
  <c r="BT68" i="3"/>
  <c r="BO133" i="3"/>
  <c r="BO82" i="2"/>
  <c r="BO65" i="2"/>
  <c r="BT89" i="2" s="1"/>
  <c r="O37" i="2"/>
  <c r="P35" i="2"/>
  <c r="AZ80" i="3"/>
  <c r="AZ84" i="3"/>
  <c r="AZ85" i="3" s="1"/>
  <c r="E44" i="2"/>
  <c r="E45" i="2"/>
  <c r="BJ133" i="3"/>
  <c r="BJ65" i="2"/>
  <c r="BJ82" i="2"/>
  <c r="W118" i="3"/>
  <c r="W119" i="3" s="1"/>
  <c r="W103" i="3"/>
  <c r="BA103" i="3"/>
  <c r="BA118" i="3"/>
  <c r="BA119" i="3" s="1"/>
  <c r="S87" i="2"/>
  <c r="BG88" i="2"/>
  <c r="BL88" i="2"/>
  <c r="U116" i="2"/>
  <c r="U118" i="2" s="1"/>
  <c r="Q118" i="2"/>
  <c r="I118" i="2"/>
  <c r="K116" i="2"/>
  <c r="K118" i="2" s="1"/>
  <c r="O88" i="2"/>
  <c r="BK74" i="2"/>
  <c r="BK51" i="2"/>
  <c r="BA45" i="2"/>
  <c r="BA44" i="2"/>
  <c r="AV89" i="2"/>
  <c r="AV81" i="2"/>
  <c r="AV68" i="3"/>
  <c r="L100" i="3"/>
  <c r="L95" i="3"/>
  <c r="L98" i="3"/>
  <c r="C84" i="3"/>
  <c r="C85" i="3" s="1"/>
  <c r="C80" i="3"/>
  <c r="CG58" i="3"/>
  <c r="CI31" i="3"/>
  <c r="CH31" i="3"/>
  <c r="CH58" i="3" s="1"/>
  <c r="AA81" i="2"/>
  <c r="AA89" i="2"/>
  <c r="AA68" i="3"/>
  <c r="L133" i="3"/>
  <c r="L82" i="2"/>
  <c r="L65" i="2"/>
  <c r="BV118" i="3"/>
  <c r="BV119" i="3" s="1"/>
  <c r="BV103" i="3"/>
  <c r="AY139" i="3"/>
  <c r="AY61" i="2"/>
  <c r="AY85" i="2"/>
  <c r="CR55" i="3"/>
  <c r="CS54" i="3"/>
  <c r="CT54" i="3" s="1"/>
  <c r="CU54" i="3" s="1"/>
  <c r="CV54" i="3" s="1"/>
  <c r="CW54" i="3" s="1"/>
  <c r="AH77" i="3"/>
  <c r="AH73" i="2"/>
  <c r="AH56" i="2"/>
  <c r="AH151" i="3"/>
  <c r="F77" i="2"/>
  <c r="F63" i="2"/>
  <c r="AJ35" i="2"/>
  <c r="BB133" i="3"/>
  <c r="BB65" i="2"/>
  <c r="BB82" i="2"/>
  <c r="BY103" i="3"/>
  <c r="BY118" i="3"/>
  <c r="BY119" i="3" s="1"/>
  <c r="BE77" i="3"/>
  <c r="BE56" i="2"/>
  <c r="BE73" i="2"/>
  <c r="BE151" i="3"/>
  <c r="AT116" i="2"/>
  <c r="AT118" i="2" s="1"/>
  <c r="AS118" i="2"/>
  <c r="AX86" i="2"/>
  <c r="AX63" i="2"/>
  <c r="AX77" i="2"/>
  <c r="V118" i="3"/>
  <c r="V119" i="3" s="1"/>
  <c r="V103" i="3"/>
  <c r="AZ103" i="3"/>
  <c r="AZ118" i="3"/>
  <c r="AZ119" i="3" s="1"/>
  <c r="S133" i="3"/>
  <c r="S82" i="2"/>
  <c r="S65" i="2"/>
  <c r="BQ77" i="2"/>
  <c r="BQ87" i="2" s="1"/>
  <c r="BQ86" i="2"/>
  <c r="BQ63" i="2"/>
  <c r="U14" i="4"/>
  <c r="U33" i="4" s="1"/>
  <c r="Q33" i="4"/>
  <c r="AC87" i="2"/>
  <c r="AH87" i="2"/>
  <c r="U114" i="2"/>
  <c r="BI118" i="3"/>
  <c r="BI119" i="3" s="1"/>
  <c r="BI103" i="3"/>
  <c r="BO45" i="2"/>
  <c r="BO44" i="2"/>
  <c r="G45" i="2"/>
  <c r="G44" i="2"/>
  <c r="BK84" i="3"/>
  <c r="BK85" i="3" s="1"/>
  <c r="BK80" i="3"/>
  <c r="CC99" i="2"/>
  <c r="CC100" i="2" s="1"/>
  <c r="CC101" i="2" s="1"/>
  <c r="L45" i="2"/>
  <c r="L44" i="2"/>
  <c r="CL125" i="3"/>
  <c r="AG70" i="2"/>
  <c r="AG42" i="2"/>
  <c r="AJ37" i="2"/>
  <c r="AJ70" i="2" s="1"/>
  <c r="V45" i="2"/>
  <c r="V44" i="2"/>
  <c r="CF127" i="3"/>
  <c r="Q70" i="2"/>
  <c r="Q42" i="2"/>
  <c r="U37" i="2"/>
  <c r="U70" i="2" s="1"/>
  <c r="AA151" i="3"/>
  <c r="AA77" i="3"/>
  <c r="AA73" i="2"/>
  <c r="AA56" i="2"/>
  <c r="CF122" i="3"/>
  <c r="CE46" i="4"/>
  <c r="CE45" i="4" s="1"/>
  <c r="CE106" i="3" s="1"/>
  <c r="CF106" i="3" s="1"/>
  <c r="CG106" i="3" s="1"/>
  <c r="AN37" i="2"/>
  <c r="AO35" i="2"/>
  <c r="CH97" i="3"/>
  <c r="CG116" i="3"/>
  <c r="AL45" i="2"/>
  <c r="AL44" i="2"/>
  <c r="CX125" i="3"/>
  <c r="CT125" i="3"/>
  <c r="CP125" i="3"/>
  <c r="CA34" i="11"/>
  <c r="CG129" i="3"/>
  <c r="H45" i="2"/>
  <c r="H44" i="2"/>
  <c r="CW46" i="3" l="1"/>
  <c r="BX61" i="2"/>
  <c r="BX85" i="2"/>
  <c r="BX139" i="3"/>
  <c r="BY89" i="2"/>
  <c r="CD89" i="2"/>
  <c r="CF101" i="2"/>
  <c r="CD63" i="3"/>
  <c r="CF61" i="3"/>
  <c r="CG61" i="3" s="1"/>
  <c r="CI61" i="3" s="1"/>
  <c r="CJ61" i="3" s="1"/>
  <c r="CK61" i="3" s="1"/>
  <c r="CL61" i="3" s="1"/>
  <c r="CN61" i="3" s="1"/>
  <c r="CO61" i="3" s="1"/>
  <c r="CP61" i="3" s="1"/>
  <c r="CQ61" i="3" s="1"/>
  <c r="CS61" i="3" s="1"/>
  <c r="CT61" i="3" s="1"/>
  <c r="CU61" i="3" s="1"/>
  <c r="CV61" i="3" s="1"/>
  <c r="CX61" i="3" s="1"/>
  <c r="CY61" i="3" s="1"/>
  <c r="CZ61" i="3" s="1"/>
  <c r="DA61" i="3" s="1"/>
  <c r="CY46" i="3"/>
  <c r="CZ46" i="3" s="1"/>
  <c r="DA46" i="3" s="1"/>
  <c r="DB46" i="3" s="1"/>
  <c r="CD12" i="11"/>
  <c r="CD13" i="11" s="1"/>
  <c r="BY5" i="14"/>
  <c r="BY7" i="14" s="1"/>
  <c r="N20" i="9"/>
  <c r="BN35" i="2"/>
  <c r="BS62" i="2"/>
  <c r="BS63" i="2" s="1"/>
  <c r="E9" i="15" s="1"/>
  <c r="E10" i="15" s="1"/>
  <c r="T42" i="2"/>
  <c r="BS22" i="2"/>
  <c r="CF119" i="3"/>
  <c r="CG119" i="3" s="1"/>
  <c r="CI119" i="3" s="1"/>
  <c r="S33" i="9"/>
  <c r="CC105" i="3"/>
  <c r="CC106" i="3" s="1"/>
  <c r="CC7" i="11"/>
  <c r="CC8" i="11" s="1"/>
  <c r="BW37" i="2"/>
  <c r="BW88" i="2"/>
  <c r="CA42" i="2"/>
  <c r="CA70" i="2"/>
  <c r="O13" i="15" s="1"/>
  <c r="BE89" i="2"/>
  <c r="BN78" i="2"/>
  <c r="BS88" i="2" s="1"/>
  <c r="D22" i="15"/>
  <c r="BZ5" i="14"/>
  <c r="BZ7" i="14" s="1"/>
  <c r="BR88" i="2"/>
  <c r="O7" i="15"/>
  <c r="O8" i="15" s="1"/>
  <c r="CA68" i="3"/>
  <c r="CA81" i="2"/>
  <c r="BV88" i="2"/>
  <c r="CA88" i="2"/>
  <c r="BI36" i="11"/>
  <c r="BI39" i="11" s="1"/>
  <c r="BI40" i="11" s="1"/>
  <c r="BI44" i="11" s="1"/>
  <c r="CI6" i="11"/>
  <c r="M7" i="15"/>
  <c r="M8" i="15" s="1"/>
  <c r="BY81" i="2"/>
  <c r="BY68" i="3"/>
  <c r="AZ68" i="3"/>
  <c r="AZ81" i="2"/>
  <c r="BV37" i="2"/>
  <c r="CH28" i="2"/>
  <c r="CH29" i="2" s="1"/>
  <c r="BS42" i="11"/>
  <c r="BS40" i="11"/>
  <c r="BS44" i="11" s="1"/>
  <c r="BX78" i="2"/>
  <c r="C9" i="9"/>
  <c r="BD42" i="11"/>
  <c r="BD40" i="11"/>
  <c r="BD44" i="11" s="1"/>
  <c r="BN118" i="3"/>
  <c r="BN119" i="3" s="1"/>
  <c r="BN103" i="3"/>
  <c r="CN4" i="4"/>
  <c r="CN4" i="11" s="1"/>
  <c r="F5" i="9"/>
  <c r="BX22" i="11"/>
  <c r="BX26" i="11"/>
  <c r="BQ118" i="3"/>
  <c r="BQ119" i="3" s="1"/>
  <c r="BQ103" i="3"/>
  <c r="BQ42" i="11"/>
  <c r="BQ40" i="11"/>
  <c r="BQ44" i="11" s="1"/>
  <c r="BM118" i="2"/>
  <c r="BN116" i="2"/>
  <c r="BN118" i="2" s="1"/>
  <c r="BN40" i="11"/>
  <c r="BN44" i="11" s="1"/>
  <c r="BN42" i="11"/>
  <c r="CY21" i="2"/>
  <c r="CY28" i="11" s="1"/>
  <c r="BX118" i="3"/>
  <c r="BX119" i="3" s="1"/>
  <c r="BW40" i="11"/>
  <c r="BW44" i="11" s="1"/>
  <c r="BW42" i="11"/>
  <c r="CS11" i="3"/>
  <c r="CT11" i="3" s="1"/>
  <c r="CU11" i="3" s="1"/>
  <c r="CV11" i="3" s="1"/>
  <c r="CW11" i="3" s="1"/>
  <c r="BR42" i="11"/>
  <c r="BR40" i="11"/>
  <c r="BR44" i="11" s="1"/>
  <c r="CM5" i="11"/>
  <c r="CT9" i="3"/>
  <c r="CU9" i="3" s="1"/>
  <c r="CV9" i="3" s="1"/>
  <c r="CW9" i="3" s="1"/>
  <c r="CL6" i="11"/>
  <c r="CJ6" i="11"/>
  <c r="CU21" i="2"/>
  <c r="CU28" i="11" s="1"/>
  <c r="CM4" i="11"/>
  <c r="U88" i="2"/>
  <c r="AI47" i="11"/>
  <c r="AI20" i="11"/>
  <c r="AI108" i="11"/>
  <c r="AI91" i="11"/>
  <c r="AI64" i="11"/>
  <c r="AI3" i="11"/>
  <c r="AJ20" i="11"/>
  <c r="AJ108" i="11"/>
  <c r="AJ91" i="11"/>
  <c r="AJ64" i="11"/>
  <c r="AJ3" i="11"/>
  <c r="AJ47" i="11"/>
  <c r="AG44" i="4"/>
  <c r="AG64" i="11"/>
  <c r="AG3" i="11"/>
  <c r="AG47" i="11"/>
  <c r="AG20" i="11"/>
  <c r="AG108" i="11"/>
  <c r="AG91" i="11"/>
  <c r="BY77" i="3"/>
  <c r="BY73" i="2"/>
  <c r="BY151" i="3"/>
  <c r="AK20" i="11"/>
  <c r="AK108" i="11"/>
  <c r="AK91" i="11"/>
  <c r="AK64" i="11"/>
  <c r="AK3" i="11"/>
  <c r="AK47" i="11"/>
  <c r="BZ56" i="2"/>
  <c r="BZ151" i="3"/>
  <c r="BZ77" i="3"/>
  <c r="BZ73" i="2"/>
  <c r="N11" i="15" s="1"/>
  <c r="AM108" i="11"/>
  <c r="AM91" i="11"/>
  <c r="AM64" i="11"/>
  <c r="AM3" i="11"/>
  <c r="AM47" i="11"/>
  <c r="AM20" i="11"/>
  <c r="BZ68" i="3"/>
  <c r="BZ81" i="2"/>
  <c r="CF109" i="3"/>
  <c r="CF15" i="3" s="1"/>
  <c r="BS35" i="2"/>
  <c r="BS17" i="2"/>
  <c r="AO87" i="2"/>
  <c r="AX87" i="2"/>
  <c r="T44" i="2"/>
  <c r="T45" i="2"/>
  <c r="K35" i="2"/>
  <c r="BU87" i="2"/>
  <c r="BZ87" i="2"/>
  <c r="BN87" i="2"/>
  <c r="AX45" i="2"/>
  <c r="AX77" i="3" s="1"/>
  <c r="C86" i="3"/>
  <c r="C89" i="3" s="1"/>
  <c r="CW49" i="4"/>
  <c r="CG109" i="3"/>
  <c r="CH109" i="3" s="1"/>
  <c r="BK86" i="3"/>
  <c r="BK90" i="3" s="1"/>
  <c r="CJ29" i="2"/>
  <c r="CJ28" i="2" s="1"/>
  <c r="CM15" i="4"/>
  <c r="CM16" i="4" s="1"/>
  <c r="CQ4" i="4"/>
  <c r="CO4" i="4"/>
  <c r="CP4" i="4"/>
  <c r="CP4" i="11" s="1"/>
  <c r="AG106" i="2"/>
  <c r="AG50" i="3"/>
  <c r="CM5" i="4"/>
  <c r="AG76" i="2"/>
  <c r="AG23" i="4"/>
  <c r="CJ11" i="4"/>
  <c r="CL11" i="4"/>
  <c r="AG131" i="3"/>
  <c r="CI11" i="4"/>
  <c r="AG92" i="3"/>
  <c r="AG93" i="2"/>
  <c r="AG70" i="3"/>
  <c r="AG3" i="3"/>
  <c r="AG3" i="2"/>
  <c r="AG31" i="4"/>
  <c r="AG3" i="4"/>
  <c r="AG48" i="4"/>
  <c r="AG47" i="2"/>
  <c r="AG142" i="3"/>
  <c r="AG58" i="2"/>
  <c r="AH23" i="4"/>
  <c r="AH44" i="4"/>
  <c r="AH3" i="4"/>
  <c r="AH142" i="3"/>
  <c r="AH48" i="4"/>
  <c r="AH70" i="3"/>
  <c r="AH131" i="3"/>
  <c r="AH93" i="2"/>
  <c r="AH92" i="3"/>
  <c r="AH50" i="3"/>
  <c r="AH106" i="2"/>
  <c r="AH58" i="2"/>
  <c r="AH76" i="2"/>
  <c r="AH31" i="4"/>
  <c r="AH3" i="3"/>
  <c r="AH47" i="2"/>
  <c r="AH3" i="2"/>
  <c r="AE131" i="3"/>
  <c r="AE23" i="4"/>
  <c r="AE44" i="4"/>
  <c r="AE3" i="4"/>
  <c r="AE142" i="3"/>
  <c r="AE48" i="4"/>
  <c r="AE3" i="3"/>
  <c r="AE70" i="3"/>
  <c r="AE93" i="2"/>
  <c r="AE3" i="2"/>
  <c r="AE76" i="2"/>
  <c r="AE47" i="2"/>
  <c r="AE50" i="3"/>
  <c r="AE106" i="2"/>
  <c r="AE92" i="3"/>
  <c r="AE58" i="2"/>
  <c r="AE31" i="4"/>
  <c r="AK48" i="4"/>
  <c r="AK31" i="4"/>
  <c r="AK92" i="3"/>
  <c r="AK3" i="4"/>
  <c r="AK131" i="3"/>
  <c r="AK93" i="2"/>
  <c r="AK106" i="2"/>
  <c r="AK44" i="4"/>
  <c r="AK50" i="3"/>
  <c r="AK58" i="2"/>
  <c r="AK142" i="3"/>
  <c r="AK70" i="3"/>
  <c r="AK23" i="4"/>
  <c r="AK3" i="3"/>
  <c r="AK3" i="2"/>
  <c r="AK76" i="2"/>
  <c r="AK47" i="2"/>
  <c r="AI44" i="4"/>
  <c r="AI3" i="4"/>
  <c r="AI142" i="3"/>
  <c r="AI48" i="4"/>
  <c r="AI31" i="4"/>
  <c r="AI92" i="3"/>
  <c r="AI70" i="3"/>
  <c r="AI131" i="3"/>
  <c r="AI93" i="2"/>
  <c r="AI58" i="2"/>
  <c r="AI23" i="4"/>
  <c r="AI3" i="3"/>
  <c r="AI47" i="2"/>
  <c r="AI3" i="2"/>
  <c r="AI106" i="2"/>
  <c r="AI50" i="3"/>
  <c r="AI76" i="2"/>
  <c r="BS133" i="3"/>
  <c r="BS82" i="2"/>
  <c r="BS65" i="2"/>
  <c r="E7" i="15" s="1"/>
  <c r="E8" i="15" s="1"/>
  <c r="AD118" i="2"/>
  <c r="AE116" i="2"/>
  <c r="AE118" i="2" s="1"/>
  <c r="F42" i="2"/>
  <c r="F44" i="2" s="1"/>
  <c r="B45" i="2"/>
  <c r="B44" i="2"/>
  <c r="BW70" i="2"/>
  <c r="BW42" i="2"/>
  <c r="G81" i="2"/>
  <c r="G89" i="2"/>
  <c r="G68" i="3"/>
  <c r="P63" i="2"/>
  <c r="P77" i="2"/>
  <c r="AD37" i="2"/>
  <c r="AE35" i="2"/>
  <c r="AZ86" i="3"/>
  <c r="N81" i="2"/>
  <c r="N68" i="3"/>
  <c r="AB81" i="2"/>
  <c r="AB89" i="2"/>
  <c r="AB68" i="3"/>
  <c r="AG89" i="2"/>
  <c r="BC88" i="2"/>
  <c r="BH88" i="2"/>
  <c r="BX77" i="2"/>
  <c r="BX63" i="2"/>
  <c r="F9" i="15" s="1"/>
  <c r="F10" i="15" s="1"/>
  <c r="BX86" i="2"/>
  <c r="BQ133" i="3"/>
  <c r="BQ82" i="2"/>
  <c r="BQ65" i="2"/>
  <c r="BB81" i="2"/>
  <c r="BB89" i="2"/>
  <c r="BB68" i="3"/>
  <c r="AY77" i="2"/>
  <c r="AY86" i="2"/>
  <c r="AY63" i="2"/>
  <c r="AT86" i="2"/>
  <c r="AT63" i="2"/>
  <c r="AT77" i="2"/>
  <c r="AT87" i="2" s="1"/>
  <c r="W77" i="3"/>
  <c r="W151" i="3"/>
  <c r="W56" i="2"/>
  <c r="W73" i="2"/>
  <c r="Q81" i="2"/>
  <c r="Q89" i="2"/>
  <c r="Q68" i="3"/>
  <c r="V89" i="2"/>
  <c r="N77" i="3"/>
  <c r="N56" i="2"/>
  <c r="N151" i="3"/>
  <c r="N73" i="2"/>
  <c r="AE86" i="2"/>
  <c r="AE63" i="2"/>
  <c r="AE77" i="2"/>
  <c r="AE87" i="2" s="1"/>
  <c r="BP42" i="2"/>
  <c r="BP70" i="2"/>
  <c r="BS37" i="2"/>
  <c r="BS70" i="2" s="1"/>
  <c r="E13" i="15" s="1"/>
  <c r="AJ133" i="3"/>
  <c r="AJ82" i="2"/>
  <c r="AJ65" i="2"/>
  <c r="AK56" i="2"/>
  <c r="AK77" i="3"/>
  <c r="AK73" i="2"/>
  <c r="AK151" i="3"/>
  <c r="H133" i="3"/>
  <c r="H82" i="2"/>
  <c r="H65" i="2"/>
  <c r="BM44" i="2"/>
  <c r="BM45" i="2"/>
  <c r="AD88" i="2"/>
  <c r="AI88" i="2"/>
  <c r="BM81" i="2"/>
  <c r="BM68" i="3"/>
  <c r="BF42" i="2"/>
  <c r="BF70" i="2"/>
  <c r="I77" i="2"/>
  <c r="I86" i="2"/>
  <c r="I63" i="2"/>
  <c r="N86" i="2"/>
  <c r="BA81" i="2"/>
  <c r="BA89" i="2"/>
  <c r="BA68" i="3"/>
  <c r="AO133" i="3"/>
  <c r="AO65" i="2"/>
  <c r="AO82" i="2"/>
  <c r="X77" i="3"/>
  <c r="X56" i="2"/>
  <c r="X73" i="2"/>
  <c r="X151" i="3"/>
  <c r="G56" i="2"/>
  <c r="G77" i="3"/>
  <c r="G73" i="2"/>
  <c r="G151" i="3"/>
  <c r="AX133" i="3"/>
  <c r="AX65" i="2"/>
  <c r="AX82" i="2"/>
  <c r="AW89" i="2"/>
  <c r="AW81" i="2"/>
  <c r="AW68" i="3"/>
  <c r="AE88" i="2"/>
  <c r="AJ88" i="2"/>
  <c r="BA77" i="3"/>
  <c r="BA73" i="2"/>
  <c r="BA56" i="2"/>
  <c r="BA151" i="3"/>
  <c r="O42" i="2"/>
  <c r="O70" i="2"/>
  <c r="P37" i="2"/>
  <c r="P70" i="2" s="1"/>
  <c r="AF151" i="3"/>
  <c r="AF73" i="2"/>
  <c r="AF90" i="2" s="1"/>
  <c r="AF56" i="2"/>
  <c r="AF77" i="3"/>
  <c r="O133" i="3"/>
  <c r="O65" i="2"/>
  <c r="O82" i="2"/>
  <c r="AV45" i="2"/>
  <c r="AV44" i="2"/>
  <c r="I42" i="2"/>
  <c r="I70" i="2"/>
  <c r="T87" i="2"/>
  <c r="AJ86" i="2"/>
  <c r="H87" i="2"/>
  <c r="M87" i="2"/>
  <c r="BR42" i="2"/>
  <c r="BR70" i="2"/>
  <c r="AC81" i="2"/>
  <c r="AC89" i="2"/>
  <c r="AC68" i="3"/>
  <c r="AH89" i="2"/>
  <c r="AU84" i="3"/>
  <c r="AU85" i="3" s="1"/>
  <c r="AU80" i="3"/>
  <c r="CI58" i="3"/>
  <c r="CJ31" i="3"/>
  <c r="BO81" i="2"/>
  <c r="BO89" i="2"/>
  <c r="BO68" i="3"/>
  <c r="BW118" i="2"/>
  <c r="BX116" i="2"/>
  <c r="BX118" i="2" s="1"/>
  <c r="U86" i="2"/>
  <c r="BB77" i="3"/>
  <c r="BB73" i="2"/>
  <c r="BB56" i="2"/>
  <c r="BB151" i="3"/>
  <c r="AC151" i="3"/>
  <c r="AC77" i="3"/>
  <c r="AC56" i="2"/>
  <c r="AC73" i="2"/>
  <c r="AH90" i="2" s="1"/>
  <c r="J86" i="2"/>
  <c r="J63" i="2"/>
  <c r="J77" i="2"/>
  <c r="J87" i="2" s="1"/>
  <c r="AS44" i="2"/>
  <c r="AS45" i="2"/>
  <c r="AD133" i="3"/>
  <c r="AD65" i="2"/>
  <c r="AD82" i="2"/>
  <c r="BO77" i="3"/>
  <c r="BO56" i="2"/>
  <c r="BO73" i="2"/>
  <c r="BO151" i="3"/>
  <c r="BE90" i="2"/>
  <c r="BE51" i="2"/>
  <c r="BE74" i="2"/>
  <c r="BK83" i="2"/>
  <c r="BK52" i="2"/>
  <c r="BK136" i="3" s="1"/>
  <c r="BK137" i="3" s="1"/>
  <c r="BP89" i="2"/>
  <c r="BP81" i="2"/>
  <c r="BP68" i="3"/>
  <c r="AS133" i="3"/>
  <c r="AS82" i="2"/>
  <c r="AS65" i="2"/>
  <c r="BD86" i="2"/>
  <c r="BC87" i="2"/>
  <c r="AW37" i="2"/>
  <c r="AY35" i="2"/>
  <c r="BG118" i="3"/>
  <c r="BG119" i="3" s="1"/>
  <c r="BG103" i="3"/>
  <c r="K139" i="3"/>
  <c r="K61" i="2"/>
  <c r="P86" i="2" s="1"/>
  <c r="K85" i="2"/>
  <c r="AH84" i="3"/>
  <c r="AH85" i="3" s="1"/>
  <c r="AH80" i="3"/>
  <c r="AF89" i="2"/>
  <c r="AF81" i="2"/>
  <c r="AF68" i="3"/>
  <c r="Y81" i="2"/>
  <c r="Y68" i="3"/>
  <c r="S44" i="2"/>
  <c r="S45" i="2"/>
  <c r="CW55" i="3"/>
  <c r="CX54" i="3"/>
  <c r="CY54" i="3" s="1"/>
  <c r="CZ54" i="3" s="1"/>
  <c r="DA54" i="3" s="1"/>
  <c r="DB54" i="3" s="1"/>
  <c r="DB55" i="3" s="1"/>
  <c r="BD35" i="2"/>
  <c r="BC37" i="2"/>
  <c r="BW77" i="2"/>
  <c r="BW63" i="2"/>
  <c r="BW86" i="2"/>
  <c r="U133" i="3"/>
  <c r="U65" i="2"/>
  <c r="U82" i="2"/>
  <c r="AK89" i="2"/>
  <c r="AK81" i="2"/>
  <c r="AK68" i="3"/>
  <c r="BI88" i="2"/>
  <c r="W89" i="2"/>
  <c r="W81" i="2"/>
  <c r="W68" i="3"/>
  <c r="K88" i="2"/>
  <c r="P88" i="2"/>
  <c r="BT77" i="3"/>
  <c r="BT73" i="2"/>
  <c r="BT56" i="2"/>
  <c r="BT151" i="3"/>
  <c r="F133" i="3"/>
  <c r="F65" i="2"/>
  <c r="F82" i="2"/>
  <c r="AI45" i="2"/>
  <c r="AI44" i="2"/>
  <c r="BD133" i="3"/>
  <c r="BD82" i="2"/>
  <c r="BD65" i="2"/>
  <c r="AB151" i="3"/>
  <c r="AB77" i="3"/>
  <c r="AB73" i="2"/>
  <c r="AB56" i="2"/>
  <c r="BD103" i="3"/>
  <c r="BD118" i="3"/>
  <c r="BD119" i="3" s="1"/>
  <c r="E81" i="2"/>
  <c r="E68" i="3"/>
  <c r="BL45" i="2"/>
  <c r="BL44" i="2"/>
  <c r="BG45" i="2"/>
  <c r="BG44" i="2"/>
  <c r="Z87" i="2"/>
  <c r="AU74" i="2"/>
  <c r="AU51" i="2"/>
  <c r="D151" i="3"/>
  <c r="D77" i="3"/>
  <c r="D73" i="2"/>
  <c r="D56" i="2"/>
  <c r="C52" i="2"/>
  <c r="C136" i="3" s="1"/>
  <c r="C137" i="3" s="1"/>
  <c r="C83" i="2"/>
  <c r="C138" i="3" s="1"/>
  <c r="C141" i="3" s="1"/>
  <c r="AX118" i="2"/>
  <c r="AY116" i="2"/>
  <c r="AY118" i="2" s="1"/>
  <c r="AQ74" i="2"/>
  <c r="AQ51" i="2"/>
  <c r="AR74" i="2"/>
  <c r="AR51" i="2"/>
  <c r="BI87" i="2"/>
  <c r="Y87" i="2"/>
  <c r="BC133" i="3"/>
  <c r="BC82" i="2"/>
  <c r="BC65" i="2"/>
  <c r="R73" i="2"/>
  <c r="R77" i="3"/>
  <c r="R151" i="3"/>
  <c r="R56" i="2"/>
  <c r="BS87" i="2"/>
  <c r="K98" i="3"/>
  <c r="K95" i="3"/>
  <c r="K100" i="3"/>
  <c r="BX35" i="2"/>
  <c r="C13" i="9" s="1"/>
  <c r="BQ45" i="2"/>
  <c r="BQ44" i="2"/>
  <c r="BU133" i="3"/>
  <c r="BU82" i="2"/>
  <c r="BU65" i="2"/>
  <c r="BZ89" i="2" s="1"/>
  <c r="AH74" i="2"/>
  <c r="AH51" i="2"/>
  <c r="Y44" i="2"/>
  <c r="Y45" i="2"/>
  <c r="BR118" i="2"/>
  <c r="BS116" i="2"/>
  <c r="BS118" i="2" s="1"/>
  <c r="M80" i="3"/>
  <c r="M84" i="3"/>
  <c r="M85" i="3" s="1"/>
  <c r="X89" i="2"/>
  <c r="X81" i="2"/>
  <c r="X68" i="3"/>
  <c r="BH35" i="2"/>
  <c r="BI17" i="2"/>
  <c r="G28" i="4"/>
  <c r="G29" i="4" s="1"/>
  <c r="K28" i="4"/>
  <c r="K29" i="4" s="1"/>
  <c r="G18" i="4"/>
  <c r="E77" i="3"/>
  <c r="E73" i="2"/>
  <c r="E56" i="2"/>
  <c r="E151" i="3"/>
  <c r="AZ83" i="2"/>
  <c r="AZ52" i="2"/>
  <c r="AZ136" i="3" s="1"/>
  <c r="AZ137" i="3" s="1"/>
  <c r="BH133" i="3"/>
  <c r="BH82" i="2"/>
  <c r="BH65" i="2"/>
  <c r="BM89" i="2" s="1"/>
  <c r="AM77" i="3"/>
  <c r="AM73" i="2"/>
  <c r="AM56" i="2"/>
  <c r="AM151" i="3"/>
  <c r="BJ44" i="2"/>
  <c r="BJ45" i="2"/>
  <c r="BN42" i="2"/>
  <c r="BN44" i="2" s="1"/>
  <c r="AP45" i="2"/>
  <c r="AP44" i="2"/>
  <c r="AT42" i="2"/>
  <c r="AT44" i="2" s="1"/>
  <c r="BR133" i="3"/>
  <c r="BR82" i="2"/>
  <c r="BR65" i="2"/>
  <c r="BN133" i="3"/>
  <c r="BN65" i="2"/>
  <c r="D7" i="15" s="1"/>
  <c r="D8" i="15" s="1"/>
  <c r="BN82" i="2"/>
  <c r="CK44" i="3"/>
  <c r="CK49" i="2" s="1"/>
  <c r="BG89" i="2"/>
  <c r="BG81" i="2"/>
  <c r="BG68" i="3"/>
  <c r="T133" i="3"/>
  <c r="T65" i="2"/>
  <c r="Y89" i="2" s="1"/>
  <c r="T82" i="2"/>
  <c r="AD87" i="2"/>
  <c r="AI87" i="2"/>
  <c r="S81" i="2"/>
  <c r="S89" i="2"/>
  <c r="S68" i="3"/>
  <c r="I88" i="2"/>
  <c r="N88" i="2"/>
  <c r="BE80" i="3"/>
  <c r="BE84" i="3"/>
  <c r="BE85" i="3" s="1"/>
  <c r="L89" i="2"/>
  <c r="L81" i="2"/>
  <c r="L68" i="3"/>
  <c r="BJ89" i="2"/>
  <c r="BJ81" i="2"/>
  <c r="BJ68" i="3"/>
  <c r="Z133" i="3"/>
  <c r="Z82" i="2"/>
  <c r="Z65" i="2"/>
  <c r="B81" i="2"/>
  <c r="B68" i="3"/>
  <c r="BV63" i="2"/>
  <c r="BV77" i="2"/>
  <c r="BV86" i="2"/>
  <c r="BV42" i="2"/>
  <c r="BV70" i="2"/>
  <c r="BL89" i="2"/>
  <c r="AQ80" i="3"/>
  <c r="AQ84" i="3"/>
  <c r="AQ85" i="3" s="1"/>
  <c r="AR84" i="3"/>
  <c r="AR85" i="3" s="1"/>
  <c r="AR80" i="3"/>
  <c r="AL89" i="2"/>
  <c r="AL81" i="2"/>
  <c r="AL68" i="3"/>
  <c r="M51" i="2"/>
  <c r="M74" i="2"/>
  <c r="BI22" i="2"/>
  <c r="BI62" i="2"/>
  <c r="BI63" i="2" s="1"/>
  <c r="C9" i="15" s="1"/>
  <c r="C10" i="15" s="1"/>
  <c r="E28" i="4"/>
  <c r="E29" i="4" s="1"/>
  <c r="C24" i="4"/>
  <c r="E18" i="4"/>
  <c r="BU42" i="2"/>
  <c r="BU70" i="2"/>
  <c r="BX37" i="2"/>
  <c r="BX70" i="2" s="1"/>
  <c r="F13" i="15" s="1"/>
  <c r="CI97" i="3"/>
  <c r="AL151" i="3"/>
  <c r="AL73" i="2"/>
  <c r="AL77" i="3"/>
  <c r="AL56" i="2"/>
  <c r="CF46" i="4"/>
  <c r="CF45" i="4" s="1"/>
  <c r="AA74" i="2"/>
  <c r="AA51" i="2"/>
  <c r="AA84" i="3"/>
  <c r="AA85" i="3" s="1"/>
  <c r="AA80" i="3"/>
  <c r="CG127" i="3"/>
  <c r="AN42" i="2"/>
  <c r="AN70" i="2"/>
  <c r="AO37" i="2"/>
  <c r="AO70" i="2" s="1"/>
  <c r="CC13" i="3"/>
  <c r="CG122" i="3"/>
  <c r="CY125" i="3"/>
  <c r="V151" i="3"/>
  <c r="V77" i="3"/>
  <c r="V73" i="2"/>
  <c r="AA90" i="2" s="1"/>
  <c r="V56" i="2"/>
  <c r="AG45" i="2"/>
  <c r="AG44" i="2"/>
  <c r="AJ42" i="2"/>
  <c r="AJ44" i="2" s="1"/>
  <c r="CI106" i="3"/>
  <c r="CC123" i="3"/>
  <c r="CC121" i="3"/>
  <c r="J42" i="2"/>
  <c r="J70" i="2"/>
  <c r="K37" i="2"/>
  <c r="K70" i="2" s="1"/>
  <c r="CI116" i="3"/>
  <c r="CF48" i="2"/>
  <c r="CF53" i="2" s="1"/>
  <c r="Q44" i="2"/>
  <c r="Q45" i="2"/>
  <c r="U42" i="2"/>
  <c r="U44" i="2" s="1"/>
  <c r="L151" i="3"/>
  <c r="L77" i="3"/>
  <c r="L73" i="2"/>
  <c r="L56" i="2"/>
  <c r="H151" i="3"/>
  <c r="H77" i="3"/>
  <c r="H73" i="2"/>
  <c r="H56" i="2"/>
  <c r="CI129" i="3"/>
  <c r="CQ125" i="3"/>
  <c r="CU125" i="3"/>
  <c r="M11" i="15" l="1"/>
  <c r="CD90" i="2"/>
  <c r="CH63" i="3"/>
  <c r="CF63" i="3"/>
  <c r="CG63" i="3" s="1"/>
  <c r="CI63" i="3" s="1"/>
  <c r="CG101" i="2"/>
  <c r="CF100" i="2"/>
  <c r="CD7" i="11"/>
  <c r="CD8" i="11" s="1"/>
  <c r="AX56" i="2"/>
  <c r="CB32" i="2"/>
  <c r="CC32" i="2" s="1"/>
  <c r="CC34" i="11" s="1"/>
  <c r="CM6" i="4"/>
  <c r="CQ11" i="4" s="1"/>
  <c r="Q34" i="9"/>
  <c r="S34" i="9" s="1"/>
  <c r="CA45" i="2"/>
  <c r="CA44" i="2"/>
  <c r="BI42" i="11"/>
  <c r="BN88" i="2"/>
  <c r="BW87" i="2"/>
  <c r="BV87" i="2"/>
  <c r="CA87" i="2"/>
  <c r="CX49" i="4"/>
  <c r="CX11" i="3" s="1"/>
  <c r="CN15" i="4"/>
  <c r="CN5" i="4"/>
  <c r="CN5" i="11" s="1"/>
  <c r="CN6" i="11" s="1"/>
  <c r="CN25" i="4"/>
  <c r="BX87" i="2"/>
  <c r="C17" i="9"/>
  <c r="BX88" i="2"/>
  <c r="C18" i="9"/>
  <c r="CM6" i="11"/>
  <c r="BX41" i="11"/>
  <c r="BX29" i="11"/>
  <c r="BX36" i="11" s="1"/>
  <c r="BX39" i="11" s="1"/>
  <c r="CO25" i="4"/>
  <c r="CO4" i="11"/>
  <c r="CQ15" i="4"/>
  <c r="CQ4" i="11"/>
  <c r="CZ21" i="2"/>
  <c r="CZ28" i="11" s="1"/>
  <c r="AJ87" i="2"/>
  <c r="BZ74" i="2"/>
  <c r="N12" i="15" s="1"/>
  <c r="BZ51" i="2"/>
  <c r="BY80" i="3"/>
  <c r="BY84" i="3"/>
  <c r="BY85" i="3" s="1"/>
  <c r="BZ84" i="3"/>
  <c r="BZ85" i="3" s="1"/>
  <c r="BZ80" i="3"/>
  <c r="AL31" i="4"/>
  <c r="AL108" i="11"/>
  <c r="AL91" i="11"/>
  <c r="AL64" i="11"/>
  <c r="AL3" i="11"/>
  <c r="AL47" i="11"/>
  <c r="AL20" i="11"/>
  <c r="AR64" i="11"/>
  <c r="AR3" i="11"/>
  <c r="AR47" i="11"/>
  <c r="AR20" i="11"/>
  <c r="AR108" i="11"/>
  <c r="AR91" i="11"/>
  <c r="AO91" i="11"/>
  <c r="AO64" i="11"/>
  <c r="AO3" i="11"/>
  <c r="AO47" i="11"/>
  <c r="AO20" i="11"/>
  <c r="AO108" i="11"/>
  <c r="AP91" i="11"/>
  <c r="AP64" i="11"/>
  <c r="AP3" i="11"/>
  <c r="AP47" i="11"/>
  <c r="AP20" i="11"/>
  <c r="AP108" i="11"/>
  <c r="AN91" i="11"/>
  <c r="AN64" i="11"/>
  <c r="AN3" i="11"/>
  <c r="AN47" i="11"/>
  <c r="AN20" i="11"/>
  <c r="AN108" i="11"/>
  <c r="BY74" i="2"/>
  <c r="M12" i="15" s="1"/>
  <c r="BY51" i="2"/>
  <c r="AR86" i="3"/>
  <c r="AR88" i="3" s="1"/>
  <c r="BK88" i="3"/>
  <c r="BK89" i="3"/>
  <c r="AX73" i="2"/>
  <c r="AX51" i="2" s="1"/>
  <c r="AX151" i="3"/>
  <c r="C90" i="3"/>
  <c r="AY87" i="2"/>
  <c r="O87" i="2"/>
  <c r="AH86" i="3"/>
  <c r="AH90" i="3" s="1"/>
  <c r="T77" i="3"/>
  <c r="T73" i="2"/>
  <c r="T151" i="3"/>
  <c r="T56" i="2"/>
  <c r="AU86" i="3"/>
  <c r="AU89" i="3" s="1"/>
  <c r="CP25" i="4"/>
  <c r="CO5" i="4"/>
  <c r="CO5" i="11" s="1"/>
  <c r="CZ49" i="4"/>
  <c r="CQ5" i="4"/>
  <c r="CQ5" i="11" s="1"/>
  <c r="AA86" i="3"/>
  <c r="AA90" i="3" s="1"/>
  <c r="CK29" i="2"/>
  <c r="CK28" i="2" s="1"/>
  <c r="DA49" i="4"/>
  <c r="CP5" i="4"/>
  <c r="CP5" i="11" s="1"/>
  <c r="CP6" i="11" s="1"/>
  <c r="CO15" i="4"/>
  <c r="CR4" i="4"/>
  <c r="CT4" i="4" s="1"/>
  <c r="CT4" i="11" s="1"/>
  <c r="CY49" i="4"/>
  <c r="CP15" i="4"/>
  <c r="CQ25" i="4"/>
  <c r="CR25" i="4" s="1"/>
  <c r="AL48" i="4"/>
  <c r="AL47" i="2"/>
  <c r="AL3" i="4"/>
  <c r="AL3" i="2"/>
  <c r="AL50" i="3"/>
  <c r="AL131" i="3"/>
  <c r="AL23" i="4"/>
  <c r="AL142" i="3"/>
  <c r="AL58" i="2"/>
  <c r="AL76" i="2"/>
  <c r="AL44" i="4"/>
  <c r="AL70" i="3"/>
  <c r="AL92" i="3"/>
  <c r="AL3" i="3"/>
  <c r="AL106" i="2"/>
  <c r="AL93" i="2"/>
  <c r="AP131" i="3"/>
  <c r="AP23" i="4"/>
  <c r="AP44" i="4"/>
  <c r="AP3" i="4"/>
  <c r="AP50" i="3"/>
  <c r="AP92" i="3"/>
  <c r="AP3" i="3"/>
  <c r="AP142" i="3"/>
  <c r="AP31" i="4"/>
  <c r="AP70" i="3"/>
  <c r="AP3" i="2"/>
  <c r="AP76" i="2"/>
  <c r="AP47" i="2"/>
  <c r="AP48" i="4"/>
  <c r="AP106" i="2"/>
  <c r="AP93" i="2"/>
  <c r="AP58" i="2"/>
  <c r="AJ142" i="3"/>
  <c r="AJ48" i="4"/>
  <c r="AJ31" i="4"/>
  <c r="AJ92" i="3"/>
  <c r="AJ3" i="4"/>
  <c r="AJ131" i="3"/>
  <c r="AJ93" i="2"/>
  <c r="AJ106" i="2"/>
  <c r="AJ58" i="2"/>
  <c r="AJ3" i="3"/>
  <c r="AJ47" i="2"/>
  <c r="AJ3" i="2"/>
  <c r="AJ44" i="4"/>
  <c r="AJ50" i="3"/>
  <c r="AJ70" i="3"/>
  <c r="AJ23" i="4"/>
  <c r="AJ76" i="2"/>
  <c r="AN31" i="4"/>
  <c r="AN92" i="3"/>
  <c r="AN131" i="3"/>
  <c r="AN106" i="2"/>
  <c r="AN44" i="4"/>
  <c r="AN50" i="3"/>
  <c r="AN23" i="4"/>
  <c r="AN3" i="3"/>
  <c r="AN142" i="3"/>
  <c r="AN3" i="2"/>
  <c r="AN76" i="2"/>
  <c r="AN47" i="2"/>
  <c r="AN48" i="4"/>
  <c r="AN70" i="3"/>
  <c r="AN58" i="2"/>
  <c r="AN3" i="4"/>
  <c r="AN93" i="2"/>
  <c r="AM31" i="4"/>
  <c r="AM92" i="3"/>
  <c r="AM48" i="4"/>
  <c r="AM106" i="2"/>
  <c r="AM44" i="4"/>
  <c r="AM50" i="3"/>
  <c r="AM23" i="4"/>
  <c r="AM58" i="2"/>
  <c r="AM142" i="3"/>
  <c r="AM131" i="3"/>
  <c r="AM3" i="2"/>
  <c r="AM3" i="3"/>
  <c r="AM76" i="2"/>
  <c r="AM47" i="2"/>
  <c r="AM3" i="4"/>
  <c r="AM70" i="3"/>
  <c r="AM93" i="2"/>
  <c r="AB84" i="3"/>
  <c r="AB85" i="3" s="1"/>
  <c r="AB80" i="3"/>
  <c r="AK80" i="3"/>
  <c r="AK84" i="3"/>
  <c r="AK85" i="3" s="1"/>
  <c r="AD70" i="2"/>
  <c r="AE37" i="2"/>
  <c r="AE70" i="2" s="1"/>
  <c r="AD42" i="2"/>
  <c r="CL44" i="3"/>
  <c r="CL49" i="2" s="1"/>
  <c r="BQ77" i="3"/>
  <c r="BQ73" i="2"/>
  <c r="BQ56" i="2"/>
  <c r="BQ151" i="3"/>
  <c r="AI56" i="2"/>
  <c r="AI73" i="2"/>
  <c r="AI77" i="3"/>
  <c r="AI151" i="3"/>
  <c r="BC42" i="2"/>
  <c r="BD37" i="2"/>
  <c r="BD70" i="2" s="1"/>
  <c r="BC70" i="2"/>
  <c r="J133" i="3"/>
  <c r="J82" i="2"/>
  <c r="J65" i="2"/>
  <c r="O89" i="2" s="1"/>
  <c r="O81" i="2"/>
  <c r="O68" i="3"/>
  <c r="BA84" i="3"/>
  <c r="BA85" i="3" s="1"/>
  <c r="BA80" i="3"/>
  <c r="I133" i="3"/>
  <c r="I82" i="2"/>
  <c r="I65" i="2"/>
  <c r="AD89" i="2"/>
  <c r="AD81" i="2"/>
  <c r="AD68" i="3"/>
  <c r="AI89" i="2"/>
  <c r="AO81" i="2"/>
  <c r="AO89" i="2"/>
  <c r="AO68" i="3"/>
  <c r="B151" i="3"/>
  <c r="F151" i="3" s="1"/>
  <c r="F152" i="3" s="1"/>
  <c r="B73" i="2"/>
  <c r="B74" i="2" s="1"/>
  <c r="B83" i="2" s="1"/>
  <c r="B138" i="3" s="1"/>
  <c r="B56" i="2"/>
  <c r="B77" i="3"/>
  <c r="F45" i="2"/>
  <c r="F5" i="14" s="1"/>
  <c r="F7" i="14" s="1"/>
  <c r="AX89" i="2"/>
  <c r="AX81" i="2"/>
  <c r="AX68" i="3"/>
  <c r="O45" i="2"/>
  <c r="O44" i="2"/>
  <c r="P42" i="2"/>
  <c r="P44" i="2" s="1"/>
  <c r="AJ81" i="2"/>
  <c r="AJ68" i="3"/>
  <c r="BU44" i="2"/>
  <c r="BU45" i="2"/>
  <c r="BX42" i="2"/>
  <c r="BX44" i="2" s="1"/>
  <c r="AP77" i="3"/>
  <c r="AP73" i="2"/>
  <c r="AP56" i="2"/>
  <c r="AP151" i="3"/>
  <c r="AT45" i="2"/>
  <c r="AT5" i="14" s="1"/>
  <c r="AT7" i="14" s="1"/>
  <c r="BW133" i="3"/>
  <c r="BW82" i="2"/>
  <c r="BW65" i="2"/>
  <c r="BE83" i="2"/>
  <c r="BE52" i="2"/>
  <c r="BE136" i="3" s="1"/>
  <c r="BE137" i="3" s="1"/>
  <c r="AV77" i="3"/>
  <c r="AV73" i="2"/>
  <c r="BA90" i="2" s="1"/>
  <c r="AV56" i="2"/>
  <c r="AV151" i="3"/>
  <c r="G51" i="2"/>
  <c r="G74" i="2"/>
  <c r="D28" i="4"/>
  <c r="D29" i="4" s="1"/>
  <c r="B24" i="4"/>
  <c r="F18" i="4" s="1"/>
  <c r="D18" i="4"/>
  <c r="BL77" i="3"/>
  <c r="BL73" i="2"/>
  <c r="BL56" i="2"/>
  <c r="BL151" i="3"/>
  <c r="AS89" i="2"/>
  <c r="AS81" i="2"/>
  <c r="AS68" i="3"/>
  <c r="BD87" i="2"/>
  <c r="BA51" i="2"/>
  <c r="BA74" i="2"/>
  <c r="G80" i="3"/>
  <c r="G84" i="3"/>
  <c r="G85" i="3" s="1"/>
  <c r="BM56" i="2"/>
  <c r="BM151" i="3"/>
  <c r="BM77" i="3"/>
  <c r="BM73" i="2"/>
  <c r="M86" i="3"/>
  <c r="BI133" i="3"/>
  <c r="BI82" i="2"/>
  <c r="BI65" i="2"/>
  <c r="E74" i="2"/>
  <c r="E51" i="2"/>
  <c r="D51" i="2"/>
  <c r="D74" i="2"/>
  <c r="H89" i="2"/>
  <c r="H81" i="2"/>
  <c r="H68" i="3"/>
  <c r="M89" i="2"/>
  <c r="BP45" i="2"/>
  <c r="BP44" i="2"/>
  <c r="BS42" i="2"/>
  <c r="BS44" i="2" s="1"/>
  <c r="W74" i="2"/>
  <c r="W90" i="2"/>
  <c r="W51" i="2"/>
  <c r="BH89" i="2"/>
  <c r="BH81" i="2"/>
  <c r="BH68" i="3"/>
  <c r="AU83" i="2"/>
  <c r="AZ91" i="2" s="1"/>
  <c r="AU52" i="2"/>
  <c r="AU136" i="3" s="1"/>
  <c r="AU137" i="3" s="1"/>
  <c r="BH37" i="2"/>
  <c r="BI35" i="2"/>
  <c r="BT90" i="2"/>
  <c r="BT74" i="2"/>
  <c r="BT51" i="2"/>
  <c r="BY90" i="2"/>
  <c r="AY133" i="3"/>
  <c r="AY82" i="2"/>
  <c r="AY65" i="2"/>
  <c r="BD89" i="2" s="1"/>
  <c r="CH27" i="4"/>
  <c r="CI27" i="4" s="1"/>
  <c r="BC81" i="2"/>
  <c r="BC89" i="2"/>
  <c r="BC68" i="3"/>
  <c r="BV45" i="2"/>
  <c r="BV44" i="2"/>
  <c r="BN81" i="2"/>
  <c r="BN68" i="3"/>
  <c r="E80" i="3"/>
  <c r="E84" i="3"/>
  <c r="E85" i="3" s="1"/>
  <c r="D84" i="3"/>
  <c r="D85" i="3" s="1"/>
  <c r="D80" i="3"/>
  <c r="F81" i="2"/>
  <c r="F68" i="3"/>
  <c r="BO74" i="2"/>
  <c r="BO51" i="2"/>
  <c r="AC90" i="2"/>
  <c r="AC74" i="2"/>
  <c r="AC51" i="2"/>
  <c r="BR44" i="2"/>
  <c r="BR45" i="2"/>
  <c r="AF84" i="3"/>
  <c r="AF85" i="3" s="1"/>
  <c r="AF80" i="3"/>
  <c r="X51" i="2"/>
  <c r="X74" i="2"/>
  <c r="I87" i="2"/>
  <c r="N87" i="2"/>
  <c r="BQ89" i="2"/>
  <c r="BQ81" i="2"/>
  <c r="BQ68" i="3"/>
  <c r="AT133" i="3"/>
  <c r="AT82" i="2"/>
  <c r="AT65" i="2"/>
  <c r="BE86" i="3"/>
  <c r="AH52" i="2"/>
  <c r="AH136" i="3" s="1"/>
  <c r="AH137" i="3" s="1"/>
  <c r="AH83" i="2"/>
  <c r="AQ83" i="2"/>
  <c r="AQ138" i="3" s="1"/>
  <c r="AQ141" i="3" s="1"/>
  <c r="AQ52" i="2"/>
  <c r="AQ136" i="3" s="1"/>
  <c r="AQ137" i="3" s="1"/>
  <c r="U81" i="2"/>
  <c r="U68" i="3"/>
  <c r="BK138" i="3"/>
  <c r="BK141" i="3" s="1"/>
  <c r="AR90" i="3"/>
  <c r="BU89" i="2"/>
  <c r="BU81" i="2"/>
  <c r="BU68" i="3"/>
  <c r="BD81" i="2"/>
  <c r="BD68" i="3"/>
  <c r="AS151" i="3"/>
  <c r="AS77" i="3"/>
  <c r="AS73" i="2"/>
  <c r="AS56" i="2"/>
  <c r="N80" i="3"/>
  <c r="N84" i="3"/>
  <c r="N85" i="3" s="1"/>
  <c r="R51" i="2"/>
  <c r="R90" i="2"/>
  <c r="R74" i="2"/>
  <c r="AZ138" i="3"/>
  <c r="AZ141" i="3" s="1"/>
  <c r="BJ77" i="3"/>
  <c r="BJ73" i="2"/>
  <c r="BJ56" i="2"/>
  <c r="BJ151" i="3"/>
  <c r="BN45" i="2"/>
  <c r="BN5" i="14" s="1"/>
  <c r="BN7" i="14" s="1"/>
  <c r="K86" i="2"/>
  <c r="K63" i="2"/>
  <c r="K77" i="2"/>
  <c r="K87" i="2" s="1"/>
  <c r="AE133" i="3"/>
  <c r="AE82" i="2"/>
  <c r="AE65" i="2"/>
  <c r="AJ89" i="2" s="1"/>
  <c r="BW44" i="2"/>
  <c r="BW45" i="2"/>
  <c r="BS89" i="2"/>
  <c r="BS81" i="2"/>
  <c r="BS68" i="3"/>
  <c r="AZ89" i="3"/>
  <c r="AZ88" i="3"/>
  <c r="AZ90" i="3"/>
  <c r="R84" i="3"/>
  <c r="R85" i="3" s="1"/>
  <c r="R80" i="3"/>
  <c r="BT80" i="3"/>
  <c r="BT84" i="3"/>
  <c r="BT85" i="3" s="1"/>
  <c r="Z89" i="2"/>
  <c r="Z81" i="2"/>
  <c r="Z68" i="3"/>
  <c r="BB80" i="3"/>
  <c r="BB84" i="3"/>
  <c r="BB85" i="3" s="1"/>
  <c r="M83" i="2"/>
  <c r="M138" i="3" s="1"/>
  <c r="M141" i="3" s="1"/>
  <c r="M52" i="2"/>
  <c r="M136" i="3" s="1"/>
  <c r="M137" i="3" s="1"/>
  <c r="AM51" i="2"/>
  <c r="AM74" i="2"/>
  <c r="AM90" i="2"/>
  <c r="T89" i="2"/>
  <c r="T81" i="2"/>
  <c r="T68" i="3"/>
  <c r="BR89" i="2"/>
  <c r="BR81" i="2"/>
  <c r="BR68" i="3"/>
  <c r="AM84" i="3"/>
  <c r="AM85" i="3" s="1"/>
  <c r="AM80" i="3"/>
  <c r="AR90" i="2"/>
  <c r="S56" i="2"/>
  <c r="S77" i="3"/>
  <c r="S73" i="2"/>
  <c r="S151" i="3"/>
  <c r="BO80" i="3"/>
  <c r="BO84" i="3"/>
  <c r="BO85" i="3" s="1"/>
  <c r="AC80" i="3"/>
  <c r="AC84" i="3"/>
  <c r="AC85" i="3" s="1"/>
  <c r="AF51" i="2"/>
  <c r="AF74" i="2"/>
  <c r="X84" i="3"/>
  <c r="X85" i="3" s="1"/>
  <c r="X80" i="3"/>
  <c r="W80" i="3"/>
  <c r="W84" i="3"/>
  <c r="W85" i="3" s="1"/>
  <c r="BX133" i="3"/>
  <c r="BX65" i="2"/>
  <c r="F7" i="15" s="1"/>
  <c r="F8" i="15" s="1"/>
  <c r="BX82" i="2"/>
  <c r="AW42" i="2"/>
  <c r="AW70" i="2"/>
  <c r="AY37" i="2"/>
  <c r="AY70" i="2" s="1"/>
  <c r="BB74" i="2"/>
  <c r="BB51" i="2"/>
  <c r="I44" i="2"/>
  <c r="I45" i="2"/>
  <c r="BG77" i="3"/>
  <c r="BG56" i="2"/>
  <c r="BG73" i="2"/>
  <c r="BG151" i="3"/>
  <c r="P133" i="3"/>
  <c r="P65" i="2"/>
  <c r="U89" i="2" s="1"/>
  <c r="P82" i="2"/>
  <c r="AQ86" i="3"/>
  <c r="Y151" i="3"/>
  <c r="Z151" i="3" s="1"/>
  <c r="Z152" i="3" s="1"/>
  <c r="Y73" i="2"/>
  <c r="Y56" i="2"/>
  <c r="Y77" i="3"/>
  <c r="Z45" i="2"/>
  <c r="BV133" i="3"/>
  <c r="BV82" i="2"/>
  <c r="BV65" i="2"/>
  <c r="CA89" i="2" s="1"/>
  <c r="AR83" i="2"/>
  <c r="AR52" i="2"/>
  <c r="AR136" i="3" s="1"/>
  <c r="AR137" i="3" s="1"/>
  <c r="AB74" i="2"/>
  <c r="AB51" i="2"/>
  <c r="AB90" i="2"/>
  <c r="U87" i="2"/>
  <c r="CJ58" i="3"/>
  <c r="CK31" i="3"/>
  <c r="BF44" i="2"/>
  <c r="BF45" i="2"/>
  <c r="AK90" i="2"/>
  <c r="AK51" i="2"/>
  <c r="AK74" i="2"/>
  <c r="N51" i="2"/>
  <c r="N74" i="2"/>
  <c r="L84" i="3"/>
  <c r="L85" i="3" s="1"/>
  <c r="L80" i="3"/>
  <c r="AL80" i="3"/>
  <c r="AL84" i="3"/>
  <c r="AL85" i="3" s="1"/>
  <c r="Q151" i="3"/>
  <c r="Q77" i="3"/>
  <c r="Q56" i="2"/>
  <c r="Q73" i="2"/>
  <c r="U45" i="2"/>
  <c r="U5" i="14" s="1"/>
  <c r="U7" i="14" s="1"/>
  <c r="CJ119" i="3"/>
  <c r="CZ125" i="3"/>
  <c r="H74" i="2"/>
  <c r="H90" i="2"/>
  <c r="M90" i="2"/>
  <c r="H51" i="2"/>
  <c r="L90" i="2"/>
  <c r="L51" i="2"/>
  <c r="L74" i="2"/>
  <c r="J45" i="2"/>
  <c r="J44" i="2"/>
  <c r="K42" i="2"/>
  <c r="K44" i="2" s="1"/>
  <c r="CI122" i="3"/>
  <c r="AX84" i="3"/>
  <c r="AX85" i="3" s="1"/>
  <c r="AX80" i="3"/>
  <c r="CJ106" i="3"/>
  <c r="AN44" i="2"/>
  <c r="AN45" i="2"/>
  <c r="AO42" i="2"/>
  <c r="AO44" i="2" s="1"/>
  <c r="V74" i="2"/>
  <c r="V51" i="2"/>
  <c r="AA83" i="2"/>
  <c r="AA52" i="2"/>
  <c r="AA136" i="3" s="1"/>
  <c r="AA137" i="3" s="1"/>
  <c r="CJ116" i="3"/>
  <c r="CC64" i="2"/>
  <c r="CC78" i="3" s="1"/>
  <c r="CI127" i="3"/>
  <c r="AG151" i="3"/>
  <c r="AG77" i="3"/>
  <c r="AG73" i="2"/>
  <c r="AL90" i="2" s="1"/>
  <c r="AG56" i="2"/>
  <c r="AJ45" i="2"/>
  <c r="AJ5" i="14" s="1"/>
  <c r="AJ7" i="14" s="1"/>
  <c r="V80" i="3"/>
  <c r="V84" i="3"/>
  <c r="V85" i="3" s="1"/>
  <c r="CJ97" i="3"/>
  <c r="CJ129" i="3"/>
  <c r="AL51" i="2"/>
  <c r="AQ90" i="2"/>
  <c r="AL74" i="2"/>
  <c r="H80" i="3"/>
  <c r="H84" i="3"/>
  <c r="H85" i="3" s="1"/>
  <c r="CV125" i="3"/>
  <c r="CG48" i="2"/>
  <c r="CG53" i="2" s="1"/>
  <c r="CG46" i="4"/>
  <c r="CG45" i="4" s="1"/>
  <c r="CF105" i="3"/>
  <c r="CN11" i="4" l="1"/>
  <c r="CG100" i="2"/>
  <c r="CI101" i="2"/>
  <c r="CP11" i="4"/>
  <c r="CJ63" i="3"/>
  <c r="CK63" i="3" s="1"/>
  <c r="CL63" i="3" s="1"/>
  <c r="CN63" i="3" s="1"/>
  <c r="CM63" i="3"/>
  <c r="CO11" i="4"/>
  <c r="CN50" i="4"/>
  <c r="CB21" i="2"/>
  <c r="CB34" i="11"/>
  <c r="CB33" i="11"/>
  <c r="CB30" i="2"/>
  <c r="L15" i="9" s="1"/>
  <c r="AR89" i="3"/>
  <c r="CA5" i="14"/>
  <c r="CA7" i="14" s="1"/>
  <c r="CA151" i="3"/>
  <c r="CA73" i="2"/>
  <c r="CA56" i="2"/>
  <c r="CA77" i="3"/>
  <c r="CX9" i="3"/>
  <c r="CY9" i="3" s="1"/>
  <c r="CZ9" i="3" s="1"/>
  <c r="DA9" i="3" s="1"/>
  <c r="DB9" i="3" s="1"/>
  <c r="BN89" i="2"/>
  <c r="C7" i="15"/>
  <c r="C8" i="15" s="1"/>
  <c r="BZ86" i="3"/>
  <c r="BZ89" i="3" s="1"/>
  <c r="N18" i="15" s="1"/>
  <c r="AA88" i="3"/>
  <c r="AA89" i="3"/>
  <c r="CQ6" i="11"/>
  <c r="Z77" i="3"/>
  <c r="Z80" i="3" s="1"/>
  <c r="Z5" i="14"/>
  <c r="Z7" i="14" s="1"/>
  <c r="BX40" i="11"/>
  <c r="BX44" i="11" s="1"/>
  <c r="BX42" i="11"/>
  <c r="CO6" i="11"/>
  <c r="CR5" i="11"/>
  <c r="CR4" i="11"/>
  <c r="AU47" i="11"/>
  <c r="AU20" i="11"/>
  <c r="AU108" i="11"/>
  <c r="AU91" i="11"/>
  <c r="AU64" i="11"/>
  <c r="AU3" i="11"/>
  <c r="AQ131" i="3"/>
  <c r="AQ91" i="11"/>
  <c r="AQ64" i="11"/>
  <c r="AQ3" i="11"/>
  <c r="AQ47" i="11"/>
  <c r="AQ20" i="11"/>
  <c r="AQ108" i="11"/>
  <c r="AW20" i="11"/>
  <c r="AW108" i="11"/>
  <c r="AW91" i="11"/>
  <c r="AW64" i="11"/>
  <c r="AW3" i="11"/>
  <c r="AW47" i="11"/>
  <c r="BY83" i="2"/>
  <c r="CD91" i="2" s="1"/>
  <c r="BY52" i="2"/>
  <c r="AT3" i="11"/>
  <c r="AT47" i="11"/>
  <c r="AT20" i="11"/>
  <c r="AT108" i="11"/>
  <c r="AT91" i="11"/>
  <c r="AT64" i="11"/>
  <c r="BY86" i="3"/>
  <c r="AS64" i="11"/>
  <c r="AS3" i="11"/>
  <c r="AS47" i="11"/>
  <c r="AS20" i="11"/>
  <c r="AS108" i="11"/>
  <c r="AS91" i="11"/>
  <c r="BZ83" i="2"/>
  <c r="BZ52" i="2"/>
  <c r="BZ136" i="3" s="1"/>
  <c r="BZ137" i="3" s="1"/>
  <c r="AX90" i="2"/>
  <c r="AX74" i="2"/>
  <c r="AT151" i="3"/>
  <c r="AT152" i="3" s="1"/>
  <c r="AH89" i="3"/>
  <c r="AH88" i="3"/>
  <c r="AU88" i="3"/>
  <c r="Z56" i="2"/>
  <c r="BA86" i="3"/>
  <c r="BA89" i="3" s="1"/>
  <c r="AU90" i="3"/>
  <c r="T74" i="2"/>
  <c r="T51" i="2"/>
  <c r="T84" i="3"/>
  <c r="T85" i="3" s="1"/>
  <c r="T80" i="3"/>
  <c r="AM86" i="3"/>
  <c r="AM88" i="3" s="1"/>
  <c r="AB86" i="3"/>
  <c r="AB89" i="3" s="1"/>
  <c r="AC86" i="3"/>
  <c r="AC88" i="3" s="1"/>
  <c r="D86" i="3"/>
  <c r="D89" i="3" s="1"/>
  <c r="L86" i="3"/>
  <c r="L90" i="3" s="1"/>
  <c r="CR5" i="4"/>
  <c r="CR6" i="4" s="1"/>
  <c r="CJ27" i="4"/>
  <c r="CH110" i="3"/>
  <c r="CI110" i="3" s="1"/>
  <c r="CJ110" i="3" s="1"/>
  <c r="CK110" i="3" s="1"/>
  <c r="CL110" i="3" s="1"/>
  <c r="AF86" i="3"/>
  <c r="AF88" i="3" s="1"/>
  <c r="DB49" i="4"/>
  <c r="CY11" i="3"/>
  <c r="CZ11" i="3" s="1"/>
  <c r="DA11" i="3" s="1"/>
  <c r="DB11" i="3" s="1"/>
  <c r="U151" i="3"/>
  <c r="U152" i="3" s="1"/>
  <c r="Z73" i="2"/>
  <c r="Z74" i="2" s="1"/>
  <c r="W86" i="3"/>
  <c r="W90" i="3" s="1"/>
  <c r="X86" i="3"/>
  <c r="X88" i="3" s="1"/>
  <c r="AJ151" i="3"/>
  <c r="AJ152" i="3" s="1"/>
  <c r="BB86" i="3"/>
  <c r="BB88" i="3" s="1"/>
  <c r="CL29" i="2"/>
  <c r="CL28" i="2" s="1"/>
  <c r="CM28" i="2" s="1"/>
  <c r="CU4" i="4"/>
  <c r="CR15" i="4"/>
  <c r="CR16" i="4" s="1"/>
  <c r="AQ50" i="3"/>
  <c r="AQ93" i="2"/>
  <c r="AQ142" i="3"/>
  <c r="AQ58" i="2"/>
  <c r="CV4" i="4"/>
  <c r="CV4" i="11" s="1"/>
  <c r="AQ44" i="4"/>
  <c r="AQ23" i="4"/>
  <c r="AQ3" i="4"/>
  <c r="CS4" i="4"/>
  <c r="CS4" i="11" s="1"/>
  <c r="AQ48" i="4"/>
  <c r="AQ76" i="2"/>
  <c r="AQ106" i="2"/>
  <c r="AQ3" i="2"/>
  <c r="AQ70" i="3"/>
  <c r="AQ31" i="4"/>
  <c r="AQ3" i="3"/>
  <c r="AQ92" i="3"/>
  <c r="AQ47" i="2"/>
  <c r="AO131" i="3"/>
  <c r="AO23" i="4"/>
  <c r="AO106" i="2"/>
  <c r="AO44" i="4"/>
  <c r="AO50" i="3"/>
  <c r="AO92" i="3"/>
  <c r="AO3" i="3"/>
  <c r="AO142" i="3"/>
  <c r="AO3" i="2"/>
  <c r="AO76" i="2"/>
  <c r="AO47" i="2"/>
  <c r="AO48" i="4"/>
  <c r="AO70" i="3"/>
  <c r="AO31" i="4"/>
  <c r="AO3" i="4"/>
  <c r="AO93" i="2"/>
  <c r="AO58" i="2"/>
  <c r="AU44" i="4"/>
  <c r="AU3" i="4"/>
  <c r="AU142" i="3"/>
  <c r="AU70" i="3"/>
  <c r="AU48" i="4"/>
  <c r="AU31" i="4"/>
  <c r="AU92" i="3"/>
  <c r="AU93" i="2"/>
  <c r="AU23" i="4"/>
  <c r="AU131" i="3"/>
  <c r="AU3" i="3"/>
  <c r="AU58" i="2"/>
  <c r="AU50" i="3"/>
  <c r="AU106" i="2"/>
  <c r="AU47" i="2"/>
  <c r="AU3" i="2"/>
  <c r="AU76" i="2"/>
  <c r="AS131" i="3"/>
  <c r="AS23" i="4"/>
  <c r="AS44" i="4"/>
  <c r="AS3" i="4"/>
  <c r="AS142" i="3"/>
  <c r="AS70" i="3"/>
  <c r="AS48" i="4"/>
  <c r="AS3" i="3"/>
  <c r="AS31" i="4"/>
  <c r="AS93" i="2"/>
  <c r="AS92" i="3"/>
  <c r="AS58" i="2"/>
  <c r="AS50" i="3"/>
  <c r="AS76" i="2"/>
  <c r="AS3" i="2"/>
  <c r="AS106" i="2"/>
  <c r="AS47" i="2"/>
  <c r="AR131" i="3"/>
  <c r="AR23" i="4"/>
  <c r="AR44" i="4"/>
  <c r="AR3" i="4"/>
  <c r="AR142" i="3"/>
  <c r="AR92" i="3"/>
  <c r="AR3" i="3"/>
  <c r="AR31" i="4"/>
  <c r="AR70" i="3"/>
  <c r="AR93" i="2"/>
  <c r="AR76" i="2"/>
  <c r="AR47" i="2"/>
  <c r="AR48" i="4"/>
  <c r="AR50" i="3"/>
  <c r="AR3" i="2"/>
  <c r="AR106" i="2"/>
  <c r="AR58" i="2"/>
  <c r="AS80" i="3"/>
  <c r="AS84" i="3"/>
  <c r="AS85" i="3" s="1"/>
  <c r="BE138" i="3"/>
  <c r="BE141" i="3" s="1"/>
  <c r="BE91" i="2"/>
  <c r="BJ74" i="2"/>
  <c r="BJ90" i="2"/>
  <c r="BJ51" i="2"/>
  <c r="AC83" i="2"/>
  <c r="AC138" i="3" s="1"/>
  <c r="AC141" i="3" s="1"/>
  <c r="AC52" i="2"/>
  <c r="AC136" i="3" s="1"/>
  <c r="AC137" i="3" s="1"/>
  <c r="C28" i="4"/>
  <c r="C29" i="4" s="1"/>
  <c r="C18" i="4"/>
  <c r="E52" i="2"/>
  <c r="E136" i="3" s="1"/>
  <c r="E137" i="3" s="1"/>
  <c r="E83" i="2"/>
  <c r="E138" i="3" s="1"/>
  <c r="E141" i="3" s="1"/>
  <c r="N83" i="2"/>
  <c r="N52" i="2"/>
  <c r="N136" i="3" s="1"/>
  <c r="N137" i="3" s="1"/>
  <c r="S74" i="2"/>
  <c r="S51" i="2"/>
  <c r="S90" i="2"/>
  <c r="AE89" i="2"/>
  <c r="AE81" i="2"/>
  <c r="AE68" i="3"/>
  <c r="BO83" i="2"/>
  <c r="BO52" i="2"/>
  <c r="BO136" i="3" s="1"/>
  <c r="BO137" i="3" s="1"/>
  <c r="BV77" i="3"/>
  <c r="BV73" i="2"/>
  <c r="CA90" i="2" s="1"/>
  <c r="BV56" i="2"/>
  <c r="BV151" i="3"/>
  <c r="W83" i="2"/>
  <c r="W52" i="2"/>
  <c r="W136" i="3" s="1"/>
  <c r="W137" i="3" s="1"/>
  <c r="BI89" i="2"/>
  <c r="BI81" i="2"/>
  <c r="BI68" i="3"/>
  <c r="G90" i="2"/>
  <c r="AT77" i="3"/>
  <c r="AT73" i="2"/>
  <c r="AT56" i="2"/>
  <c r="AD44" i="2"/>
  <c r="AD45" i="2"/>
  <c r="AE42" i="2"/>
  <c r="AE44" i="2" s="1"/>
  <c r="BO86" i="3"/>
  <c r="BX81" i="2"/>
  <c r="BX89" i="2"/>
  <c r="BX68" i="3"/>
  <c r="CM44" i="3"/>
  <c r="CN44" i="3" s="1"/>
  <c r="CN49" i="2" s="1"/>
  <c r="CM49" i="2"/>
  <c r="V86" i="3"/>
  <c r="V89" i="3" s="1"/>
  <c r="AB83" i="2"/>
  <c r="AB52" i="2"/>
  <c r="AB136" i="3" s="1"/>
  <c r="AB137" i="3" s="1"/>
  <c r="AQ89" i="3"/>
  <c r="AQ88" i="3"/>
  <c r="AQ90" i="3"/>
  <c r="S84" i="3"/>
  <c r="S85" i="3" s="1"/>
  <c r="S80" i="3"/>
  <c r="AM83" i="2"/>
  <c r="AR91" i="2" s="1"/>
  <c r="AM52" i="2"/>
  <c r="AM136" i="3" s="1"/>
  <c r="AM137" i="3" s="1"/>
  <c r="BT86" i="3"/>
  <c r="R83" i="2"/>
  <c r="R52" i="2"/>
  <c r="R136" i="3" s="1"/>
  <c r="R137" i="3" s="1"/>
  <c r="X90" i="2"/>
  <c r="BO90" i="2"/>
  <c r="BT52" i="2"/>
  <c r="BT136" i="3" s="1"/>
  <c r="BT137" i="3" s="1"/>
  <c r="BT83" i="2"/>
  <c r="G52" i="2"/>
  <c r="G136" i="3" s="1"/>
  <c r="G137" i="3" s="1"/>
  <c r="G83" i="2"/>
  <c r="O56" i="2"/>
  <c r="O151" i="3"/>
  <c r="P151" i="3" s="1"/>
  <c r="P152" i="3" s="1"/>
  <c r="O77" i="3"/>
  <c r="O73" i="2"/>
  <c r="P45" i="2"/>
  <c r="P5" i="14" s="1"/>
  <c r="P7" i="14" s="1"/>
  <c r="BD42" i="2"/>
  <c r="BD44" i="2" s="1"/>
  <c r="BC44" i="2"/>
  <c r="BC45" i="2"/>
  <c r="F77" i="3"/>
  <c r="F56" i="2"/>
  <c r="F73" i="2"/>
  <c r="I151" i="3"/>
  <c r="I77" i="3"/>
  <c r="I73" i="2"/>
  <c r="I56" i="2"/>
  <c r="AK83" i="2"/>
  <c r="AK52" i="2"/>
  <c r="AK136" i="3" s="1"/>
  <c r="AK137" i="3" s="1"/>
  <c r="BB83" i="2"/>
  <c r="BB52" i="2"/>
  <c r="BB136" i="3" s="1"/>
  <c r="BB137" i="3" s="1"/>
  <c r="R86" i="3"/>
  <c r="AH138" i="3"/>
  <c r="AH141" i="3" s="1"/>
  <c r="X83" i="2"/>
  <c r="X52" i="2"/>
  <c r="X136" i="3" s="1"/>
  <c r="X137" i="3" s="1"/>
  <c r="CK58" i="3"/>
  <c r="CL31" i="3"/>
  <c r="AY81" i="2"/>
  <c r="AY89" i="2"/>
  <c r="AY68" i="3"/>
  <c r="BQ80" i="3"/>
  <c r="BQ84" i="3"/>
  <c r="BQ85" i="3" s="1"/>
  <c r="BW73" i="2"/>
  <c r="BW56" i="2"/>
  <c r="BW77" i="3"/>
  <c r="BW151" i="3"/>
  <c r="P81" i="2"/>
  <c r="P68" i="3"/>
  <c r="K133" i="3"/>
  <c r="K82" i="2"/>
  <c r="K65" i="2"/>
  <c r="P89" i="2" s="1"/>
  <c r="BE88" i="3"/>
  <c r="BE90" i="3"/>
  <c r="BE89" i="3"/>
  <c r="BH42" i="2"/>
  <c r="BH70" i="2"/>
  <c r="BI37" i="2"/>
  <c r="BI70" i="2" s="1"/>
  <c r="C13" i="15" s="1"/>
  <c r="AK86" i="3"/>
  <c r="AL86" i="3"/>
  <c r="AL90" i="3" s="1"/>
  <c r="AF52" i="2"/>
  <c r="AF136" i="3" s="1"/>
  <c r="AF137" i="3" s="1"/>
  <c r="AF83" i="2"/>
  <c r="AF138" i="3" s="1"/>
  <c r="AF141" i="3" s="1"/>
  <c r="N86" i="3"/>
  <c r="AT89" i="2"/>
  <c r="AT81" i="2"/>
  <c r="AT68" i="3"/>
  <c r="CG15" i="3"/>
  <c r="CH15" i="3" s="1"/>
  <c r="BM84" i="3"/>
  <c r="BM85" i="3" s="1"/>
  <c r="BM80" i="3"/>
  <c r="AV90" i="2"/>
  <c r="AV74" i="2"/>
  <c r="AV51" i="2"/>
  <c r="J89" i="2"/>
  <c r="J81" i="2"/>
  <c r="J68" i="3"/>
  <c r="BG51" i="2"/>
  <c r="BG74" i="2"/>
  <c r="BG90" i="2"/>
  <c r="BQ90" i="2"/>
  <c r="BQ51" i="2"/>
  <c r="BQ74" i="2"/>
  <c r="BG80" i="3"/>
  <c r="BG84" i="3"/>
  <c r="BG85" i="3" s="1"/>
  <c r="BP77" i="3"/>
  <c r="BP73" i="2"/>
  <c r="BP56" i="2"/>
  <c r="BP151" i="3"/>
  <c r="BS45" i="2"/>
  <c r="M88" i="3"/>
  <c r="M90" i="3"/>
  <c r="M89" i="3"/>
  <c r="AI84" i="3"/>
  <c r="AI85" i="3" s="1"/>
  <c r="AI80" i="3"/>
  <c r="BV89" i="2"/>
  <c r="BV81" i="2"/>
  <c r="BV68" i="3"/>
  <c r="BM51" i="2"/>
  <c r="BM74" i="2"/>
  <c r="AP84" i="3"/>
  <c r="AP85" i="3" s="1"/>
  <c r="AP80" i="3"/>
  <c r="AI51" i="2"/>
  <c r="AI74" i="2"/>
  <c r="BF77" i="3"/>
  <c r="BF56" i="2"/>
  <c r="BF73" i="2"/>
  <c r="BF151" i="3"/>
  <c r="AW45" i="2"/>
  <c r="AW44" i="2"/>
  <c r="AY42" i="2"/>
  <c r="AY44" i="2" s="1"/>
  <c r="P87" i="2"/>
  <c r="BN77" i="3"/>
  <c r="BN73" i="2"/>
  <c r="D11" i="15" s="1"/>
  <c r="BN56" i="2"/>
  <c r="BR73" i="2"/>
  <c r="BR151" i="3"/>
  <c r="BR56" i="2"/>
  <c r="BR77" i="3"/>
  <c r="AU138" i="3"/>
  <c r="AU141" i="3" s="1"/>
  <c r="BN151" i="3"/>
  <c r="BN152" i="3" s="1"/>
  <c r="AV80" i="3"/>
  <c r="AV84" i="3"/>
  <c r="AV85" i="3" s="1"/>
  <c r="BU151" i="3"/>
  <c r="BU77" i="3"/>
  <c r="BU73" i="2"/>
  <c r="BZ90" i="2" s="1"/>
  <c r="BU56" i="2"/>
  <c r="BX45" i="2"/>
  <c r="Y84" i="3"/>
  <c r="Y85" i="3" s="1"/>
  <c r="Y80" i="3"/>
  <c r="D52" i="2"/>
  <c r="D136" i="3" s="1"/>
  <c r="D137" i="3" s="1"/>
  <c r="D83" i="2"/>
  <c r="D138" i="3" s="1"/>
  <c r="D141" i="3" s="1"/>
  <c r="BL84" i="3"/>
  <c r="BL85" i="3" s="1"/>
  <c r="BL80" i="3"/>
  <c r="G86" i="3"/>
  <c r="BW81" i="2"/>
  <c r="BW89" i="2"/>
  <c r="BW68" i="3"/>
  <c r="I89" i="2"/>
  <c r="I81" i="2"/>
  <c r="I68" i="3"/>
  <c r="N89" i="2"/>
  <c r="Y74" i="2"/>
  <c r="Y51" i="2"/>
  <c r="Y90" i="2"/>
  <c r="BJ84" i="3"/>
  <c r="BJ85" i="3" s="1"/>
  <c r="BJ80" i="3"/>
  <c r="BA52" i="2"/>
  <c r="BA136" i="3" s="1"/>
  <c r="BA137" i="3" s="1"/>
  <c r="BA83" i="2"/>
  <c r="AR138" i="3"/>
  <c r="AR141" i="3" s="1"/>
  <c r="AP74" i="2"/>
  <c r="AP51" i="2"/>
  <c r="AP90" i="2"/>
  <c r="AU90" i="2"/>
  <c r="AS74" i="2"/>
  <c r="AS51" i="2"/>
  <c r="E86" i="3"/>
  <c r="BL74" i="2"/>
  <c r="BL90" i="2"/>
  <c r="BL51" i="2"/>
  <c r="CJ122" i="3"/>
  <c r="AG74" i="2"/>
  <c r="AG51" i="2"/>
  <c r="AG90" i="2"/>
  <c r="J151" i="3"/>
  <c r="J77" i="3"/>
  <c r="J56" i="2"/>
  <c r="J73" i="2"/>
  <c r="K45" i="2"/>
  <c r="K5" i="14" s="1"/>
  <c r="K7" i="14" s="1"/>
  <c r="Q90" i="2"/>
  <c r="Q74" i="2"/>
  <c r="Q51" i="2"/>
  <c r="AL83" i="2"/>
  <c r="AL52" i="2"/>
  <c r="AL136" i="3" s="1"/>
  <c r="AL137" i="3" s="1"/>
  <c r="H83" i="2"/>
  <c r="H52" i="2"/>
  <c r="H136" i="3" s="1"/>
  <c r="H137" i="3" s="1"/>
  <c r="CK106" i="3"/>
  <c r="V90" i="2"/>
  <c r="AN151" i="3"/>
  <c r="AO151" i="3" s="1"/>
  <c r="AO152" i="3" s="1"/>
  <c r="AN73" i="2"/>
  <c r="AN77" i="3"/>
  <c r="AN56" i="2"/>
  <c r="AO45" i="2"/>
  <c r="AO5" i="14" s="1"/>
  <c r="AO7" i="14" s="1"/>
  <c r="CK119" i="3"/>
  <c r="CI46" i="4"/>
  <c r="CI45" i="4" s="1"/>
  <c r="CH45" i="4"/>
  <c r="CH46" i="4" s="1"/>
  <c r="CG105" i="3"/>
  <c r="AX83" i="2"/>
  <c r="AX52" i="2"/>
  <c r="AX136" i="3" s="1"/>
  <c r="AX137" i="3" s="1"/>
  <c r="CK116" i="3"/>
  <c r="V52" i="2"/>
  <c r="V136" i="3" s="1"/>
  <c r="V137" i="3" s="1"/>
  <c r="V83" i="2"/>
  <c r="CJ127" i="3"/>
  <c r="H86" i="3"/>
  <c r="CK129" i="3"/>
  <c r="DA125" i="3"/>
  <c r="AJ77" i="3"/>
  <c r="AJ73" i="2"/>
  <c r="AJ56" i="2"/>
  <c r="CC120" i="3"/>
  <c r="CC23" i="3"/>
  <c r="AG84" i="3"/>
  <c r="AG85" i="3" s="1"/>
  <c r="AG80" i="3"/>
  <c r="L52" i="2"/>
  <c r="L136" i="3" s="1"/>
  <c r="L137" i="3" s="1"/>
  <c r="L83" i="2"/>
  <c r="CT5" i="4"/>
  <c r="CT5" i="11" s="1"/>
  <c r="CT6" i="11" s="1"/>
  <c r="CT15" i="4"/>
  <c r="Q80" i="3"/>
  <c r="Q84" i="3"/>
  <c r="Q85" i="3" s="1"/>
  <c r="CK97" i="3"/>
  <c r="CF13" i="3"/>
  <c r="CH48" i="2"/>
  <c r="AA138" i="3"/>
  <c r="AA141" i="3" s="1"/>
  <c r="AX86" i="3"/>
  <c r="U77" i="3"/>
  <c r="U73" i="2"/>
  <c r="U56" i="2"/>
  <c r="CB62" i="2" l="1"/>
  <c r="CG21" i="2"/>
  <c r="CL21" i="2" s="1"/>
  <c r="CO63" i="3"/>
  <c r="CP63" i="3" s="1"/>
  <c r="CQ63" i="3" s="1"/>
  <c r="CS63" i="3" s="1"/>
  <c r="CR63" i="3"/>
  <c r="CI100" i="2"/>
  <c r="CJ101" i="2"/>
  <c r="CB28" i="11"/>
  <c r="L13" i="9"/>
  <c r="BY138" i="3"/>
  <c r="BY141" i="3" s="1"/>
  <c r="N24" i="9"/>
  <c r="Z84" i="3"/>
  <c r="Z85" i="3" s="1"/>
  <c r="Z86" i="3" s="1"/>
  <c r="Z90" i="3" s="1"/>
  <c r="CO50" i="4"/>
  <c r="CF13" i="4"/>
  <c r="CF7" i="4"/>
  <c r="CG8" i="4"/>
  <c r="BY136" i="3"/>
  <c r="BY137" i="3" s="1"/>
  <c r="N27" i="9" s="1"/>
  <c r="N21" i="9"/>
  <c r="CB17" i="2"/>
  <c r="CC21" i="2"/>
  <c r="BZ88" i="3"/>
  <c r="BA90" i="3"/>
  <c r="CA84" i="3"/>
  <c r="CA85" i="3" s="1"/>
  <c r="CA80" i="3"/>
  <c r="O11" i="15"/>
  <c r="CA51" i="2"/>
  <c r="CA74" i="2"/>
  <c r="BZ90" i="3"/>
  <c r="N19" i="15" s="1"/>
  <c r="BZ138" i="3"/>
  <c r="BZ141" i="3" s="1"/>
  <c r="CR6" i="11"/>
  <c r="L88" i="3"/>
  <c r="C16" i="9"/>
  <c r="BX5" i="14"/>
  <c r="BX7" i="14" s="1"/>
  <c r="BS7" i="14"/>
  <c r="CU15" i="4"/>
  <c r="CU4" i="11"/>
  <c r="CW4" i="11" s="1"/>
  <c r="BY90" i="3"/>
  <c r="M19" i="15" s="1"/>
  <c r="BY88" i="3"/>
  <c r="BY89" i="3"/>
  <c r="M18" i="15" s="1"/>
  <c r="BB91" i="11"/>
  <c r="BB64" i="11"/>
  <c r="BB3" i="11"/>
  <c r="BB47" i="11"/>
  <c r="BB108" i="11"/>
  <c r="AZ91" i="11"/>
  <c r="AZ64" i="11"/>
  <c r="AZ3" i="11"/>
  <c r="AZ47" i="11"/>
  <c r="AZ108" i="11"/>
  <c r="AV131" i="3"/>
  <c r="AV20" i="11"/>
  <c r="AV108" i="11"/>
  <c r="AV91" i="11"/>
  <c r="AV64" i="11"/>
  <c r="AV3" i="11"/>
  <c r="AV47" i="11"/>
  <c r="AX108" i="11"/>
  <c r="AX91" i="11"/>
  <c r="AX64" i="11"/>
  <c r="AX3" i="11"/>
  <c r="AX47" i="11"/>
  <c r="AX20" i="11"/>
  <c r="AY108" i="11"/>
  <c r="AY91" i="11"/>
  <c r="AY64" i="11"/>
  <c r="AY3" i="11"/>
  <c r="AY47" i="11"/>
  <c r="AY20" i="11"/>
  <c r="CU25" i="4"/>
  <c r="BA88" i="3"/>
  <c r="AH91" i="2"/>
  <c r="BB89" i="3"/>
  <c r="AF91" i="2"/>
  <c r="AM90" i="3"/>
  <c r="AB88" i="3"/>
  <c r="AB90" i="3"/>
  <c r="AF89" i="3"/>
  <c r="T86" i="3"/>
  <c r="T88" i="3" s="1"/>
  <c r="AM89" i="3"/>
  <c r="BB90" i="3"/>
  <c r="BM86" i="3"/>
  <c r="BM88" i="3" s="1"/>
  <c r="Z51" i="2"/>
  <c r="D90" i="3"/>
  <c r="AC89" i="3"/>
  <c r="AC90" i="3"/>
  <c r="T52" i="2"/>
  <c r="T136" i="3" s="1"/>
  <c r="T137" i="3" s="1"/>
  <c r="T83" i="2"/>
  <c r="T138" i="3" s="1"/>
  <c r="T141" i="3" s="1"/>
  <c r="L89" i="3"/>
  <c r="W88" i="3"/>
  <c r="AF90" i="3"/>
  <c r="AP86" i="3"/>
  <c r="AP88" i="3" s="1"/>
  <c r="X90" i="3"/>
  <c r="X89" i="3"/>
  <c r="CI109" i="3"/>
  <c r="CI15" i="3" s="1"/>
  <c r="CK27" i="4"/>
  <c r="CJ109" i="3"/>
  <c r="CJ15" i="3" s="1"/>
  <c r="CU5" i="4"/>
  <c r="CU5" i="11" s="1"/>
  <c r="CW4" i="4"/>
  <c r="CZ4" i="4" s="1"/>
  <c r="CZ4" i="11" s="1"/>
  <c r="CV25" i="4"/>
  <c r="CW25" i="4" s="1"/>
  <c r="W89" i="3"/>
  <c r="Y86" i="3"/>
  <c r="Y89" i="3" s="1"/>
  <c r="BQ86" i="3"/>
  <c r="BQ90" i="3" s="1"/>
  <c r="CN29" i="2"/>
  <c r="CN28" i="2" s="1"/>
  <c r="CM29" i="2"/>
  <c r="CS5" i="4"/>
  <c r="CS5" i="11" s="1"/>
  <c r="CT25" i="4"/>
  <c r="CS15" i="4"/>
  <c r="CS25" i="4"/>
  <c r="CV15" i="4"/>
  <c r="CV5" i="4"/>
  <c r="CV5" i="11" s="1"/>
  <c r="CV6" i="11" s="1"/>
  <c r="AV76" i="2"/>
  <c r="AV31" i="4"/>
  <c r="AV47" i="2"/>
  <c r="AV106" i="2"/>
  <c r="AV3" i="4"/>
  <c r="AV48" i="4"/>
  <c r="CS11" i="4"/>
  <c r="CT11" i="4"/>
  <c r="CU11" i="4"/>
  <c r="CV11" i="4"/>
  <c r="AV23" i="4"/>
  <c r="AV93" i="2"/>
  <c r="AV44" i="4"/>
  <c r="AV92" i="3"/>
  <c r="AV3" i="2"/>
  <c r="AV50" i="3"/>
  <c r="AV70" i="3"/>
  <c r="AV58" i="2"/>
  <c r="AV142" i="3"/>
  <c r="AV3" i="3"/>
  <c r="AT23" i="4"/>
  <c r="AT44" i="4"/>
  <c r="AT3" i="4"/>
  <c r="AT142" i="3"/>
  <c r="AT70" i="3"/>
  <c r="AT48" i="4"/>
  <c r="AT31" i="4"/>
  <c r="AT93" i="2"/>
  <c r="AT92" i="3"/>
  <c r="AT131" i="3"/>
  <c r="AT3" i="3"/>
  <c r="AT58" i="2"/>
  <c r="AT76" i="2"/>
  <c r="AT50" i="3"/>
  <c r="AT3" i="2"/>
  <c r="AT106" i="2"/>
  <c r="AT47" i="2"/>
  <c r="AX48" i="4"/>
  <c r="AX31" i="4"/>
  <c r="AX92" i="3"/>
  <c r="AX23" i="4"/>
  <c r="AX70" i="3"/>
  <c r="AX142" i="3"/>
  <c r="AX106" i="2"/>
  <c r="AX50" i="3"/>
  <c r="AX3" i="4"/>
  <c r="AX131" i="3"/>
  <c r="AX3" i="3"/>
  <c r="AX58" i="2"/>
  <c r="AX44" i="4"/>
  <c r="AX93" i="2"/>
  <c r="AX3" i="2"/>
  <c r="AX76" i="2"/>
  <c r="AX47" i="2"/>
  <c r="AW48" i="4"/>
  <c r="AW31" i="4"/>
  <c r="AW92" i="3"/>
  <c r="AW93" i="2"/>
  <c r="AW23" i="4"/>
  <c r="AW70" i="3"/>
  <c r="AW142" i="3"/>
  <c r="AW106" i="2"/>
  <c r="AW50" i="3"/>
  <c r="AW131" i="3"/>
  <c r="AW3" i="3"/>
  <c r="AW58" i="2"/>
  <c r="AW44" i="4"/>
  <c r="AW76" i="2"/>
  <c r="AW47" i="2"/>
  <c r="AW3" i="2"/>
  <c r="AW3" i="4"/>
  <c r="AZ31" i="4"/>
  <c r="AZ92" i="3"/>
  <c r="AZ131" i="3"/>
  <c r="AZ142" i="3"/>
  <c r="AZ106" i="2"/>
  <c r="AZ50" i="3"/>
  <c r="AZ3" i="4"/>
  <c r="AZ48" i="4"/>
  <c r="AZ3" i="3"/>
  <c r="AZ44" i="4"/>
  <c r="AZ23" i="4"/>
  <c r="AZ70" i="3"/>
  <c r="AZ93" i="2"/>
  <c r="AZ3" i="2"/>
  <c r="AZ76" i="2"/>
  <c r="AZ47" i="2"/>
  <c r="AZ58" i="2"/>
  <c r="BF90" i="2"/>
  <c r="BF51" i="2"/>
  <c r="BF74" i="2"/>
  <c r="BK90" i="2"/>
  <c r="BX151" i="3"/>
  <c r="BX152" i="3" s="1"/>
  <c r="AC91" i="2"/>
  <c r="X138" i="3"/>
  <c r="X141" i="3" s="1"/>
  <c r="N90" i="2"/>
  <c r="I90" i="2"/>
  <c r="I51" i="2"/>
  <c r="I74" i="2"/>
  <c r="P77" i="3"/>
  <c r="P56" i="2"/>
  <c r="P73" i="2"/>
  <c r="R91" i="2"/>
  <c r="R138" i="3"/>
  <c r="R141" i="3" s="1"/>
  <c r="BV80" i="3"/>
  <c r="BV84" i="3"/>
  <c r="BV85" i="3" s="1"/>
  <c r="AS86" i="3"/>
  <c r="BT138" i="3"/>
  <c r="BT141" i="3" s="1"/>
  <c r="BT91" i="2"/>
  <c r="BY91" i="2"/>
  <c r="AL88" i="3"/>
  <c r="BG83" i="2"/>
  <c r="BG52" i="2"/>
  <c r="BG136" i="3" s="1"/>
  <c r="BG137" i="3" s="1"/>
  <c r="AP83" i="2"/>
  <c r="AP52" i="2"/>
  <c r="AP136" i="3" s="1"/>
  <c r="AP137" i="3" s="1"/>
  <c r="BS77" i="3"/>
  <c r="BS56" i="2"/>
  <c r="BS73" i="2"/>
  <c r="E11" i="15" s="1"/>
  <c r="BH44" i="2"/>
  <c r="BH45" i="2"/>
  <c r="BI42" i="2"/>
  <c r="BI44" i="2" s="1"/>
  <c r="BV90" i="2"/>
  <c r="BV74" i="2"/>
  <c r="BV51" i="2"/>
  <c r="V88" i="3"/>
  <c r="AL89" i="3"/>
  <c r="BL83" i="2"/>
  <c r="BL52" i="2"/>
  <c r="BL136" i="3" s="1"/>
  <c r="BL137" i="3" s="1"/>
  <c r="V90" i="3"/>
  <c r="K151" i="3"/>
  <c r="K152" i="3" s="1"/>
  <c r="E90" i="3"/>
  <c r="E89" i="3"/>
  <c r="BU90" i="2"/>
  <c r="BU74" i="2"/>
  <c r="BU51" i="2"/>
  <c r="BS151" i="3"/>
  <c r="BS152" i="3" s="1"/>
  <c r="BW80" i="3"/>
  <c r="BW84" i="3"/>
  <c r="BW85" i="3" s="1"/>
  <c r="I80" i="3"/>
  <c r="I84" i="3"/>
  <c r="I85" i="3" s="1"/>
  <c r="O74" i="2"/>
  <c r="O51" i="2"/>
  <c r="T90" i="2"/>
  <c r="BT88" i="3"/>
  <c r="BT89" i="3"/>
  <c r="BT90" i="3"/>
  <c r="CO44" i="3"/>
  <c r="CO49" i="2" s="1"/>
  <c r="AT74" i="2"/>
  <c r="AT51" i="2"/>
  <c r="BB138" i="3"/>
  <c r="BB141" i="3" s="1"/>
  <c r="BX73" i="2"/>
  <c r="F11" i="15" s="1"/>
  <c r="BX77" i="3"/>
  <c r="BX56" i="2"/>
  <c r="BA138" i="3"/>
  <c r="BA141" i="3" s="1"/>
  <c r="BU80" i="3"/>
  <c r="BU84" i="3"/>
  <c r="BU85" i="3" s="1"/>
  <c r="BR51" i="2"/>
  <c r="BR90" i="2"/>
  <c r="BR74" i="2"/>
  <c r="BF80" i="3"/>
  <c r="BF84" i="3"/>
  <c r="BF85" i="3" s="1"/>
  <c r="BP90" i="2"/>
  <c r="BP74" i="2"/>
  <c r="BP51" i="2"/>
  <c r="O80" i="3"/>
  <c r="O84" i="3"/>
  <c r="O85" i="3" s="1"/>
  <c r="AT84" i="3"/>
  <c r="AT85" i="3" s="1"/>
  <c r="AT80" i="3"/>
  <c r="BO138" i="3"/>
  <c r="BO141" i="3" s="1"/>
  <c r="AV83" i="2"/>
  <c r="BA91" i="2" s="1"/>
  <c r="AV52" i="2"/>
  <c r="AV136" i="3" s="1"/>
  <c r="AV137" i="3" s="1"/>
  <c r="AK138" i="3"/>
  <c r="AK141" i="3" s="1"/>
  <c r="AK91" i="2"/>
  <c r="N138" i="3"/>
  <c r="N141" i="3" s="1"/>
  <c r="AS52" i="2"/>
  <c r="AS136" i="3" s="1"/>
  <c r="AS137" i="3" s="1"/>
  <c r="AS83" i="2"/>
  <c r="AS138" i="3" s="1"/>
  <c r="AS141" i="3" s="1"/>
  <c r="AI52" i="2"/>
  <c r="AI136" i="3" s="1"/>
  <c r="AI137" i="3" s="1"/>
  <c r="AI83" i="2"/>
  <c r="AI138" i="3" s="1"/>
  <c r="AI141" i="3" s="1"/>
  <c r="BP80" i="3"/>
  <c r="BP84" i="3"/>
  <c r="BP85" i="3" s="1"/>
  <c r="K89" i="2"/>
  <c r="K81" i="2"/>
  <c r="K68" i="3"/>
  <c r="BW51" i="2"/>
  <c r="BW74" i="2"/>
  <c r="BW90" i="2"/>
  <c r="R90" i="3"/>
  <c r="R89" i="3"/>
  <c r="R88" i="3"/>
  <c r="F51" i="2"/>
  <c r="F74" i="2"/>
  <c r="AM138" i="3"/>
  <c r="AM141" i="3" s="1"/>
  <c r="AM91" i="2"/>
  <c r="AE45" i="2"/>
  <c r="AE5" i="14" s="1"/>
  <c r="AE7" i="14" s="1"/>
  <c r="AD73" i="2"/>
  <c r="AD151" i="3"/>
  <c r="AE151" i="3" s="1"/>
  <c r="AE152" i="3" s="1"/>
  <c r="AD77" i="3"/>
  <c r="AD56" i="2"/>
  <c r="AK88" i="3"/>
  <c r="AK90" i="3"/>
  <c r="AK89" i="3"/>
  <c r="BJ83" i="2"/>
  <c r="BJ52" i="2"/>
  <c r="BJ136" i="3" s="1"/>
  <c r="BJ137" i="3" s="1"/>
  <c r="CL58" i="3"/>
  <c r="CN31" i="3"/>
  <c r="CM31" i="3"/>
  <c r="CM58" i="3" s="1"/>
  <c r="BJ86" i="3"/>
  <c r="G89" i="3"/>
  <c r="G90" i="3"/>
  <c r="BN51" i="2"/>
  <c r="BN74" i="2"/>
  <c r="D12" i="15" s="1"/>
  <c r="N90" i="3"/>
  <c r="N88" i="3"/>
  <c r="N89" i="3"/>
  <c r="S86" i="3"/>
  <c r="BM52" i="2"/>
  <c r="BM136" i="3" s="1"/>
  <c r="BM137" i="3" s="1"/>
  <c r="BM83" i="2"/>
  <c r="BM138" i="3" s="1"/>
  <c r="BM141" i="3" s="1"/>
  <c r="S52" i="2"/>
  <c r="S136" i="3" s="1"/>
  <c r="S137" i="3" s="1"/>
  <c r="S83" i="2"/>
  <c r="AW77" i="3"/>
  <c r="AW73" i="2"/>
  <c r="AW56" i="2"/>
  <c r="AW151" i="3"/>
  <c r="AY151" i="3" s="1"/>
  <c r="AY152" i="3" s="1"/>
  <c r="AY45" i="2"/>
  <c r="AY5" i="14" s="1"/>
  <c r="AY7" i="14" s="1"/>
  <c r="AB91" i="2"/>
  <c r="AB138" i="3"/>
  <c r="AB141" i="3" s="1"/>
  <c r="BL86" i="3"/>
  <c r="AV86" i="3"/>
  <c r="BN80" i="3"/>
  <c r="BN84" i="3"/>
  <c r="BN85" i="3" s="1"/>
  <c r="BG86" i="3"/>
  <c r="G138" i="3"/>
  <c r="G141" i="3" s="1"/>
  <c r="G91" i="2"/>
  <c r="BO90" i="3"/>
  <c r="BO88" i="3"/>
  <c r="BO89" i="3"/>
  <c r="Y83" i="2"/>
  <c r="Y52" i="2"/>
  <c r="Y136" i="3" s="1"/>
  <c r="Y137" i="3" s="1"/>
  <c r="W138" i="3"/>
  <c r="W141" i="3" s="1"/>
  <c r="W91" i="2"/>
  <c r="BD45" i="2"/>
  <c r="BC56" i="2"/>
  <c r="BC73" i="2"/>
  <c r="BC151" i="3"/>
  <c r="BD151" i="3" s="1"/>
  <c r="BD152" i="3" s="1"/>
  <c r="BC77" i="3"/>
  <c r="BR80" i="3"/>
  <c r="BR84" i="3"/>
  <c r="BR85" i="3" s="1"/>
  <c r="AI86" i="3"/>
  <c r="BQ83" i="2"/>
  <c r="BQ52" i="2"/>
  <c r="BQ136" i="3" s="1"/>
  <c r="BQ137" i="3" s="1"/>
  <c r="CF60" i="3"/>
  <c r="CJ46" i="4"/>
  <c r="CJ45" i="4" s="1"/>
  <c r="CI105" i="3"/>
  <c r="AX89" i="3"/>
  <c r="AX88" i="3"/>
  <c r="AX90" i="3"/>
  <c r="AL138" i="3"/>
  <c r="AL141" i="3" s="1"/>
  <c r="AQ91" i="2"/>
  <c r="CH105" i="3"/>
  <c r="CH106" i="3" s="1"/>
  <c r="CG13" i="3"/>
  <c r="K77" i="3"/>
  <c r="K56" i="2"/>
  <c r="K73" i="2"/>
  <c r="J74" i="2"/>
  <c r="J51" i="2"/>
  <c r="J90" i="2"/>
  <c r="O90" i="2"/>
  <c r="V138" i="3"/>
  <c r="V141" i="3" s="1"/>
  <c r="CL119" i="3"/>
  <c r="J84" i="3"/>
  <c r="J85" i="3" s="1"/>
  <c r="J80" i="3"/>
  <c r="CK127" i="3"/>
  <c r="AN84" i="3"/>
  <c r="AN85" i="3" s="1"/>
  <c r="AN80" i="3"/>
  <c r="Q86" i="3"/>
  <c r="AG86" i="3"/>
  <c r="AJ74" i="2"/>
  <c r="AJ51" i="2"/>
  <c r="CI48" i="2"/>
  <c r="AJ80" i="3"/>
  <c r="AJ84" i="3"/>
  <c r="AJ85" i="3" s="1"/>
  <c r="AN90" i="2"/>
  <c r="AN51" i="2"/>
  <c r="AN74" i="2"/>
  <c r="AS90" i="2"/>
  <c r="H89" i="3"/>
  <c r="H90" i="3"/>
  <c r="Q83" i="2"/>
  <c r="Q52" i="2"/>
  <c r="Q136" i="3" s="1"/>
  <c r="Q137" i="3" s="1"/>
  <c r="CL116" i="3"/>
  <c r="U74" i="2"/>
  <c r="U51" i="2"/>
  <c r="CL106" i="3"/>
  <c r="H138" i="3"/>
  <c r="H141" i="3" s="1"/>
  <c r="M91" i="2"/>
  <c r="H91" i="2"/>
  <c r="L138" i="3"/>
  <c r="L141" i="3" s="1"/>
  <c r="L91" i="2"/>
  <c r="AA91" i="2"/>
  <c r="CL129" i="3"/>
  <c r="CK122" i="3"/>
  <c r="U80" i="3"/>
  <c r="U84" i="3"/>
  <c r="U85" i="3" s="1"/>
  <c r="CC122" i="3"/>
  <c r="Z52" i="2"/>
  <c r="Z83" i="2"/>
  <c r="CL97" i="3"/>
  <c r="Z90" i="2"/>
  <c r="AX138" i="3"/>
  <c r="AX141" i="3" s="1"/>
  <c r="AO77" i="3"/>
  <c r="AO73" i="2"/>
  <c r="AO56" i="2"/>
  <c r="AG83" i="2"/>
  <c r="AL91" i="2" s="1"/>
  <c r="AG52" i="2"/>
  <c r="AG136" i="3" s="1"/>
  <c r="AG137" i="3" s="1"/>
  <c r="CK101" i="2" l="1"/>
  <c r="CJ100" i="2"/>
  <c r="CT63" i="3"/>
  <c r="CU63" i="3" s="1"/>
  <c r="CV63" i="3" s="1"/>
  <c r="CX63" i="3" s="1"/>
  <c r="CW63" i="3"/>
  <c r="CG7" i="4"/>
  <c r="CG13" i="4"/>
  <c r="CP50" i="4"/>
  <c r="CF7" i="11"/>
  <c r="CC28" i="11"/>
  <c r="I41" i="9"/>
  <c r="M41" i="9" s="1"/>
  <c r="CG28" i="11"/>
  <c r="CH21" i="2"/>
  <c r="CA83" i="2"/>
  <c r="CA52" i="2"/>
  <c r="O12" i="15"/>
  <c r="CA86" i="3"/>
  <c r="CU6" i="11"/>
  <c r="CS6" i="11"/>
  <c r="CW5" i="11"/>
  <c r="CW6" i="11" s="1"/>
  <c r="CW15" i="4"/>
  <c r="CW16" i="4" s="1"/>
  <c r="BC91" i="11"/>
  <c r="BC64" i="11"/>
  <c r="BC3" i="11"/>
  <c r="BC47" i="11"/>
  <c r="BC108" i="11"/>
  <c r="BA50" i="3"/>
  <c r="BA91" i="11"/>
  <c r="BA64" i="11"/>
  <c r="BA3" i="11"/>
  <c r="BA47" i="11"/>
  <c r="BA108" i="11"/>
  <c r="BG108" i="11"/>
  <c r="BG3" i="11"/>
  <c r="BG47" i="11"/>
  <c r="BG91" i="11"/>
  <c r="BG64" i="11"/>
  <c r="BE64" i="11"/>
  <c r="BE3" i="11"/>
  <c r="BE47" i="11"/>
  <c r="BE108" i="11"/>
  <c r="BE91" i="11"/>
  <c r="BD64" i="11"/>
  <c r="BD3" i="11"/>
  <c r="BD47" i="11"/>
  <c r="BD108" i="11"/>
  <c r="BD91" i="11"/>
  <c r="Y88" i="3"/>
  <c r="Z89" i="3"/>
  <c r="BM90" i="3"/>
  <c r="BM89" i="3"/>
  <c r="T90" i="3"/>
  <c r="T89" i="3"/>
  <c r="AX91" i="2"/>
  <c r="Y90" i="3"/>
  <c r="BQ88" i="3"/>
  <c r="BQ89" i="3"/>
  <c r="AP90" i="3"/>
  <c r="AP89" i="3"/>
  <c r="CY4" i="4"/>
  <c r="CX4" i="4"/>
  <c r="DA4" i="4"/>
  <c r="CL27" i="4"/>
  <c r="CK109" i="3"/>
  <c r="CK15" i="3" s="1"/>
  <c r="CW5" i="4"/>
  <c r="CW6" i="4" s="1"/>
  <c r="I86" i="3"/>
  <c r="I90" i="3" s="1"/>
  <c r="U90" i="2"/>
  <c r="AN86" i="3"/>
  <c r="AN90" i="3" s="1"/>
  <c r="BN86" i="3"/>
  <c r="BN90" i="3" s="1"/>
  <c r="D19" i="15" s="1"/>
  <c r="CO29" i="2"/>
  <c r="CO28" i="2" s="1"/>
  <c r="BW86" i="3"/>
  <c r="BW90" i="3" s="1"/>
  <c r="BV86" i="3"/>
  <c r="BV89" i="3" s="1"/>
  <c r="BU86" i="3"/>
  <c r="BU90" i="3" s="1"/>
  <c r="BA3" i="3"/>
  <c r="BA106" i="2"/>
  <c r="BA31" i="4"/>
  <c r="BA58" i="2"/>
  <c r="BA70" i="3"/>
  <c r="BA93" i="2"/>
  <c r="BA92" i="3"/>
  <c r="BA3" i="4"/>
  <c r="BA44" i="4"/>
  <c r="BA23" i="4"/>
  <c r="BA47" i="2"/>
  <c r="BA131" i="3"/>
  <c r="BA76" i="2"/>
  <c r="BA3" i="2"/>
  <c r="BA48" i="4"/>
  <c r="BA142" i="3"/>
  <c r="BB131" i="3"/>
  <c r="BB23" i="4"/>
  <c r="BB44" i="4"/>
  <c r="BB3" i="4"/>
  <c r="BB50" i="3"/>
  <c r="BB48" i="4"/>
  <c r="BB3" i="3"/>
  <c r="BB92" i="3"/>
  <c r="BB70" i="3"/>
  <c r="BB93" i="2"/>
  <c r="BB3" i="2"/>
  <c r="BB76" i="2"/>
  <c r="BB47" i="2"/>
  <c r="BB106" i="2"/>
  <c r="BB31" i="4"/>
  <c r="BB142" i="3"/>
  <c r="BB58" i="2"/>
  <c r="BE131" i="3"/>
  <c r="BE23" i="4"/>
  <c r="BE44" i="4"/>
  <c r="BE3" i="4"/>
  <c r="BE142" i="3"/>
  <c r="BE70" i="3"/>
  <c r="BE48" i="4"/>
  <c r="BE3" i="3"/>
  <c r="BE93" i="2"/>
  <c r="BE92" i="3"/>
  <c r="BE50" i="3"/>
  <c r="BE106" i="2"/>
  <c r="BE31" i="4"/>
  <c r="BE76" i="2"/>
  <c r="BE58" i="2"/>
  <c r="BE47" i="2"/>
  <c r="BE3" i="2"/>
  <c r="BC131" i="3"/>
  <c r="BC23" i="4"/>
  <c r="BC44" i="4"/>
  <c r="BC3" i="4"/>
  <c r="BC142" i="3"/>
  <c r="BC70" i="3"/>
  <c r="BC48" i="4"/>
  <c r="BC3" i="3"/>
  <c r="BC93" i="2"/>
  <c r="BC3" i="2"/>
  <c r="BC76" i="2"/>
  <c r="BC47" i="2"/>
  <c r="BC50" i="3"/>
  <c r="BC106" i="2"/>
  <c r="BC31" i="4"/>
  <c r="BC58" i="2"/>
  <c r="BC92" i="3"/>
  <c r="AY31" i="4"/>
  <c r="AY92" i="3"/>
  <c r="AY70" i="3"/>
  <c r="AY142" i="3"/>
  <c r="AY106" i="2"/>
  <c r="AY50" i="3"/>
  <c r="AY3" i="4"/>
  <c r="AY131" i="3"/>
  <c r="AY48" i="4"/>
  <c r="AY58" i="2"/>
  <c r="AY44" i="4"/>
  <c r="AY23" i="4"/>
  <c r="AY93" i="2"/>
  <c r="AY3" i="2"/>
  <c r="AY76" i="2"/>
  <c r="AY47" i="2"/>
  <c r="AY3" i="3"/>
  <c r="S138" i="3"/>
  <c r="S141" i="3" s="1"/>
  <c r="S91" i="2"/>
  <c r="BJ89" i="3"/>
  <c r="BJ90" i="3"/>
  <c r="BJ88" i="3"/>
  <c r="BW52" i="2"/>
  <c r="BW83" i="2"/>
  <c r="BU52" i="2"/>
  <c r="BU136" i="3" s="1"/>
  <c r="BU137" i="3" s="1"/>
  <c r="BU83" i="2"/>
  <c r="BZ91" i="2" s="1"/>
  <c r="O86" i="3"/>
  <c r="AD74" i="2"/>
  <c r="AD51" i="2"/>
  <c r="AD90" i="2"/>
  <c r="AI90" i="2"/>
  <c r="BC90" i="2"/>
  <c r="BC51" i="2"/>
  <c r="BC74" i="2"/>
  <c r="S90" i="3"/>
  <c r="S88" i="3"/>
  <c r="S89" i="3"/>
  <c r="CN58" i="3"/>
  <c r="CO31" i="3"/>
  <c r="CC55" i="2"/>
  <c r="I54" i="9" s="1"/>
  <c r="M54" i="9" s="1"/>
  <c r="BY56" i="2"/>
  <c r="BY53" i="2"/>
  <c r="BS74" i="2"/>
  <c r="E12" i="15" s="1"/>
  <c r="BS90" i="2"/>
  <c r="BS51" i="2"/>
  <c r="BD73" i="2"/>
  <c r="BD77" i="3"/>
  <c r="BD56" i="2"/>
  <c r="BX51" i="2"/>
  <c r="BX74" i="2"/>
  <c r="F12" i="15" s="1"/>
  <c r="BX90" i="2"/>
  <c r="O83" i="2"/>
  <c r="O52" i="2"/>
  <c r="O136" i="3" s="1"/>
  <c r="O137" i="3" s="1"/>
  <c r="BG90" i="3"/>
  <c r="BG89" i="3"/>
  <c r="BG88" i="3"/>
  <c r="F83" i="2"/>
  <c r="F138" i="3" s="1"/>
  <c r="F141" i="3" s="1"/>
  <c r="F52" i="2"/>
  <c r="BP86" i="3"/>
  <c r="BF86" i="3"/>
  <c r="BS84" i="3"/>
  <c r="BS85" i="3" s="1"/>
  <c r="BS80" i="3"/>
  <c r="BV52" i="2"/>
  <c r="BV136" i="3" s="1"/>
  <c r="BV137" i="3" s="1"/>
  <c r="BV83" i="2"/>
  <c r="AV90" i="3"/>
  <c r="AV88" i="3"/>
  <c r="AV89" i="3"/>
  <c r="BH151" i="3"/>
  <c r="BI151" i="3" s="1"/>
  <c r="BI152" i="3" s="1"/>
  <c r="BH77" i="3"/>
  <c r="BH73" i="2"/>
  <c r="BH56" i="2"/>
  <c r="BI45" i="2"/>
  <c r="BI5" i="14" s="1"/>
  <c r="BI7" i="14" s="1"/>
  <c r="BX84" i="3"/>
  <c r="BX85" i="3" s="1"/>
  <c r="BX80" i="3"/>
  <c r="AY77" i="3"/>
  <c r="AY73" i="2"/>
  <c r="AY56" i="2"/>
  <c r="BJ138" i="3"/>
  <c r="BJ141" i="3" s="1"/>
  <c r="BJ91" i="2"/>
  <c r="AV138" i="3"/>
  <c r="AV141" i="3" s="1"/>
  <c r="AV91" i="2"/>
  <c r="BR52" i="2"/>
  <c r="BR136" i="3" s="1"/>
  <c r="BR137" i="3" s="1"/>
  <c r="BR83" i="2"/>
  <c r="BL138" i="3"/>
  <c r="BL141" i="3" s="1"/>
  <c r="BL91" i="2"/>
  <c r="AW84" i="3"/>
  <c r="AW85" i="3" s="1"/>
  <c r="AW80" i="3"/>
  <c r="I83" i="2"/>
  <c r="I52" i="2"/>
  <c r="I136" i="3" s="1"/>
  <c r="I137" i="3" s="1"/>
  <c r="BR86" i="3"/>
  <c r="BN83" i="2"/>
  <c r="BN138" i="3" s="1"/>
  <c r="BN141" i="3" s="1"/>
  <c r="BN52" i="2"/>
  <c r="BO91" i="2"/>
  <c r="AP138" i="3"/>
  <c r="AP141" i="3" s="1"/>
  <c r="AP91" i="2"/>
  <c r="AU91" i="2"/>
  <c r="P74" i="2"/>
  <c r="P51" i="2"/>
  <c r="BF83" i="2"/>
  <c r="BF52" i="2"/>
  <c r="BF136" i="3" s="1"/>
  <c r="BF137" i="3" s="1"/>
  <c r="BC80" i="3"/>
  <c r="BC84" i="3"/>
  <c r="BC85" i="3" s="1"/>
  <c r="BL89" i="3"/>
  <c r="BL90" i="3"/>
  <c r="BL88" i="3"/>
  <c r="AS88" i="3"/>
  <c r="AS89" i="3"/>
  <c r="AS90" i="3"/>
  <c r="BQ138" i="3"/>
  <c r="BQ141" i="3" s="1"/>
  <c r="BQ91" i="2"/>
  <c r="AT52" i="2"/>
  <c r="AT83" i="2"/>
  <c r="AT138" i="3" s="1"/>
  <c r="AT141" i="3" s="1"/>
  <c r="AD80" i="3"/>
  <c r="AD84" i="3"/>
  <c r="AD85" i="3" s="1"/>
  <c r="AE73" i="2"/>
  <c r="AE56" i="2"/>
  <c r="AE77" i="3"/>
  <c r="BP83" i="2"/>
  <c r="BP52" i="2"/>
  <c r="BP136" i="3" s="1"/>
  <c r="BP137" i="3" s="1"/>
  <c r="X91" i="2"/>
  <c r="Y138" i="3"/>
  <c r="Y141" i="3" s="1"/>
  <c r="Y91" i="2"/>
  <c r="AI89" i="3"/>
  <c r="AI88" i="3"/>
  <c r="AI90" i="3"/>
  <c r="AW90" i="2"/>
  <c r="AW51" i="2"/>
  <c r="AW74" i="2"/>
  <c r="BB90" i="2"/>
  <c r="AT86" i="3"/>
  <c r="CP44" i="3"/>
  <c r="CP49" i="2" s="1"/>
  <c r="BG138" i="3"/>
  <c r="BG141" i="3" s="1"/>
  <c r="BG91" i="2"/>
  <c r="P84" i="3"/>
  <c r="P85" i="3" s="1"/>
  <c r="P80" i="3"/>
  <c r="CF59" i="3"/>
  <c r="Z136" i="3"/>
  <c r="Z137" i="3" s="1"/>
  <c r="AJ83" i="2"/>
  <c r="AJ52" i="2"/>
  <c r="CN116" i="3"/>
  <c r="J52" i="2"/>
  <c r="J136" i="3" s="1"/>
  <c r="J137" i="3" s="1"/>
  <c r="J83" i="2"/>
  <c r="U86" i="3"/>
  <c r="CL122" i="3"/>
  <c r="CL127" i="3"/>
  <c r="K90" i="2"/>
  <c r="K51" i="2"/>
  <c r="K74" i="2"/>
  <c r="P90" i="2"/>
  <c r="AO80" i="3"/>
  <c r="AO84" i="3"/>
  <c r="AO85" i="3" s="1"/>
  <c r="Z138" i="3"/>
  <c r="Z141" i="3" s="1"/>
  <c r="Q138" i="3"/>
  <c r="Q141" i="3" s="1"/>
  <c r="Q91" i="2"/>
  <c r="CN129" i="3"/>
  <c r="U83" i="2"/>
  <c r="U52" i="2"/>
  <c r="K80" i="3"/>
  <c r="K84" i="3"/>
  <c r="K85" i="3" s="1"/>
  <c r="CN106" i="3"/>
  <c r="V91" i="2"/>
  <c r="CH13" i="3"/>
  <c r="CJ48" i="2"/>
  <c r="CJ53" i="2" s="1"/>
  <c r="CI13" i="3"/>
  <c r="CN119" i="3"/>
  <c r="AG138" i="3"/>
  <c r="AG141" i="3" s="1"/>
  <c r="AG91" i="2"/>
  <c r="CM97" i="3"/>
  <c r="AG88" i="3"/>
  <c r="AG89" i="3"/>
  <c r="AG90" i="3"/>
  <c r="CK46" i="4"/>
  <c r="CK45" i="4" s="1"/>
  <c r="CJ105" i="3"/>
  <c r="AO90" i="2"/>
  <c r="AO74" i="2"/>
  <c r="AO51" i="2"/>
  <c r="AT90" i="2"/>
  <c r="CZ15" i="4"/>
  <c r="CZ5" i="4"/>
  <c r="CZ5" i="11" s="1"/>
  <c r="CZ6" i="11" s="1"/>
  <c r="AJ86" i="3"/>
  <c r="AN83" i="2"/>
  <c r="AN52" i="2"/>
  <c r="AN136" i="3" s="1"/>
  <c r="AN137" i="3" s="1"/>
  <c r="Q88" i="3"/>
  <c r="Q90" i="3"/>
  <c r="Q89" i="3"/>
  <c r="J86" i="3"/>
  <c r="CY63" i="3" l="1"/>
  <c r="CZ63" i="3" s="1"/>
  <c r="DA63" i="3" s="1"/>
  <c r="DB63" i="3"/>
  <c r="CL101" i="2"/>
  <c r="CK100" i="2"/>
  <c r="CF8" i="11"/>
  <c r="CG7" i="11"/>
  <c r="CG8" i="11" s="1"/>
  <c r="CH7" i="4"/>
  <c r="CH8" i="4" s="1"/>
  <c r="CQ50" i="4"/>
  <c r="CR50" i="4" s="1"/>
  <c r="CI7" i="4"/>
  <c r="CH28" i="11"/>
  <c r="N41" i="9"/>
  <c r="P41" i="9" s="1"/>
  <c r="CQ21" i="2"/>
  <c r="CM21" i="2"/>
  <c r="CL28" i="11"/>
  <c r="BW136" i="3"/>
  <c r="BW137" i="3" s="1"/>
  <c r="CA136" i="3"/>
  <c r="CA137" i="3" s="1"/>
  <c r="CA88" i="3"/>
  <c r="CA90" i="3"/>
  <c r="O19" i="15" s="1"/>
  <c r="CA89" i="3"/>
  <c r="O18" i="15" s="1"/>
  <c r="CA138" i="3"/>
  <c r="CC53" i="2"/>
  <c r="G14" i="15"/>
  <c r="CA91" i="2"/>
  <c r="DA15" i="4"/>
  <c r="DA4" i="11"/>
  <c r="CX25" i="4"/>
  <c r="CX4" i="11"/>
  <c r="CY15" i="4"/>
  <c r="CY4" i="11"/>
  <c r="CX5" i="4"/>
  <c r="CX5" i="11" s="1"/>
  <c r="DA25" i="4"/>
  <c r="DB25" i="4" s="1"/>
  <c r="DA5" i="4"/>
  <c r="DA5" i="11" s="1"/>
  <c r="CX15" i="4"/>
  <c r="BI3" i="11"/>
  <c r="BI47" i="11"/>
  <c r="BI108" i="11"/>
  <c r="BI91" i="11"/>
  <c r="BI64" i="11"/>
  <c r="BJ47" i="11"/>
  <c r="BJ108" i="11"/>
  <c r="BJ91" i="11"/>
  <c r="BJ64" i="11"/>
  <c r="BJ3" i="11"/>
  <c r="BL108" i="11"/>
  <c r="BL91" i="11"/>
  <c r="BL64" i="11"/>
  <c r="BL3" i="11"/>
  <c r="BL47" i="11"/>
  <c r="CZ25" i="4"/>
  <c r="BF70" i="3"/>
  <c r="BF3" i="11"/>
  <c r="BF47" i="11"/>
  <c r="BF108" i="11"/>
  <c r="BF91" i="11"/>
  <c r="BF64" i="11"/>
  <c r="CY5" i="4"/>
  <c r="CY5" i="11" s="1"/>
  <c r="DB4" i="4"/>
  <c r="BH3" i="11"/>
  <c r="BH47" i="11"/>
  <c r="BH108" i="11"/>
  <c r="BH91" i="11"/>
  <c r="BH64" i="11"/>
  <c r="CY25" i="4"/>
  <c r="I89" i="3"/>
  <c r="AN88" i="3"/>
  <c r="AN89" i="3"/>
  <c r="DA11" i="4"/>
  <c r="CY11" i="4"/>
  <c r="CZ11" i="4"/>
  <c r="CX11" i="4"/>
  <c r="CM27" i="4"/>
  <c r="CN27" i="4" s="1"/>
  <c r="CL109" i="3"/>
  <c r="CM109" i="3" s="1"/>
  <c r="BW88" i="3"/>
  <c r="BW89" i="3"/>
  <c r="BN89" i="3"/>
  <c r="D18" i="15" s="1"/>
  <c r="BV90" i="3"/>
  <c r="BV88" i="3"/>
  <c r="BU89" i="3"/>
  <c r="BU88" i="3"/>
  <c r="F136" i="3"/>
  <c r="F137" i="3" s="1"/>
  <c r="AD86" i="3"/>
  <c r="AD89" i="3" s="1"/>
  <c r="AT136" i="3"/>
  <c r="AT137" i="3" s="1"/>
  <c r="BC86" i="3"/>
  <c r="BC88" i="3" s="1"/>
  <c r="AW86" i="3"/>
  <c r="AW88" i="3" s="1"/>
  <c r="BN136" i="3"/>
  <c r="BN137" i="3" s="1"/>
  <c r="CP29" i="2"/>
  <c r="CP28" i="2" s="1"/>
  <c r="BF106" i="2"/>
  <c r="BF50" i="3"/>
  <c r="BF92" i="3"/>
  <c r="BF93" i="2"/>
  <c r="BF131" i="3"/>
  <c r="BF48" i="4"/>
  <c r="BF3" i="3"/>
  <c r="BF142" i="3"/>
  <c r="BF47" i="2"/>
  <c r="BF3" i="4"/>
  <c r="BF76" i="2"/>
  <c r="BF44" i="4"/>
  <c r="BF58" i="2"/>
  <c r="BF23" i="4"/>
  <c r="BF31" i="4"/>
  <c r="BF3" i="2"/>
  <c r="BH142" i="3"/>
  <c r="BH70" i="3"/>
  <c r="BH48" i="4"/>
  <c r="BH31" i="4"/>
  <c r="BH92" i="3"/>
  <c r="BH3" i="4"/>
  <c r="BH131" i="3"/>
  <c r="BH93" i="2"/>
  <c r="BH106" i="2"/>
  <c r="BH44" i="4"/>
  <c r="BH23" i="4"/>
  <c r="BH58" i="2"/>
  <c r="BH50" i="3"/>
  <c r="BH47" i="2"/>
  <c r="BH3" i="2"/>
  <c r="BH3" i="3"/>
  <c r="BH76" i="2"/>
  <c r="BG44" i="4"/>
  <c r="BG3" i="4"/>
  <c r="BG142" i="3"/>
  <c r="BG70" i="3"/>
  <c r="BG48" i="4"/>
  <c r="BG31" i="4"/>
  <c r="BG92" i="3"/>
  <c r="BG131" i="3"/>
  <c r="BG93" i="2"/>
  <c r="BG23" i="4"/>
  <c r="BG58" i="2"/>
  <c r="BG50" i="3"/>
  <c r="BG47" i="2"/>
  <c r="BG3" i="2"/>
  <c r="BG3" i="3"/>
  <c r="BG106" i="2"/>
  <c r="BG76" i="2"/>
  <c r="BJ48" i="4"/>
  <c r="BJ31" i="4"/>
  <c r="BJ92" i="3"/>
  <c r="BJ106" i="2"/>
  <c r="BJ44" i="4"/>
  <c r="BJ50" i="3"/>
  <c r="BJ58" i="2"/>
  <c r="BJ3" i="4"/>
  <c r="BJ3" i="2"/>
  <c r="BJ93" i="2"/>
  <c r="BJ142" i="3"/>
  <c r="BJ70" i="3"/>
  <c r="BJ131" i="3"/>
  <c r="BJ3" i="3"/>
  <c r="BJ47" i="2"/>
  <c r="BJ23" i="4"/>
  <c r="BJ76" i="2"/>
  <c r="BD131" i="3"/>
  <c r="BD23" i="4"/>
  <c r="BD44" i="4"/>
  <c r="BD3" i="4"/>
  <c r="BD142" i="3"/>
  <c r="BD70" i="3"/>
  <c r="BD48" i="4"/>
  <c r="BD3" i="3"/>
  <c r="BD93" i="2"/>
  <c r="BD76" i="2"/>
  <c r="BD47" i="2"/>
  <c r="BD50" i="3"/>
  <c r="BD106" i="2"/>
  <c r="BD31" i="4"/>
  <c r="BD58" i="2"/>
  <c r="BD92" i="3"/>
  <c r="BD3" i="2"/>
  <c r="CQ44" i="3"/>
  <c r="CQ49" i="2" s="1"/>
  <c r="BR88" i="3"/>
  <c r="BR90" i="3"/>
  <c r="BR89" i="3"/>
  <c r="AT89" i="3"/>
  <c r="AT90" i="3"/>
  <c r="BP138" i="3"/>
  <c r="BP141" i="3" s="1"/>
  <c r="BP91" i="2"/>
  <c r="BW138" i="3"/>
  <c r="BW141" i="3" s="1"/>
  <c r="BW91" i="2"/>
  <c r="AE80" i="3"/>
  <c r="AE84" i="3"/>
  <c r="AE85" i="3" s="1"/>
  <c r="I91" i="2"/>
  <c r="I138" i="3"/>
  <c r="I141" i="3" s="1"/>
  <c r="N91" i="2"/>
  <c r="AE74" i="2"/>
  <c r="AE90" i="2"/>
  <c r="AE51" i="2"/>
  <c r="AJ90" i="2"/>
  <c r="P83" i="2"/>
  <c r="P138" i="3" s="1"/>
  <c r="P141" i="3" s="1"/>
  <c r="P52" i="2"/>
  <c r="AY74" i="2"/>
  <c r="AY90" i="2"/>
  <c r="AY51" i="2"/>
  <c r="BV138" i="3"/>
  <c r="BV141" i="3" s="1"/>
  <c r="BV91" i="2"/>
  <c r="AY84" i="3"/>
  <c r="AY85" i="3" s="1"/>
  <c r="AY80" i="3"/>
  <c r="BX86" i="3"/>
  <c r="BS86" i="3"/>
  <c r="BS83" i="2"/>
  <c r="BS52" i="2"/>
  <c r="AW83" i="2"/>
  <c r="AW52" i="2"/>
  <c r="AW136" i="3" s="1"/>
  <c r="AW137" i="3" s="1"/>
  <c r="P86" i="3"/>
  <c r="BU138" i="3"/>
  <c r="BU141" i="3" s="1"/>
  <c r="BU91" i="2"/>
  <c r="BI77" i="3"/>
  <c r="BI73" i="2"/>
  <c r="C11" i="15" s="1"/>
  <c r="BI56" i="2"/>
  <c r="BF89" i="3"/>
  <c r="BF88" i="3"/>
  <c r="BF90" i="3"/>
  <c r="BX83" i="2"/>
  <c r="C19" i="9" s="1"/>
  <c r="BX52" i="2"/>
  <c r="BF138" i="3"/>
  <c r="BF141" i="3" s="1"/>
  <c r="BF91" i="2"/>
  <c r="BK91" i="2"/>
  <c r="BD90" i="2"/>
  <c r="BD74" i="2"/>
  <c r="BD5" i="14" s="1"/>
  <c r="BD7" i="14" s="1"/>
  <c r="BD51" i="2"/>
  <c r="BR138" i="3"/>
  <c r="BR141" i="3" s="1"/>
  <c r="BR91" i="2"/>
  <c r="BP88" i="3"/>
  <c r="BP89" i="3"/>
  <c r="BP90" i="3"/>
  <c r="O138" i="3"/>
  <c r="O141" i="3" s="1"/>
  <c r="T91" i="2"/>
  <c r="AD83" i="2"/>
  <c r="AD52" i="2"/>
  <c r="AD136" i="3" s="1"/>
  <c r="AD137" i="3" s="1"/>
  <c r="BH80" i="3"/>
  <c r="BH84" i="3"/>
  <c r="BH85" i="3" s="1"/>
  <c r="BD84" i="3"/>
  <c r="BD85" i="3" s="1"/>
  <c r="BD80" i="3"/>
  <c r="BC52" i="2"/>
  <c r="BC136" i="3" s="1"/>
  <c r="BC137" i="3" s="1"/>
  <c r="BC83" i="2"/>
  <c r="BH90" i="2"/>
  <c r="BH74" i="2"/>
  <c r="BH51" i="2"/>
  <c r="BM90" i="2"/>
  <c r="CO58" i="3"/>
  <c r="CP31" i="3"/>
  <c r="O90" i="3"/>
  <c r="O88" i="3"/>
  <c r="O89" i="3"/>
  <c r="CF32" i="3"/>
  <c r="CG60" i="3"/>
  <c r="CH60" i="3" s="1"/>
  <c r="CH61" i="3" s="1"/>
  <c r="CO106" i="3"/>
  <c r="CN122" i="3"/>
  <c r="K83" i="2"/>
  <c r="K52" i="2"/>
  <c r="AN138" i="3"/>
  <c r="AN141" i="3" s="1"/>
  <c r="AN91" i="2"/>
  <c r="AS91" i="2"/>
  <c r="AO83" i="2"/>
  <c r="AO52" i="2"/>
  <c r="I13" i="9"/>
  <c r="CO119" i="3"/>
  <c r="U136" i="3"/>
  <c r="U137" i="3" s="1"/>
  <c r="CN127" i="3"/>
  <c r="J90" i="3"/>
  <c r="J88" i="3"/>
  <c r="J89" i="3"/>
  <c r="CN97" i="3"/>
  <c r="CO116" i="3"/>
  <c r="AJ136" i="3"/>
  <c r="AJ137" i="3" s="1"/>
  <c r="K86" i="3"/>
  <c r="AJ138" i="3"/>
  <c r="AJ141" i="3" s="1"/>
  <c r="U138" i="3"/>
  <c r="U141" i="3" s="1"/>
  <c r="CL46" i="4"/>
  <c r="CL45" i="4" s="1"/>
  <c r="CK105" i="3"/>
  <c r="U89" i="3"/>
  <c r="U90" i="3"/>
  <c r="AO86" i="3"/>
  <c r="CO129" i="3"/>
  <c r="AJ89" i="3"/>
  <c r="AJ90" i="3"/>
  <c r="Z91" i="2"/>
  <c r="J138" i="3"/>
  <c r="J141" i="3" s="1"/>
  <c r="J91" i="2"/>
  <c r="O91" i="2"/>
  <c r="CK48" i="2"/>
  <c r="CK53" i="2" s="1"/>
  <c r="CJ13" i="3"/>
  <c r="CN101" i="2" l="1"/>
  <c r="CL100" i="2"/>
  <c r="CI7" i="11"/>
  <c r="CI8" i="11" s="1"/>
  <c r="CS50" i="4"/>
  <c r="CJ7" i="4"/>
  <c r="CJ7" i="11" s="1"/>
  <c r="CJ8" i="11" s="1"/>
  <c r="K13" i="9"/>
  <c r="O13" i="9"/>
  <c r="M13" i="9"/>
  <c r="CI13" i="4"/>
  <c r="CJ13" i="4"/>
  <c r="CH7" i="11"/>
  <c r="CH8" i="11" s="1"/>
  <c r="Q41" i="9"/>
  <c r="S41" i="9" s="1"/>
  <c r="CM28" i="11"/>
  <c r="CR21" i="2"/>
  <c r="CR28" i="11" s="1"/>
  <c r="CQ28" i="11"/>
  <c r="CV21" i="2"/>
  <c r="DB15" i="4"/>
  <c r="DB16" i="4" s="1"/>
  <c r="DA6" i="11"/>
  <c r="CY6" i="11"/>
  <c r="CM110" i="3"/>
  <c r="CN110" i="3" s="1"/>
  <c r="CO110" i="3" s="1"/>
  <c r="CP110" i="3" s="1"/>
  <c r="CQ110" i="3" s="1"/>
  <c r="CX6" i="11"/>
  <c r="DB5" i="11"/>
  <c r="DB5" i="4"/>
  <c r="DB6" i="4" s="1"/>
  <c r="DB4" i="11"/>
  <c r="BO91" i="11"/>
  <c r="BO64" i="11"/>
  <c r="BO3" i="11"/>
  <c r="BO47" i="11"/>
  <c r="BO108" i="11"/>
  <c r="BK50" i="3"/>
  <c r="BK47" i="11"/>
  <c r="BK108" i="11"/>
  <c r="BK91" i="11"/>
  <c r="BK64" i="11"/>
  <c r="BK3" i="11"/>
  <c r="BV47" i="11"/>
  <c r="BV108" i="11"/>
  <c r="BV91" i="11"/>
  <c r="BV64" i="11"/>
  <c r="BV3" i="11"/>
  <c r="BM91" i="11"/>
  <c r="BM64" i="11"/>
  <c r="BM3" i="11"/>
  <c r="BM47" i="11"/>
  <c r="BM108" i="11"/>
  <c r="BT3" i="11"/>
  <c r="BT47" i="11"/>
  <c r="BT108" i="11"/>
  <c r="BT91" i="11"/>
  <c r="BT64" i="11"/>
  <c r="BQ108" i="11"/>
  <c r="BQ64" i="11"/>
  <c r="BQ3" i="11"/>
  <c r="BQ47" i="11"/>
  <c r="BQ91" i="11"/>
  <c r="BN91" i="11"/>
  <c r="BN64" i="11"/>
  <c r="BN3" i="11"/>
  <c r="BN47" i="11"/>
  <c r="BN108" i="11"/>
  <c r="BC90" i="3"/>
  <c r="AD90" i="3"/>
  <c r="AD88" i="3"/>
  <c r="CO27" i="4"/>
  <c r="AW90" i="3"/>
  <c r="BC89" i="3"/>
  <c r="P136" i="3"/>
  <c r="P137" i="3" s="1"/>
  <c r="AY86" i="3"/>
  <c r="AY90" i="3" s="1"/>
  <c r="AW89" i="3"/>
  <c r="BD86" i="3"/>
  <c r="BD90" i="3" s="1"/>
  <c r="BS136" i="3"/>
  <c r="BS137" i="3" s="1"/>
  <c r="CQ29" i="2"/>
  <c r="CQ28" i="2" s="1"/>
  <c r="CR28" i="2" s="1"/>
  <c r="BX136" i="3"/>
  <c r="BX137" i="3" s="1"/>
  <c r="C22" i="9" s="1"/>
  <c r="BK131" i="3"/>
  <c r="BK44" i="4"/>
  <c r="BK70" i="3"/>
  <c r="BK48" i="4"/>
  <c r="BK106" i="2"/>
  <c r="BK31" i="4"/>
  <c r="BK3" i="3"/>
  <c r="BK142" i="3"/>
  <c r="BK3" i="2"/>
  <c r="BK3" i="4"/>
  <c r="BK58" i="2"/>
  <c r="BK47" i="2"/>
  <c r="BK76" i="2"/>
  <c r="BK92" i="3"/>
  <c r="BK23" i="4"/>
  <c r="BK93" i="2"/>
  <c r="BO131" i="3"/>
  <c r="BO23" i="4"/>
  <c r="BO44" i="4"/>
  <c r="BO3" i="4"/>
  <c r="BO142" i="3"/>
  <c r="BO70" i="3"/>
  <c r="BO92" i="3"/>
  <c r="BO3" i="3"/>
  <c r="BO31" i="4"/>
  <c r="BO3" i="2"/>
  <c r="BO76" i="2"/>
  <c r="BO47" i="2"/>
  <c r="BO106" i="2"/>
  <c r="BO93" i="2"/>
  <c r="BO48" i="4"/>
  <c r="BO58" i="2"/>
  <c r="BO50" i="3"/>
  <c r="BL31" i="4"/>
  <c r="BL92" i="3"/>
  <c r="BL131" i="3"/>
  <c r="BL106" i="2"/>
  <c r="BL44" i="4"/>
  <c r="BL50" i="3"/>
  <c r="BL23" i="4"/>
  <c r="BL70" i="3"/>
  <c r="BL3" i="3"/>
  <c r="BL3" i="4"/>
  <c r="BL3" i="2"/>
  <c r="BL76" i="2"/>
  <c r="BL47" i="2"/>
  <c r="BL58" i="2"/>
  <c r="BL48" i="4"/>
  <c r="BL93" i="2"/>
  <c r="BL142" i="3"/>
  <c r="BM131" i="3"/>
  <c r="BM23" i="4"/>
  <c r="BM106" i="2"/>
  <c r="BM44" i="4"/>
  <c r="BM50" i="3"/>
  <c r="BM92" i="3"/>
  <c r="BM70" i="3"/>
  <c r="BM3" i="3"/>
  <c r="BM142" i="3"/>
  <c r="BM31" i="4"/>
  <c r="BM3" i="4"/>
  <c r="BM3" i="2"/>
  <c r="BM76" i="2"/>
  <c r="BM47" i="2"/>
  <c r="BM48" i="4"/>
  <c r="BM93" i="2"/>
  <c r="BM58" i="2"/>
  <c r="BI48" i="4"/>
  <c r="BI31" i="4"/>
  <c r="BI92" i="3"/>
  <c r="BI3" i="4"/>
  <c r="BI131" i="3"/>
  <c r="BI93" i="2"/>
  <c r="BI106" i="2"/>
  <c r="BI44" i="4"/>
  <c r="BI50" i="3"/>
  <c r="BI23" i="4"/>
  <c r="BI70" i="3"/>
  <c r="BI58" i="2"/>
  <c r="BI142" i="3"/>
  <c r="BI3" i="3"/>
  <c r="BI3" i="2"/>
  <c r="BI76" i="2"/>
  <c r="BI47" i="2"/>
  <c r="U91" i="2"/>
  <c r="AW138" i="3"/>
  <c r="AW141" i="3" s="1"/>
  <c r="AW91" i="2"/>
  <c r="BB91" i="2"/>
  <c r="AE83" i="2"/>
  <c r="AE52" i="2"/>
  <c r="P90" i="3"/>
  <c r="P89" i="3"/>
  <c r="BH86" i="3"/>
  <c r="BI90" i="2"/>
  <c r="BI74" i="2"/>
  <c r="C12" i="15" s="1"/>
  <c r="BI51" i="2"/>
  <c r="BN90" i="2"/>
  <c r="BS138" i="3"/>
  <c r="BS141" i="3" s="1"/>
  <c r="BS91" i="2"/>
  <c r="AY83" i="2"/>
  <c r="AY52" i="2"/>
  <c r="BH83" i="2"/>
  <c r="BH52" i="2"/>
  <c r="BH136" i="3" s="1"/>
  <c r="BH137" i="3" s="1"/>
  <c r="CL15" i="3"/>
  <c r="CM15" i="3" s="1"/>
  <c r="BX138" i="3"/>
  <c r="BX141" i="3" s="1"/>
  <c r="BX91" i="2"/>
  <c r="CQ31" i="3"/>
  <c r="CP58" i="3"/>
  <c r="BD52" i="2"/>
  <c r="BD83" i="2"/>
  <c r="BS90" i="3"/>
  <c r="E19" i="15" s="1"/>
  <c r="BS89" i="3"/>
  <c r="E18" i="15" s="1"/>
  <c r="CR44" i="3"/>
  <c r="CS44" i="3" s="1"/>
  <c r="CS49" i="2" s="1"/>
  <c r="CR49" i="2"/>
  <c r="BC91" i="2"/>
  <c r="BC138" i="3"/>
  <c r="BC141" i="3" s="1"/>
  <c r="BI84" i="3"/>
  <c r="BI85" i="3" s="1"/>
  <c r="BI80" i="3"/>
  <c r="AD138" i="3"/>
  <c r="AD141" i="3" s="1"/>
  <c r="AI91" i="2"/>
  <c r="AD91" i="2"/>
  <c r="BX90" i="3"/>
  <c r="F19" i="15" s="1"/>
  <c r="BX89" i="3"/>
  <c r="F18" i="15" s="1"/>
  <c r="AE86" i="3"/>
  <c r="CG59" i="3"/>
  <c r="CG32" i="3" s="1"/>
  <c r="CH32" i="3" s="1"/>
  <c r="CF99" i="2"/>
  <c r="CP106" i="3"/>
  <c r="CL48" i="2"/>
  <c r="CP116" i="3"/>
  <c r="K138" i="3"/>
  <c r="K141" i="3" s="1"/>
  <c r="K91" i="2"/>
  <c r="P91" i="2"/>
  <c r="AO136" i="3"/>
  <c r="AO137" i="3" s="1"/>
  <c r="CK13" i="3"/>
  <c r="K90" i="3"/>
  <c r="K89" i="3"/>
  <c r="CP129" i="3"/>
  <c r="BZ27" i="2"/>
  <c r="AO138" i="3"/>
  <c r="AO141" i="3" s="1"/>
  <c r="AO91" i="2"/>
  <c r="AT91" i="2"/>
  <c r="CO122" i="3"/>
  <c r="CP119" i="3"/>
  <c r="CO97" i="3"/>
  <c r="CO127" i="3"/>
  <c r="CM45" i="4"/>
  <c r="CM46" i="4" s="1"/>
  <c r="CN46" i="4"/>
  <c r="CN45" i="4" s="1"/>
  <c r="CL105" i="3"/>
  <c r="K136" i="3"/>
  <c r="K137" i="3" s="1"/>
  <c r="AO90" i="3"/>
  <c r="AO89" i="3"/>
  <c r="CT50" i="4" l="1"/>
  <c r="CO101" i="2"/>
  <c r="CN100" i="2"/>
  <c r="CK13" i="4"/>
  <c r="CK7" i="4"/>
  <c r="CV28" i="11"/>
  <c r="DA21" i="2"/>
  <c r="CW21" i="2"/>
  <c r="CW28" i="11" s="1"/>
  <c r="CN109" i="3"/>
  <c r="CN15" i="3" s="1"/>
  <c r="AY89" i="3"/>
  <c r="DB6" i="11"/>
  <c r="BR3" i="11"/>
  <c r="BR47" i="11"/>
  <c r="BR108" i="11"/>
  <c r="BR91" i="11"/>
  <c r="BR64" i="11"/>
  <c r="BS3" i="11"/>
  <c r="BS47" i="11"/>
  <c r="BS108" i="11"/>
  <c r="BS91" i="11"/>
  <c r="BS64" i="11"/>
  <c r="BU3" i="11"/>
  <c r="BU47" i="11"/>
  <c r="BU108" i="11"/>
  <c r="BU91" i="11"/>
  <c r="BU64" i="11"/>
  <c r="BP3" i="4"/>
  <c r="BP64" i="11"/>
  <c r="BP3" i="11"/>
  <c r="BP47" i="11"/>
  <c r="BP108" i="11"/>
  <c r="BP91" i="11"/>
  <c r="CP27" i="4"/>
  <c r="CO109" i="3"/>
  <c r="CO15" i="3" s="1"/>
  <c r="BD89" i="3"/>
  <c r="AE136" i="3"/>
  <c r="AE137" i="3" s="1"/>
  <c r="BD136" i="3"/>
  <c r="BD137" i="3" s="1"/>
  <c r="AY136" i="3"/>
  <c r="AY137" i="3" s="1"/>
  <c r="CS29" i="2"/>
  <c r="CS28" i="2" s="1"/>
  <c r="CR29" i="2"/>
  <c r="BP48" i="4"/>
  <c r="BP47" i="2"/>
  <c r="BP44" i="4"/>
  <c r="BP23" i="4"/>
  <c r="BP76" i="2"/>
  <c r="BP131" i="3"/>
  <c r="BP31" i="4"/>
  <c r="BP3" i="3"/>
  <c r="BP92" i="3"/>
  <c r="BP3" i="2"/>
  <c r="BP70" i="3"/>
  <c r="BP50" i="3"/>
  <c r="BP93" i="2"/>
  <c r="BP58" i="2"/>
  <c r="BP142" i="3"/>
  <c r="BP106" i="2"/>
  <c r="BN131" i="3"/>
  <c r="BN23" i="4"/>
  <c r="BN44" i="4"/>
  <c r="BN3" i="4"/>
  <c r="BN50" i="3"/>
  <c r="BN92" i="3"/>
  <c r="BN70" i="3"/>
  <c r="BN3" i="3"/>
  <c r="BN142" i="3"/>
  <c r="BN31" i="4"/>
  <c r="BN3" i="2"/>
  <c r="BN76" i="2"/>
  <c r="BN47" i="2"/>
  <c r="BN48" i="4"/>
  <c r="BN106" i="2"/>
  <c r="BN58" i="2"/>
  <c r="BN93" i="2"/>
  <c r="BU48" i="4"/>
  <c r="BU31" i="4"/>
  <c r="BU92" i="3"/>
  <c r="BU93" i="2"/>
  <c r="BU23" i="4"/>
  <c r="BU70" i="3"/>
  <c r="BU142" i="3"/>
  <c r="BU106" i="2"/>
  <c r="BU50" i="3"/>
  <c r="BU3" i="4"/>
  <c r="BU3" i="3"/>
  <c r="BU58" i="2"/>
  <c r="BU76" i="2"/>
  <c r="BU44" i="4"/>
  <c r="BU47" i="2"/>
  <c r="BU3" i="2"/>
  <c r="BU131" i="3"/>
  <c r="BR23" i="4"/>
  <c r="BR44" i="4"/>
  <c r="BR3" i="4"/>
  <c r="BR142" i="3"/>
  <c r="BR70" i="3"/>
  <c r="BR48" i="4"/>
  <c r="BR31" i="4"/>
  <c r="BR93" i="2"/>
  <c r="BR3" i="3"/>
  <c r="BR58" i="2"/>
  <c r="BR76" i="2"/>
  <c r="BR92" i="3"/>
  <c r="BR131" i="3"/>
  <c r="BR106" i="2"/>
  <c r="BR3" i="2"/>
  <c r="BR50" i="3"/>
  <c r="BR47" i="2"/>
  <c r="BQ131" i="3"/>
  <c r="BQ23" i="4"/>
  <c r="BQ44" i="4"/>
  <c r="BQ3" i="4"/>
  <c r="BQ142" i="3"/>
  <c r="BQ70" i="3"/>
  <c r="BQ48" i="4"/>
  <c r="BQ3" i="3"/>
  <c r="BQ31" i="4"/>
  <c r="BQ93" i="2"/>
  <c r="BQ76" i="2"/>
  <c r="BQ58" i="2"/>
  <c r="BQ92" i="3"/>
  <c r="BQ106" i="2"/>
  <c r="BQ50" i="3"/>
  <c r="BQ3" i="2"/>
  <c r="BQ47" i="2"/>
  <c r="BT142" i="3"/>
  <c r="BT70" i="3"/>
  <c r="BT48" i="4"/>
  <c r="BT31" i="4"/>
  <c r="BT92" i="3"/>
  <c r="BT44" i="4"/>
  <c r="BT93" i="2"/>
  <c r="BT23" i="4"/>
  <c r="BT106" i="2"/>
  <c r="BT3" i="4"/>
  <c r="BT3" i="3"/>
  <c r="BT58" i="2"/>
  <c r="BT50" i="3"/>
  <c r="BT131" i="3"/>
  <c r="BT47" i="2"/>
  <c r="BT76" i="2"/>
  <c r="BT3" i="2"/>
  <c r="AJ91" i="2"/>
  <c r="AE91" i="2"/>
  <c r="AE138" i="3"/>
  <c r="AE141" i="3" s="1"/>
  <c r="CQ58" i="3"/>
  <c r="CS31" i="3"/>
  <c r="CR31" i="3"/>
  <c r="CR58" i="3" s="1"/>
  <c r="BI86" i="3"/>
  <c r="BI52" i="2"/>
  <c r="BI83" i="2"/>
  <c r="BH89" i="3"/>
  <c r="BH90" i="3"/>
  <c r="BH88" i="3"/>
  <c r="AY91" i="2"/>
  <c r="AY138" i="3"/>
  <c r="AY141" i="3" s="1"/>
  <c r="BD138" i="3"/>
  <c r="BD141" i="3" s="1"/>
  <c r="BD91" i="2"/>
  <c r="BH138" i="3"/>
  <c r="BH141" i="3" s="1"/>
  <c r="BH91" i="2"/>
  <c r="BM91" i="2"/>
  <c r="CT44" i="3"/>
  <c r="CT49" i="2" s="1"/>
  <c r="AE89" i="3"/>
  <c r="AE90" i="3"/>
  <c r="CH59" i="3"/>
  <c r="CG99" i="2"/>
  <c r="CH99" i="2" s="1"/>
  <c r="CH100" i="2" s="1"/>
  <c r="CH101" i="2" s="1"/>
  <c r="CA14" i="4"/>
  <c r="CA33" i="4" s="1"/>
  <c r="CQ119" i="3"/>
  <c r="CP122" i="3"/>
  <c r="CP97" i="3"/>
  <c r="CQ129" i="3"/>
  <c r="CQ106" i="3"/>
  <c r="CM48" i="2"/>
  <c r="CF121" i="3"/>
  <c r="CM105" i="3"/>
  <c r="CM106" i="3" s="1"/>
  <c r="CL13" i="3"/>
  <c r="CQ116" i="3"/>
  <c r="CL53" i="2"/>
  <c r="CO46" i="4"/>
  <c r="CO45" i="4" s="1"/>
  <c r="CN105" i="3"/>
  <c r="CP127" i="3"/>
  <c r="BZ39" i="2"/>
  <c r="CP101" i="2" l="1"/>
  <c r="CO100" i="2"/>
  <c r="CK7" i="11"/>
  <c r="CU50" i="4"/>
  <c r="CL7" i="4"/>
  <c r="CL13" i="4"/>
  <c r="DA28" i="11"/>
  <c r="DB21" i="2"/>
  <c r="DB28" i="11" s="1"/>
  <c r="BZ3" i="11"/>
  <c r="BW47" i="11"/>
  <c r="BW108" i="11"/>
  <c r="BW91" i="11"/>
  <c r="BW64" i="11"/>
  <c r="BW3" i="11"/>
  <c r="CC64" i="11"/>
  <c r="CC3" i="11"/>
  <c r="CC47" i="11"/>
  <c r="CC108" i="11"/>
  <c r="CC91" i="11"/>
  <c r="BX108" i="11"/>
  <c r="BX91" i="11"/>
  <c r="BX64" i="11"/>
  <c r="BX3" i="11"/>
  <c r="BX47" i="11"/>
  <c r="BY108" i="11"/>
  <c r="BY91" i="11"/>
  <c r="BY64" i="11"/>
  <c r="BY3" i="11"/>
  <c r="BY47" i="11"/>
  <c r="BZ91" i="11"/>
  <c r="BZ64" i="11"/>
  <c r="BZ47" i="11"/>
  <c r="BZ108" i="11"/>
  <c r="BZ48" i="4"/>
  <c r="BZ3" i="3"/>
  <c r="BZ44" i="4"/>
  <c r="BZ70" i="3"/>
  <c r="BZ58" i="2"/>
  <c r="BZ106" i="2"/>
  <c r="BZ47" i="2"/>
  <c r="BZ93" i="2"/>
  <c r="BZ92" i="3"/>
  <c r="BZ31" i="4"/>
  <c r="BZ76" i="2"/>
  <c r="BZ50" i="3"/>
  <c r="BZ131" i="3"/>
  <c r="BZ23" i="4"/>
  <c r="BZ142" i="3"/>
  <c r="CQ27" i="4"/>
  <c r="CP109" i="3"/>
  <c r="CP15" i="3" s="1"/>
  <c r="BZ3" i="2"/>
  <c r="BI136" i="3"/>
  <c r="BI137" i="3" s="1"/>
  <c r="CT29" i="2"/>
  <c r="CT28" i="2" s="1"/>
  <c r="BW31" i="4"/>
  <c r="BW92" i="3"/>
  <c r="BW70" i="3"/>
  <c r="BW142" i="3"/>
  <c r="BW106" i="2"/>
  <c r="BW50" i="3"/>
  <c r="BW3" i="4"/>
  <c r="BW131" i="3"/>
  <c r="BW58" i="2"/>
  <c r="BW93" i="2"/>
  <c r="BW3" i="2"/>
  <c r="BW76" i="2"/>
  <c r="BW47" i="2"/>
  <c r="BW44" i="4"/>
  <c r="BW3" i="3"/>
  <c r="BW48" i="4"/>
  <c r="BW23" i="4"/>
  <c r="BS44" i="4"/>
  <c r="BS3" i="4"/>
  <c r="BS142" i="3"/>
  <c r="BS70" i="3"/>
  <c r="BS48" i="4"/>
  <c r="BS31" i="4"/>
  <c r="BS92" i="3"/>
  <c r="BS93" i="2"/>
  <c r="BS23" i="4"/>
  <c r="BS3" i="3"/>
  <c r="BS58" i="2"/>
  <c r="BS50" i="3"/>
  <c r="BS106" i="2"/>
  <c r="BS47" i="2"/>
  <c r="BS131" i="3"/>
  <c r="BS3" i="2"/>
  <c r="BS76" i="2"/>
  <c r="BZ3" i="4"/>
  <c r="BV48" i="4"/>
  <c r="BV31" i="4"/>
  <c r="BV92" i="3"/>
  <c r="BV23" i="4"/>
  <c r="BV70" i="3"/>
  <c r="BV142" i="3"/>
  <c r="BV106" i="2"/>
  <c r="BV50" i="3"/>
  <c r="BV3" i="4"/>
  <c r="BV131" i="3"/>
  <c r="BV3" i="3"/>
  <c r="BV58" i="2"/>
  <c r="BV93" i="2"/>
  <c r="BV3" i="2"/>
  <c r="BV76" i="2"/>
  <c r="BV44" i="4"/>
  <c r="BV47" i="2"/>
  <c r="BY131" i="3"/>
  <c r="BY23" i="4"/>
  <c r="BY31" i="4"/>
  <c r="BY106" i="2"/>
  <c r="BY50" i="3"/>
  <c r="BY3" i="4"/>
  <c r="BY48" i="4"/>
  <c r="BY3" i="3"/>
  <c r="BY93" i="2"/>
  <c r="BY3" i="2"/>
  <c r="BY76" i="2"/>
  <c r="BY47" i="2"/>
  <c r="BY142" i="3"/>
  <c r="BY44" i="4"/>
  <c r="BY92" i="3"/>
  <c r="BY70" i="3"/>
  <c r="BY58" i="2"/>
  <c r="BI90" i="3"/>
  <c r="C19" i="15" s="1"/>
  <c r="BI89" i="3"/>
  <c r="C18" i="15" s="1"/>
  <c r="CT31" i="3"/>
  <c r="CS58" i="3"/>
  <c r="BI138" i="3"/>
  <c r="BI141" i="3" s="1"/>
  <c r="BN91" i="2"/>
  <c r="BI91" i="2"/>
  <c r="CU44" i="3"/>
  <c r="CU49" i="2" s="1"/>
  <c r="CI60" i="3"/>
  <c r="CI59" i="3" s="1"/>
  <c r="CS116" i="3"/>
  <c r="CN48" i="2"/>
  <c r="CA9" i="11"/>
  <c r="CS129" i="3"/>
  <c r="CQ97" i="3"/>
  <c r="CS119" i="3"/>
  <c r="CQ127" i="3"/>
  <c r="CM13" i="3"/>
  <c r="CN13" i="3"/>
  <c r="CQ122" i="3"/>
  <c r="CS106" i="3"/>
  <c r="CP46" i="4"/>
  <c r="CP45" i="4" s="1"/>
  <c r="CO105" i="3"/>
  <c r="CF123" i="3"/>
  <c r="CF64" i="2"/>
  <c r="CD18" i="11" l="1"/>
  <c r="CD19" i="11" s="1"/>
  <c r="CD15" i="11"/>
  <c r="CP100" i="2"/>
  <c r="CQ101" i="2"/>
  <c r="CB18" i="11"/>
  <c r="CB15" i="11"/>
  <c r="CN7" i="4"/>
  <c r="CO8" i="4"/>
  <c r="CL7" i="11"/>
  <c r="CL8" i="11" s="1"/>
  <c r="CM7" i="4"/>
  <c r="CM8" i="4" s="1"/>
  <c r="CV50" i="4"/>
  <c r="CW50" i="4" s="1"/>
  <c r="CK8" i="11"/>
  <c r="CA18" i="11"/>
  <c r="CA17" i="11"/>
  <c r="CI20" i="11"/>
  <c r="CJ20" i="11"/>
  <c r="CJ3" i="11"/>
  <c r="CD3" i="11"/>
  <c r="CA3" i="11"/>
  <c r="CB3" i="11"/>
  <c r="CD47" i="11"/>
  <c r="CD108" i="11"/>
  <c r="CD91" i="11"/>
  <c r="CD64" i="11"/>
  <c r="CJ91" i="11"/>
  <c r="CJ64" i="11"/>
  <c r="CJ47" i="11"/>
  <c r="CB64" i="11"/>
  <c r="CB47" i="11"/>
  <c r="CB108" i="11"/>
  <c r="CB91" i="11"/>
  <c r="CI47" i="11"/>
  <c r="CI91" i="11"/>
  <c r="CI64" i="11"/>
  <c r="CA91" i="11"/>
  <c r="CA64" i="11"/>
  <c r="CA47" i="11"/>
  <c r="CA108" i="11"/>
  <c r="CR27" i="4"/>
  <c r="CS27" i="4" s="1"/>
  <c r="CQ109" i="3"/>
  <c r="CR109" i="3" s="1"/>
  <c r="CU29" i="2"/>
  <c r="CU28" i="2" s="1"/>
  <c r="CE31" i="4"/>
  <c r="CE92" i="3"/>
  <c r="CE131" i="3"/>
  <c r="CE93" i="2"/>
  <c r="CE58" i="2"/>
  <c r="CE47" i="2"/>
  <c r="CE23" i="4"/>
  <c r="CD23" i="4"/>
  <c r="CD44" i="4"/>
  <c r="CD3" i="4"/>
  <c r="CD70" i="3"/>
  <c r="CD131" i="3"/>
  <c r="CD93" i="2"/>
  <c r="CD92" i="3"/>
  <c r="CD50" i="3"/>
  <c r="CD106" i="2"/>
  <c r="CD58" i="2"/>
  <c r="CD76" i="2"/>
  <c r="CD3" i="3"/>
  <c r="CD47" i="2"/>
  <c r="CD3" i="2"/>
  <c r="CD31" i="4"/>
  <c r="CA131" i="3"/>
  <c r="CA23" i="4"/>
  <c r="CA44" i="4"/>
  <c r="CA3" i="4"/>
  <c r="CA70" i="3"/>
  <c r="CA48" i="4"/>
  <c r="CA3" i="3"/>
  <c r="CA93" i="2"/>
  <c r="CA3" i="2"/>
  <c r="CA76" i="2"/>
  <c r="CA47" i="2"/>
  <c r="CA50" i="3"/>
  <c r="CA106" i="2"/>
  <c r="CA92" i="3"/>
  <c r="CA58" i="2"/>
  <c r="CA31" i="4"/>
  <c r="BX31" i="4"/>
  <c r="BX92" i="3"/>
  <c r="BX131" i="3"/>
  <c r="BX142" i="3"/>
  <c r="BX106" i="2"/>
  <c r="BX50" i="3"/>
  <c r="BX3" i="4"/>
  <c r="BX48" i="4"/>
  <c r="BX3" i="3"/>
  <c r="BX93" i="2"/>
  <c r="BX3" i="2"/>
  <c r="BX76" i="2"/>
  <c r="BX47" i="2"/>
  <c r="BX58" i="2"/>
  <c r="BX44" i="4"/>
  <c r="BX70" i="3"/>
  <c r="BX23" i="4"/>
  <c r="CB131" i="3"/>
  <c r="CB23" i="4"/>
  <c r="CB44" i="4"/>
  <c r="CB3" i="4"/>
  <c r="CB70" i="3"/>
  <c r="CB48" i="4"/>
  <c r="CB3" i="3"/>
  <c r="CB93" i="2"/>
  <c r="CB76" i="2"/>
  <c r="CB47" i="2"/>
  <c r="CB50" i="3"/>
  <c r="CB106" i="2"/>
  <c r="CB92" i="3"/>
  <c r="CB58" i="2"/>
  <c r="CB3" i="2"/>
  <c r="CB31" i="4"/>
  <c r="CU31" i="3"/>
  <c r="CT58" i="3"/>
  <c r="CV44" i="3"/>
  <c r="CV49" i="2" s="1"/>
  <c r="CI32" i="3"/>
  <c r="CJ60" i="3"/>
  <c r="CJ59" i="3" s="1"/>
  <c r="CT129" i="3"/>
  <c r="CO48" i="2"/>
  <c r="CO53" i="2" s="1"/>
  <c r="CS127" i="3"/>
  <c r="CF78" i="3"/>
  <c r="CF32" i="2"/>
  <c r="CF34" i="11" s="1"/>
  <c r="CF120" i="3"/>
  <c r="CS122" i="3"/>
  <c r="CT116" i="3"/>
  <c r="CO13" i="3"/>
  <c r="CR97" i="3"/>
  <c r="CQ46" i="4"/>
  <c r="CQ45" i="4" s="1"/>
  <c r="CP105" i="3"/>
  <c r="CA12" i="11"/>
  <c r="CA10" i="11"/>
  <c r="CA14" i="11"/>
  <c r="CB16" i="11" s="1"/>
  <c r="CB17" i="11" s="1"/>
  <c r="CT106" i="3"/>
  <c r="CT119" i="3"/>
  <c r="CS101" i="2" l="1"/>
  <c r="CQ100" i="2"/>
  <c r="CM7" i="11"/>
  <c r="CM8" i="11" s="1"/>
  <c r="CO13" i="4"/>
  <c r="CN13" i="4"/>
  <c r="CO7" i="4"/>
  <c r="CO7" i="11" s="1"/>
  <c r="CO8" i="11" s="1"/>
  <c r="CP8" i="4"/>
  <c r="CN7" i="11"/>
  <c r="CN8" i="11" s="1"/>
  <c r="CX50" i="4"/>
  <c r="CY50" i="4"/>
  <c r="CA15" i="11"/>
  <c r="CA11" i="11"/>
  <c r="CA13" i="11"/>
  <c r="CK20" i="11"/>
  <c r="CK3" i="11"/>
  <c r="CG3" i="11"/>
  <c r="CG20" i="11"/>
  <c r="CN20" i="11"/>
  <c r="CN3" i="11"/>
  <c r="CE3" i="11"/>
  <c r="CE48" i="4"/>
  <c r="CF3" i="11"/>
  <c r="CF20" i="11"/>
  <c r="CO20" i="11"/>
  <c r="CO3" i="11"/>
  <c r="CH47" i="11"/>
  <c r="CH108" i="11"/>
  <c r="CH91" i="11"/>
  <c r="CH64" i="11"/>
  <c r="CH20" i="11"/>
  <c r="CH3" i="11"/>
  <c r="CK91" i="11"/>
  <c r="CK64" i="11"/>
  <c r="CK47" i="11"/>
  <c r="CN64" i="11"/>
  <c r="CN47" i="11"/>
  <c r="CN91" i="11"/>
  <c r="CO64" i="11"/>
  <c r="CO47" i="11"/>
  <c r="CO91" i="11"/>
  <c r="CE3" i="4"/>
  <c r="CE47" i="11"/>
  <c r="CE108" i="11"/>
  <c r="CE91" i="11"/>
  <c r="CE64" i="11"/>
  <c r="CE70" i="3"/>
  <c r="CG47" i="11"/>
  <c r="CG108" i="11"/>
  <c r="CG91" i="11"/>
  <c r="CG64" i="11"/>
  <c r="CE44" i="4"/>
  <c r="CE50" i="3"/>
  <c r="CF47" i="11"/>
  <c r="CF108" i="11"/>
  <c r="CF91" i="11"/>
  <c r="CF64" i="11"/>
  <c r="CR110" i="3"/>
  <c r="CS110" i="3" s="1"/>
  <c r="CT110" i="3" s="1"/>
  <c r="CU110" i="3" s="1"/>
  <c r="CV110" i="3" s="1"/>
  <c r="CT27" i="4"/>
  <c r="CV29" i="2"/>
  <c r="CV28" i="2" s="1"/>
  <c r="CW28" i="2" s="1"/>
  <c r="CE76" i="2"/>
  <c r="CE106" i="2"/>
  <c r="CG48" i="4"/>
  <c r="CG31" i="4"/>
  <c r="CG92" i="3"/>
  <c r="CG3" i="4"/>
  <c r="CG131" i="3"/>
  <c r="CG93" i="2"/>
  <c r="CG106" i="2"/>
  <c r="CG44" i="4"/>
  <c r="CG50" i="3"/>
  <c r="CG58" i="2"/>
  <c r="CG142" i="3"/>
  <c r="CG23" i="4"/>
  <c r="CG3" i="2"/>
  <c r="CG70" i="3"/>
  <c r="CG76" i="2"/>
  <c r="CG47" i="2"/>
  <c r="CG3" i="3"/>
  <c r="CC131" i="3"/>
  <c r="CC23" i="4"/>
  <c r="CC44" i="4"/>
  <c r="CC3" i="4"/>
  <c r="CC142" i="3"/>
  <c r="CC70" i="3"/>
  <c r="CC48" i="4"/>
  <c r="CC3" i="3"/>
  <c r="CC93" i="2"/>
  <c r="CC92" i="3"/>
  <c r="CC50" i="3"/>
  <c r="CC106" i="2"/>
  <c r="CC76" i="2"/>
  <c r="CC58" i="2"/>
  <c r="CC47" i="2"/>
  <c r="CC3" i="2"/>
  <c r="CC31" i="4"/>
  <c r="CF142" i="3"/>
  <c r="CF70" i="3"/>
  <c r="CF48" i="4"/>
  <c r="CF31" i="4"/>
  <c r="CF92" i="3"/>
  <c r="CF3" i="4"/>
  <c r="CF131" i="3"/>
  <c r="CF93" i="2"/>
  <c r="CF106" i="2"/>
  <c r="CF58" i="2"/>
  <c r="CF3" i="3"/>
  <c r="CF47" i="2"/>
  <c r="CF3" i="2"/>
  <c r="CF50" i="3"/>
  <c r="CF23" i="4"/>
  <c r="CF76" i="2"/>
  <c r="CF44" i="4"/>
  <c r="CJ31" i="4"/>
  <c r="CJ92" i="3"/>
  <c r="CJ131" i="3"/>
  <c r="CJ106" i="2"/>
  <c r="CJ44" i="4"/>
  <c r="CJ50" i="3"/>
  <c r="CJ23" i="4"/>
  <c r="CJ70" i="3"/>
  <c r="CJ3" i="3"/>
  <c r="CJ142" i="3"/>
  <c r="CJ3" i="2"/>
  <c r="CJ76" i="2"/>
  <c r="CJ47" i="2"/>
  <c r="CJ48" i="4"/>
  <c r="CJ58" i="2"/>
  <c r="CJ93" i="2"/>
  <c r="CJ3" i="4"/>
  <c r="CI31" i="4"/>
  <c r="CI92" i="3"/>
  <c r="CI48" i="4"/>
  <c r="CI106" i="2"/>
  <c r="CI44" i="4"/>
  <c r="CI50" i="3"/>
  <c r="CI23" i="4"/>
  <c r="CI58" i="2"/>
  <c r="CI142" i="3"/>
  <c r="CI131" i="3"/>
  <c r="CI70" i="3"/>
  <c r="CI3" i="2"/>
  <c r="CI3" i="3"/>
  <c r="CI76" i="2"/>
  <c r="CI47" i="2"/>
  <c r="CI93" i="2"/>
  <c r="CI3" i="4"/>
  <c r="CW44" i="3"/>
  <c r="CX44" i="3" s="1"/>
  <c r="CX49" i="2" s="1"/>
  <c r="CW49" i="2"/>
  <c r="CQ15" i="3"/>
  <c r="CR15" i="3" s="1"/>
  <c r="CV31" i="3"/>
  <c r="CU58" i="3"/>
  <c r="CJ32" i="3"/>
  <c r="CJ99" i="2" s="1"/>
  <c r="CK60" i="3"/>
  <c r="CI99" i="2"/>
  <c r="CR45" i="4"/>
  <c r="CR46" i="4" s="1"/>
  <c r="CS46" i="4"/>
  <c r="CS45" i="4" s="1"/>
  <c r="CQ105" i="3"/>
  <c r="CT122" i="3"/>
  <c r="CF23" i="3"/>
  <c r="CG121" i="3"/>
  <c r="CU129" i="3"/>
  <c r="CT100" i="3"/>
  <c r="CS97" i="3"/>
  <c r="CU119" i="3"/>
  <c r="CU116" i="3"/>
  <c r="CP48" i="2"/>
  <c r="CP13" i="3"/>
  <c r="CT127" i="3"/>
  <c r="CU106" i="3"/>
  <c r="CS100" i="2" l="1"/>
  <c r="CT101" i="2"/>
  <c r="CP7" i="4"/>
  <c r="CQ8" i="4"/>
  <c r="CP13" i="4"/>
  <c r="CA33" i="11"/>
  <c r="CS3" i="11"/>
  <c r="CS20" i="11"/>
  <c r="CX20" i="11"/>
  <c r="CX3" i="11"/>
  <c r="CP20" i="11"/>
  <c r="CP3" i="11"/>
  <c r="CL20" i="11"/>
  <c r="CL3" i="11"/>
  <c r="CY20" i="11"/>
  <c r="CY3" i="11"/>
  <c r="CF80" i="11"/>
  <c r="CT20" i="11"/>
  <c r="CT3" i="11"/>
  <c r="CS47" i="11"/>
  <c r="CS91" i="11"/>
  <c r="CS64" i="11"/>
  <c r="CC75" i="11"/>
  <c r="CX91" i="11"/>
  <c r="CX64" i="11"/>
  <c r="CX47" i="11"/>
  <c r="CP47" i="11"/>
  <c r="CP91" i="11"/>
  <c r="CP64" i="11"/>
  <c r="CM91" i="11"/>
  <c r="CM64" i="11"/>
  <c r="CM3" i="11"/>
  <c r="CM20" i="11"/>
  <c r="CM47" i="11"/>
  <c r="CG80" i="11"/>
  <c r="CL91" i="11"/>
  <c r="CL64" i="11"/>
  <c r="CL47" i="11"/>
  <c r="CY91" i="11"/>
  <c r="CY64" i="11"/>
  <c r="CY47" i="11"/>
  <c r="CT47" i="11"/>
  <c r="CT91" i="11"/>
  <c r="CT64" i="11"/>
  <c r="CS109" i="3"/>
  <c r="CS15" i="3" s="1"/>
  <c r="CU27" i="4"/>
  <c r="CT109" i="3"/>
  <c r="CT15" i="3" s="1"/>
  <c r="CX29" i="2"/>
  <c r="CX28" i="2" s="1"/>
  <c r="CW29" i="2"/>
  <c r="CK131" i="3"/>
  <c r="CK23" i="4"/>
  <c r="CK106" i="2"/>
  <c r="CK44" i="4"/>
  <c r="CK50" i="3"/>
  <c r="CK92" i="3"/>
  <c r="CK70" i="3"/>
  <c r="CK3" i="3"/>
  <c r="CK142" i="3"/>
  <c r="CK3" i="2"/>
  <c r="CK76" i="2"/>
  <c r="CK47" i="2"/>
  <c r="CK48" i="4"/>
  <c r="CK93" i="2"/>
  <c r="CK31" i="4"/>
  <c r="CK3" i="4"/>
  <c r="CK58" i="2"/>
  <c r="CN131" i="3"/>
  <c r="CN23" i="4"/>
  <c r="CN44" i="4"/>
  <c r="CN3" i="4"/>
  <c r="CN142" i="3"/>
  <c r="CN70" i="3"/>
  <c r="CN92" i="3"/>
  <c r="CN3" i="3"/>
  <c r="CN31" i="4"/>
  <c r="CN93" i="2"/>
  <c r="CN76" i="2"/>
  <c r="CN47" i="2"/>
  <c r="CN48" i="4"/>
  <c r="CN50" i="3"/>
  <c r="CN106" i="2"/>
  <c r="CN58" i="2"/>
  <c r="CN3" i="2"/>
  <c r="CO131" i="3"/>
  <c r="CO23" i="4"/>
  <c r="CO44" i="4"/>
  <c r="CO3" i="4"/>
  <c r="CO142" i="3"/>
  <c r="CO70" i="3"/>
  <c r="CO48" i="4"/>
  <c r="CO3" i="3"/>
  <c r="CO31" i="4"/>
  <c r="CO93" i="2"/>
  <c r="CO92" i="3"/>
  <c r="CO76" i="2"/>
  <c r="CO50" i="3"/>
  <c r="CO58" i="2"/>
  <c r="CO47" i="2"/>
  <c r="CO106" i="2"/>
  <c r="CO3" i="2"/>
  <c r="CH48" i="4"/>
  <c r="CH31" i="4"/>
  <c r="CH92" i="3"/>
  <c r="CH106" i="2"/>
  <c r="CH44" i="4"/>
  <c r="CH50" i="3"/>
  <c r="CH58" i="2"/>
  <c r="CH142" i="3"/>
  <c r="CH23" i="4"/>
  <c r="CH131" i="3"/>
  <c r="CH70" i="3"/>
  <c r="CH3" i="2"/>
  <c r="CH93" i="2"/>
  <c r="CH3" i="4"/>
  <c r="CH47" i="2"/>
  <c r="CH76" i="2"/>
  <c r="CH3" i="3"/>
  <c r="CL131" i="3"/>
  <c r="CL23" i="4"/>
  <c r="CL44" i="4"/>
  <c r="CL3" i="4"/>
  <c r="CL50" i="3"/>
  <c r="CL92" i="3"/>
  <c r="CL70" i="3"/>
  <c r="CL3" i="3"/>
  <c r="CL142" i="3"/>
  <c r="CL31" i="4"/>
  <c r="CL3" i="2"/>
  <c r="CL76" i="2"/>
  <c r="CL47" i="2"/>
  <c r="CL48" i="4"/>
  <c r="CL106" i="2"/>
  <c r="CL93" i="2"/>
  <c r="CL58" i="2"/>
  <c r="CV58" i="3"/>
  <c r="CX31" i="3"/>
  <c r="CW31" i="3"/>
  <c r="CW58" i="3" s="1"/>
  <c r="CY44" i="3"/>
  <c r="CY49" i="2" s="1"/>
  <c r="CK59" i="3"/>
  <c r="CQ48" i="2"/>
  <c r="CU100" i="3"/>
  <c r="CC17" i="4"/>
  <c r="CC18" i="4" s="1"/>
  <c r="CP53" i="2"/>
  <c r="CG123" i="3"/>
  <c r="CH123" i="3" s="1"/>
  <c r="CG64" i="2"/>
  <c r="CH121" i="3"/>
  <c r="CV119" i="3"/>
  <c r="CV129" i="3"/>
  <c r="CT46" i="4"/>
  <c r="CT45" i="4" s="1"/>
  <c r="CS105" i="3"/>
  <c r="CV106" i="3"/>
  <c r="CV116" i="3"/>
  <c r="CT97" i="3"/>
  <c r="CU122" i="3"/>
  <c r="CR105" i="3"/>
  <c r="CR106" i="3" s="1"/>
  <c r="CQ13" i="3"/>
  <c r="CU127" i="3"/>
  <c r="CC39" i="4"/>
  <c r="CC40" i="4" s="1"/>
  <c r="CT100" i="2" l="1"/>
  <c r="CU101" i="2"/>
  <c r="CQ7" i="4"/>
  <c r="CS8" i="4"/>
  <c r="CQ13" i="4"/>
  <c r="CP7" i="11"/>
  <c r="CZ50" i="4"/>
  <c r="CF83" i="11"/>
  <c r="CF86" i="11" s="1"/>
  <c r="CQ20" i="11"/>
  <c r="CQ3" i="11"/>
  <c r="CU20" i="11"/>
  <c r="CU3" i="11"/>
  <c r="CZ20" i="11"/>
  <c r="CZ3" i="11"/>
  <c r="CQ47" i="11"/>
  <c r="CQ91" i="11"/>
  <c r="CQ64" i="11"/>
  <c r="CR3" i="11"/>
  <c r="CR20" i="11"/>
  <c r="CR47" i="11"/>
  <c r="CR91" i="11"/>
  <c r="CR64" i="11"/>
  <c r="CU47" i="11"/>
  <c r="CU91" i="11"/>
  <c r="CU64" i="11"/>
  <c r="CZ64" i="11"/>
  <c r="CZ47" i="11"/>
  <c r="CZ91" i="11"/>
  <c r="CV27" i="4"/>
  <c r="CU109" i="3"/>
  <c r="CU15" i="3" s="1"/>
  <c r="CY29" i="2"/>
  <c r="CY28" i="2" s="1"/>
  <c r="CQ44" i="4"/>
  <c r="CQ3" i="4"/>
  <c r="CQ142" i="3"/>
  <c r="CQ70" i="3"/>
  <c r="CQ48" i="4"/>
  <c r="CQ31" i="4"/>
  <c r="CQ92" i="3"/>
  <c r="CQ93" i="2"/>
  <c r="CQ23" i="4"/>
  <c r="CQ131" i="3"/>
  <c r="CQ3" i="3"/>
  <c r="CQ58" i="2"/>
  <c r="CQ50" i="3"/>
  <c r="CQ106" i="2"/>
  <c r="CQ47" i="2"/>
  <c r="CQ76" i="2"/>
  <c r="CQ3" i="2"/>
  <c r="CT48" i="4"/>
  <c r="CT31" i="4"/>
  <c r="CT92" i="3"/>
  <c r="CT23" i="4"/>
  <c r="CT70" i="3"/>
  <c r="CT142" i="3"/>
  <c r="CT106" i="2"/>
  <c r="CT50" i="3"/>
  <c r="CT3" i="4"/>
  <c r="CT131" i="3"/>
  <c r="CT3" i="3"/>
  <c r="CT58" i="2"/>
  <c r="CT44" i="4"/>
  <c r="CT93" i="2"/>
  <c r="CT3" i="2"/>
  <c r="CT76" i="2"/>
  <c r="CT47" i="2"/>
  <c r="CY131" i="3"/>
  <c r="CY23" i="4"/>
  <c r="CY44" i="4"/>
  <c r="CY3" i="4"/>
  <c r="CY142" i="3"/>
  <c r="CY70" i="3"/>
  <c r="CY48" i="4"/>
  <c r="CY3" i="3"/>
  <c r="CY93" i="2"/>
  <c r="CY3" i="2"/>
  <c r="CY76" i="2"/>
  <c r="CY47" i="2"/>
  <c r="CY50" i="3"/>
  <c r="CY106" i="2"/>
  <c r="CY31" i="4"/>
  <c r="CY58" i="2"/>
  <c r="CY92" i="3"/>
  <c r="CX131" i="3"/>
  <c r="CX23" i="4"/>
  <c r="CX44" i="4"/>
  <c r="CX3" i="4"/>
  <c r="CX50" i="3"/>
  <c r="CX48" i="4"/>
  <c r="CX3" i="3"/>
  <c r="CX92" i="3"/>
  <c r="CX70" i="3"/>
  <c r="CX93" i="2"/>
  <c r="CX3" i="2"/>
  <c r="CX76" i="2"/>
  <c r="CX47" i="2"/>
  <c r="CX106" i="2"/>
  <c r="CX31" i="4"/>
  <c r="CX58" i="2"/>
  <c r="CX142" i="3"/>
  <c r="CP23" i="4"/>
  <c r="CP44" i="4"/>
  <c r="CP3" i="4"/>
  <c r="CP142" i="3"/>
  <c r="CP70" i="3"/>
  <c r="CP48" i="4"/>
  <c r="CP31" i="4"/>
  <c r="CP93" i="2"/>
  <c r="CP92" i="3"/>
  <c r="CP131" i="3"/>
  <c r="CP3" i="3"/>
  <c r="CP58" i="2"/>
  <c r="CP76" i="2"/>
  <c r="CP50" i="3"/>
  <c r="CP47" i="2"/>
  <c r="CP106" i="2"/>
  <c r="CP3" i="2"/>
  <c r="CS48" i="4"/>
  <c r="CS31" i="4"/>
  <c r="CS92" i="3"/>
  <c r="CS93" i="2"/>
  <c r="CS23" i="4"/>
  <c r="CS70" i="3"/>
  <c r="CS142" i="3"/>
  <c r="CS106" i="2"/>
  <c r="CS50" i="3"/>
  <c r="CS131" i="3"/>
  <c r="CS3" i="3"/>
  <c r="CS58" i="2"/>
  <c r="CS44" i="4"/>
  <c r="CS76" i="2"/>
  <c r="CS3" i="4"/>
  <c r="CS47" i="2"/>
  <c r="CS3" i="2"/>
  <c r="CM131" i="3"/>
  <c r="CM23" i="4"/>
  <c r="CM44" i="4"/>
  <c r="CM3" i="4"/>
  <c r="CM142" i="3"/>
  <c r="CM70" i="3"/>
  <c r="CM92" i="3"/>
  <c r="CM3" i="3"/>
  <c r="CM31" i="4"/>
  <c r="CM3" i="2"/>
  <c r="CM76" i="2"/>
  <c r="CM47" i="2"/>
  <c r="CM48" i="4"/>
  <c r="CM106" i="2"/>
  <c r="CM93" i="2"/>
  <c r="CM50" i="3"/>
  <c r="CM58" i="2"/>
  <c r="CC111" i="2"/>
  <c r="CZ44" i="3"/>
  <c r="CZ49" i="2" s="1"/>
  <c r="CX58" i="3"/>
  <c r="CY31" i="3"/>
  <c r="CL60" i="3"/>
  <c r="CM60" i="3" s="1"/>
  <c r="CM61" i="3" s="1"/>
  <c r="CK32" i="3"/>
  <c r="CX119" i="3"/>
  <c r="CR13" i="3"/>
  <c r="CX116" i="3"/>
  <c r="CV122" i="3"/>
  <c r="CX106" i="3"/>
  <c r="CU46" i="4"/>
  <c r="CU45" i="4" s="1"/>
  <c r="CT105" i="3"/>
  <c r="CX129" i="3"/>
  <c r="CG78" i="3"/>
  <c r="CH64" i="2"/>
  <c r="CH78" i="3" s="1"/>
  <c r="CG32" i="2"/>
  <c r="CC18" i="2"/>
  <c r="I40" i="9" s="1"/>
  <c r="M40" i="9" s="1"/>
  <c r="CS13" i="3"/>
  <c r="CU97" i="3"/>
  <c r="CV100" i="3"/>
  <c r="CV127" i="3"/>
  <c r="CR48" i="2"/>
  <c r="CG120" i="3"/>
  <c r="CQ53" i="2"/>
  <c r="CY100" i="3" l="1"/>
  <c r="CZ100" i="3" s="1"/>
  <c r="DA100" i="3" s="1"/>
  <c r="CV101" i="2"/>
  <c r="CU100" i="2"/>
  <c r="CP8" i="11"/>
  <c r="CS7" i="4"/>
  <c r="CS7" i="11" s="1"/>
  <c r="CS8" i="11" s="1"/>
  <c r="CT8" i="4"/>
  <c r="CQ7" i="11"/>
  <c r="CQ8" i="11" s="1"/>
  <c r="CR7" i="4"/>
  <c r="CR8" i="4" s="1"/>
  <c r="DA50" i="4"/>
  <c r="DB50" i="4" s="1"/>
  <c r="CH32" i="2"/>
  <c r="CH34" i="11" s="1"/>
  <c r="CG34" i="11"/>
  <c r="CG83" i="11"/>
  <c r="CV20" i="11"/>
  <c r="CV3" i="11"/>
  <c r="CV91" i="11"/>
  <c r="CV64" i="11"/>
  <c r="CV47" i="11"/>
  <c r="CF84" i="11"/>
  <c r="CW91" i="11"/>
  <c r="CW64" i="11"/>
  <c r="CW3" i="11"/>
  <c r="CW20" i="11"/>
  <c r="CW47" i="11"/>
  <c r="CW27" i="4"/>
  <c r="CX27" i="4" s="1"/>
  <c r="CV109" i="3"/>
  <c r="CW109" i="3" s="1"/>
  <c r="CZ29" i="2"/>
  <c r="CZ28" i="2" s="1"/>
  <c r="DA131" i="3"/>
  <c r="CV31" i="4"/>
  <c r="CV92" i="3"/>
  <c r="CV131" i="3"/>
  <c r="CV142" i="3"/>
  <c r="CV106" i="2"/>
  <c r="CV50" i="3"/>
  <c r="CV3" i="4"/>
  <c r="CV48" i="4"/>
  <c r="CV3" i="3"/>
  <c r="CV44" i="4"/>
  <c r="CV23" i="4"/>
  <c r="CV70" i="3"/>
  <c r="CV93" i="2"/>
  <c r="CV3" i="2"/>
  <c r="CV76" i="2"/>
  <c r="CV47" i="2"/>
  <c r="CV58" i="2"/>
  <c r="CR142" i="3"/>
  <c r="CR70" i="3"/>
  <c r="CR48" i="4"/>
  <c r="CR31" i="4"/>
  <c r="CR92" i="3"/>
  <c r="CR44" i="4"/>
  <c r="CR93" i="2"/>
  <c r="CR23" i="4"/>
  <c r="CR106" i="2"/>
  <c r="CR131" i="3"/>
  <c r="CR3" i="3"/>
  <c r="CR58" i="2"/>
  <c r="CR50" i="3"/>
  <c r="CR3" i="4"/>
  <c r="CR3" i="2"/>
  <c r="CR47" i="2"/>
  <c r="CR76" i="2"/>
  <c r="CU31" i="4"/>
  <c r="CU92" i="3"/>
  <c r="CU70" i="3"/>
  <c r="CU142" i="3"/>
  <c r="CU106" i="2"/>
  <c r="CU50" i="3"/>
  <c r="CU3" i="4"/>
  <c r="CU131" i="3"/>
  <c r="CU48" i="4"/>
  <c r="CU58" i="2"/>
  <c r="CU44" i="4"/>
  <c r="CU23" i="4"/>
  <c r="CU93" i="2"/>
  <c r="CU3" i="2"/>
  <c r="CU76" i="2"/>
  <c r="CU47" i="2"/>
  <c r="CU3" i="3"/>
  <c r="CZ131" i="3"/>
  <c r="CZ23" i="4"/>
  <c r="CZ44" i="4"/>
  <c r="CZ3" i="4"/>
  <c r="CZ142" i="3"/>
  <c r="CZ70" i="3"/>
  <c r="CZ48" i="4"/>
  <c r="CZ3" i="3"/>
  <c r="CZ93" i="2"/>
  <c r="CZ76" i="2"/>
  <c r="CZ47" i="2"/>
  <c r="CZ50" i="3"/>
  <c r="CZ106" i="2"/>
  <c r="CZ31" i="4"/>
  <c r="CZ58" i="2"/>
  <c r="CZ3" i="2"/>
  <c r="CZ92" i="3"/>
  <c r="CY58" i="3"/>
  <c r="CZ31" i="3"/>
  <c r="DA44" i="3"/>
  <c r="DA49" i="2" s="1"/>
  <c r="CL59" i="3"/>
  <c r="CL32" i="3" s="1"/>
  <c r="CM32" i="3" s="1"/>
  <c r="CM59" i="3" s="1"/>
  <c r="CK99" i="2"/>
  <c r="CY129" i="3"/>
  <c r="CX122" i="3"/>
  <c r="CY119" i="3"/>
  <c r="CC20" i="2"/>
  <c r="CV97" i="3"/>
  <c r="CG23" i="3"/>
  <c r="CH23" i="3" s="1"/>
  <c r="CH120" i="3"/>
  <c r="CY116" i="3"/>
  <c r="CT13" i="3"/>
  <c r="CS48" i="2"/>
  <c r="CX127" i="3"/>
  <c r="CV46" i="4"/>
  <c r="CV45" i="4" s="1"/>
  <c r="CU105" i="3"/>
  <c r="CY106" i="3"/>
  <c r="CX101" i="2" l="1"/>
  <c r="CV100" i="2"/>
  <c r="CS13" i="4"/>
  <c r="CT13" i="4"/>
  <c r="CU8" i="4"/>
  <c r="CT7" i="4"/>
  <c r="CT7" i="11" s="1"/>
  <c r="CT8" i="11" s="1"/>
  <c r="CR7" i="11"/>
  <c r="CR8" i="11" s="1"/>
  <c r="CL99" i="2"/>
  <c r="CM99" i="2" s="1"/>
  <c r="CM100" i="2" s="1"/>
  <c r="CM101" i="2" s="1"/>
  <c r="CG84" i="11"/>
  <c r="CG86" i="11"/>
  <c r="DA44" i="4"/>
  <c r="DA23" i="4"/>
  <c r="DA3" i="2"/>
  <c r="DA20" i="11"/>
  <c r="DA3" i="11"/>
  <c r="DA3" i="4"/>
  <c r="DA64" i="11"/>
  <c r="DA47" i="11"/>
  <c r="DA91" i="11"/>
  <c r="B11" i="13"/>
  <c r="B15" i="13" s="1"/>
  <c r="B8" i="13"/>
  <c r="DA76" i="2"/>
  <c r="DA142" i="3"/>
  <c r="CW110" i="3"/>
  <c r="CX110" i="3" s="1"/>
  <c r="CY110" i="3" s="1"/>
  <c r="CZ110" i="3" s="1"/>
  <c r="DA110" i="3" s="1"/>
  <c r="CY27" i="4"/>
  <c r="DA29" i="2"/>
  <c r="DA28" i="2" s="1"/>
  <c r="DB28" i="2" s="1"/>
  <c r="DA47" i="2"/>
  <c r="DA31" i="4"/>
  <c r="DA106" i="2"/>
  <c r="DB92" i="3"/>
  <c r="DA50" i="3"/>
  <c r="DA92" i="3"/>
  <c r="DA3" i="3"/>
  <c r="DA48" i="4"/>
  <c r="DA93" i="2"/>
  <c r="DA70" i="3"/>
  <c r="DA58" i="2"/>
  <c r="DB50" i="3"/>
  <c r="CW131" i="3"/>
  <c r="CW23" i="4"/>
  <c r="CW31" i="4"/>
  <c r="CW106" i="2"/>
  <c r="CW50" i="3"/>
  <c r="CW3" i="4"/>
  <c r="CW48" i="4"/>
  <c r="CW3" i="3"/>
  <c r="CW44" i="4"/>
  <c r="CW92" i="3"/>
  <c r="CW70" i="3"/>
  <c r="CW93" i="2"/>
  <c r="CW3" i="2"/>
  <c r="CW76" i="2"/>
  <c r="CW47" i="2"/>
  <c r="CW58" i="2"/>
  <c r="CW142" i="3"/>
  <c r="DB44" i="3"/>
  <c r="DB49" i="2"/>
  <c r="CV15" i="3"/>
  <c r="CW15" i="3" s="1"/>
  <c r="CZ58" i="3"/>
  <c r="DA31" i="3"/>
  <c r="CN60" i="3"/>
  <c r="CN59" i="3" s="1"/>
  <c r="CZ106" i="3"/>
  <c r="CZ116" i="3"/>
  <c r="CY122" i="3"/>
  <c r="CZ119" i="3"/>
  <c r="CT48" i="2"/>
  <c r="CI121" i="3"/>
  <c r="CH122" i="3"/>
  <c r="CW97" i="3"/>
  <c r="CZ129" i="3"/>
  <c r="CU13" i="3"/>
  <c r="CX46" i="4"/>
  <c r="CX45" i="4" s="1"/>
  <c r="CW45" i="4"/>
  <c r="CW46" i="4" s="1"/>
  <c r="CV105" i="3"/>
  <c r="CY127" i="3"/>
  <c r="CY101" i="2" l="1"/>
  <c r="CX100" i="2"/>
  <c r="CU7" i="4"/>
  <c r="CU7" i="11" s="1"/>
  <c r="CU8" i="11" s="1"/>
  <c r="CV8" i="4"/>
  <c r="CU13" i="4"/>
  <c r="C23" i="12"/>
  <c r="I23" i="12" s="1"/>
  <c r="K2" i="15"/>
  <c r="C22" i="12"/>
  <c r="I22" i="12" s="1"/>
  <c r="L2" i="15"/>
  <c r="CX109" i="3"/>
  <c r="CX15" i="3" s="1"/>
  <c r="DB93" i="2"/>
  <c r="DB106" i="2"/>
  <c r="DB3" i="11"/>
  <c r="DB20" i="11"/>
  <c r="DB47" i="11"/>
  <c r="DB91" i="11"/>
  <c r="DB64" i="11"/>
  <c r="DB48" i="4"/>
  <c r="DB131" i="3"/>
  <c r="DB3" i="3"/>
  <c r="DB3" i="2"/>
  <c r="DB70" i="3"/>
  <c r="DB142" i="3"/>
  <c r="C40" i="13"/>
  <c r="D40" i="13" s="1"/>
  <c r="E40" i="13" s="1"/>
  <c r="F40" i="13" s="1"/>
  <c r="G40" i="13" s="1"/>
  <c r="H40" i="13" s="1"/>
  <c r="I40" i="13" s="1"/>
  <c r="J40" i="13" s="1"/>
  <c r="K40" i="13" s="1"/>
  <c r="L40" i="13" s="1"/>
  <c r="C79" i="13"/>
  <c r="D79" i="13" s="1"/>
  <c r="E79" i="13" s="1"/>
  <c r="F79" i="13" s="1"/>
  <c r="G79" i="13" s="1"/>
  <c r="DB3" i="4"/>
  <c r="DB47" i="2"/>
  <c r="DB76" i="2"/>
  <c r="CZ27" i="4"/>
  <c r="CY109" i="3"/>
  <c r="CY15" i="3" s="1"/>
  <c r="DB29" i="2"/>
  <c r="DB58" i="2"/>
  <c r="DB44" i="4"/>
  <c r="DB31" i="4"/>
  <c r="DB23" i="4"/>
  <c r="DA58" i="3"/>
  <c r="DB31" i="3"/>
  <c r="DB58" i="3" s="1"/>
  <c r="CO60" i="3"/>
  <c r="CO59" i="3" s="1"/>
  <c r="CN32" i="3"/>
  <c r="CX97" i="3"/>
  <c r="DA116" i="3"/>
  <c r="CZ127" i="3"/>
  <c r="CU48" i="2"/>
  <c r="DA106" i="3"/>
  <c r="CY46" i="4"/>
  <c r="CY45" i="4" s="1"/>
  <c r="CX105" i="3"/>
  <c r="CT53" i="2"/>
  <c r="CW105" i="3"/>
  <c r="CW106" i="3" s="1"/>
  <c r="CV13" i="3"/>
  <c r="CI123" i="3"/>
  <c r="CI120" i="3" s="1"/>
  <c r="CI64" i="2"/>
  <c r="CZ122" i="3"/>
  <c r="DA129" i="3"/>
  <c r="DA119" i="3"/>
  <c r="CZ101" i="2" l="1"/>
  <c r="CY100" i="2"/>
  <c r="CV7" i="4"/>
  <c r="CX8" i="4"/>
  <c r="CV13" i="4"/>
  <c r="M40" i="13"/>
  <c r="N40" i="13" s="1"/>
  <c r="DA27" i="4"/>
  <c r="CZ109" i="3"/>
  <c r="CZ15" i="3" s="1"/>
  <c r="CP60" i="3"/>
  <c r="CP59" i="3" s="1"/>
  <c r="CO32" i="3"/>
  <c r="CO99" i="2" s="1"/>
  <c r="CN99" i="2"/>
  <c r="CI23" i="3"/>
  <c r="CJ121" i="3"/>
  <c r="CZ46" i="4"/>
  <c r="CZ45" i="4" s="1"/>
  <c r="CY105" i="3"/>
  <c r="CV48" i="2"/>
  <c r="CV53" i="2" s="1"/>
  <c r="CY97" i="3"/>
  <c r="DA122" i="3"/>
  <c r="CU53" i="2"/>
  <c r="CX13" i="3"/>
  <c r="CI78" i="3"/>
  <c r="CI32" i="2"/>
  <c r="CI34" i="11" s="1"/>
  <c r="CW13" i="3"/>
  <c r="DA127" i="3"/>
  <c r="CZ100" i="2" l="1"/>
  <c r="DA101" i="2"/>
  <c r="DA100" i="2" s="1"/>
  <c r="CX7" i="4"/>
  <c r="CX7" i="11" s="1"/>
  <c r="CX8" i="11" s="1"/>
  <c r="CY8" i="4"/>
  <c r="CW7" i="4"/>
  <c r="CW8" i="4" s="1"/>
  <c r="CV7" i="11"/>
  <c r="CA96" i="2"/>
  <c r="CA97" i="2" s="1"/>
  <c r="CA103" i="2"/>
  <c r="CA104" i="2" s="1"/>
  <c r="DB27" i="4"/>
  <c r="DA109" i="3"/>
  <c r="DB109" i="3" s="1"/>
  <c r="CP32" i="3"/>
  <c r="CQ60" i="3"/>
  <c r="CR60" i="3" s="1"/>
  <c r="CR61" i="3" s="1"/>
  <c r="CA27" i="2"/>
  <c r="CY13" i="3"/>
  <c r="DA46" i="4"/>
  <c r="DA45" i="4" s="1"/>
  <c r="CZ105" i="3"/>
  <c r="CJ123" i="3"/>
  <c r="CJ120" i="3" s="1"/>
  <c r="CJ64" i="2"/>
  <c r="CJ32" i="2" s="1"/>
  <c r="CJ34" i="11" s="1"/>
  <c r="CZ97" i="3"/>
  <c r="CW48" i="2"/>
  <c r="CV8" i="11" l="1"/>
  <c r="CW7" i="11"/>
  <c r="CW8" i="11" s="1"/>
  <c r="CZ8" i="4"/>
  <c r="CY7" i="4"/>
  <c r="CY7" i="11" s="1"/>
  <c r="CY8" i="11" s="1"/>
  <c r="CX13" i="4"/>
  <c r="CY13" i="4"/>
  <c r="CQ59" i="3"/>
  <c r="CQ32" i="3" s="1"/>
  <c r="CR32" i="3" s="1"/>
  <c r="CR59" i="3" s="1"/>
  <c r="DB110" i="3"/>
  <c r="DA15" i="3"/>
  <c r="DB15" i="3" s="1"/>
  <c r="CQ99" i="2"/>
  <c r="CP99" i="2"/>
  <c r="DA97" i="3"/>
  <c r="DB45" i="4"/>
  <c r="DB46" i="4" s="1"/>
  <c r="DA105" i="3"/>
  <c r="CC19" i="4"/>
  <c r="CC20" i="4" s="1"/>
  <c r="CC21" i="4"/>
  <c r="CZ13" i="3"/>
  <c r="CA39" i="2"/>
  <c r="CJ78" i="3"/>
  <c r="CJ23" i="3"/>
  <c r="CK121" i="3"/>
  <c r="CX48" i="2"/>
  <c r="CZ7" i="4" l="1"/>
  <c r="CZ7" i="11" s="1"/>
  <c r="CZ8" i="11" s="1"/>
  <c r="CZ13" i="4"/>
  <c r="DA8" i="4"/>
  <c r="DA7" i="4" s="1"/>
  <c r="DB7" i="4" s="1"/>
  <c r="DB8" i="4" s="1"/>
  <c r="P20" i="15"/>
  <c r="CA32" i="11"/>
  <c r="CR99" i="2"/>
  <c r="CR100" i="2" s="1"/>
  <c r="CR101" i="2" s="1"/>
  <c r="CS60" i="3"/>
  <c r="CS59" i="3" s="1"/>
  <c r="DB97" i="3"/>
  <c r="CC43" i="2"/>
  <c r="CY48" i="2"/>
  <c r="CC14" i="4"/>
  <c r="CC33" i="4" s="1"/>
  <c r="DB105" i="3"/>
  <c r="DB106" i="3" s="1"/>
  <c r="DA13" i="3"/>
  <c r="CK123" i="3"/>
  <c r="CK64" i="2"/>
  <c r="DA7" i="11" l="1"/>
  <c r="DA13" i="4"/>
  <c r="G20" i="15"/>
  <c r="I47" i="9"/>
  <c r="M47" i="9" s="1"/>
  <c r="CC38" i="11"/>
  <c r="D15" i="9"/>
  <c r="CC9" i="11"/>
  <c r="CC18" i="11" s="1"/>
  <c r="DA8" i="11"/>
  <c r="DB7" i="11"/>
  <c r="DB8" i="11" s="1"/>
  <c r="CS32" i="3"/>
  <c r="CT60" i="3"/>
  <c r="CT59" i="3" s="1"/>
  <c r="DB13" i="3"/>
  <c r="CC12" i="11"/>
  <c r="CC9" i="4"/>
  <c r="CZ48" i="2"/>
  <c r="CZ53" i="2" s="1"/>
  <c r="CC72" i="2"/>
  <c r="CK78" i="3"/>
  <c r="CK32" i="2"/>
  <c r="CK34" i="11" s="1"/>
  <c r="CK120" i="3"/>
  <c r="CY53" i="2"/>
  <c r="D6" i="9" l="1"/>
  <c r="I35" i="9"/>
  <c r="M35" i="9" s="1"/>
  <c r="CC14" i="11"/>
  <c r="CD16" i="11" s="1"/>
  <c r="CD17" i="11" s="1"/>
  <c r="CC10" i="11"/>
  <c r="CC11" i="11" s="1"/>
  <c r="CC17" i="11"/>
  <c r="CC13" i="11"/>
  <c r="CH16" i="11"/>
  <c r="CC10" i="4"/>
  <c r="CC12" i="4"/>
  <c r="CC13" i="4" s="1"/>
  <c r="CT32" i="3"/>
  <c r="CT99" i="2" s="1"/>
  <c r="CU60" i="3"/>
  <c r="CS99" i="2"/>
  <c r="CA27" i="3"/>
  <c r="O26" i="15" s="1"/>
  <c r="CC29" i="4"/>
  <c r="CC34" i="4"/>
  <c r="CC115" i="3"/>
  <c r="DA48" i="2"/>
  <c r="CC37" i="3"/>
  <c r="CC128" i="3" s="1"/>
  <c r="CC35" i="3"/>
  <c r="CC114" i="3" s="1"/>
  <c r="CC16" i="3"/>
  <c r="CC126" i="3" s="1"/>
  <c r="CC18" i="3"/>
  <c r="CC124" i="3" s="1"/>
  <c r="CK23" i="3"/>
  <c r="CL121" i="3"/>
  <c r="CC24" i="4"/>
  <c r="CD18" i="4" s="1"/>
  <c r="CD28" i="4" l="1"/>
  <c r="CD29" i="4" s="1"/>
  <c r="CC15" i="11"/>
  <c r="CC11" i="4"/>
  <c r="I36" i="9"/>
  <c r="M36" i="9" s="1"/>
  <c r="CC127" i="3"/>
  <c r="CU59" i="3"/>
  <c r="CH28" i="4"/>
  <c r="CC125" i="3"/>
  <c r="CC116" i="3"/>
  <c r="CL123" i="3"/>
  <c r="CM123" i="3" s="1"/>
  <c r="CL64" i="2"/>
  <c r="CM121" i="3"/>
  <c r="CC129" i="3"/>
  <c r="DB48" i="2"/>
  <c r="B58" i="13" s="1"/>
  <c r="O2" i="15" s="1"/>
  <c r="CC26" i="4"/>
  <c r="DA53" i="2"/>
  <c r="B83" i="13" l="1"/>
  <c r="C6" i="12"/>
  <c r="C7" i="12" s="1"/>
  <c r="CU32" i="3"/>
  <c r="CV60" i="3"/>
  <c r="CW60" i="3" s="1"/>
  <c r="CW61" i="3" s="1"/>
  <c r="CC107" i="3"/>
  <c r="CC108" i="3" s="1"/>
  <c r="CL78" i="3"/>
  <c r="CM64" i="2"/>
  <c r="CM78" i="3" s="1"/>
  <c r="CL32" i="2"/>
  <c r="CL120" i="3"/>
  <c r="C12" i="12" l="1"/>
  <c r="C53" i="12"/>
  <c r="I12" i="9"/>
  <c r="CM32" i="2"/>
  <c r="CM34" i="11" s="1"/>
  <c r="CL34" i="11"/>
  <c r="CV59" i="3"/>
  <c r="CV32" i="3" s="1"/>
  <c r="CW32" i="3" s="1"/>
  <c r="CW59" i="3" s="1"/>
  <c r="CU99" i="2"/>
  <c r="CC14" i="3"/>
  <c r="CC112" i="3" s="1"/>
  <c r="CC36" i="3"/>
  <c r="CC111" i="3" s="1"/>
  <c r="CM120" i="3"/>
  <c r="CL23" i="3"/>
  <c r="CM23" i="3" s="1"/>
  <c r="C59" i="12" l="1"/>
  <c r="C57" i="12"/>
  <c r="K12" i="9"/>
  <c r="O12" i="9"/>
  <c r="M12" i="9"/>
  <c r="CC113" i="3"/>
  <c r="CV99" i="2"/>
  <c r="CW99" i="2" s="1"/>
  <c r="CW100" i="2" s="1"/>
  <c r="CW101" i="2" s="1"/>
  <c r="CX60" i="3"/>
  <c r="CX59" i="3" s="1"/>
  <c r="CN121" i="3"/>
  <c r="CM122" i="3"/>
  <c r="CC12" i="3"/>
  <c r="CC34" i="3"/>
  <c r="C63" i="12" l="1"/>
  <c r="C66" i="12"/>
  <c r="C70" i="12" s="1"/>
  <c r="C71" i="12" s="1"/>
  <c r="C72" i="12"/>
  <c r="CY60" i="3"/>
  <c r="CY59" i="3" s="1"/>
  <c r="CX32" i="3"/>
  <c r="CC101" i="3"/>
  <c r="CD104" i="3" s="1"/>
  <c r="CN123" i="3"/>
  <c r="CN120" i="3" s="1"/>
  <c r="CN64" i="2"/>
  <c r="CZ60" i="3" l="1"/>
  <c r="CZ59" i="3" s="1"/>
  <c r="CY32" i="3"/>
  <c r="CY99" i="2"/>
  <c r="CX99" i="2"/>
  <c r="CC104" i="3"/>
  <c r="CN78" i="3"/>
  <c r="CN32" i="2"/>
  <c r="CN34" i="11" s="1"/>
  <c r="CN23" i="3"/>
  <c r="CO121" i="3"/>
  <c r="DA60" i="3" l="1"/>
  <c r="DB60" i="3" s="1"/>
  <c r="DB61" i="3" s="1"/>
  <c r="CZ32" i="3"/>
  <c r="CZ99" i="2" s="1"/>
  <c r="CO123" i="3"/>
  <c r="CO64" i="2"/>
  <c r="CO32" i="2" s="1"/>
  <c r="CO34" i="11" s="1"/>
  <c r="DA59" i="3" l="1"/>
  <c r="DA32" i="3" s="1"/>
  <c r="DB32" i="3" s="1"/>
  <c r="DB59" i="3" s="1"/>
  <c r="CO78" i="3"/>
  <c r="CO120" i="3"/>
  <c r="DA99" i="2" l="1"/>
  <c r="DB99" i="2" s="1"/>
  <c r="DB100" i="2" s="1"/>
  <c r="DB101" i="2" s="1"/>
  <c r="CO23" i="3"/>
  <c r="CP121" i="3"/>
  <c r="CP123" i="3" l="1"/>
  <c r="CP64" i="2"/>
  <c r="CP120" i="3"/>
  <c r="CP23" i="3" l="1"/>
  <c r="CQ121" i="3"/>
  <c r="CP78" i="3"/>
  <c r="CP32" i="2"/>
  <c r="CP34" i="11" s="1"/>
  <c r="CQ123" i="3" l="1"/>
  <c r="CR123" i="3" s="1"/>
  <c r="CQ64" i="2"/>
  <c r="CQ32" i="2" s="1"/>
  <c r="CR121" i="3"/>
  <c r="CR32" i="2" l="1"/>
  <c r="CR34" i="11" s="1"/>
  <c r="CQ34" i="11"/>
  <c r="CQ120" i="3"/>
  <c r="CQ78" i="3"/>
  <c r="CR64" i="2"/>
  <c r="CR78" i="3" s="1"/>
  <c r="CR120" i="3" l="1"/>
  <c r="CQ23" i="3"/>
  <c r="CR23" i="3" s="1"/>
  <c r="CS121" i="3" l="1"/>
  <c r="CR122" i="3"/>
  <c r="CS123" i="3" l="1"/>
  <c r="CS64" i="2"/>
  <c r="CS120" i="3"/>
  <c r="CS23" i="3" l="1"/>
  <c r="CT121" i="3"/>
  <c r="CS78" i="3"/>
  <c r="CS32" i="2"/>
  <c r="CS34" i="11" s="1"/>
  <c r="CT123" i="3" l="1"/>
  <c r="CT64" i="2"/>
  <c r="CT32" i="2" s="1"/>
  <c r="CT34" i="11" s="1"/>
  <c r="CT78" i="3" l="1"/>
  <c r="CT120" i="3"/>
  <c r="CT23" i="3" l="1"/>
  <c r="CU121" i="3"/>
  <c r="CU123" i="3" l="1"/>
  <c r="CU120" i="3" s="1"/>
  <c r="CU64" i="2"/>
  <c r="CU23" i="3" l="1"/>
  <c r="CV121" i="3"/>
  <c r="CU78" i="3"/>
  <c r="CU32" i="2"/>
  <c r="CU34" i="11" s="1"/>
  <c r="CV123" i="3" l="1"/>
  <c r="CV64" i="2"/>
  <c r="CV32" i="2" s="1"/>
  <c r="CW121" i="3"/>
  <c r="CW32" i="2" l="1"/>
  <c r="CW34" i="11" s="1"/>
  <c r="CV34" i="11"/>
  <c r="CV120" i="3"/>
  <c r="CW123" i="3"/>
  <c r="CV78" i="3"/>
  <c r="CW64" i="2"/>
  <c r="CW78" i="3" s="1"/>
  <c r="CW120" i="3" l="1"/>
  <c r="CV23" i="3"/>
  <c r="CW23" i="3" s="1"/>
  <c r="CX121" i="3" l="1"/>
  <c r="CW122" i="3"/>
  <c r="CX123" i="3" l="1"/>
  <c r="CX64" i="2"/>
  <c r="CX120" i="3"/>
  <c r="CX23" i="3" l="1"/>
  <c r="CY121" i="3"/>
  <c r="CX78" i="3"/>
  <c r="CX32" i="2"/>
  <c r="CX34" i="11" s="1"/>
  <c r="CY123" i="3" l="1"/>
  <c r="CY64" i="2"/>
  <c r="CY78" i="3" l="1"/>
  <c r="CY32" i="2"/>
  <c r="CY34" i="11" s="1"/>
  <c r="CY120" i="3"/>
  <c r="CY23" i="3" l="1"/>
  <c r="CZ121" i="3"/>
  <c r="CZ123" i="3" l="1"/>
  <c r="CZ120" i="3" s="1"/>
  <c r="CZ64" i="2"/>
  <c r="CZ23" i="3" l="1"/>
  <c r="DA121" i="3"/>
  <c r="CZ78" i="3"/>
  <c r="CZ32" i="2"/>
  <c r="CZ34" i="11" s="1"/>
  <c r="DA123" i="3" l="1"/>
  <c r="DB123" i="3" s="1"/>
  <c r="DA64" i="2"/>
  <c r="DA32" i="2" s="1"/>
  <c r="DB121" i="3"/>
  <c r="DB32" i="2" l="1"/>
  <c r="DB34" i="11" s="1"/>
  <c r="DA34" i="11"/>
  <c r="DA120" i="3"/>
  <c r="DA78" i="3"/>
  <c r="DB64" i="2"/>
  <c r="DB78" i="3" s="1"/>
  <c r="DA23" i="3" l="1"/>
  <c r="DB23" i="3" s="1"/>
  <c r="DB120" i="3"/>
  <c r="DB122" i="3" s="1"/>
  <c r="BZ25" i="2" l="1"/>
  <c r="BZ48" i="3" l="1"/>
  <c r="C15" i="12" l="1"/>
  <c r="CA35" i="11" l="1"/>
  <c r="CA31" i="11" l="1"/>
  <c r="CA30" i="11" s="1"/>
  <c r="CA26" i="3" l="1"/>
  <c r="CA25" i="2" l="1"/>
  <c r="CA5" i="3"/>
  <c r="CA4" i="3" l="1"/>
  <c r="O24" i="15"/>
  <c r="CA140" i="3"/>
  <c r="CA139" i="3"/>
  <c r="CA141" i="3" l="1"/>
  <c r="CA48" i="3"/>
  <c r="O21" i="15"/>
  <c r="CA107" i="11"/>
  <c r="CC109" i="11"/>
  <c r="CC107" i="11" s="1"/>
  <c r="CC110" i="11"/>
  <c r="CC111" i="11"/>
  <c r="CC112" i="11"/>
  <c r="CC113" i="11"/>
  <c r="CC115" i="11"/>
  <c r="CC124" i="11"/>
  <c r="CC125" i="11"/>
  <c r="CC127" i="11"/>
  <c r="CC128" i="11"/>
  <c r="CD43" i="11"/>
  <c r="CC132" i="11" l="1"/>
  <c r="CC114" i="11"/>
  <c r="CC131" i="11"/>
  <c r="CD132" i="11" s="1"/>
  <c r="CC130" i="11"/>
  <c r="CC117" i="11" l="1"/>
  <c r="CC129" i="11"/>
  <c r="CA21" i="11" l="1"/>
  <c r="CA19" i="11" s="1"/>
  <c r="CA23" i="11"/>
  <c r="CA24" i="11"/>
  <c r="CA25" i="11"/>
  <c r="CA27" i="11"/>
  <c r="CC27" i="11"/>
  <c r="CA37" i="11"/>
  <c r="CA43" i="11"/>
  <c r="CA63" i="11"/>
  <c r="CC65" i="11"/>
  <c r="CC63" i="11" s="1"/>
  <c r="CC66" i="11"/>
  <c r="CC67" i="11"/>
  <c r="CC68" i="11"/>
  <c r="CC69" i="11"/>
  <c r="CC71" i="11"/>
  <c r="CC80" i="11"/>
  <c r="CC81" i="11"/>
  <c r="CC83" i="11"/>
  <c r="CC84" i="11"/>
  <c r="CC87" i="11"/>
  <c r="CC88" i="11" l="1"/>
  <c r="CD88" i="11"/>
  <c r="CA26" i="11"/>
  <c r="CA41" i="11" s="1"/>
  <c r="CA22" i="11"/>
  <c r="CA29" i="11"/>
  <c r="CA36" i="11" s="1"/>
  <c r="CA39" i="11" s="1"/>
  <c r="CC70" i="11"/>
  <c r="CC86" i="11"/>
  <c r="CC85" i="11" l="1"/>
  <c r="CC73" i="11"/>
  <c r="CA42" i="11"/>
  <c r="CA40" i="11"/>
  <c r="CA44" i="11" s="1"/>
  <c r="CC14" i="14" l="1"/>
  <c r="CB14" i="14"/>
  <c r="CC5" i="2" l="1"/>
  <c r="CC6" i="2"/>
  <c r="CC13" i="2"/>
  <c r="CC25" i="11" s="1"/>
  <c r="CC35" i="4"/>
  <c r="CC36" i="4" s="1"/>
  <c r="CC37" i="4"/>
  <c r="CC38" i="4" s="1"/>
  <c r="CC41" i="4"/>
  <c r="CC113" i="2" l="1"/>
  <c r="CC42" i="4"/>
  <c r="CC31" i="2"/>
  <c r="CC112" i="2"/>
  <c r="CB4" i="2"/>
  <c r="CB21" i="11" s="1"/>
  <c r="CB19" i="11" s="1"/>
  <c r="CF42" i="4"/>
  <c r="CC107" i="2"/>
  <c r="CC11" i="2"/>
  <c r="CD34" i="4" l="1"/>
  <c r="CD36" i="4" s="1"/>
  <c r="CC7" i="2"/>
  <c r="CB9" i="2"/>
  <c r="CB8" i="2"/>
  <c r="CC115" i="2"/>
  <c r="CC117" i="2" s="1"/>
  <c r="CC14" i="2"/>
  <c r="CC24" i="11" s="1"/>
  <c r="CC4" i="2"/>
  <c r="CC21" i="11" s="1"/>
  <c r="CC19" i="11" s="1"/>
  <c r="CC116" i="2"/>
  <c r="CC118" i="2" s="1"/>
  <c r="CC30" i="2"/>
  <c r="CC33" i="11"/>
  <c r="CC62" i="2"/>
  <c r="CC10" i="2"/>
  <c r="CC12" i="2"/>
  <c r="CC79" i="2"/>
  <c r="CG42" i="4"/>
  <c r="CC32" i="4"/>
  <c r="CD39" i="4" s="1"/>
  <c r="CD37" i="4" s="1"/>
  <c r="CD38" i="4" s="1"/>
  <c r="L9" i="9" l="1"/>
  <c r="CD94" i="3"/>
  <c r="CD111" i="2"/>
  <c r="CC60" i="2"/>
  <c r="I38" i="9" s="1"/>
  <c r="M38" i="9" s="1"/>
  <c r="CC8" i="2"/>
  <c r="CB59" i="2"/>
  <c r="CB23" i="11"/>
  <c r="CB94" i="3"/>
  <c r="CB61" i="2"/>
  <c r="CB85" i="2"/>
  <c r="CB41" i="2"/>
  <c r="CB19" i="2"/>
  <c r="CB16" i="2"/>
  <c r="L11" i="9" s="1"/>
  <c r="CB22" i="2"/>
  <c r="CC15" i="2"/>
  <c r="CC80" i="2"/>
  <c r="D12" i="9"/>
  <c r="I43" i="9"/>
  <c r="M43" i="9" s="1"/>
  <c r="CC114" i="2"/>
  <c r="CC9" i="2"/>
  <c r="CC102" i="3"/>
  <c r="D8" i="9"/>
  <c r="CI42" i="4"/>
  <c r="CD112" i="2" l="1"/>
  <c r="CD95" i="3"/>
  <c r="CD98" i="3"/>
  <c r="CD100" i="3"/>
  <c r="CB95" i="3"/>
  <c r="CB98" i="3"/>
  <c r="CB100" i="3"/>
  <c r="CB22" i="11"/>
  <c r="CB26" i="11"/>
  <c r="CB35" i="2"/>
  <c r="CB78" i="2"/>
  <c r="CB77" i="2"/>
  <c r="CB86" i="2"/>
  <c r="CB63" i="2"/>
  <c r="CC108" i="2"/>
  <c r="CD113" i="2" s="1"/>
  <c r="CD114" i="2" s="1"/>
  <c r="P5" i="15"/>
  <c r="P6" i="15" s="1"/>
  <c r="CJ42" i="4"/>
  <c r="CC118" i="3"/>
  <c r="CC103" i="3"/>
  <c r="CC94" i="3"/>
  <c r="CC23" i="11"/>
  <c r="CC22" i="2"/>
  <c r="CC19" i="2"/>
  <c r="CC59" i="2"/>
  <c r="I37" i="9" s="1"/>
  <c r="M37" i="9" s="1"/>
  <c r="D7" i="9"/>
  <c r="CC16" i="2"/>
  <c r="P22" i="15"/>
  <c r="CC33" i="3"/>
  <c r="CD116" i="2" l="1"/>
  <c r="CD118" i="2" s="1"/>
  <c r="CD115" i="2"/>
  <c r="CD117" i="2" s="1"/>
  <c r="CB87" i="2"/>
  <c r="L22" i="9"/>
  <c r="CB37" i="2"/>
  <c r="L17" i="9"/>
  <c r="CB88" i="2"/>
  <c r="L23" i="9"/>
  <c r="CB41" i="11"/>
  <c r="CB29" i="11"/>
  <c r="CB36" i="11" s="1"/>
  <c r="CB39" i="11" s="1"/>
  <c r="CB65" i="2"/>
  <c r="CB82" i="2"/>
  <c r="CC109" i="2"/>
  <c r="CC110" i="2" s="1"/>
  <c r="CC78" i="2"/>
  <c r="I51" i="9" s="1"/>
  <c r="M51" i="9" s="1"/>
  <c r="G22" i="15"/>
  <c r="D9" i="9"/>
  <c r="CK42" i="4"/>
  <c r="CC61" i="2"/>
  <c r="I39" i="9" s="1"/>
  <c r="M39" i="9" s="1"/>
  <c r="CC85" i="2"/>
  <c r="G5" i="15"/>
  <c r="G6" i="15" s="1"/>
  <c r="CC117" i="3"/>
  <c r="CC119" i="3" s="1"/>
  <c r="CC26" i="11"/>
  <c r="CC22" i="11"/>
  <c r="CC10" i="3"/>
  <c r="CC98" i="3"/>
  <c r="CB70" i="2" l="1"/>
  <c r="CB42" i="2"/>
  <c r="CB42" i="11"/>
  <c r="CB40" i="11"/>
  <c r="CB44" i="11" s="1"/>
  <c r="CB81" i="2"/>
  <c r="CB89" i="2"/>
  <c r="CC52" i="3"/>
  <c r="CC53" i="3" s="1"/>
  <c r="CL42" i="4"/>
  <c r="P9" i="15"/>
  <c r="P10" i="15" s="1"/>
  <c r="CC88" i="2"/>
  <c r="D18" i="9"/>
  <c r="CC8" i="3"/>
  <c r="CD20" i="4" s="1"/>
  <c r="CC99" i="3"/>
  <c r="CC100" i="3" s="1"/>
  <c r="CC29" i="11"/>
  <c r="CC41" i="11"/>
  <c r="CC63" i="2"/>
  <c r="CC77" i="2"/>
  <c r="I50" i="9" s="1"/>
  <c r="M50" i="9" s="1"/>
  <c r="CC86" i="2"/>
  <c r="CB45" i="2" l="1"/>
  <c r="CB44" i="2"/>
  <c r="CC21" i="3"/>
  <c r="CC65" i="2"/>
  <c r="CC82" i="2"/>
  <c r="G9" i="15"/>
  <c r="G10" i="15" s="1"/>
  <c r="CB39" i="2"/>
  <c r="CC42" i="3"/>
  <c r="CC87" i="2"/>
  <c r="D17" i="9"/>
  <c r="CC93" i="3"/>
  <c r="CD96" i="3" s="1"/>
  <c r="CN42" i="4"/>
  <c r="P7" i="15"/>
  <c r="P8" i="15" s="1"/>
  <c r="CC29" i="3"/>
  <c r="CC28" i="3" s="1"/>
  <c r="CD83" i="3" s="1"/>
  <c r="CB28" i="3"/>
  <c r="I19" i="9" l="1"/>
  <c r="CB51" i="3"/>
  <c r="CB27" i="2" s="1"/>
  <c r="CB83" i="3"/>
  <c r="L20" i="9"/>
  <c r="CB73" i="2"/>
  <c r="CB77" i="3"/>
  <c r="CB151" i="3"/>
  <c r="CB96" i="2"/>
  <c r="CB97" i="2" s="1"/>
  <c r="CB103" i="2"/>
  <c r="CB104" i="2" s="1"/>
  <c r="CC81" i="2"/>
  <c r="CC89" i="2"/>
  <c r="G7" i="15"/>
  <c r="G8" i="15" s="1"/>
  <c r="CC38" i="2"/>
  <c r="CC51" i="3"/>
  <c r="CC83" i="3"/>
  <c r="CO42" i="4"/>
  <c r="CC96" i="3"/>
  <c r="CC95" i="3"/>
  <c r="P23" i="15"/>
  <c r="CC20" i="3"/>
  <c r="CD81" i="3" s="1"/>
  <c r="CD82" i="3" s="1"/>
  <c r="CB80" i="3" l="1"/>
  <c r="CB84" i="3"/>
  <c r="CB85" i="3" s="1"/>
  <c r="CB90" i="2"/>
  <c r="CB74" i="2"/>
  <c r="CB51" i="2"/>
  <c r="CB57" i="3"/>
  <c r="CB132" i="3"/>
  <c r="CB133" i="3" s="1"/>
  <c r="K19" i="9"/>
  <c r="O19" i="9"/>
  <c r="M19" i="9"/>
  <c r="CC39" i="2"/>
  <c r="D14" i="9"/>
  <c r="CP42" i="4"/>
  <c r="CC40" i="2"/>
  <c r="CC37" i="11" s="1"/>
  <c r="CC81" i="3"/>
  <c r="G23" i="15"/>
  <c r="Q20" i="15"/>
  <c r="CC102" i="2"/>
  <c r="CC103" i="2" s="1"/>
  <c r="CC104" i="2" s="1"/>
  <c r="P17" i="15"/>
  <c r="CB52" i="2" l="1"/>
  <c r="CB83" i="2"/>
  <c r="CB66" i="3"/>
  <c r="L26" i="9" s="1"/>
  <c r="CB64" i="3"/>
  <c r="CB68" i="3"/>
  <c r="CB86" i="3"/>
  <c r="I46" i="9"/>
  <c r="M46" i="9" s="1"/>
  <c r="CC82" i="3"/>
  <c r="G17" i="15"/>
  <c r="CC38" i="3"/>
  <c r="CD79" i="3" s="1"/>
  <c r="CD80" i="3" s="1"/>
  <c r="CB27" i="3"/>
  <c r="CQ42" i="4"/>
  <c r="CC41" i="2"/>
  <c r="CC71" i="2"/>
  <c r="CC95" i="2"/>
  <c r="CC96" i="2" s="1"/>
  <c r="CC97" i="2" s="1"/>
  <c r="CB90" i="3" l="1"/>
  <c r="CB88" i="3"/>
  <c r="CB89" i="3"/>
  <c r="CB67" i="3"/>
  <c r="CB71" i="3"/>
  <c r="CB75" i="3" s="1"/>
  <c r="L25" i="9" s="1"/>
  <c r="L24" i="9"/>
  <c r="CB91" i="2"/>
  <c r="CB138" i="3"/>
  <c r="L21" i="9"/>
  <c r="CB136" i="3"/>
  <c r="CB137" i="3" s="1"/>
  <c r="L27" i="9" s="1"/>
  <c r="CC26" i="2"/>
  <c r="CC79" i="3"/>
  <c r="CC27" i="3"/>
  <c r="CS42" i="4"/>
  <c r="P26" i="15"/>
  <c r="CC94" i="2"/>
  <c r="CC98" i="2" s="1"/>
  <c r="CE28" i="4"/>
  <c r="CE29" i="4" s="1"/>
  <c r="CT42" i="4" l="1"/>
  <c r="G26" i="15"/>
  <c r="CC32" i="11"/>
  <c r="CC27" i="2"/>
  <c r="CC68" i="2"/>
  <c r="CC149" i="3"/>
  <c r="CC144" i="3"/>
  <c r="CD149" i="3" s="1"/>
  <c r="CD151" i="3" s="1"/>
  <c r="CU42" i="4" l="1"/>
  <c r="I15" i="9"/>
  <c r="K15" i="9" l="1"/>
  <c r="I3" i="9"/>
  <c r="K3" i="9" s="1"/>
  <c r="O15" i="9"/>
  <c r="M15" i="9"/>
  <c r="CV42" i="4"/>
  <c r="I10" i="9"/>
  <c r="I9" i="9" l="1"/>
  <c r="K10" i="9"/>
  <c r="M10" i="9"/>
  <c r="O10" i="9"/>
  <c r="I11" i="9"/>
  <c r="CX42" i="4"/>
  <c r="K9" i="9" l="1"/>
  <c r="M9" i="9"/>
  <c r="O9" i="9"/>
  <c r="K11" i="9"/>
  <c r="M11" i="9"/>
  <c r="O11" i="9"/>
  <c r="CY42" i="4"/>
  <c r="Q5" i="15"/>
  <c r="Q6" i="15" s="1"/>
  <c r="Q22" i="15"/>
  <c r="I23" i="9" l="1"/>
  <c r="CZ42" i="4"/>
  <c r="CD103" i="2" l="1"/>
  <c r="CD104" i="2" s="1"/>
  <c r="CD96" i="2"/>
  <c r="CD97" i="2" s="1"/>
  <c r="I22" i="9"/>
  <c r="K23" i="9"/>
  <c r="M23" i="9"/>
  <c r="O23" i="9"/>
  <c r="DA42" i="4"/>
  <c r="CD27" i="2"/>
  <c r="Q9" i="15"/>
  <c r="Q10" i="15" s="1"/>
  <c r="K22" i="9" l="1"/>
  <c r="O22" i="9"/>
  <c r="M22" i="9"/>
  <c r="CD39" i="2"/>
  <c r="Q7" i="15"/>
  <c r="Q8" i="15" s="1"/>
  <c r="CF103" i="2" l="1"/>
  <c r="I18" i="9"/>
  <c r="K18" i="9"/>
  <c r="M18" i="9"/>
  <c r="O18" i="9"/>
  <c r="Q23" i="15"/>
  <c r="R20" i="15"/>
  <c r="CG103" i="2" l="1"/>
  <c r="Q17" i="15"/>
  <c r="CI103" i="2" l="1"/>
  <c r="CF28" i="4"/>
  <c r="CF17" i="4"/>
  <c r="CE26" i="4"/>
  <c r="CE108" i="3" s="1"/>
  <c r="CF108" i="3" s="1"/>
  <c r="CG108" i="3" s="1"/>
  <c r="CI108" i="3" s="1"/>
  <c r="CJ108" i="3" s="1"/>
  <c r="CK108" i="3" s="1"/>
  <c r="CL108" i="3" s="1"/>
  <c r="CN108" i="3" s="1"/>
  <c r="CO108" i="3" s="1"/>
  <c r="CP108" i="3" s="1"/>
  <c r="CQ108" i="3" s="1"/>
  <c r="CS108" i="3" s="1"/>
  <c r="CT108" i="3" s="1"/>
  <c r="CU108" i="3" s="1"/>
  <c r="CV108" i="3" s="1"/>
  <c r="CX108" i="3" s="1"/>
  <c r="CY108" i="3" s="1"/>
  <c r="CZ108" i="3" s="1"/>
  <c r="DA108" i="3" s="1"/>
  <c r="CJ103" i="2" l="1"/>
  <c r="CK104" i="2"/>
  <c r="CF18" i="2"/>
  <c r="CF16" i="11"/>
  <c r="CF39" i="4"/>
  <c r="CF111" i="2" s="1"/>
  <c r="CK103" i="2" l="1"/>
  <c r="CL104" i="2"/>
  <c r="CF27" i="11"/>
  <c r="CL103" i="2" l="1"/>
  <c r="CN104" i="2"/>
  <c r="CN103" i="2" l="1"/>
  <c r="CO104" i="2"/>
  <c r="CO103" i="2" l="1"/>
  <c r="CP104" i="2"/>
  <c r="CP103" i="2" l="1"/>
  <c r="CQ104" i="2"/>
  <c r="R5" i="15"/>
  <c r="R6" i="15" s="1"/>
  <c r="R22" i="15"/>
  <c r="CQ103" i="2" l="1"/>
  <c r="CS104" i="2"/>
  <c r="CE96" i="2" l="1"/>
  <c r="CE97" i="2" s="1"/>
  <c r="CE103" i="2"/>
  <c r="CE104" i="2" s="1"/>
  <c r="CS103" i="2"/>
  <c r="CT104" i="2"/>
  <c r="R9" i="15"/>
  <c r="R10" i="15" s="1"/>
  <c r="CF19" i="4"/>
  <c r="CF43" i="2"/>
  <c r="CE27" i="2"/>
  <c r="CT103" i="2" l="1"/>
  <c r="CU104" i="2"/>
  <c r="R7" i="15"/>
  <c r="R8" i="15" s="1"/>
  <c r="CF21" i="4"/>
  <c r="CF14" i="4"/>
  <c r="CF38" i="4" s="1"/>
  <c r="CE39" i="2"/>
  <c r="CU103" i="2" l="1"/>
  <c r="CV104" i="2"/>
  <c r="R23" i="15"/>
  <c r="CF38" i="11"/>
  <c r="CF72" i="2"/>
  <c r="S20" i="15"/>
  <c r="CF33" i="4"/>
  <c r="CF37" i="4" s="1"/>
  <c r="CF9" i="4"/>
  <c r="CV103" i="2" l="1"/>
  <c r="CX104" i="2"/>
  <c r="CF115" i="3"/>
  <c r="CF9" i="11"/>
  <c r="CF29" i="4"/>
  <c r="CF12" i="4"/>
  <c r="CF112" i="2"/>
  <c r="CF10" i="4"/>
  <c r="CF24" i="4"/>
  <c r="CF34" i="4"/>
  <c r="CF13" i="2"/>
  <c r="R17" i="15"/>
  <c r="CF35" i="4"/>
  <c r="CF12" i="2" s="1"/>
  <c r="CX103" i="2" l="1"/>
  <c r="CY104" i="2"/>
  <c r="CF5" i="2"/>
  <c r="CF31" i="2" s="1"/>
  <c r="CF36" i="4"/>
  <c r="CF41" i="4"/>
  <c r="CF10" i="11"/>
  <c r="CF14" i="11"/>
  <c r="CF26" i="4"/>
  <c r="CF107" i="3" s="1"/>
  <c r="CG28" i="4"/>
  <c r="CG17" i="4"/>
  <c r="CF12" i="11"/>
  <c r="CF13" i="11" s="1"/>
  <c r="CF17" i="11"/>
  <c r="CF18" i="11"/>
  <c r="CF116" i="2"/>
  <c r="CF107" i="2"/>
  <c r="CF114" i="3"/>
  <c r="CF35" i="3" s="1"/>
  <c r="CF126" i="3"/>
  <c r="CF16" i="3" s="1"/>
  <c r="CF124" i="3"/>
  <c r="CF18" i="3" s="1"/>
  <c r="CF128" i="3"/>
  <c r="CF37" i="3" s="1"/>
  <c r="CY103" i="2" l="1"/>
  <c r="CZ104" i="2"/>
  <c r="CF15" i="11"/>
  <c r="CG16" i="11"/>
  <c r="CF14" i="3"/>
  <c r="CF101" i="3"/>
  <c r="CF104" i="3" s="1"/>
  <c r="CF11" i="11"/>
  <c r="CF11" i="2"/>
  <c r="CF79" i="2" s="1"/>
  <c r="CF113" i="2"/>
  <c r="CF115" i="2" s="1"/>
  <c r="CF117" i="2" s="1"/>
  <c r="CF25" i="11"/>
  <c r="CG18" i="2"/>
  <c r="CH17" i="4"/>
  <c r="CH18" i="4" s="1"/>
  <c r="R26" i="15"/>
  <c r="CF32" i="4"/>
  <c r="CG39" i="4" s="1"/>
  <c r="CH39" i="4" s="1"/>
  <c r="CH40" i="4" s="1"/>
  <c r="CF114" i="2"/>
  <c r="CF6" i="2"/>
  <c r="CF4" i="2" s="1"/>
  <c r="CZ103" i="2" l="1"/>
  <c r="DA104" i="2"/>
  <c r="DA103" i="2" s="1"/>
  <c r="CF21" i="11"/>
  <c r="CF19" i="11" s="1"/>
  <c r="CF7" i="2"/>
  <c r="CG111" i="2"/>
  <c r="CF33" i="11"/>
  <c r="CF30" i="2"/>
  <c r="CF62" i="2"/>
  <c r="CF12" i="3"/>
  <c r="CF34" i="3" s="1"/>
  <c r="CF112" i="3"/>
  <c r="CF111" i="3" s="1"/>
  <c r="CF36" i="3" s="1"/>
  <c r="CF108" i="2"/>
  <c r="CG27" i="11"/>
  <c r="CH18" i="2"/>
  <c r="N40" i="9" s="1"/>
  <c r="P40" i="9" s="1"/>
  <c r="CF14" i="2"/>
  <c r="CF10" i="2" s="1"/>
  <c r="CF80" i="2" l="1"/>
  <c r="CF24" i="11"/>
  <c r="CF60" i="2"/>
  <c r="CF102" i="3"/>
  <c r="CH111" i="2"/>
  <c r="CF9" i="2"/>
  <c r="CH20" i="2"/>
  <c r="CF109" i="2"/>
  <c r="CF110" i="2" s="1"/>
  <c r="CF94" i="3" l="1"/>
  <c r="CF23" i="11"/>
  <c r="CF16" i="2"/>
  <c r="CF22" i="2"/>
  <c r="CF59" i="2"/>
  <c r="CF19" i="2"/>
  <c r="CF103" i="3"/>
  <c r="CF118" i="3"/>
  <c r="CF117" i="3" s="1"/>
  <c r="CF33" i="3" s="1"/>
  <c r="CF61" i="2" l="1"/>
  <c r="CF85" i="2"/>
  <c r="S5" i="15"/>
  <c r="S6" i="15" s="1"/>
  <c r="CF78" i="2"/>
  <c r="CF88" i="2" s="1"/>
  <c r="S22" i="15"/>
  <c r="CF98" i="3"/>
  <c r="CF99" i="3"/>
  <c r="CF10" i="3" s="1"/>
  <c r="CF22" i="11"/>
  <c r="CF26" i="11"/>
  <c r="CF63" i="2" l="1"/>
  <c r="CF77" i="2"/>
  <c r="CF87" i="2" s="1"/>
  <c r="CF86" i="2"/>
  <c r="CF52" i="3"/>
  <c r="CF29" i="3" s="1"/>
  <c r="CF28" i="3" s="1"/>
  <c r="CF8" i="3"/>
  <c r="CF29" i="11"/>
  <c r="CF41" i="11"/>
  <c r="CF93" i="3" l="1"/>
  <c r="CG19" i="4"/>
  <c r="CF42" i="3"/>
  <c r="CG43" i="2" s="1"/>
  <c r="CF21" i="3"/>
  <c r="CF51" i="3"/>
  <c r="CF83" i="3"/>
  <c r="CF102" i="2"/>
  <c r="CF65" i="2"/>
  <c r="CF82" i="2"/>
  <c r="S9" i="15"/>
  <c r="S10" i="15" s="1"/>
  <c r="CF95" i="2" l="1"/>
  <c r="CF96" i="3"/>
  <c r="CF38" i="2" s="1"/>
  <c r="CF40" i="2" s="1"/>
  <c r="CF95" i="3"/>
  <c r="CF89" i="2"/>
  <c r="CF81" i="2"/>
  <c r="S7" i="15"/>
  <c r="S8" i="15" s="1"/>
  <c r="CF20" i="3"/>
  <c r="CH19" i="4"/>
  <c r="CH20" i="4" s="1"/>
  <c r="CG14" i="4"/>
  <c r="CG38" i="4" s="1"/>
  <c r="CG21" i="4"/>
  <c r="CH21" i="4" s="1"/>
  <c r="CG33" i="4" l="1"/>
  <c r="CG9" i="4"/>
  <c r="CH14" i="4"/>
  <c r="CH33" i="4" s="1"/>
  <c r="CG38" i="11"/>
  <c r="CG72" i="2"/>
  <c r="T20" i="15"/>
  <c r="CH43" i="2"/>
  <c r="N47" i="9" s="1"/>
  <c r="P47" i="9" s="1"/>
  <c r="CF81" i="3"/>
  <c r="S23" i="15"/>
  <c r="CF96" i="2"/>
  <c r="CF97" i="2" s="1"/>
  <c r="CF94" i="2"/>
  <c r="CG37" i="4" l="1"/>
  <c r="CF144" i="3"/>
  <c r="CG115" i="3"/>
  <c r="CG9" i="11"/>
  <c r="CG29" i="4"/>
  <c r="CG12" i="4"/>
  <c r="CG10" i="4"/>
  <c r="CH9" i="4"/>
  <c r="N35" i="9" s="1"/>
  <c r="CG24" i="4"/>
  <c r="CG34" i="4"/>
  <c r="CH38" i="11"/>
  <c r="CH72" i="2"/>
  <c r="H20" i="15"/>
  <c r="E15" i="9"/>
  <c r="CF38" i="3"/>
  <c r="CF82" i="3"/>
  <c r="S17" i="15"/>
  <c r="CF71" i="2"/>
  <c r="CF26" i="2"/>
  <c r="CF37" i="11"/>
  <c r="CH37" i="4" l="1"/>
  <c r="CH38" i="4" s="1"/>
  <c r="CG112" i="2"/>
  <c r="CG107" i="2" s="1"/>
  <c r="P35" i="9"/>
  <c r="CG35" i="4"/>
  <c r="CG12" i="2" s="1"/>
  <c r="CG13" i="2"/>
  <c r="CG17" i="11"/>
  <c r="CH9" i="11"/>
  <c r="CG18" i="11"/>
  <c r="CF79" i="3"/>
  <c r="CF27" i="3"/>
  <c r="CG12" i="11"/>
  <c r="CH12" i="11" s="1"/>
  <c r="CH12" i="4"/>
  <c r="CH13" i="4" s="1"/>
  <c r="CG114" i="3"/>
  <c r="CG35" i="3" s="1"/>
  <c r="CH35" i="3" s="1"/>
  <c r="CH114" i="3" s="1"/>
  <c r="CG126" i="3"/>
  <c r="CG16" i="3" s="1"/>
  <c r="CH16" i="3" s="1"/>
  <c r="CH126" i="3" s="1"/>
  <c r="CG124" i="3"/>
  <c r="CG18" i="3" s="1"/>
  <c r="CH18" i="3" s="1"/>
  <c r="CH124" i="3" s="1"/>
  <c r="CG128" i="3"/>
  <c r="CG37" i="3" s="1"/>
  <c r="CH37" i="3" s="1"/>
  <c r="CH128" i="3" s="1"/>
  <c r="CG14" i="11"/>
  <c r="CH24" i="4"/>
  <c r="CG26" i="4"/>
  <c r="CG10" i="11"/>
  <c r="CH10" i="4"/>
  <c r="CG116" i="2"/>
  <c r="CH112" i="2"/>
  <c r="CF149" i="3"/>
  <c r="CH115" i="3"/>
  <c r="CH29" i="4"/>
  <c r="E6" i="9"/>
  <c r="CH34" i="4"/>
  <c r="CG5" i="2"/>
  <c r="CG31" i="2" s="1"/>
  <c r="CG36" i="4"/>
  <c r="CG41" i="4"/>
  <c r="CH35" i="4"/>
  <c r="CF32" i="11"/>
  <c r="CF27" i="2"/>
  <c r="CF68" i="2"/>
  <c r="CH31" i="2" l="1"/>
  <c r="CG113" i="2"/>
  <c r="CH11" i="4"/>
  <c r="N36" i="9"/>
  <c r="P36" i="9" s="1"/>
  <c r="CH5" i="2"/>
  <c r="S26" i="15"/>
  <c r="CG11" i="11"/>
  <c r="CH10" i="11"/>
  <c r="CH11" i="11" s="1"/>
  <c r="CI17" i="4"/>
  <c r="CI28" i="4"/>
  <c r="CM28" i="4"/>
  <c r="CG6" i="2"/>
  <c r="CH41" i="4"/>
  <c r="CH42" i="4" s="1"/>
  <c r="CG107" i="3"/>
  <c r="CH26" i="4"/>
  <c r="CG13" i="11"/>
  <c r="CG25" i="11"/>
  <c r="CH13" i="2"/>
  <c r="CG114" i="2"/>
  <c r="CH116" i="2"/>
  <c r="CH118" i="2" s="1"/>
  <c r="CH14" i="11"/>
  <c r="CG15" i="11"/>
  <c r="CH129" i="3"/>
  <c r="CH125" i="3"/>
  <c r="CH116" i="3"/>
  <c r="CH13" i="11"/>
  <c r="CH17" i="11"/>
  <c r="CH18" i="11"/>
  <c r="CH127" i="3"/>
  <c r="CH36" i="4"/>
  <c r="CH107" i="2"/>
  <c r="CG32" i="4"/>
  <c r="CG11" i="2"/>
  <c r="CG79" i="2" s="1"/>
  <c r="CG115" i="2" l="1"/>
  <c r="CG117" i="2" s="1"/>
  <c r="CH113" i="2"/>
  <c r="CH32" i="4"/>
  <c r="CI39" i="4" s="1"/>
  <c r="CH15" i="11"/>
  <c r="CI16" i="11"/>
  <c r="CM16" i="11"/>
  <c r="CI18" i="2"/>
  <c r="CH114" i="2"/>
  <c r="CG108" i="2"/>
  <c r="CG14" i="3"/>
  <c r="CH107" i="3"/>
  <c r="CH108" i="3" s="1"/>
  <c r="CG101" i="3"/>
  <c r="CG104" i="3" s="1"/>
  <c r="CG33" i="11"/>
  <c r="CG30" i="2"/>
  <c r="CH30" i="2" s="1"/>
  <c r="CG62" i="2"/>
  <c r="CH11" i="2"/>
  <c r="CG14" i="2"/>
  <c r="CH14" i="2" s="1"/>
  <c r="CH6" i="2"/>
  <c r="CG4" i="2"/>
  <c r="CH115" i="2" l="1"/>
  <c r="CH117" i="2" s="1"/>
  <c r="E12" i="9"/>
  <c r="N43" i="9"/>
  <c r="P43" i="9" s="1"/>
  <c r="CH80" i="2"/>
  <c r="CG80" i="2"/>
  <c r="CG21" i="11"/>
  <c r="CG19" i="11" s="1"/>
  <c r="CG7" i="2"/>
  <c r="CH7" i="2" s="1"/>
  <c r="CH4" i="2"/>
  <c r="CH15" i="2"/>
  <c r="CH12" i="2"/>
  <c r="CH60" i="2"/>
  <c r="N38" i="9" s="1"/>
  <c r="P38" i="9" s="1"/>
  <c r="CH108" i="2"/>
  <c r="CG109" i="2"/>
  <c r="CH33" i="11"/>
  <c r="CH62" i="2"/>
  <c r="CI27" i="11"/>
  <c r="CG60" i="2"/>
  <c r="CG24" i="11"/>
  <c r="CG12" i="3"/>
  <c r="CH14" i="3"/>
  <c r="CH112" i="3" s="1"/>
  <c r="CG112" i="3"/>
  <c r="CG111" i="3" s="1"/>
  <c r="CG36" i="3" s="1"/>
  <c r="CH36" i="3" s="1"/>
  <c r="CH111" i="3" s="1"/>
  <c r="CG10" i="2"/>
  <c r="CH79" i="2"/>
  <c r="CI111" i="2"/>
  <c r="CH113" i="3" l="1"/>
  <c r="CH109" i="2"/>
  <c r="CH110" i="2" s="1"/>
  <c r="CG110" i="2"/>
  <c r="CH12" i="3"/>
  <c r="CH101" i="3" s="1"/>
  <c r="CH104" i="3" s="1"/>
  <c r="CG34" i="3"/>
  <c r="CH34" i="3" s="1"/>
  <c r="CH8" i="2"/>
  <c r="CG9" i="2"/>
  <c r="CH10" i="2"/>
  <c r="CG102" i="3"/>
  <c r="CH102" i="3" l="1"/>
  <c r="E8" i="9"/>
  <c r="CG23" i="11"/>
  <c r="CG16" i="2"/>
  <c r="CG22" i="2"/>
  <c r="CG59" i="2"/>
  <c r="CG19" i="2"/>
  <c r="CH9" i="2"/>
  <c r="CG94" i="3"/>
  <c r="CG103" i="3"/>
  <c r="CG118" i="3"/>
  <c r="CG117" i="3" s="1"/>
  <c r="CG33" i="3" s="1"/>
  <c r="CG61" i="2" l="1"/>
  <c r="CG85" i="2"/>
  <c r="T5" i="15"/>
  <c r="T6" i="15" s="1"/>
  <c r="CG99" i="3"/>
  <c r="CG10" i="3" s="1"/>
  <c r="CG98" i="3"/>
  <c r="CH94" i="3"/>
  <c r="CH59" i="2"/>
  <c r="N37" i="9" s="1"/>
  <c r="CH22" i="2"/>
  <c r="E7" i="9"/>
  <c r="CH19" i="2"/>
  <c r="CG22" i="11"/>
  <c r="CG26" i="11"/>
  <c r="CG78" i="2"/>
  <c r="CG88" i="2" s="1"/>
  <c r="T22" i="15"/>
  <c r="CH16" i="2"/>
  <c r="CH33" i="3"/>
  <c r="CH103" i="3"/>
  <c r="CH118" i="3"/>
  <c r="P37" i="9" l="1"/>
  <c r="CH117" i="3"/>
  <c r="CH119" i="3" s="1"/>
  <c r="CH61" i="2"/>
  <c r="N39" i="9" s="1"/>
  <c r="P39" i="9" s="1"/>
  <c r="CH85" i="2"/>
  <c r="H5" i="15"/>
  <c r="H6" i="15" s="1"/>
  <c r="CH78" i="2"/>
  <c r="N51" i="9" s="1"/>
  <c r="H22" i="15"/>
  <c r="E9" i="9"/>
  <c r="CG52" i="3"/>
  <c r="CG8" i="3"/>
  <c r="CH10" i="3"/>
  <c r="CG29" i="11"/>
  <c r="CG41" i="11"/>
  <c r="CG63" i="2"/>
  <c r="CG77" i="2"/>
  <c r="CG87" i="2" s="1"/>
  <c r="CG86" i="2"/>
  <c r="CH98" i="3"/>
  <c r="P51" i="9" l="1"/>
  <c r="CH8" i="3"/>
  <c r="CH99" i="3"/>
  <c r="CH100" i="3" s="1"/>
  <c r="CG93" i="3"/>
  <c r="CG21" i="3"/>
  <c r="CG42" i="3"/>
  <c r="CH88" i="2"/>
  <c r="E18" i="9"/>
  <c r="CG65" i="2"/>
  <c r="CG82" i="2"/>
  <c r="T9" i="15"/>
  <c r="T10" i="15" s="1"/>
  <c r="CH63" i="2"/>
  <c r="CH77" i="2"/>
  <c r="N50" i="9" s="1"/>
  <c r="P50" i="9" s="1"/>
  <c r="CH86" i="2"/>
  <c r="CH52" i="3"/>
  <c r="CH53" i="3" s="1"/>
  <c r="CG29" i="3"/>
  <c r="CH65" i="2" l="1"/>
  <c r="CH82" i="2"/>
  <c r="H9" i="15"/>
  <c r="H10" i="15" s="1"/>
  <c r="CG89" i="2"/>
  <c r="CG81" i="2"/>
  <c r="T7" i="15"/>
  <c r="T8" i="15" s="1"/>
  <c r="CH42" i="3"/>
  <c r="CG28" i="3"/>
  <c r="CH29" i="3"/>
  <c r="CH28" i="3" s="1"/>
  <c r="CG20" i="3"/>
  <c r="CH21" i="3"/>
  <c r="CG96" i="3"/>
  <c r="CG38" i="2" s="1"/>
  <c r="CG40" i="2" s="1"/>
  <c r="CH40" i="2" s="1"/>
  <c r="CG95" i="3"/>
  <c r="CH87" i="2"/>
  <c r="E17" i="9"/>
  <c r="CH93" i="3"/>
  <c r="CI19" i="4"/>
  <c r="CH51" i="3" l="1"/>
  <c r="CH83" i="3"/>
  <c r="CG51" i="3"/>
  <c r="CG83" i="3"/>
  <c r="CG102" i="2"/>
  <c r="CI14" i="4"/>
  <c r="CI38" i="4" s="1"/>
  <c r="CI21" i="4"/>
  <c r="CH96" i="3"/>
  <c r="CH95" i="3"/>
  <c r="CH20" i="3"/>
  <c r="CH89" i="2"/>
  <c r="CH81" i="2"/>
  <c r="H7" i="15"/>
  <c r="H8" i="15" s="1"/>
  <c r="CH38" i="2"/>
  <c r="CG71" i="2"/>
  <c r="CG81" i="3"/>
  <c r="T23" i="15"/>
  <c r="CH41" i="2" l="1"/>
  <c r="CH39" i="2"/>
  <c r="CG37" i="11"/>
  <c r="CG95" i="2"/>
  <c r="CH102" i="2"/>
  <c r="CH103" i="2" s="1"/>
  <c r="CH104" i="2" s="1"/>
  <c r="CI38" i="11"/>
  <c r="CI72" i="2"/>
  <c r="CG82" i="3"/>
  <c r="T17" i="15"/>
  <c r="CH81" i="3"/>
  <c r="H23" i="15"/>
  <c r="CH71" i="2"/>
  <c r="CG38" i="3"/>
  <c r="E14" i="9"/>
  <c r="CI9" i="4"/>
  <c r="CI33" i="4"/>
  <c r="CI37" i="4" s="1"/>
  <c r="N46" i="9" l="1"/>
  <c r="P46" i="9" s="1"/>
  <c r="CH38" i="3"/>
  <c r="CG79" i="3"/>
  <c r="CG27" i="3"/>
  <c r="CG96" i="2"/>
  <c r="CG97" i="2" s="1"/>
  <c r="CG94" i="2"/>
  <c r="CH95" i="2"/>
  <c r="CH96" i="2" s="1"/>
  <c r="CH97" i="2" s="1"/>
  <c r="CH82" i="3"/>
  <c r="H17" i="15"/>
  <c r="CI35" i="4"/>
  <c r="CI12" i="2" s="1"/>
  <c r="CI115" i="3"/>
  <c r="CI9" i="11"/>
  <c r="CI112" i="2"/>
  <c r="CI10" i="4"/>
  <c r="CI29" i="4"/>
  <c r="CI12" i="4"/>
  <c r="CI24" i="4"/>
  <c r="CI34" i="4"/>
  <c r="CI113" i="2" l="1"/>
  <c r="CI115" i="2" s="1"/>
  <c r="CI117" i="2" s="1"/>
  <c r="CH94" i="2"/>
  <c r="CH98" i="2" s="1"/>
  <c r="CG144" i="3"/>
  <c r="CI10" i="11"/>
  <c r="CI116" i="2"/>
  <c r="CI107" i="2"/>
  <c r="CI17" i="11"/>
  <c r="CI18" i="11"/>
  <c r="CI14" i="11"/>
  <c r="CJ17" i="4"/>
  <c r="CI26" i="4"/>
  <c r="CI107" i="3" s="1"/>
  <c r="CJ28" i="4"/>
  <c r="CI12" i="11"/>
  <c r="CI13" i="11" s="1"/>
  <c r="CG26" i="2"/>
  <c r="CI124" i="3"/>
  <c r="CI18" i="3" s="1"/>
  <c r="CI114" i="3"/>
  <c r="CI35" i="3" s="1"/>
  <c r="CI126" i="3"/>
  <c r="CI16" i="3" s="1"/>
  <c r="CI128" i="3"/>
  <c r="CI37" i="3" s="1"/>
  <c r="T26" i="15"/>
  <c r="CI5" i="2"/>
  <c r="CI31" i="2" s="1"/>
  <c r="CI36" i="4"/>
  <c r="CI41" i="4"/>
  <c r="CH79" i="3"/>
  <c r="CH27" i="3"/>
  <c r="CI6" i="2" l="1"/>
  <c r="CI4" i="2" s="1"/>
  <c r="CH144" i="3"/>
  <c r="CI13" i="2" s="1"/>
  <c r="CG149" i="3"/>
  <c r="CH149" i="3" s="1"/>
  <c r="CI114" i="2"/>
  <c r="CI32" i="4"/>
  <c r="CJ39" i="4" s="1"/>
  <c r="CJ111" i="2" s="1"/>
  <c r="CI15" i="11"/>
  <c r="CJ16" i="11"/>
  <c r="CG32" i="11"/>
  <c r="CG68" i="2"/>
  <c r="CG27" i="2"/>
  <c r="CH26" i="2"/>
  <c r="CI14" i="3"/>
  <c r="CI101" i="3"/>
  <c r="CI104" i="3" s="1"/>
  <c r="CJ18" i="2"/>
  <c r="CI11" i="11"/>
  <c r="H26" i="15"/>
  <c r="CI11" i="2"/>
  <c r="CI79" i="2" s="1"/>
  <c r="CI21" i="11" l="1"/>
  <c r="CI19" i="11" s="1"/>
  <c r="CI7" i="2"/>
  <c r="CH32" i="11"/>
  <c r="CH27" i="2"/>
  <c r="CH68" i="2"/>
  <c r="CI108" i="2"/>
  <c r="CI33" i="11"/>
  <c r="CI30" i="2"/>
  <c r="CI62" i="2"/>
  <c r="CI25" i="11"/>
  <c r="CI112" i="3"/>
  <c r="CI111" i="3" s="1"/>
  <c r="CI36" i="3" s="1"/>
  <c r="CI12" i="3"/>
  <c r="CI34" i="3" s="1"/>
  <c r="CJ27" i="11"/>
  <c r="CI14" i="2"/>
  <c r="CI80" i="2" l="1"/>
  <c r="CI10" i="2"/>
  <c r="CI9" i="2"/>
  <c r="CI60" i="2"/>
  <c r="CI24" i="11"/>
  <c r="CI109" i="2"/>
  <c r="CI110" i="2" s="1"/>
  <c r="CJ12" i="2" s="1"/>
  <c r="CI94" i="3" l="1"/>
  <c r="CI23" i="11"/>
  <c r="CI16" i="2"/>
  <c r="CI59" i="2"/>
  <c r="CI22" i="2"/>
  <c r="CI19" i="2"/>
  <c r="CI102" i="3"/>
  <c r="CI22" i="11" l="1"/>
  <c r="CI26" i="11"/>
  <c r="CI103" i="3"/>
  <c r="CI118" i="3"/>
  <c r="CI117" i="3" s="1"/>
  <c r="CI33" i="3" s="1"/>
  <c r="CI61" i="2"/>
  <c r="CI85" i="2"/>
  <c r="CI78" i="2"/>
  <c r="CI88" i="2" s="1"/>
  <c r="CI99" i="3"/>
  <c r="CI10" i="3" s="1"/>
  <c r="CI98" i="3"/>
  <c r="CI52" i="3" l="1"/>
  <c r="CI29" i="3" s="1"/>
  <c r="CI28" i="3" s="1"/>
  <c r="CI8" i="3"/>
  <c r="CI41" i="11"/>
  <c r="CI29" i="11"/>
  <c r="CI63" i="2"/>
  <c r="CI77" i="2"/>
  <c r="CI87" i="2" s="1"/>
  <c r="CI86" i="2"/>
  <c r="CI82" i="2" l="1"/>
  <c r="CI65" i="2"/>
  <c r="CI93" i="3"/>
  <c r="CJ19" i="4"/>
  <c r="CI21" i="3"/>
  <c r="CI42" i="3"/>
  <c r="CI51" i="3"/>
  <c r="CI83" i="3"/>
  <c r="CI102" i="2"/>
  <c r="CI20" i="3" l="1"/>
  <c r="CI81" i="3" s="1"/>
  <c r="CI82" i="3" s="1"/>
  <c r="CI95" i="2"/>
  <c r="CJ14" i="4"/>
  <c r="CJ38" i="4" s="1"/>
  <c r="CJ21" i="4"/>
  <c r="CI96" i="3"/>
  <c r="CI38" i="2" s="1"/>
  <c r="CI95" i="3"/>
  <c r="CI89" i="2"/>
  <c r="CI81" i="2"/>
  <c r="CJ38" i="11" l="1"/>
  <c r="CJ72" i="2"/>
  <c r="CI94" i="2"/>
  <c r="CI96" i="2"/>
  <c r="CI97" i="2" s="1"/>
  <c r="CJ9" i="4"/>
  <c r="CJ33" i="4"/>
  <c r="CI40" i="2"/>
  <c r="CI71" i="2" s="1"/>
  <c r="CJ37" i="4" l="1"/>
  <c r="CJ112" i="2" s="1"/>
  <c r="CJ115" i="3"/>
  <c r="CJ9" i="11"/>
  <c r="CJ10" i="4"/>
  <c r="CJ29" i="4"/>
  <c r="CJ12" i="4"/>
  <c r="CJ24" i="4"/>
  <c r="CJ34" i="4"/>
  <c r="CI144" i="3"/>
  <c r="CI26" i="2"/>
  <c r="CI38" i="3"/>
  <c r="CI37" i="11"/>
  <c r="CJ13" i="2" l="1"/>
  <c r="CJ35" i="4"/>
  <c r="CJ41" i="4" s="1"/>
  <c r="CI79" i="3"/>
  <c r="CJ116" i="2"/>
  <c r="CJ107" i="2"/>
  <c r="CI149" i="3"/>
  <c r="CJ14" i="11"/>
  <c r="CK17" i="4"/>
  <c r="CJ26" i="4"/>
  <c r="CJ107" i="3" s="1"/>
  <c r="CK28" i="4"/>
  <c r="CJ5" i="2"/>
  <c r="CJ31" i="2" s="1"/>
  <c r="CJ36" i="4"/>
  <c r="CJ17" i="11"/>
  <c r="CJ18" i="11"/>
  <c r="CJ12" i="11"/>
  <c r="CJ13" i="11" s="1"/>
  <c r="CJ10" i="11"/>
  <c r="CI32" i="11"/>
  <c r="CI27" i="2"/>
  <c r="CI68" i="2"/>
  <c r="CJ124" i="3"/>
  <c r="CJ18" i="3" s="1"/>
  <c r="CJ128" i="3"/>
  <c r="CJ37" i="3" s="1"/>
  <c r="CJ114" i="3"/>
  <c r="CJ35" i="3" s="1"/>
  <c r="CJ126" i="3"/>
  <c r="CJ16" i="3" s="1"/>
  <c r="CJ15" i="11" l="1"/>
  <c r="CK16" i="11"/>
  <c r="CJ114" i="2"/>
  <c r="CJ32" i="4"/>
  <c r="CK39" i="4" s="1"/>
  <c r="CK111" i="2" s="1"/>
  <c r="CJ11" i="2"/>
  <c r="CJ113" i="2"/>
  <c r="CJ115" i="2" s="1"/>
  <c r="CJ117" i="2" s="1"/>
  <c r="CJ25" i="11"/>
  <c r="CK18" i="2"/>
  <c r="CJ6" i="2"/>
  <c r="CJ11" i="11"/>
  <c r="CJ14" i="3"/>
  <c r="CJ101" i="3"/>
  <c r="CJ104" i="3" s="1"/>
  <c r="CK27" i="11" l="1"/>
  <c r="CJ12" i="3"/>
  <c r="CJ34" i="3" s="1"/>
  <c r="CJ112" i="3"/>
  <c r="CJ111" i="3" s="1"/>
  <c r="CJ36" i="3" s="1"/>
  <c r="CJ108" i="2"/>
  <c r="CJ79" i="2"/>
  <c r="CJ33" i="11"/>
  <c r="CJ30" i="2"/>
  <c r="CJ62" i="2"/>
  <c r="CJ14" i="2"/>
  <c r="CJ10" i="2" s="1"/>
  <c r="CJ4" i="2"/>
  <c r="CJ80" i="2" l="1"/>
  <c r="CJ102" i="3"/>
  <c r="CJ60" i="2"/>
  <c r="CJ109" i="2"/>
  <c r="CJ110" i="2" s="1"/>
  <c r="CK12" i="2" s="1"/>
  <c r="CJ24" i="11"/>
  <c r="CJ21" i="11"/>
  <c r="CJ19" i="11" s="1"/>
  <c r="CJ7" i="2"/>
  <c r="CJ9" i="2" s="1"/>
  <c r="CJ94" i="3" l="1"/>
  <c r="CJ23" i="11"/>
  <c r="CJ16" i="2"/>
  <c r="CJ59" i="2"/>
  <c r="CJ22" i="2"/>
  <c r="CJ19" i="2"/>
  <c r="CJ103" i="3"/>
  <c r="CJ118" i="3"/>
  <c r="CJ117" i="3" s="1"/>
  <c r="CJ33" i="3" s="1"/>
  <c r="CJ22" i="11" l="1"/>
  <c r="CJ26" i="11"/>
  <c r="CJ61" i="2"/>
  <c r="CJ85" i="2"/>
  <c r="CJ78" i="2"/>
  <c r="CJ88" i="2" s="1"/>
  <c r="CJ98" i="3"/>
  <c r="CJ99" i="3"/>
  <c r="CJ10" i="3" s="1"/>
  <c r="CJ52" i="3" l="1"/>
  <c r="CJ29" i="3" s="1"/>
  <c r="CJ28" i="3" s="1"/>
  <c r="CJ8" i="3"/>
  <c r="CJ41" i="11"/>
  <c r="CJ29" i="11"/>
  <c r="CJ63" i="2"/>
  <c r="CJ77" i="2"/>
  <c r="CJ87" i="2" s="1"/>
  <c r="CJ86" i="2"/>
  <c r="CJ65" i="2" l="1"/>
  <c r="CJ82" i="2"/>
  <c r="CJ93" i="3"/>
  <c r="CK19" i="4"/>
  <c r="CJ42" i="3"/>
  <c r="CJ21" i="3"/>
  <c r="CJ51" i="3"/>
  <c r="CJ83" i="3"/>
  <c r="CJ102" i="2"/>
  <c r="CK14" i="4" l="1"/>
  <c r="CK38" i="4" s="1"/>
  <c r="CK21" i="4"/>
  <c r="CJ96" i="3"/>
  <c r="CJ38" i="2" s="1"/>
  <c r="CJ95" i="3"/>
  <c r="CJ20" i="3"/>
  <c r="CJ81" i="3" s="1"/>
  <c r="CJ82" i="3" s="1"/>
  <c r="CJ89" i="2"/>
  <c r="CJ81" i="2"/>
  <c r="CJ95" i="2"/>
  <c r="CJ40" i="2" l="1"/>
  <c r="CJ71" i="2" s="1"/>
  <c r="CK9" i="4"/>
  <c r="CK33" i="4"/>
  <c r="CK37" i="4" s="1"/>
  <c r="CK38" i="11"/>
  <c r="CK72" i="2"/>
  <c r="CJ94" i="2"/>
  <c r="CJ26" i="2" s="1"/>
  <c r="CJ96" i="2"/>
  <c r="CJ97" i="2" s="1"/>
  <c r="CJ32" i="11" l="1"/>
  <c r="CJ27" i="2"/>
  <c r="CJ68" i="2"/>
  <c r="CK35" i="4"/>
  <c r="CK115" i="3"/>
  <c r="CK9" i="11"/>
  <c r="CK112" i="2"/>
  <c r="CK10" i="4"/>
  <c r="CK29" i="4"/>
  <c r="CK12" i="4"/>
  <c r="CK24" i="4"/>
  <c r="CK34" i="4"/>
  <c r="CJ38" i="3"/>
  <c r="CJ144" i="3"/>
  <c r="CK13" i="2" s="1"/>
  <c r="CJ37" i="11"/>
  <c r="CK10" i="11" l="1"/>
  <c r="CK17" i="11"/>
  <c r="CK18" i="11"/>
  <c r="CK116" i="2"/>
  <c r="CK107" i="2"/>
  <c r="CK114" i="3"/>
  <c r="CK35" i="3" s="1"/>
  <c r="CK126" i="3"/>
  <c r="CK16" i="3" s="1"/>
  <c r="CK128" i="3"/>
  <c r="CK37" i="3" s="1"/>
  <c r="CK124" i="3"/>
  <c r="CK18" i="3" s="1"/>
  <c r="CK5" i="2"/>
  <c r="CK31" i="2" s="1"/>
  <c r="CK36" i="4"/>
  <c r="CK41" i="4"/>
  <c r="CK14" i="11"/>
  <c r="CL17" i="4"/>
  <c r="CK26" i="4"/>
  <c r="CK107" i="3" s="1"/>
  <c r="CL28" i="4"/>
  <c r="CK12" i="11"/>
  <c r="CK13" i="11" s="1"/>
  <c r="CJ149" i="3"/>
  <c r="CJ79" i="3"/>
  <c r="CJ27" i="3"/>
  <c r="CK32" i="4" l="1"/>
  <c r="CL39" i="4" s="1"/>
  <c r="CM39" i="4" s="1"/>
  <c r="CM40" i="4" s="1"/>
  <c r="CL18" i="2"/>
  <c r="CM17" i="4"/>
  <c r="CM18" i="4" s="1"/>
  <c r="CK114" i="2"/>
  <c r="CK25" i="11"/>
  <c r="CK6" i="2"/>
  <c r="CK4" i="2" s="1"/>
  <c r="CK14" i="3"/>
  <c r="CK101" i="3"/>
  <c r="CK104" i="3" s="1"/>
  <c r="CK15" i="11"/>
  <c r="CL16" i="11"/>
  <c r="CK11" i="2"/>
  <c r="CK113" i="2"/>
  <c r="CK115" i="2" s="1"/>
  <c r="CK117" i="2" s="1"/>
  <c r="CK11" i="11"/>
  <c r="CL111" i="2" l="1"/>
  <c r="CM111" i="2" s="1"/>
  <c r="CK21" i="11"/>
  <c r="CK19" i="11" s="1"/>
  <c r="CK7" i="2"/>
  <c r="CK9" i="2" s="1"/>
  <c r="CK108" i="2"/>
  <c r="CL27" i="11"/>
  <c r="CM18" i="2"/>
  <c r="Q40" i="9" s="1"/>
  <c r="S40" i="9" s="1"/>
  <c r="CK79" i="2"/>
  <c r="CK30" i="2"/>
  <c r="CK33" i="11"/>
  <c r="CK62" i="2"/>
  <c r="CK12" i="3"/>
  <c r="CK34" i="3" s="1"/>
  <c r="CK112" i="3"/>
  <c r="CK111" i="3" s="1"/>
  <c r="CK36" i="3" s="1"/>
  <c r="CK14" i="2"/>
  <c r="CK24" i="11" l="1"/>
  <c r="CK60" i="2"/>
  <c r="CK94" i="3"/>
  <c r="CK23" i="11"/>
  <c r="CK59" i="2"/>
  <c r="CK22" i="2"/>
  <c r="CK19" i="2"/>
  <c r="CK10" i="2"/>
  <c r="CK16" i="2" s="1"/>
  <c r="CK109" i="2"/>
  <c r="CK110" i="2" s="1"/>
  <c r="CL12" i="2" s="1"/>
  <c r="CM27" i="11"/>
  <c r="CM20" i="2"/>
  <c r="CK80" i="2"/>
  <c r="CK61" i="2" l="1"/>
  <c r="CK85" i="2"/>
  <c r="CK78" i="2"/>
  <c r="CK88" i="2" s="1"/>
  <c r="CK98" i="3"/>
  <c r="CK99" i="3"/>
  <c r="CK10" i="3" s="1"/>
  <c r="CK22" i="11"/>
  <c r="CK26" i="11"/>
  <c r="CK102" i="3"/>
  <c r="CK103" i="3" l="1"/>
  <c r="CK118" i="3"/>
  <c r="CK117" i="3" s="1"/>
  <c r="CK33" i="3" s="1"/>
  <c r="CK63" i="2"/>
  <c r="CK77" i="2"/>
  <c r="CK87" i="2" s="1"/>
  <c r="CK86" i="2"/>
  <c r="CK52" i="3"/>
  <c r="CK29" i="3" s="1"/>
  <c r="CK28" i="3" s="1"/>
  <c r="CK8" i="3"/>
  <c r="CK41" i="11"/>
  <c r="CK29" i="11"/>
  <c r="CK51" i="3" l="1"/>
  <c r="CK83" i="3"/>
  <c r="CK102" i="2"/>
  <c r="CK65" i="2"/>
  <c r="CK82" i="2"/>
  <c r="CK93" i="3"/>
  <c r="CL19" i="4"/>
  <c r="CK42" i="3"/>
  <c r="CK21" i="3"/>
  <c r="CM43" i="2" l="1"/>
  <c r="Q47" i="9" s="1"/>
  <c r="S47" i="9" s="1"/>
  <c r="CK95" i="2"/>
  <c r="CM19" i="4"/>
  <c r="CM20" i="4" s="1"/>
  <c r="CL21" i="4"/>
  <c r="CM21" i="4" s="1"/>
  <c r="CL14" i="4"/>
  <c r="CL38" i="4" s="1"/>
  <c r="CK96" i="3"/>
  <c r="CK38" i="2" s="1"/>
  <c r="CK95" i="3"/>
  <c r="CK89" i="2"/>
  <c r="CK81" i="2"/>
  <c r="CK20" i="3"/>
  <c r="CK81" i="3" s="1"/>
  <c r="CK82" i="3" s="1"/>
  <c r="CK40" i="2" l="1"/>
  <c r="CK71" i="2" s="1"/>
  <c r="CL9" i="4"/>
  <c r="CL33" i="4"/>
  <c r="CL37" i="4" s="1"/>
  <c r="CM14" i="4"/>
  <c r="CM33" i="4" s="1"/>
  <c r="CK94" i="2"/>
  <c r="CK26" i="2" s="1"/>
  <c r="CK96" i="2"/>
  <c r="CK97" i="2" s="1"/>
  <c r="CL38" i="11"/>
  <c r="CL72" i="2"/>
  <c r="CK32" i="11" l="1"/>
  <c r="CK27" i="2"/>
  <c r="CK68" i="2"/>
  <c r="CK144" i="3"/>
  <c r="CL13" i="2" s="1"/>
  <c r="CL9" i="11"/>
  <c r="CL115" i="3"/>
  <c r="CL112" i="2"/>
  <c r="CL10" i="4"/>
  <c r="CL29" i="4"/>
  <c r="CL12" i="4"/>
  <c r="CM9" i="4"/>
  <c r="Q35" i="9" s="1"/>
  <c r="CL24" i="4"/>
  <c r="CL34" i="4"/>
  <c r="CM38" i="11"/>
  <c r="CM72" i="2"/>
  <c r="I20" i="15"/>
  <c r="F15" i="9"/>
  <c r="CL35" i="4"/>
  <c r="CM37" i="4"/>
  <c r="CM38" i="4" s="1"/>
  <c r="CK38" i="3"/>
  <c r="CK37" i="11"/>
  <c r="S35" i="9" l="1"/>
  <c r="CL5" i="2"/>
  <c r="CL31" i="2" s="1"/>
  <c r="CL36" i="4"/>
  <c r="CL41" i="4"/>
  <c r="CM35" i="4"/>
  <c r="CL10" i="11"/>
  <c r="CM10" i="4"/>
  <c r="CL124" i="3"/>
  <c r="CL18" i="3" s="1"/>
  <c r="CM18" i="3" s="1"/>
  <c r="CM124" i="3" s="1"/>
  <c r="CL114" i="3"/>
  <c r="CL35" i="3" s="1"/>
  <c r="CM35" i="3" s="1"/>
  <c r="CM114" i="3" s="1"/>
  <c r="CL126" i="3"/>
  <c r="CL16" i="3" s="1"/>
  <c r="CM16" i="3" s="1"/>
  <c r="CM126" i="3" s="1"/>
  <c r="CL128" i="3"/>
  <c r="CL37" i="3" s="1"/>
  <c r="CM37" i="3" s="1"/>
  <c r="CM128" i="3" s="1"/>
  <c r="CK149" i="3"/>
  <c r="CL116" i="2"/>
  <c r="CM112" i="2"/>
  <c r="CL107" i="2"/>
  <c r="CK79" i="3"/>
  <c r="CK27" i="3"/>
  <c r="CL113" i="2"/>
  <c r="CL17" i="11"/>
  <c r="CL18" i="11"/>
  <c r="CM9" i="11"/>
  <c r="CL14" i="11"/>
  <c r="CM24" i="4"/>
  <c r="CL26" i="4"/>
  <c r="CM115" i="3"/>
  <c r="CM29" i="4"/>
  <c r="F6" i="9"/>
  <c r="CM34" i="4"/>
  <c r="CL12" i="11"/>
  <c r="CM12" i="11" s="1"/>
  <c r="CM12" i="4"/>
  <c r="CM13" i="4" s="1"/>
  <c r="CL11" i="2" l="1"/>
  <c r="CL79" i="2" s="1"/>
  <c r="CM31" i="2"/>
  <c r="CM11" i="4"/>
  <c r="Q36" i="9"/>
  <c r="S36" i="9" s="1"/>
  <c r="CM129" i="3"/>
  <c r="CM116" i="3"/>
  <c r="CM125" i="3"/>
  <c r="CM127" i="3"/>
  <c r="CM107" i="2"/>
  <c r="CL32" i="4"/>
  <c r="CL11" i="11"/>
  <c r="CM10" i="11"/>
  <c r="CM11" i="11" s="1"/>
  <c r="CN17" i="4"/>
  <c r="CN28" i="4"/>
  <c r="CR28" i="4"/>
  <c r="CL6" i="2"/>
  <c r="CM41" i="4"/>
  <c r="CM42" i="4" s="1"/>
  <c r="CL107" i="3"/>
  <c r="CM26" i="4"/>
  <c r="CM14" i="11"/>
  <c r="CL15" i="11"/>
  <c r="CL114" i="2"/>
  <c r="CM116" i="2"/>
  <c r="CM118" i="2" s="1"/>
  <c r="CL13" i="11"/>
  <c r="CM113" i="2"/>
  <c r="CL115" i="2"/>
  <c r="CM36" i="4"/>
  <c r="CM13" i="11"/>
  <c r="CM18" i="11"/>
  <c r="CM17" i="11"/>
  <c r="CL25" i="11"/>
  <c r="CM13" i="2"/>
  <c r="CM25" i="11" s="1"/>
  <c r="CM5" i="2"/>
  <c r="CM11" i="2" l="1"/>
  <c r="CM79" i="2" s="1"/>
  <c r="CM115" i="2"/>
  <c r="CM117" i="2" s="1"/>
  <c r="CL117" i="2"/>
  <c r="CN18" i="2"/>
  <c r="CM114" i="2"/>
  <c r="CL108" i="2"/>
  <c r="CL14" i="2"/>
  <c r="CL80" i="2" s="1"/>
  <c r="CM6" i="2"/>
  <c r="CL33" i="11"/>
  <c r="CL30" i="2"/>
  <c r="CM30" i="2" s="1"/>
  <c r="CL62" i="2"/>
  <c r="CL4" i="2"/>
  <c r="CR16" i="11"/>
  <c r="CM15" i="11"/>
  <c r="CN16" i="11"/>
  <c r="CL14" i="3"/>
  <c r="CL101" i="3"/>
  <c r="CL104" i="3" s="1"/>
  <c r="CM107" i="3"/>
  <c r="CM108" i="3" s="1"/>
  <c r="CM32" i="4"/>
  <c r="CN39" i="4" s="1"/>
  <c r="CN111" i="2" s="1"/>
  <c r="CM12" i="2" l="1"/>
  <c r="F12" i="9"/>
  <c r="Q43" i="9"/>
  <c r="S43" i="9" s="1"/>
  <c r="CM14" i="2"/>
  <c r="CL60" i="2"/>
  <c r="CL24" i="11"/>
  <c r="CL10" i="2"/>
  <c r="CM108" i="2"/>
  <c r="CL109" i="2"/>
  <c r="CL21" i="11"/>
  <c r="CL19" i="11" s="1"/>
  <c r="CL7" i="2"/>
  <c r="CM7" i="2" s="1"/>
  <c r="CM4" i="2"/>
  <c r="CM21" i="11" s="1"/>
  <c r="CM19" i="11" s="1"/>
  <c r="CN27" i="11"/>
  <c r="CM33" i="11"/>
  <c r="CM62" i="2"/>
  <c r="CL12" i="3"/>
  <c r="CM14" i="3"/>
  <c r="CM112" i="3" s="1"/>
  <c r="CL112" i="3"/>
  <c r="CL111" i="3" s="1"/>
  <c r="CL36" i="3" s="1"/>
  <c r="CM36" i="3" s="1"/>
  <c r="CM111" i="3" s="1"/>
  <c r="CM113" i="3" l="1"/>
  <c r="CL9" i="2"/>
  <c r="CL16" i="2" s="1"/>
  <c r="CM12" i="3"/>
  <c r="CM101" i="3" s="1"/>
  <c r="CM104" i="3" s="1"/>
  <c r="CL34" i="3"/>
  <c r="CM34" i="3" s="1"/>
  <c r="CM8" i="2"/>
  <c r="CM109" i="2"/>
  <c r="CM110" i="2" s="1"/>
  <c r="CL110" i="2"/>
  <c r="CL22" i="2"/>
  <c r="CL59" i="2"/>
  <c r="CL19" i="2"/>
  <c r="CL94" i="3"/>
  <c r="CM9" i="2"/>
  <c r="CM15" i="2"/>
  <c r="CM24" i="11"/>
  <c r="CM60" i="2"/>
  <c r="Q38" i="9" s="1"/>
  <c r="S38" i="9" s="1"/>
  <c r="CL102" i="3"/>
  <c r="CM10" i="2"/>
  <c r="CM80" i="2"/>
  <c r="CL23" i="11" l="1"/>
  <c r="CL22" i="11" s="1"/>
  <c r="CL103" i="3"/>
  <c r="CL118" i="3"/>
  <c r="CL117" i="3" s="1"/>
  <c r="CL33" i="3" s="1"/>
  <c r="CL78" i="2"/>
  <c r="CL88" i="2" s="1"/>
  <c r="CM16" i="2"/>
  <c r="CM94" i="3"/>
  <c r="CM23" i="11"/>
  <c r="CM59" i="2"/>
  <c r="Q37" i="9" s="1"/>
  <c r="CM22" i="2"/>
  <c r="F7" i="9"/>
  <c r="CM19" i="2"/>
  <c r="CL61" i="2"/>
  <c r="CL85" i="2"/>
  <c r="CM102" i="3"/>
  <c r="F8" i="9"/>
  <c r="CL98" i="3"/>
  <c r="CL99" i="3"/>
  <c r="CL10" i="3" s="1"/>
  <c r="CL26" i="11" l="1"/>
  <c r="CL41" i="11" s="1"/>
  <c r="S37" i="9"/>
  <c r="CM22" i="11"/>
  <c r="CM26" i="11"/>
  <c r="CM78" i="2"/>
  <c r="Q51" i="9" s="1"/>
  <c r="I22" i="15"/>
  <c r="F9" i="9"/>
  <c r="CM10" i="3"/>
  <c r="CL52" i="3"/>
  <c r="CL8" i="3"/>
  <c r="CM61" i="2"/>
  <c r="Q39" i="9" s="1"/>
  <c r="S39" i="9" s="1"/>
  <c r="CM85" i="2"/>
  <c r="I5" i="15"/>
  <c r="I6" i="15" s="1"/>
  <c r="CM98" i="3"/>
  <c r="CM33" i="3"/>
  <c r="CM103" i="3"/>
  <c r="CM118" i="3"/>
  <c r="CL63" i="2"/>
  <c r="CL77" i="2"/>
  <c r="CL87" i="2" s="1"/>
  <c r="CL86" i="2"/>
  <c r="CL29" i="11" l="1"/>
  <c r="S51" i="9"/>
  <c r="CL65" i="2"/>
  <c r="CL82" i="2"/>
  <c r="CL93" i="3"/>
  <c r="CL42" i="3"/>
  <c r="CL21" i="3"/>
  <c r="CM117" i="3"/>
  <c r="CM119" i="3" s="1"/>
  <c r="CM52" i="3"/>
  <c r="CM53" i="3" s="1"/>
  <c r="CL29" i="3"/>
  <c r="CM29" i="11"/>
  <c r="CM41" i="11"/>
  <c r="CM63" i="2"/>
  <c r="CM77" i="2"/>
  <c r="Q50" i="9" s="1"/>
  <c r="S50" i="9" s="1"/>
  <c r="CM86" i="2"/>
  <c r="CM8" i="3"/>
  <c r="CM99" i="3"/>
  <c r="CM100" i="3" s="1"/>
  <c r="CM88" i="2"/>
  <c r="F18" i="9"/>
  <c r="CM29" i="3" l="1"/>
  <c r="CM28" i="3" s="1"/>
  <c r="CL28" i="3"/>
  <c r="CM21" i="3"/>
  <c r="CL20" i="3"/>
  <c r="CL81" i="3" s="1"/>
  <c r="CL82" i="3" s="1"/>
  <c r="CL89" i="2"/>
  <c r="CL81" i="2"/>
  <c r="CM93" i="3"/>
  <c r="CN19" i="4"/>
  <c r="CM42" i="3"/>
  <c r="CL96" i="3"/>
  <c r="CL38" i="2" s="1"/>
  <c r="CL95" i="3"/>
  <c r="CM87" i="2"/>
  <c r="F17" i="9"/>
  <c r="CM65" i="2"/>
  <c r="CM82" i="2"/>
  <c r="I9" i="15"/>
  <c r="I10" i="15" s="1"/>
  <c r="CM96" i="3" l="1"/>
  <c r="CM95" i="3"/>
  <c r="CM38" i="2"/>
  <c r="CL40" i="2"/>
  <c r="CM89" i="2"/>
  <c r="CM81" i="2"/>
  <c r="I7" i="15"/>
  <c r="I8" i="15" s="1"/>
  <c r="CL51" i="3"/>
  <c r="CL83" i="3"/>
  <c r="CL102" i="2"/>
  <c r="CN14" i="4"/>
  <c r="CN38" i="4" s="1"/>
  <c r="CN21" i="4"/>
  <c r="CM20" i="3"/>
  <c r="CM51" i="3"/>
  <c r="CM83" i="3"/>
  <c r="CL95" i="2" l="1"/>
  <c r="CM102" i="2"/>
  <c r="CM103" i="2" s="1"/>
  <c r="CM104" i="2" s="1"/>
  <c r="CM40" i="2"/>
  <c r="Q46" i="9" s="1"/>
  <c r="S46" i="9" s="1"/>
  <c r="CL38" i="3"/>
  <c r="CM39" i="2"/>
  <c r="F14" i="9"/>
  <c r="CL71" i="2"/>
  <c r="CN38" i="11"/>
  <c r="CN72" i="2"/>
  <c r="CM81" i="3"/>
  <c r="I23" i="15"/>
  <c r="CL37" i="11"/>
  <c r="CN9" i="4"/>
  <c r="CN33" i="4"/>
  <c r="CN37" i="4" s="1"/>
  <c r="CM71" i="2" l="1"/>
  <c r="CM41" i="2"/>
  <c r="CM37" i="11"/>
  <c r="CN35" i="4"/>
  <c r="CN115" i="3"/>
  <c r="CN9" i="11"/>
  <c r="CN112" i="2"/>
  <c r="CN12" i="4"/>
  <c r="CN10" i="4"/>
  <c r="CN29" i="4"/>
  <c r="CN24" i="4"/>
  <c r="CN34" i="4"/>
  <c r="CM38" i="3"/>
  <c r="CL79" i="3"/>
  <c r="CL27" i="3"/>
  <c r="CM82" i="3"/>
  <c r="I17" i="15"/>
  <c r="CL94" i="2"/>
  <c r="CL26" i="2" s="1"/>
  <c r="CL96" i="2"/>
  <c r="CL97" i="2" s="1"/>
  <c r="CM95" i="2"/>
  <c r="CM96" i="2" s="1"/>
  <c r="CM97" i="2" s="1"/>
  <c r="CL32" i="11" l="1"/>
  <c r="CL27" i="2"/>
  <c r="CL68" i="2"/>
  <c r="CM26" i="2"/>
  <c r="CN10" i="11"/>
  <c r="CN116" i="2"/>
  <c r="CN107" i="2"/>
  <c r="CM94" i="2"/>
  <c r="CM98" i="2" s="1"/>
  <c r="CL144" i="3"/>
  <c r="CN12" i="11"/>
  <c r="CN13" i="11" s="1"/>
  <c r="CN5" i="2"/>
  <c r="CN31" i="2" s="1"/>
  <c r="CN36" i="4"/>
  <c r="CN41" i="4"/>
  <c r="CN14" i="11"/>
  <c r="CO17" i="4"/>
  <c r="CN26" i="4"/>
  <c r="CN107" i="3" s="1"/>
  <c r="CO28" i="4"/>
  <c r="CN17" i="11"/>
  <c r="CN18" i="11"/>
  <c r="CN126" i="3"/>
  <c r="CN16" i="3" s="1"/>
  <c r="CN124" i="3"/>
  <c r="CN18" i="3" s="1"/>
  <c r="CN128" i="3"/>
  <c r="CN37" i="3" s="1"/>
  <c r="CN114" i="3"/>
  <c r="CN35" i="3" s="1"/>
  <c r="CM79" i="3"/>
  <c r="CM27" i="3"/>
  <c r="CN12" i="2"/>
  <c r="CL149" i="3" l="1"/>
  <c r="CM149" i="3" s="1"/>
  <c r="CM144" i="3"/>
  <c r="CN13" i="2" s="1"/>
  <c r="CN114" i="2"/>
  <c r="CM32" i="11"/>
  <c r="CM27" i="2"/>
  <c r="CM68" i="2"/>
  <c r="CN14" i="3"/>
  <c r="CN101" i="3"/>
  <c r="CN104" i="3" s="1"/>
  <c r="CO18" i="2"/>
  <c r="CN15" i="11"/>
  <c r="CO16" i="11"/>
  <c r="CN6" i="2"/>
  <c r="CN4" i="2" s="1"/>
  <c r="CN11" i="11"/>
  <c r="CN32" i="4"/>
  <c r="CO39" i="4" s="1"/>
  <c r="CN11" i="2"/>
  <c r="CN113" i="2"/>
  <c r="CN115" i="2" s="1"/>
  <c r="CN117" i="2" s="1"/>
  <c r="I26" i="15"/>
  <c r="CN33" i="11" l="1"/>
  <c r="CN30" i="2"/>
  <c r="CN62" i="2"/>
  <c r="CO27" i="11"/>
  <c r="CN21" i="11"/>
  <c r="CN19" i="11" s="1"/>
  <c r="CN7" i="2"/>
  <c r="CN14" i="2"/>
  <c r="CN80" i="2" s="1"/>
  <c r="CN25" i="11"/>
  <c r="CN12" i="3"/>
  <c r="CN34" i="3" s="1"/>
  <c r="CN112" i="3"/>
  <c r="CN111" i="3" s="1"/>
  <c r="CN36" i="3" s="1"/>
  <c r="CN108" i="2"/>
  <c r="CO111" i="2"/>
  <c r="CN79" i="2"/>
  <c r="CN10" i="2" l="1"/>
  <c r="CN102" i="3" s="1"/>
  <c r="CN24" i="11"/>
  <c r="CN109" i="2"/>
  <c r="CN110" i="2" s="1"/>
  <c r="CN9" i="2"/>
  <c r="CN60" i="2"/>
  <c r="CN94" i="3" l="1"/>
  <c r="CN23" i="11"/>
  <c r="CN22" i="2"/>
  <c r="CN16" i="2"/>
  <c r="CN59" i="2"/>
  <c r="CN19" i="2"/>
  <c r="CN103" i="3"/>
  <c r="CN118" i="3"/>
  <c r="CN117" i="3" s="1"/>
  <c r="CN33" i="3" s="1"/>
  <c r="CN61" i="2" l="1"/>
  <c r="CN85" i="2"/>
  <c r="CN78" i="2"/>
  <c r="CN88" i="2" s="1"/>
  <c r="CN22" i="11"/>
  <c r="CN26" i="11"/>
  <c r="CN98" i="3"/>
  <c r="CN99" i="3"/>
  <c r="CN10" i="3" s="1"/>
  <c r="CN29" i="11" l="1"/>
  <c r="CN41" i="11"/>
  <c r="CN8" i="3"/>
  <c r="CN52" i="3"/>
  <c r="CN29" i="3" s="1"/>
  <c r="CN28" i="3" s="1"/>
  <c r="CN63" i="2"/>
  <c r="CN86" i="2"/>
  <c r="CN77" i="2"/>
  <c r="CN87" i="2" s="1"/>
  <c r="CN82" i="2" l="1"/>
  <c r="CN65" i="2"/>
  <c r="CN93" i="3"/>
  <c r="CO19" i="4"/>
  <c r="CN42" i="3"/>
  <c r="CN21" i="3"/>
  <c r="CN51" i="3"/>
  <c r="CN83" i="3"/>
  <c r="CN102" i="2"/>
  <c r="CO21" i="4" l="1"/>
  <c r="CO14" i="4"/>
  <c r="CO38" i="4" s="1"/>
  <c r="CN89" i="2"/>
  <c r="CN81" i="2"/>
  <c r="CN95" i="2"/>
  <c r="CN20" i="3"/>
  <c r="CN81" i="3" s="1"/>
  <c r="CN82" i="3" s="1"/>
  <c r="CN96" i="3"/>
  <c r="CN38" i="2" s="1"/>
  <c r="CN95" i="3"/>
  <c r="CN94" i="2" l="1"/>
  <c r="CN96" i="2"/>
  <c r="CN97" i="2" s="1"/>
  <c r="CN40" i="2"/>
  <c r="CN71" i="2" s="1"/>
  <c r="CO33" i="4"/>
  <c r="CO37" i="4" s="1"/>
  <c r="CO9" i="4"/>
  <c r="CO38" i="11"/>
  <c r="CO72" i="2"/>
  <c r="CO115" i="3" l="1"/>
  <c r="CO9" i="11"/>
  <c r="CO12" i="4"/>
  <c r="CO112" i="2"/>
  <c r="CO10" i="4"/>
  <c r="CO29" i="4"/>
  <c r="CO24" i="4"/>
  <c r="CO34" i="4"/>
  <c r="CO35" i="4"/>
  <c r="CO12" i="2" s="1"/>
  <c r="CN38" i="3"/>
  <c r="CN37" i="11"/>
  <c r="CN144" i="3"/>
  <c r="CN26" i="2"/>
  <c r="CO5" i="2" l="1"/>
  <c r="CO36" i="4"/>
  <c r="CO41" i="4"/>
  <c r="CN32" i="11"/>
  <c r="CN27" i="2"/>
  <c r="CN68" i="2"/>
  <c r="CO14" i="11"/>
  <c r="CP17" i="4"/>
  <c r="CO26" i="4"/>
  <c r="CO107" i="3" s="1"/>
  <c r="CP28" i="4"/>
  <c r="CN149" i="3"/>
  <c r="CO13" i="2"/>
  <c r="CN79" i="3"/>
  <c r="CO114" i="3"/>
  <c r="CO35" i="3" s="1"/>
  <c r="CO126" i="3"/>
  <c r="CO16" i="3" s="1"/>
  <c r="CO124" i="3"/>
  <c r="CO18" i="3" s="1"/>
  <c r="CO128" i="3"/>
  <c r="CO37" i="3" s="1"/>
  <c r="CO113" i="2"/>
  <c r="CO115" i="2" s="1"/>
  <c r="CO117" i="2" s="1"/>
  <c r="CO10" i="11"/>
  <c r="CO116" i="2"/>
  <c r="CO107" i="2"/>
  <c r="CO12" i="11"/>
  <c r="CO13" i="11" s="1"/>
  <c r="CO17" i="11"/>
  <c r="CO18" i="11"/>
  <c r="CO11" i="2" l="1"/>
  <c r="CO79" i="2" s="1"/>
  <c r="CO31" i="2"/>
  <c r="CO14" i="3"/>
  <c r="CO101" i="3"/>
  <c r="CO104" i="3" s="1"/>
  <c r="CO15" i="11"/>
  <c r="CP16" i="11"/>
  <c r="CO32" i="4"/>
  <c r="CP39" i="4" s="1"/>
  <c r="CO6" i="2"/>
  <c r="CP18" i="2"/>
  <c r="CO114" i="2"/>
  <c r="CO11" i="11"/>
  <c r="CO25" i="11"/>
  <c r="CO14" i="2" l="1"/>
  <c r="CO80" i="2" s="1"/>
  <c r="CO33" i="11"/>
  <c r="CO30" i="2"/>
  <c r="CO62" i="2"/>
  <c r="CP27" i="11"/>
  <c r="CO108" i="2"/>
  <c r="CO4" i="2"/>
  <c r="CO12" i="3"/>
  <c r="CO34" i="3" s="1"/>
  <c r="CO112" i="3"/>
  <c r="CO111" i="3" s="1"/>
  <c r="CO36" i="3" s="1"/>
  <c r="CP111" i="2"/>
  <c r="CO24" i="11" l="1"/>
  <c r="CO60" i="2"/>
  <c r="CO10" i="2"/>
  <c r="CO21" i="11"/>
  <c r="CO19" i="11" s="1"/>
  <c r="CO7" i="2"/>
  <c r="CO109" i="2"/>
  <c r="CO110" i="2" s="1"/>
  <c r="CO9" i="2" l="1"/>
  <c r="CO102" i="3"/>
  <c r="CO118" i="3" l="1"/>
  <c r="CO117" i="3" s="1"/>
  <c r="CO33" i="3" s="1"/>
  <c r="CO103" i="3"/>
  <c r="CO94" i="3"/>
  <c r="CO16" i="2"/>
  <c r="CO23" i="11"/>
  <c r="CO22" i="2"/>
  <c r="CO59" i="2"/>
  <c r="CO19" i="2"/>
  <c r="CO26" i="11" l="1"/>
  <c r="CO22" i="11"/>
  <c r="CO61" i="2"/>
  <c r="CO85" i="2"/>
  <c r="CO78" i="2"/>
  <c r="CO88" i="2" s="1"/>
  <c r="CO98" i="3"/>
  <c r="CO99" i="3"/>
  <c r="CO10" i="3" s="1"/>
  <c r="CO63" i="2" l="1"/>
  <c r="CO77" i="2"/>
  <c r="CO87" i="2" s="1"/>
  <c r="CO86" i="2"/>
  <c r="CO8" i="3"/>
  <c r="CO52" i="3"/>
  <c r="CO29" i="3" s="1"/>
  <c r="CO28" i="3" s="1"/>
  <c r="CO29" i="11"/>
  <c r="CO41" i="11"/>
  <c r="CO51" i="3" l="1"/>
  <c r="CO83" i="3"/>
  <c r="CO102" i="2"/>
  <c r="CO93" i="3"/>
  <c r="CP19" i="4"/>
  <c r="CO21" i="3"/>
  <c r="CO42" i="3"/>
  <c r="CO65" i="2"/>
  <c r="CO82" i="2"/>
  <c r="CO20" i="3" l="1"/>
  <c r="CO81" i="3" s="1"/>
  <c r="CO82" i="3" s="1"/>
  <c r="CO96" i="3"/>
  <c r="CO38" i="2" s="1"/>
  <c r="CO95" i="3"/>
  <c r="CP14" i="4"/>
  <c r="CP38" i="4" s="1"/>
  <c r="CP21" i="4"/>
  <c r="CO81" i="2"/>
  <c r="CO89" i="2"/>
  <c r="CO95" i="2"/>
  <c r="CP33" i="4" l="1"/>
  <c r="CP37" i="4" s="1"/>
  <c r="CP9" i="4"/>
  <c r="CO40" i="2"/>
  <c r="CO71" i="2" s="1"/>
  <c r="CO96" i="2"/>
  <c r="CO97" i="2" s="1"/>
  <c r="CO94" i="2"/>
  <c r="CO26" i="2" s="1"/>
  <c r="CP38" i="11"/>
  <c r="CP72" i="2"/>
  <c r="CO32" i="11" l="1"/>
  <c r="CO27" i="2"/>
  <c r="CO68" i="2"/>
  <c r="CP115" i="3"/>
  <c r="CP9" i="11"/>
  <c r="CP12" i="4"/>
  <c r="CP112" i="2"/>
  <c r="CP10" i="4"/>
  <c r="CP29" i="4"/>
  <c r="CP24" i="4"/>
  <c r="CP34" i="4"/>
  <c r="CP35" i="4"/>
  <c r="CP12" i="2" s="1"/>
  <c r="CO144" i="3"/>
  <c r="CO38" i="3"/>
  <c r="CO37" i="11"/>
  <c r="CP113" i="2" l="1"/>
  <c r="CP115" i="2" s="1"/>
  <c r="CP117" i="2" s="1"/>
  <c r="CO79" i="3"/>
  <c r="CO27" i="3"/>
  <c r="CP12" i="11"/>
  <c r="CP13" i="11" s="1"/>
  <c r="CP114" i="3"/>
  <c r="CP35" i="3" s="1"/>
  <c r="CP126" i="3"/>
  <c r="CP16" i="3" s="1"/>
  <c r="CP124" i="3"/>
  <c r="CP18" i="3" s="1"/>
  <c r="CP128" i="3"/>
  <c r="CP37" i="3" s="1"/>
  <c r="CP116" i="2"/>
  <c r="CP107" i="2"/>
  <c r="CO149" i="3"/>
  <c r="CP13" i="2"/>
  <c r="CP5" i="2"/>
  <c r="CP31" i="2" s="1"/>
  <c r="CP36" i="4"/>
  <c r="CP41" i="4"/>
  <c r="CP10" i="11"/>
  <c r="CP17" i="11"/>
  <c r="CP18" i="11"/>
  <c r="CP14" i="11"/>
  <c r="CQ17" i="4"/>
  <c r="CP26" i="4"/>
  <c r="CP107" i="3" s="1"/>
  <c r="CQ28" i="4"/>
  <c r="CP114" i="2" l="1"/>
  <c r="CP6" i="2"/>
  <c r="CQ18" i="2"/>
  <c r="CR17" i="4"/>
  <c r="CR18" i="4" s="1"/>
  <c r="CP25" i="11"/>
  <c r="CP11" i="11"/>
  <c r="CP4" i="2"/>
  <c r="CP32" i="4"/>
  <c r="CQ39" i="4" s="1"/>
  <c r="CR39" i="4" s="1"/>
  <c r="CR40" i="4" s="1"/>
  <c r="CP14" i="3"/>
  <c r="CP101" i="3"/>
  <c r="CP104" i="3" s="1"/>
  <c r="CP15" i="11"/>
  <c r="CQ16" i="11"/>
  <c r="CP11" i="2"/>
  <c r="CP79" i="2" s="1"/>
  <c r="CQ111" i="2" l="1"/>
  <c r="CP12" i="3"/>
  <c r="CP34" i="3" s="1"/>
  <c r="CP112" i="3"/>
  <c r="CP111" i="3" s="1"/>
  <c r="CP36" i="3" s="1"/>
  <c r="CQ27" i="11"/>
  <c r="CR18" i="2"/>
  <c r="CP33" i="11"/>
  <c r="CP30" i="2"/>
  <c r="CP62" i="2"/>
  <c r="CP14" i="2"/>
  <c r="CP60" i="2" s="1"/>
  <c r="CP21" i="11"/>
  <c r="CP19" i="11" s="1"/>
  <c r="CP7" i="2"/>
  <c r="CP9" i="2" s="1"/>
  <c r="CP108" i="2"/>
  <c r="CP80" i="2" l="1"/>
  <c r="CP94" i="3"/>
  <c r="CP23" i="11"/>
  <c r="CP22" i="2"/>
  <c r="CP59" i="2"/>
  <c r="CP19" i="2"/>
  <c r="CP10" i="2"/>
  <c r="CP109" i="2"/>
  <c r="CP110" i="2" s="1"/>
  <c r="CP24" i="11"/>
  <c r="CR27" i="11"/>
  <c r="CR20" i="2"/>
  <c r="CR111" i="2"/>
  <c r="CP61" i="2" l="1"/>
  <c r="CP85" i="2"/>
  <c r="CP102" i="3"/>
  <c r="CP26" i="11"/>
  <c r="CP22" i="11"/>
  <c r="CP16" i="2"/>
  <c r="CP98" i="3"/>
  <c r="CP99" i="3"/>
  <c r="CP10" i="3" s="1"/>
  <c r="CP52" i="3" l="1"/>
  <c r="CP29" i="3" s="1"/>
  <c r="CP28" i="3" s="1"/>
  <c r="CP8" i="3"/>
  <c r="CP63" i="2"/>
  <c r="CP77" i="2"/>
  <c r="CP87" i="2" s="1"/>
  <c r="CP86" i="2"/>
  <c r="CP78" i="2"/>
  <c r="CP88" i="2" s="1"/>
  <c r="CP29" i="11"/>
  <c r="CP41" i="11"/>
  <c r="CP118" i="3"/>
  <c r="CP117" i="3" s="1"/>
  <c r="CP33" i="3" s="1"/>
  <c r="CP103" i="3"/>
  <c r="CP65" i="2" l="1"/>
  <c r="CP82" i="2"/>
  <c r="CP93" i="3"/>
  <c r="CQ19" i="4"/>
  <c r="CP42" i="3"/>
  <c r="CP21" i="3"/>
  <c r="CP51" i="3"/>
  <c r="CP83" i="3"/>
  <c r="CP102" i="2"/>
  <c r="CP20" i="3" l="1"/>
  <c r="CP81" i="3" s="1"/>
  <c r="CP82" i="3" s="1"/>
  <c r="CP96" i="3"/>
  <c r="CP38" i="2" s="1"/>
  <c r="CP95" i="3"/>
  <c r="CP81" i="2"/>
  <c r="CP89" i="2"/>
  <c r="CR19" i="4"/>
  <c r="CR20" i="4" s="1"/>
  <c r="CQ21" i="4"/>
  <c r="CR21" i="4" s="1"/>
  <c r="CQ14" i="4"/>
  <c r="CQ38" i="4" s="1"/>
  <c r="CP95" i="2"/>
  <c r="CP40" i="2" l="1"/>
  <c r="CP96" i="2"/>
  <c r="CP97" i="2" s="1"/>
  <c r="CP94" i="2"/>
  <c r="CQ38" i="11"/>
  <c r="CQ72" i="2"/>
  <c r="CQ33" i="4"/>
  <c r="CQ37" i="4" s="1"/>
  <c r="CQ9" i="4"/>
  <c r="CR14" i="4"/>
  <c r="CR33" i="4" s="1"/>
  <c r="CR38" i="11" l="1"/>
  <c r="CR72" i="2"/>
  <c r="J20" i="15"/>
  <c r="CP144" i="3"/>
  <c r="CP38" i="3"/>
  <c r="CP71" i="2"/>
  <c r="CP26" i="2"/>
  <c r="CQ115" i="3"/>
  <c r="CQ9" i="11"/>
  <c r="CQ112" i="2"/>
  <c r="CQ12" i="4"/>
  <c r="CQ10" i="4"/>
  <c r="CQ29" i="4"/>
  <c r="CR9" i="4"/>
  <c r="CQ24" i="4"/>
  <c r="CQ34" i="4"/>
  <c r="CQ35" i="4"/>
  <c r="CR37" i="4"/>
  <c r="CR38" i="4" s="1"/>
  <c r="CP37" i="11"/>
  <c r="CQ17" i="11" l="1"/>
  <c r="CR9" i="11"/>
  <c r="CQ18" i="11"/>
  <c r="CQ5" i="2"/>
  <c r="CQ31" i="2" s="1"/>
  <c r="CR31" i="2" s="1"/>
  <c r="CQ36" i="4"/>
  <c r="CQ41" i="4"/>
  <c r="CR35" i="4"/>
  <c r="CR36" i="4" s="1"/>
  <c r="CP79" i="3"/>
  <c r="CP27" i="3"/>
  <c r="CQ14" i="11"/>
  <c r="CQ26" i="4"/>
  <c r="CR24" i="4"/>
  <c r="CS17" i="4" s="1"/>
  <c r="CR115" i="3"/>
  <c r="CR29" i="4"/>
  <c r="CR34" i="4"/>
  <c r="CQ114" i="3"/>
  <c r="CQ35" i="3" s="1"/>
  <c r="CR35" i="3" s="1"/>
  <c r="CR114" i="3" s="1"/>
  <c r="CQ124" i="3"/>
  <c r="CQ18" i="3" s="1"/>
  <c r="CR18" i="3" s="1"/>
  <c r="CR124" i="3" s="1"/>
  <c r="CQ126" i="3"/>
  <c r="CQ16" i="3" s="1"/>
  <c r="CR16" i="3" s="1"/>
  <c r="CR126" i="3" s="1"/>
  <c r="CQ128" i="3"/>
  <c r="CQ37" i="3" s="1"/>
  <c r="CR37" i="3" s="1"/>
  <c r="CR128" i="3" s="1"/>
  <c r="CP32" i="11"/>
  <c r="CP27" i="2"/>
  <c r="CP68" i="2"/>
  <c r="CQ12" i="2"/>
  <c r="CP149" i="3"/>
  <c r="CQ13" i="2"/>
  <c r="CQ12" i="11"/>
  <c r="CR12" i="11" s="1"/>
  <c r="CR12" i="4"/>
  <c r="CR13" i="4" s="1"/>
  <c r="CQ10" i="11"/>
  <c r="CR10" i="4"/>
  <c r="CR11" i="4" s="1"/>
  <c r="CQ116" i="2"/>
  <c r="CR112" i="2"/>
  <c r="CQ107" i="2"/>
  <c r="CR129" i="3" l="1"/>
  <c r="CR127" i="3"/>
  <c r="CR125" i="3"/>
  <c r="CR116" i="3"/>
  <c r="CR14" i="11"/>
  <c r="CQ15" i="11"/>
  <c r="CQ114" i="2"/>
  <c r="CR116" i="2"/>
  <c r="CR118" i="2" s="1"/>
  <c r="CQ11" i="11"/>
  <c r="CR10" i="11"/>
  <c r="CR11" i="11" s="1"/>
  <c r="CQ6" i="2"/>
  <c r="CQ4" i="2" s="1"/>
  <c r="CR41" i="4"/>
  <c r="CR42" i="4" s="1"/>
  <c r="CQ11" i="2"/>
  <c r="CQ113" i="2"/>
  <c r="CR17" i="11"/>
  <c r="CR18" i="11"/>
  <c r="CR13" i="11"/>
  <c r="CQ25" i="11"/>
  <c r="CR13" i="2"/>
  <c r="CR25" i="11" s="1"/>
  <c r="CS28" i="4"/>
  <c r="CW28" i="4"/>
  <c r="CQ13" i="11"/>
  <c r="CR5" i="2"/>
  <c r="CR107" i="2"/>
  <c r="CQ32" i="4"/>
  <c r="CQ107" i="3"/>
  <c r="CR26" i="4"/>
  <c r="CQ33" i="11" l="1"/>
  <c r="CQ30" i="2"/>
  <c r="CR30" i="2" s="1"/>
  <c r="CQ62" i="2"/>
  <c r="CQ21" i="11"/>
  <c r="CQ19" i="11" s="1"/>
  <c r="CQ7" i="2"/>
  <c r="CR7" i="2" s="1"/>
  <c r="CR4" i="2"/>
  <c r="CR21" i="11" s="1"/>
  <c r="CR19" i="11" s="1"/>
  <c r="CR11" i="2"/>
  <c r="CR79" i="2" s="1"/>
  <c r="CQ14" i="2"/>
  <c r="CR14" i="2" s="1"/>
  <c r="CR6" i="2"/>
  <c r="CR114" i="2"/>
  <c r="CQ108" i="2"/>
  <c r="CR113" i="2"/>
  <c r="CQ115" i="2"/>
  <c r="CS18" i="2"/>
  <c r="CR32" i="4"/>
  <c r="CS39" i="4" s="1"/>
  <c r="CS111" i="2" s="1"/>
  <c r="CQ14" i="3"/>
  <c r="CR107" i="3"/>
  <c r="CR108" i="3" s="1"/>
  <c r="CQ101" i="3"/>
  <c r="CQ104" i="3" s="1"/>
  <c r="CR15" i="11"/>
  <c r="CS16" i="11"/>
  <c r="CW16" i="11"/>
  <c r="CQ79" i="2"/>
  <c r="CQ60" i="2" l="1"/>
  <c r="CR80" i="2"/>
  <c r="CQ10" i="2"/>
  <c r="CR10" i="2" s="1"/>
  <c r="CR102" i="3" s="1"/>
  <c r="CQ24" i="11"/>
  <c r="CQ80" i="2"/>
  <c r="CQ12" i="3"/>
  <c r="CR14" i="3"/>
  <c r="CR112" i="3" s="1"/>
  <c r="CQ112" i="3"/>
  <c r="CQ111" i="3" s="1"/>
  <c r="CQ36" i="3" s="1"/>
  <c r="CR36" i="3" s="1"/>
  <c r="CR111" i="3" s="1"/>
  <c r="CR33" i="11"/>
  <c r="CR62" i="2"/>
  <c r="CQ102" i="3"/>
  <c r="CS27" i="11"/>
  <c r="CQ117" i="2"/>
  <c r="CR115" i="2"/>
  <c r="CR117" i="2" s="1"/>
  <c r="CR8" i="2"/>
  <c r="CQ9" i="2"/>
  <c r="CR15" i="2"/>
  <c r="CR108" i="2"/>
  <c r="CQ109" i="2"/>
  <c r="CR24" i="11"/>
  <c r="CR12" i="2"/>
  <c r="CR60" i="2"/>
  <c r="CR113" i="3" l="1"/>
  <c r="CR109" i="2"/>
  <c r="CR110" i="2" s="1"/>
  <c r="CQ110" i="2"/>
  <c r="CQ118" i="3"/>
  <c r="CQ117" i="3" s="1"/>
  <c r="CQ33" i="3" s="1"/>
  <c r="CQ103" i="3"/>
  <c r="CQ23" i="11"/>
  <c r="CQ16" i="2"/>
  <c r="CQ22" i="2"/>
  <c r="CQ59" i="2"/>
  <c r="CQ19" i="2"/>
  <c r="CR9" i="2"/>
  <c r="CQ94" i="3"/>
  <c r="CR118" i="3"/>
  <c r="CR12" i="3"/>
  <c r="CR101" i="3" s="1"/>
  <c r="CR104" i="3" s="1"/>
  <c r="CQ34" i="3"/>
  <c r="CR34" i="3" s="1"/>
  <c r="CR23" i="11" l="1"/>
  <c r="CR94" i="3"/>
  <c r="CR22" i="2"/>
  <c r="CR59" i="2"/>
  <c r="CR19" i="2"/>
  <c r="CQ26" i="11"/>
  <c r="CQ22" i="11"/>
  <c r="CQ98" i="3"/>
  <c r="CQ99" i="3"/>
  <c r="CQ10" i="3" s="1"/>
  <c r="CQ61" i="2"/>
  <c r="CQ85" i="2"/>
  <c r="CR103" i="3"/>
  <c r="CQ78" i="2"/>
  <c r="CQ88" i="2" s="1"/>
  <c r="CR16" i="2"/>
  <c r="CR33" i="3"/>
  <c r="CQ52" i="3" l="1"/>
  <c r="CQ8" i="3"/>
  <c r="CR10" i="3"/>
  <c r="CQ77" i="2"/>
  <c r="CQ87" i="2" s="1"/>
  <c r="CQ86" i="2"/>
  <c r="CQ63" i="2"/>
  <c r="CR117" i="3"/>
  <c r="CR119" i="3" s="1"/>
  <c r="CQ29" i="11"/>
  <c r="CQ41" i="11"/>
  <c r="CR98" i="3"/>
  <c r="CR78" i="2"/>
  <c r="CR88" i="2" s="1"/>
  <c r="J22" i="15"/>
  <c r="CR85" i="2"/>
  <c r="CR61" i="2"/>
  <c r="J5" i="15"/>
  <c r="J6" i="15" s="1"/>
  <c r="CR26" i="11"/>
  <c r="CR22" i="11"/>
  <c r="CR63" i="2" l="1"/>
  <c r="CR77" i="2"/>
  <c r="CR87" i="2" s="1"/>
  <c r="CR86" i="2"/>
  <c r="CQ65" i="2"/>
  <c r="CQ82" i="2"/>
  <c r="CQ93" i="3"/>
  <c r="CQ42" i="3"/>
  <c r="CQ21" i="3"/>
  <c r="CR29" i="11"/>
  <c r="CR41" i="11"/>
  <c r="CR8" i="3"/>
  <c r="CR99" i="3"/>
  <c r="CR100" i="3" s="1"/>
  <c r="CR52" i="3"/>
  <c r="CR53" i="3" s="1"/>
  <c r="CQ29" i="3"/>
  <c r="CQ20" i="3" l="1"/>
  <c r="CQ81" i="3" s="1"/>
  <c r="CQ82" i="3" s="1"/>
  <c r="CR21" i="3"/>
  <c r="CQ81" i="2"/>
  <c r="CQ89" i="2"/>
  <c r="CQ28" i="3"/>
  <c r="CR29" i="3"/>
  <c r="CR28" i="3" s="1"/>
  <c r="CR42" i="3"/>
  <c r="CQ96" i="3"/>
  <c r="CQ38" i="2" s="1"/>
  <c r="CQ95" i="3"/>
  <c r="CR65" i="2"/>
  <c r="CR82" i="2"/>
  <c r="J9" i="15"/>
  <c r="J10" i="15" s="1"/>
  <c r="CR93" i="3"/>
  <c r="CS19" i="4"/>
  <c r="CR38" i="2" l="1"/>
  <c r="CR39" i="2" s="1"/>
  <c r="CQ40" i="2"/>
  <c r="CR96" i="3"/>
  <c r="CR95" i="3"/>
  <c r="CS21" i="4"/>
  <c r="CS14" i="4"/>
  <c r="CS38" i="4" s="1"/>
  <c r="CQ51" i="3"/>
  <c r="CQ83" i="3"/>
  <c r="CQ102" i="2"/>
  <c r="CR20" i="3"/>
  <c r="CR51" i="3"/>
  <c r="CR83" i="3"/>
  <c r="CR89" i="2"/>
  <c r="CR81" i="2"/>
  <c r="J7" i="15"/>
  <c r="J8" i="15" s="1"/>
  <c r="CS38" i="11" l="1"/>
  <c r="CS72" i="2"/>
  <c r="CR81" i="3"/>
  <c r="J23" i="15"/>
  <c r="CR40" i="2"/>
  <c r="CR41" i="2" s="1"/>
  <c r="CQ38" i="3"/>
  <c r="CQ71" i="2"/>
  <c r="CQ95" i="2"/>
  <c r="CR102" i="2"/>
  <c r="CR103" i="2" s="1"/>
  <c r="CR104" i="2" s="1"/>
  <c r="CS33" i="4"/>
  <c r="CS37" i="4" s="1"/>
  <c r="CS9" i="4"/>
  <c r="CQ37" i="11"/>
  <c r="CS35" i="4" l="1"/>
  <c r="CR71" i="2"/>
  <c r="CR38" i="3"/>
  <c r="CQ79" i="3"/>
  <c r="CQ27" i="3"/>
  <c r="CR82" i="3"/>
  <c r="J17" i="15"/>
  <c r="CR37" i="11"/>
  <c r="CS115" i="3"/>
  <c r="CS9" i="11"/>
  <c r="CS29" i="4"/>
  <c r="CS12" i="4"/>
  <c r="CS112" i="2"/>
  <c r="CS10" i="4"/>
  <c r="CS24" i="4"/>
  <c r="CT17" i="4" s="1"/>
  <c r="CS34" i="4"/>
  <c r="CQ96" i="2"/>
  <c r="CQ97" i="2" s="1"/>
  <c r="CQ94" i="2"/>
  <c r="CQ26" i="2" s="1"/>
  <c r="CR95" i="2"/>
  <c r="CR96" i="2" s="1"/>
  <c r="CR97" i="2" s="1"/>
  <c r="CQ32" i="11" l="1"/>
  <c r="CQ27" i="2"/>
  <c r="CQ68" i="2"/>
  <c r="CR26" i="2"/>
  <c r="CS114" i="3"/>
  <c r="CS35" i="3" s="1"/>
  <c r="CS126" i="3"/>
  <c r="CS16" i="3" s="1"/>
  <c r="CS124" i="3"/>
  <c r="CS18" i="3" s="1"/>
  <c r="CS128" i="3"/>
  <c r="CS37" i="3" s="1"/>
  <c r="CS14" i="11"/>
  <c r="CS26" i="4"/>
  <c r="CS107" i="3" s="1"/>
  <c r="CT28" i="4"/>
  <c r="CS116" i="2"/>
  <c r="CS107" i="2"/>
  <c r="CS5" i="2"/>
  <c r="CS31" i="2" s="1"/>
  <c r="CS36" i="4"/>
  <c r="CS41" i="4"/>
  <c r="CR94" i="2"/>
  <c r="CR98" i="2" s="1"/>
  <c r="CQ144" i="3"/>
  <c r="CR79" i="3"/>
  <c r="CR27" i="3"/>
  <c r="CS10" i="11"/>
  <c r="CS12" i="11"/>
  <c r="CS13" i="11" s="1"/>
  <c r="CS17" i="11"/>
  <c r="CS18" i="11"/>
  <c r="CS12" i="2"/>
  <c r="CS14" i="3" l="1"/>
  <c r="CS101" i="3"/>
  <c r="CS104" i="3" s="1"/>
  <c r="CQ149" i="3"/>
  <c r="CR149" i="3" s="1"/>
  <c r="CR144" i="3"/>
  <c r="CS13" i="2" s="1"/>
  <c r="CS6" i="2"/>
  <c r="CS32" i="4"/>
  <c r="CT39" i="4" s="1"/>
  <c r="CR32" i="11"/>
  <c r="CR27" i="2"/>
  <c r="CR68" i="2"/>
  <c r="CS15" i="11"/>
  <c r="CT16" i="11"/>
  <c r="CS11" i="11"/>
  <c r="CS114" i="2"/>
  <c r="CT18" i="2"/>
  <c r="CS11" i="2"/>
  <c r="CS113" i="2"/>
  <c r="CS115" i="2" s="1"/>
  <c r="CS117" i="2" s="1"/>
  <c r="J26" i="15"/>
  <c r="CS33" i="11" l="1"/>
  <c r="CS30" i="2"/>
  <c r="CS62" i="2"/>
  <c r="CS108" i="2"/>
  <c r="CS14" i="2"/>
  <c r="CS24" i="11" s="1"/>
  <c r="CS79" i="2"/>
  <c r="CS25" i="11"/>
  <c r="CS12" i="3"/>
  <c r="CS34" i="3" s="1"/>
  <c r="CS112" i="3"/>
  <c r="CS111" i="3" s="1"/>
  <c r="CS36" i="3" s="1"/>
  <c r="CT27" i="11"/>
  <c r="CT111" i="2"/>
  <c r="CS4" i="2"/>
  <c r="CS80" i="2" l="1"/>
  <c r="CS60" i="2"/>
  <c r="CS10" i="2"/>
  <c r="CS102" i="3" s="1"/>
  <c r="CS109" i="2"/>
  <c r="CS110" i="2" s="1"/>
  <c r="CS21" i="11"/>
  <c r="CS19" i="11" s="1"/>
  <c r="CS7" i="2"/>
  <c r="CS9" i="2" s="1"/>
  <c r="CS94" i="3" l="1"/>
  <c r="CS23" i="11"/>
  <c r="CS22" i="2"/>
  <c r="CS16" i="2"/>
  <c r="CS59" i="2"/>
  <c r="CS19" i="2"/>
  <c r="CS103" i="3"/>
  <c r="CS118" i="3"/>
  <c r="CS117" i="3" s="1"/>
  <c r="CS33" i="3" s="1"/>
  <c r="CS61" i="2" l="1"/>
  <c r="CS85" i="2"/>
  <c r="CS78" i="2"/>
  <c r="CS88" i="2" s="1"/>
  <c r="CS22" i="11"/>
  <c r="CS26" i="11"/>
  <c r="CS99" i="3"/>
  <c r="CS10" i="3" s="1"/>
  <c r="CS98" i="3"/>
  <c r="CS29" i="11" l="1"/>
  <c r="CS41" i="11"/>
  <c r="CS52" i="3"/>
  <c r="CS29" i="3" s="1"/>
  <c r="CS28" i="3" s="1"/>
  <c r="CS8" i="3"/>
  <c r="CS77" i="2"/>
  <c r="CS87" i="2" s="1"/>
  <c r="CS86" i="2"/>
  <c r="CS63" i="2"/>
  <c r="CS65" i="2" l="1"/>
  <c r="CS82" i="2"/>
  <c r="CS93" i="3"/>
  <c r="CT19" i="4"/>
  <c r="CS42" i="3"/>
  <c r="CS21" i="3"/>
  <c r="CS51" i="3"/>
  <c r="CS83" i="3"/>
  <c r="CS102" i="2"/>
  <c r="CS20" i="3" l="1"/>
  <c r="CS81" i="3" s="1"/>
  <c r="CS82" i="3" s="1"/>
  <c r="CS96" i="3"/>
  <c r="CS38" i="2" s="1"/>
  <c r="CS95" i="3"/>
  <c r="CS89" i="2"/>
  <c r="CS81" i="2"/>
  <c r="CS95" i="2"/>
  <c r="CT14" i="4"/>
  <c r="CT38" i="4" s="1"/>
  <c r="CT21" i="4"/>
  <c r="CS96" i="2" l="1"/>
  <c r="CS97" i="2" s="1"/>
  <c r="CS94" i="2"/>
  <c r="CS40" i="2"/>
  <c r="CS71" i="2" s="1"/>
  <c r="CT33" i="4"/>
  <c r="CT37" i="4" s="1"/>
  <c r="CT9" i="4"/>
  <c r="CT38" i="11"/>
  <c r="CT72" i="2"/>
  <c r="CT35" i="4" l="1"/>
  <c r="CT115" i="3"/>
  <c r="CT9" i="11"/>
  <c r="CT10" i="4"/>
  <c r="CT29" i="4"/>
  <c r="CT12" i="4"/>
  <c r="CT112" i="2"/>
  <c r="CT24" i="4"/>
  <c r="CU17" i="4" s="1"/>
  <c r="CT34" i="4"/>
  <c r="CS38" i="3"/>
  <c r="CS37" i="11"/>
  <c r="CS144" i="3"/>
  <c r="CS26" i="2"/>
  <c r="CT14" i="11" l="1"/>
  <c r="CT26" i="4"/>
  <c r="CT107" i="3" s="1"/>
  <c r="CU28" i="4"/>
  <c r="CT10" i="11"/>
  <c r="CS149" i="3"/>
  <c r="CT13" i="2"/>
  <c r="CT5" i="2"/>
  <c r="CT31" i="2" s="1"/>
  <c r="CT36" i="4"/>
  <c r="CT41" i="4"/>
  <c r="CT116" i="2"/>
  <c r="CT107" i="2"/>
  <c r="CT17" i="11"/>
  <c r="CT18" i="11"/>
  <c r="CT12" i="11"/>
  <c r="CS32" i="11"/>
  <c r="CS27" i="2"/>
  <c r="CS68" i="2"/>
  <c r="CT124" i="3"/>
  <c r="CT18" i="3" s="1"/>
  <c r="CT114" i="3"/>
  <c r="CT35" i="3" s="1"/>
  <c r="CT126" i="3"/>
  <c r="CT16" i="3" s="1"/>
  <c r="CT128" i="3"/>
  <c r="CT37" i="3" s="1"/>
  <c r="CS79" i="3"/>
  <c r="CT12" i="2"/>
  <c r="CT25" i="11" l="1"/>
  <c r="CT14" i="3"/>
  <c r="CT101" i="3"/>
  <c r="CT104" i="3" s="1"/>
  <c r="CT11" i="11"/>
  <c r="CT114" i="2"/>
  <c r="CU18" i="2"/>
  <c r="CT13" i="11"/>
  <c r="CT32" i="4"/>
  <c r="CU39" i="4" s="1"/>
  <c r="CU111" i="2" s="1"/>
  <c r="CT11" i="2"/>
  <c r="CT113" i="2"/>
  <c r="CT115" i="2" s="1"/>
  <c r="CT117" i="2" s="1"/>
  <c r="CT6" i="2"/>
  <c r="CT4" i="2" s="1"/>
  <c r="CT15" i="11"/>
  <c r="CU16" i="11"/>
  <c r="CT108" i="2" l="1"/>
  <c r="CT21" i="11"/>
  <c r="CT19" i="11" s="1"/>
  <c r="CT7" i="2"/>
  <c r="CT9" i="2" s="1"/>
  <c r="CU27" i="11"/>
  <c r="CT14" i="2"/>
  <c r="CT80" i="2" s="1"/>
  <c r="CT12" i="3"/>
  <c r="CT34" i="3" s="1"/>
  <c r="CT112" i="3"/>
  <c r="CT111" i="3" s="1"/>
  <c r="CT36" i="3" s="1"/>
  <c r="CT79" i="2"/>
  <c r="CT33" i="11"/>
  <c r="CT30" i="2"/>
  <c r="CT62" i="2"/>
  <c r="CT60" i="2" l="1"/>
  <c r="CT10" i="2"/>
  <c r="CT16" i="2" s="1"/>
  <c r="CT24" i="11"/>
  <c r="CT94" i="3"/>
  <c r="CT23" i="11"/>
  <c r="CT59" i="2"/>
  <c r="CT22" i="2"/>
  <c r="CT19" i="2"/>
  <c r="CT109" i="2"/>
  <c r="CT110" i="2" s="1"/>
  <c r="CT102" i="3" l="1"/>
  <c r="CT78" i="2"/>
  <c r="CT88" i="2" s="1"/>
  <c r="CT61" i="2"/>
  <c r="CT85" i="2"/>
  <c r="CT22" i="11"/>
  <c r="CT26" i="11"/>
  <c r="CT103" i="3"/>
  <c r="CT118" i="3"/>
  <c r="CT117" i="3" s="1"/>
  <c r="CT33" i="3" s="1"/>
  <c r="CT99" i="3"/>
  <c r="CT10" i="3" s="1"/>
  <c r="CT98" i="3"/>
  <c r="CT41" i="11" l="1"/>
  <c r="CT29" i="11"/>
  <c r="CT52" i="3"/>
  <c r="CT29" i="3" s="1"/>
  <c r="CT28" i="3" s="1"/>
  <c r="CT8" i="3"/>
  <c r="CT63" i="2"/>
  <c r="CT77" i="2"/>
  <c r="CT87" i="2" s="1"/>
  <c r="CT86" i="2"/>
  <c r="CT51" i="3" l="1"/>
  <c r="CT83" i="3"/>
  <c r="CT102" i="2"/>
  <c r="CT65" i="2"/>
  <c r="CT82" i="2"/>
  <c r="CT93" i="3"/>
  <c r="CU19" i="4"/>
  <c r="CT21" i="3"/>
  <c r="CT42" i="3"/>
  <c r="CT20" i="3" l="1"/>
  <c r="CT81" i="3" s="1"/>
  <c r="CT82" i="3" s="1"/>
  <c r="CT95" i="2"/>
  <c r="CU21" i="4"/>
  <c r="CU14" i="4"/>
  <c r="CU38" i="4" s="1"/>
  <c r="CT96" i="3"/>
  <c r="CT38" i="2" s="1"/>
  <c r="CT95" i="3"/>
  <c r="CT89" i="2"/>
  <c r="CT81" i="2"/>
  <c r="CU9" i="4" l="1"/>
  <c r="CU33" i="4"/>
  <c r="CT40" i="2"/>
  <c r="CT96" i="2"/>
  <c r="CT97" i="2" s="1"/>
  <c r="CT94" i="2"/>
  <c r="CU38" i="11"/>
  <c r="CU72" i="2"/>
  <c r="CT38" i="3" l="1"/>
  <c r="CT71" i="2"/>
  <c r="CT144" i="3"/>
  <c r="CT26" i="2"/>
  <c r="CT37" i="11"/>
  <c r="CU37" i="4"/>
  <c r="CU115" i="3"/>
  <c r="CU9" i="11"/>
  <c r="CU10" i="4"/>
  <c r="CU29" i="4"/>
  <c r="CU12" i="4"/>
  <c r="CU24" i="4"/>
  <c r="CV17" i="4" s="1"/>
  <c r="CU34" i="4"/>
  <c r="CU10" i="11" l="1"/>
  <c r="CU17" i="11"/>
  <c r="CU18" i="11"/>
  <c r="CU35" i="4"/>
  <c r="CU12" i="2" s="1"/>
  <c r="CT32" i="11"/>
  <c r="CT27" i="2"/>
  <c r="CT68" i="2"/>
  <c r="CU14" i="11"/>
  <c r="CU26" i="4"/>
  <c r="CU107" i="3" s="1"/>
  <c r="CV28" i="4"/>
  <c r="CU112" i="2"/>
  <c r="CT79" i="3"/>
  <c r="CT27" i="3"/>
  <c r="CU124" i="3"/>
  <c r="CU18" i="3" s="1"/>
  <c r="CU114" i="3"/>
  <c r="CU35" i="3" s="1"/>
  <c r="CU126" i="3"/>
  <c r="CU16" i="3" s="1"/>
  <c r="CU128" i="3"/>
  <c r="CU37" i="3" s="1"/>
  <c r="CT149" i="3"/>
  <c r="CU13" i="2"/>
  <c r="CU12" i="11"/>
  <c r="CU116" i="2" l="1"/>
  <c r="CU107" i="2"/>
  <c r="CU5" i="2"/>
  <c r="CU31" i="2" s="1"/>
  <c r="CU36" i="4"/>
  <c r="CU41" i="4"/>
  <c r="CU25" i="11"/>
  <c r="CV18" i="2"/>
  <c r="CW17" i="4"/>
  <c r="CW18" i="4" s="1"/>
  <c r="CU15" i="11"/>
  <c r="CV16" i="11"/>
  <c r="CU11" i="2"/>
  <c r="CU113" i="2"/>
  <c r="CU115" i="2" s="1"/>
  <c r="CU117" i="2" s="1"/>
  <c r="CU14" i="3"/>
  <c r="CU101" i="3"/>
  <c r="CU104" i="3" s="1"/>
  <c r="CU13" i="11"/>
  <c r="CU11" i="11"/>
  <c r="CV27" i="11" l="1"/>
  <c r="CW18" i="2"/>
  <c r="CU6" i="2"/>
  <c r="CU112" i="3"/>
  <c r="CU111" i="3" s="1"/>
  <c r="CU36" i="3" s="1"/>
  <c r="CU12" i="3"/>
  <c r="CU34" i="3" s="1"/>
  <c r="CU79" i="2"/>
  <c r="CU32" i="4"/>
  <c r="CV39" i="4" s="1"/>
  <c r="CW39" i="4" s="1"/>
  <c r="CW40" i="4" s="1"/>
  <c r="CU114" i="2"/>
  <c r="CU108" i="2" l="1"/>
  <c r="CU33" i="11"/>
  <c r="CU30" i="2"/>
  <c r="CU62" i="2"/>
  <c r="CU14" i="2"/>
  <c r="CU80" i="2" s="1"/>
  <c r="CV111" i="2"/>
  <c r="CW27" i="11"/>
  <c r="CW20" i="2"/>
  <c r="CU4" i="2"/>
  <c r="CU60" i="2" l="1"/>
  <c r="CU24" i="11"/>
  <c r="CU10" i="2"/>
  <c r="CU21" i="11"/>
  <c r="CU19" i="11" s="1"/>
  <c r="CU7" i="2"/>
  <c r="CU9" i="2" s="1"/>
  <c r="CU109" i="2"/>
  <c r="CU110" i="2" s="1"/>
  <c r="CW111" i="2"/>
  <c r="CU94" i="3" l="1"/>
  <c r="CU23" i="11"/>
  <c r="CU16" i="2"/>
  <c r="CU59" i="2"/>
  <c r="CU22" i="2"/>
  <c r="CU19" i="2"/>
  <c r="CU102" i="3"/>
  <c r="CU61" i="2" l="1"/>
  <c r="CU85" i="2"/>
  <c r="CU22" i="11"/>
  <c r="CU26" i="11"/>
  <c r="CU103" i="3"/>
  <c r="CU118" i="3"/>
  <c r="CU117" i="3" s="1"/>
  <c r="CU33" i="3" s="1"/>
  <c r="CU78" i="2"/>
  <c r="CU88" i="2" s="1"/>
  <c r="CU99" i="3"/>
  <c r="CU10" i="3" s="1"/>
  <c r="CU98" i="3"/>
  <c r="CU52" i="3" l="1"/>
  <c r="CU29" i="3" s="1"/>
  <c r="CU28" i="3" s="1"/>
  <c r="CU8" i="3"/>
  <c r="CU41" i="11"/>
  <c r="CU29" i="11"/>
  <c r="CU63" i="2"/>
  <c r="CU77" i="2"/>
  <c r="CU87" i="2" s="1"/>
  <c r="CU86" i="2"/>
  <c r="CU65" i="2" l="1"/>
  <c r="CU82" i="2"/>
  <c r="CU93" i="3"/>
  <c r="CV19" i="4"/>
  <c r="CU42" i="3"/>
  <c r="CU21" i="3"/>
  <c r="CU51" i="3"/>
  <c r="CU83" i="3"/>
  <c r="CU102" i="2"/>
  <c r="CW19" i="4" l="1"/>
  <c r="CW20" i="4" s="1"/>
  <c r="CV21" i="4"/>
  <c r="CW21" i="4" s="1"/>
  <c r="CV14" i="4"/>
  <c r="CV38" i="4" s="1"/>
  <c r="CU96" i="3"/>
  <c r="CU38" i="2" s="1"/>
  <c r="CU95" i="3"/>
  <c r="CU89" i="2"/>
  <c r="CU81" i="2"/>
  <c r="CU20" i="3"/>
  <c r="CU81" i="3" s="1"/>
  <c r="CU82" i="3" s="1"/>
  <c r="CU95" i="2"/>
  <c r="CU40" i="2" l="1"/>
  <c r="CU94" i="2"/>
  <c r="CU96" i="2"/>
  <c r="CU97" i="2" s="1"/>
  <c r="CV9" i="4"/>
  <c r="CV33" i="4"/>
  <c r="CV37" i="4" s="1"/>
  <c r="CW14" i="4"/>
  <c r="CW33" i="4" s="1"/>
  <c r="CV38" i="11"/>
  <c r="CV72" i="2"/>
  <c r="CV115" i="3" l="1"/>
  <c r="CV9" i="11"/>
  <c r="CV10" i="4"/>
  <c r="CV29" i="4"/>
  <c r="CV12" i="4"/>
  <c r="CV112" i="2"/>
  <c r="CW9" i="4"/>
  <c r="CV24" i="4"/>
  <c r="CV34" i="4"/>
  <c r="CU38" i="3"/>
  <c r="CW38" i="11"/>
  <c r="CW72" i="2"/>
  <c r="K20" i="15"/>
  <c r="CU71" i="2"/>
  <c r="CV35" i="4"/>
  <c r="CW37" i="4"/>
  <c r="CW38" i="4" s="1"/>
  <c r="CU144" i="3"/>
  <c r="CU26" i="2"/>
  <c r="CU37" i="11"/>
  <c r="CU149" i="3" l="1"/>
  <c r="CV13" i="2"/>
  <c r="CV14" i="11"/>
  <c r="CW24" i="4"/>
  <c r="CV26" i="4"/>
  <c r="CV5" i="2"/>
  <c r="CV31" i="2" s="1"/>
  <c r="CW31" i="2" s="1"/>
  <c r="CV36" i="4"/>
  <c r="CV41" i="4"/>
  <c r="CW35" i="4"/>
  <c r="CU79" i="3"/>
  <c r="CU27" i="3"/>
  <c r="CV12" i="2"/>
  <c r="CV10" i="11"/>
  <c r="CW10" i="4"/>
  <c r="CW11" i="4" s="1"/>
  <c r="CU32" i="11"/>
  <c r="CU27" i="2"/>
  <c r="CU68" i="2"/>
  <c r="CW115" i="3"/>
  <c r="CW29" i="4"/>
  <c r="CW34" i="4"/>
  <c r="CV17" i="11"/>
  <c r="CV18" i="11"/>
  <c r="CW9" i="11"/>
  <c r="CV116" i="2"/>
  <c r="CW112" i="2"/>
  <c r="CV107" i="2"/>
  <c r="CV12" i="11"/>
  <c r="CW12" i="11" s="1"/>
  <c r="CW12" i="4"/>
  <c r="CW13" i="4" s="1"/>
  <c r="CV124" i="3"/>
  <c r="CV18" i="3" s="1"/>
  <c r="CW18" i="3" s="1"/>
  <c r="CW124" i="3" s="1"/>
  <c r="CV114" i="3"/>
  <c r="CV35" i="3" s="1"/>
  <c r="CW35" i="3" s="1"/>
  <c r="CW114" i="3" s="1"/>
  <c r="CV128" i="3"/>
  <c r="CV37" i="3" s="1"/>
  <c r="CW37" i="3" s="1"/>
  <c r="CW128" i="3" s="1"/>
  <c r="CV126" i="3"/>
  <c r="CV16" i="3" s="1"/>
  <c r="CW16" i="3" s="1"/>
  <c r="CW126" i="3" s="1"/>
  <c r="CW116" i="3" l="1"/>
  <c r="CW125" i="3"/>
  <c r="CW36" i="4"/>
  <c r="CV6" i="2"/>
  <c r="CV4" i="2" s="1"/>
  <c r="CW41" i="4"/>
  <c r="CW42" i="4" s="1"/>
  <c r="CV107" i="3"/>
  <c r="CW26" i="4"/>
  <c r="CX17" i="4"/>
  <c r="CX28" i="4"/>
  <c r="DB28" i="4"/>
  <c r="CW107" i="2"/>
  <c r="CV32" i="4"/>
  <c r="CW14" i="11"/>
  <c r="CV15" i="11"/>
  <c r="CW5" i="2"/>
  <c r="CV11" i="11"/>
  <c r="CW10" i="11"/>
  <c r="CW11" i="11" s="1"/>
  <c r="CV25" i="11"/>
  <c r="CW13" i="2"/>
  <c r="CW25" i="11" s="1"/>
  <c r="CV114" i="2"/>
  <c r="CW116" i="2"/>
  <c r="CW118" i="2" s="1"/>
  <c r="CW13" i="11"/>
  <c r="CW17" i="11"/>
  <c r="CW18" i="11"/>
  <c r="CV13" i="11"/>
  <c r="CV11" i="2"/>
  <c r="CV113" i="2"/>
  <c r="CW127" i="3"/>
  <c r="CW129" i="3"/>
  <c r="CX18" i="2" l="1"/>
  <c r="CW11" i="2"/>
  <c r="CW15" i="11"/>
  <c r="CX16" i="11"/>
  <c r="DB16" i="11"/>
  <c r="CW32" i="4"/>
  <c r="CX39" i="4" s="1"/>
  <c r="CX111" i="2" s="1"/>
  <c r="CV33" i="11"/>
  <c r="CV30" i="2"/>
  <c r="CW30" i="2" s="1"/>
  <c r="CV62" i="2"/>
  <c r="CV14" i="3"/>
  <c r="CW107" i="3"/>
  <c r="CW108" i="3" s="1"/>
  <c r="CV101" i="3"/>
  <c r="CV104" i="3" s="1"/>
  <c r="CW114" i="2"/>
  <c r="CV108" i="2"/>
  <c r="CW113" i="2"/>
  <c r="CV115" i="2"/>
  <c r="CV21" i="11"/>
  <c r="CV19" i="11" s="1"/>
  <c r="CV7" i="2"/>
  <c r="CW7" i="2" s="1"/>
  <c r="CW4" i="2"/>
  <c r="CW21" i="11" s="1"/>
  <c r="CW19" i="11" s="1"/>
  <c r="CV79" i="2"/>
  <c r="CV14" i="2"/>
  <c r="CW14" i="2" s="1"/>
  <c r="CW6" i="2"/>
  <c r="CV9" i="2" l="1"/>
  <c r="CV59" i="2" s="1"/>
  <c r="CW15" i="2"/>
  <c r="CW12" i="2"/>
  <c r="CW24" i="11"/>
  <c r="CW60" i="2"/>
  <c r="CV12" i="3"/>
  <c r="CW14" i="3"/>
  <c r="CW112" i="3" s="1"/>
  <c r="CV112" i="3"/>
  <c r="CV111" i="3" s="1"/>
  <c r="CV36" i="3" s="1"/>
  <c r="CW36" i="3" s="1"/>
  <c r="CW111" i="3" s="1"/>
  <c r="CW33" i="11"/>
  <c r="CW62" i="2"/>
  <c r="CV60" i="2"/>
  <c r="CV24" i="11"/>
  <c r="CW108" i="2"/>
  <c r="CV109" i="2"/>
  <c r="CW79" i="2"/>
  <c r="CW8" i="2"/>
  <c r="CV10" i="2"/>
  <c r="CV117" i="2"/>
  <c r="CW115" i="2"/>
  <c r="CW117" i="2" s="1"/>
  <c r="CW80" i="2"/>
  <c r="CV80" i="2"/>
  <c r="CX27" i="11"/>
  <c r="CV23" i="11" l="1"/>
  <c r="CV22" i="11" s="1"/>
  <c r="CV16" i="2"/>
  <c r="CV78" i="2" s="1"/>
  <c r="CV88" i="2" s="1"/>
  <c r="CV94" i="3"/>
  <c r="CV98" i="3" s="1"/>
  <c r="CW9" i="2"/>
  <c r="CW22" i="2" s="1"/>
  <c r="CV19" i="2"/>
  <c r="CV22" i="2"/>
  <c r="CW113" i="3"/>
  <c r="CW109" i="2"/>
  <c r="CW110" i="2" s="1"/>
  <c r="CV110" i="2"/>
  <c r="CW94" i="3"/>
  <c r="CW23" i="11"/>
  <c r="CW59" i="2"/>
  <c r="CV61" i="2"/>
  <c r="CV85" i="2"/>
  <c r="CW10" i="2"/>
  <c r="CW102" i="3" s="1"/>
  <c r="CV102" i="3"/>
  <c r="CW12" i="3"/>
  <c r="CW101" i="3" s="1"/>
  <c r="CW104" i="3" s="1"/>
  <c r="CV34" i="3"/>
  <c r="CW34" i="3" s="1"/>
  <c r="CV26" i="11" l="1"/>
  <c r="CV29" i="11" s="1"/>
  <c r="CV99" i="3"/>
  <c r="CV10" i="3" s="1"/>
  <c r="CW16" i="2"/>
  <c r="CW19" i="2"/>
  <c r="CV103" i="3"/>
  <c r="CV118" i="3"/>
  <c r="CV117" i="3" s="1"/>
  <c r="CV33" i="3" s="1"/>
  <c r="CV63" i="2"/>
  <c r="CV77" i="2"/>
  <c r="CV87" i="2" s="1"/>
  <c r="CV86" i="2"/>
  <c r="CW98" i="3"/>
  <c r="CW103" i="3"/>
  <c r="CW118" i="3"/>
  <c r="CV41" i="11"/>
  <c r="CW22" i="11"/>
  <c r="CW26" i="11"/>
  <c r="CW61" i="2"/>
  <c r="CW85" i="2"/>
  <c r="K5" i="15"/>
  <c r="K6" i="15" s="1"/>
  <c r="CW10" i="3"/>
  <c r="CV52" i="3"/>
  <c r="CV8" i="3"/>
  <c r="CW78" i="2"/>
  <c r="CW88" i="2" s="1"/>
  <c r="K22" i="15"/>
  <c r="CV93" i="3" l="1"/>
  <c r="CV21" i="3"/>
  <c r="CV42" i="3"/>
  <c r="CW52" i="3"/>
  <c r="CW53" i="3" s="1"/>
  <c r="CV29" i="3"/>
  <c r="CW8" i="3"/>
  <c r="CW99" i="3"/>
  <c r="CW100" i="3" s="1"/>
  <c r="CW63" i="2"/>
  <c r="CW77" i="2"/>
  <c r="CW87" i="2" s="1"/>
  <c r="CW86" i="2"/>
  <c r="CW33" i="3"/>
  <c r="CV65" i="2"/>
  <c r="CV82" i="2"/>
  <c r="CW41" i="11"/>
  <c r="CW29" i="11"/>
  <c r="CW117" i="3" l="1"/>
  <c r="CW119" i="3" s="1"/>
  <c r="CV28" i="3"/>
  <c r="CW29" i="3"/>
  <c r="CW28" i="3" s="1"/>
  <c r="CW65" i="2"/>
  <c r="CW82" i="2"/>
  <c r="K9" i="15"/>
  <c r="K10" i="15" s="1"/>
  <c r="CW93" i="3"/>
  <c r="CX19" i="4"/>
  <c r="CV20" i="3"/>
  <c r="CV81" i="3" s="1"/>
  <c r="CV82" i="3" s="1"/>
  <c r="CW21" i="3"/>
  <c r="CV89" i="2"/>
  <c r="CV81" i="2"/>
  <c r="CW42" i="3"/>
  <c r="CV96" i="3"/>
  <c r="CV38" i="2" s="1"/>
  <c r="CV95" i="3"/>
  <c r="CW20" i="3" l="1"/>
  <c r="CX14" i="4"/>
  <c r="CX38" i="4" s="1"/>
  <c r="CX21" i="4"/>
  <c r="CW96" i="3"/>
  <c r="CW95" i="3"/>
  <c r="CW89" i="2"/>
  <c r="CW81" i="2"/>
  <c r="K7" i="15"/>
  <c r="K8" i="15" s="1"/>
  <c r="CW51" i="3"/>
  <c r="CW83" i="3"/>
  <c r="CW38" i="2"/>
  <c r="CW39" i="2" s="1"/>
  <c r="CV40" i="2"/>
  <c r="CV71" i="2" s="1"/>
  <c r="CV51" i="3"/>
  <c r="CV83" i="3"/>
  <c r="CV102" i="2"/>
  <c r="CX38" i="11" l="1"/>
  <c r="CX72" i="2"/>
  <c r="CV37" i="11"/>
  <c r="CW40" i="2"/>
  <c r="CW71" i="2" s="1"/>
  <c r="CV38" i="3"/>
  <c r="CV95" i="2"/>
  <c r="CW102" i="2"/>
  <c r="CW103" i="2" s="1"/>
  <c r="CW104" i="2" s="1"/>
  <c r="CX9" i="4"/>
  <c r="CX33" i="4"/>
  <c r="CX37" i="4" s="1"/>
  <c r="CW81" i="3"/>
  <c r="K23" i="15"/>
  <c r="CW41" i="2" l="1"/>
  <c r="CW37" i="11"/>
  <c r="CX35" i="4"/>
  <c r="CX9" i="11"/>
  <c r="CX115" i="3"/>
  <c r="CX112" i="2"/>
  <c r="CX10" i="4"/>
  <c r="CX29" i="4"/>
  <c r="CX12" i="4"/>
  <c r="CX24" i="4"/>
  <c r="CX34" i="4"/>
  <c r="CW82" i="3"/>
  <c r="K17" i="15"/>
  <c r="CW38" i="3"/>
  <c r="CV79" i="3"/>
  <c r="CV27" i="3"/>
  <c r="CV94" i="2"/>
  <c r="CV26" i="2" s="1"/>
  <c r="CV96" i="2"/>
  <c r="CV97" i="2" s="1"/>
  <c r="CW95" i="2"/>
  <c r="CW96" i="2" s="1"/>
  <c r="CW97" i="2" s="1"/>
  <c r="CX12" i="11" l="1"/>
  <c r="CX13" i="11" s="1"/>
  <c r="CV32" i="11"/>
  <c r="CV27" i="2"/>
  <c r="CV68" i="2"/>
  <c r="CW26" i="2"/>
  <c r="CW94" i="2"/>
  <c r="CW98" i="2" s="1"/>
  <c r="CV144" i="3"/>
  <c r="CX124" i="3"/>
  <c r="CX18" i="3" s="1"/>
  <c r="CX114" i="3"/>
  <c r="CX35" i="3" s="1"/>
  <c r="CX128" i="3"/>
  <c r="CX37" i="3" s="1"/>
  <c r="CX126" i="3"/>
  <c r="CX16" i="3" s="1"/>
  <c r="CX10" i="11"/>
  <c r="CW79" i="3"/>
  <c r="CW27" i="3"/>
  <c r="CX116" i="2"/>
  <c r="CX107" i="2"/>
  <c r="CX17" i="11"/>
  <c r="CX18" i="11"/>
  <c r="CX5" i="2"/>
  <c r="CX31" i="2" s="1"/>
  <c r="CX36" i="4"/>
  <c r="CX41" i="4"/>
  <c r="CX12" i="2"/>
  <c r="CX14" i="11"/>
  <c r="CY17" i="4"/>
  <c r="CX26" i="4"/>
  <c r="CX107" i="3" s="1"/>
  <c r="CY28" i="4"/>
  <c r="CX11" i="2" l="1"/>
  <c r="CX79" i="2" s="1"/>
  <c r="CX113" i="2"/>
  <c r="CX115" i="2" s="1"/>
  <c r="CX117" i="2" s="1"/>
  <c r="CX15" i="11"/>
  <c r="CY16" i="11"/>
  <c r="CX32" i="4"/>
  <c r="CY39" i="4" s="1"/>
  <c r="CY111" i="2" s="1"/>
  <c r="CW144" i="3"/>
  <c r="CX13" i="2" s="1"/>
  <c r="CV149" i="3"/>
  <c r="CW149" i="3" s="1"/>
  <c r="K26" i="15"/>
  <c r="CX6" i="2"/>
  <c r="CX4" i="2" s="1"/>
  <c r="CX114" i="2"/>
  <c r="CW32" i="11"/>
  <c r="CW27" i="2"/>
  <c r="CW68" i="2"/>
  <c r="CX11" i="11"/>
  <c r="CY18" i="2"/>
  <c r="CX14" i="3"/>
  <c r="CX101" i="3"/>
  <c r="CX104" i="3" s="1"/>
  <c r="CX21" i="11" l="1"/>
  <c r="CX19" i="11" s="1"/>
  <c r="CX7" i="2"/>
  <c r="CX9" i="2" s="1"/>
  <c r="CX108" i="2"/>
  <c r="CY27" i="11"/>
  <c r="CX33" i="11"/>
  <c r="CX30" i="2"/>
  <c r="CX62" i="2"/>
  <c r="CX12" i="3"/>
  <c r="CX34" i="3" s="1"/>
  <c r="CX112" i="3"/>
  <c r="CX111" i="3" s="1"/>
  <c r="CX36" i="3" s="1"/>
  <c r="CX14" i="2"/>
  <c r="CX80" i="2" s="1"/>
  <c r="CX25" i="11"/>
  <c r="CX60" i="2" l="1"/>
  <c r="CX24" i="11"/>
  <c r="CX109" i="2"/>
  <c r="CX110" i="2" s="1"/>
  <c r="CX94" i="3"/>
  <c r="CX23" i="11"/>
  <c r="CX22" i="2"/>
  <c r="CX59" i="2"/>
  <c r="CX19" i="2"/>
  <c r="CX10" i="2"/>
  <c r="CX16" i="2" s="1"/>
  <c r="CX78" i="2" l="1"/>
  <c r="CX88" i="2" s="1"/>
  <c r="CX61" i="2"/>
  <c r="CX85" i="2"/>
  <c r="CX98" i="3"/>
  <c r="CX99" i="3"/>
  <c r="CX10" i="3" s="1"/>
  <c r="CX102" i="3"/>
  <c r="CX22" i="11"/>
  <c r="CX26" i="11"/>
  <c r="CX103" i="3" l="1"/>
  <c r="CX118" i="3"/>
  <c r="CX117" i="3" s="1"/>
  <c r="CX33" i="3" s="1"/>
  <c r="CX29" i="11"/>
  <c r="CX41" i="11"/>
  <c r="CX52" i="3"/>
  <c r="CX29" i="3" s="1"/>
  <c r="CX28" i="3" s="1"/>
  <c r="CX8" i="3"/>
  <c r="CX63" i="2"/>
  <c r="CX77" i="2"/>
  <c r="CX87" i="2" s="1"/>
  <c r="CX86" i="2"/>
  <c r="CX65" i="2" l="1"/>
  <c r="CX82" i="2"/>
  <c r="CX93" i="3"/>
  <c r="CY19" i="4"/>
  <c r="CX21" i="3"/>
  <c r="CX42" i="3"/>
  <c r="CX51" i="3"/>
  <c r="CX83" i="3"/>
  <c r="CX102" i="2"/>
  <c r="CY14" i="4" l="1"/>
  <c r="CY38" i="4" s="1"/>
  <c r="CY21" i="4"/>
  <c r="CX89" i="2"/>
  <c r="CX81" i="2"/>
  <c r="CX20" i="3"/>
  <c r="CX81" i="3" s="1"/>
  <c r="CX82" i="3" s="1"/>
  <c r="CX96" i="3"/>
  <c r="CX38" i="2" s="1"/>
  <c r="CX95" i="3"/>
  <c r="CX95" i="2"/>
  <c r="CY9" i="4" l="1"/>
  <c r="CY33" i="4"/>
  <c r="CY37" i="4" s="1"/>
  <c r="CX94" i="2"/>
  <c r="CX26" i="2" s="1"/>
  <c r="CX96" i="2"/>
  <c r="CX97" i="2" s="1"/>
  <c r="CX40" i="2"/>
  <c r="CY38" i="11"/>
  <c r="CY72" i="2"/>
  <c r="CX32" i="11" l="1"/>
  <c r="CX27" i="2"/>
  <c r="CX68" i="2"/>
  <c r="CX38" i="3"/>
  <c r="CX71" i="2"/>
  <c r="CY35" i="4"/>
  <c r="CY12" i="2" s="1"/>
  <c r="CX37" i="11"/>
  <c r="CX144" i="3"/>
  <c r="CY9" i="11"/>
  <c r="CY115" i="3"/>
  <c r="CY112" i="2"/>
  <c r="CY10" i="4"/>
  <c r="CY29" i="4"/>
  <c r="CY12" i="4"/>
  <c r="CY24" i="4"/>
  <c r="CY34" i="4"/>
  <c r="CY124" i="3" l="1"/>
  <c r="CY18" i="3" s="1"/>
  <c r="CY114" i="3"/>
  <c r="CY35" i="3" s="1"/>
  <c r="CY128" i="3"/>
  <c r="CY37" i="3" s="1"/>
  <c r="CY126" i="3"/>
  <c r="CY16" i="3" s="1"/>
  <c r="CY14" i="11"/>
  <c r="CZ17" i="4"/>
  <c r="CY26" i="4"/>
  <c r="CY107" i="3" s="1"/>
  <c r="CZ28" i="4"/>
  <c r="CY5" i="2"/>
  <c r="CY31" i="2" s="1"/>
  <c r="CY36" i="4"/>
  <c r="CY41" i="4"/>
  <c r="CY12" i="11"/>
  <c r="CY13" i="11" s="1"/>
  <c r="CX79" i="3"/>
  <c r="CY113" i="2"/>
  <c r="CY115" i="2" s="1"/>
  <c r="CY117" i="2" s="1"/>
  <c r="CY10" i="11"/>
  <c r="CY116" i="2"/>
  <c r="CY107" i="2"/>
  <c r="CY17" i="11"/>
  <c r="CY18" i="11"/>
  <c r="CX149" i="3"/>
  <c r="CY13" i="2"/>
  <c r="CY114" i="2" l="1"/>
  <c r="CY14" i="3"/>
  <c r="CY101" i="3"/>
  <c r="CY104" i="3" s="1"/>
  <c r="CY25" i="11"/>
  <c r="CZ18" i="2"/>
  <c r="CY11" i="11"/>
  <c r="CY11" i="2"/>
  <c r="CY79" i="2" s="1"/>
  <c r="CY15" i="11"/>
  <c r="CZ16" i="11"/>
  <c r="CY32" i="4"/>
  <c r="CZ39" i="4" s="1"/>
  <c r="CZ111" i="2" s="1"/>
  <c r="CY6" i="2"/>
  <c r="CY4" i="2" s="1"/>
  <c r="CY21" i="11" l="1"/>
  <c r="CY19" i="11" s="1"/>
  <c r="CY7" i="2"/>
  <c r="CY9" i="2" s="1"/>
  <c r="CY14" i="2"/>
  <c r="CY80" i="2" s="1"/>
  <c r="CY33" i="11"/>
  <c r="CY30" i="2"/>
  <c r="CY62" i="2"/>
  <c r="CY12" i="3"/>
  <c r="CY34" i="3" s="1"/>
  <c r="CY112" i="3"/>
  <c r="CY111" i="3" s="1"/>
  <c r="CY36" i="3" s="1"/>
  <c r="CZ27" i="11"/>
  <c r="CY108" i="2"/>
  <c r="CY10" i="2" l="1"/>
  <c r="CY16" i="2" s="1"/>
  <c r="CY24" i="11"/>
  <c r="CY94" i="3"/>
  <c r="CY23" i="11"/>
  <c r="CY59" i="2"/>
  <c r="CY22" i="2"/>
  <c r="CY19" i="2"/>
  <c r="CY109" i="2"/>
  <c r="CY110" i="2" s="1"/>
  <c r="CY60" i="2"/>
  <c r="CY102" i="3" l="1"/>
  <c r="CY103" i="3" s="1"/>
  <c r="CY22" i="11"/>
  <c r="CY26" i="11"/>
  <c r="CY61" i="2"/>
  <c r="CY85" i="2"/>
  <c r="CY78" i="2"/>
  <c r="CY88" i="2" s="1"/>
  <c r="CY98" i="3"/>
  <c r="CY99" i="3"/>
  <c r="CY10" i="3" s="1"/>
  <c r="CY118" i="3" l="1"/>
  <c r="CY117" i="3" s="1"/>
  <c r="CY33" i="3" s="1"/>
  <c r="CY52" i="3"/>
  <c r="CY29" i="3" s="1"/>
  <c r="CY28" i="3" s="1"/>
  <c r="CY8" i="3"/>
  <c r="CY63" i="2"/>
  <c r="CY77" i="2"/>
  <c r="CY87" i="2" s="1"/>
  <c r="CY86" i="2"/>
  <c r="CY29" i="11"/>
  <c r="CY41" i="11"/>
  <c r="CY51" i="3" l="1"/>
  <c r="CY83" i="3"/>
  <c r="CY102" i="2"/>
  <c r="CY65" i="2"/>
  <c r="CY82" i="2"/>
  <c r="CY93" i="3"/>
  <c r="CZ19" i="4"/>
  <c r="CY42" i="3"/>
  <c r="CY21" i="3"/>
  <c r="CY95" i="2" l="1"/>
  <c r="CY96" i="3"/>
  <c r="CY38" i="2" s="1"/>
  <c r="CY95" i="3"/>
  <c r="CY89" i="2"/>
  <c r="CY81" i="2"/>
  <c r="CZ14" i="4"/>
  <c r="CZ38" i="4" s="1"/>
  <c r="CZ21" i="4"/>
  <c r="CY20" i="3"/>
  <c r="CY81" i="3" s="1"/>
  <c r="CY82" i="3" s="1"/>
  <c r="CZ9" i="4" l="1"/>
  <c r="CZ33" i="4"/>
  <c r="CZ37" i="4" s="1"/>
  <c r="CY40" i="2"/>
  <c r="CZ38" i="11"/>
  <c r="CZ72" i="2"/>
  <c r="CY94" i="2"/>
  <c r="CY96" i="2"/>
  <c r="CY97" i="2" s="1"/>
  <c r="CY38" i="3" l="1"/>
  <c r="CY71" i="2"/>
  <c r="CY37" i="11"/>
  <c r="CY144" i="3"/>
  <c r="CZ35" i="4"/>
  <c r="CZ12" i="2" s="1"/>
  <c r="CY26" i="2"/>
  <c r="CZ115" i="3"/>
  <c r="CZ9" i="11"/>
  <c r="CZ112" i="2"/>
  <c r="CZ12" i="4"/>
  <c r="CZ10" i="4"/>
  <c r="CZ29" i="4"/>
  <c r="CZ24" i="4"/>
  <c r="CZ34" i="4"/>
  <c r="CZ126" i="3" l="1"/>
  <c r="CZ16" i="3" s="1"/>
  <c r="CZ124" i="3"/>
  <c r="CZ18" i="3" s="1"/>
  <c r="CZ114" i="3"/>
  <c r="CZ35" i="3" s="1"/>
  <c r="CZ128" i="3"/>
  <c r="CZ37" i="3" s="1"/>
  <c r="CZ5" i="2"/>
  <c r="CZ36" i="4"/>
  <c r="CZ41" i="4"/>
  <c r="CZ17" i="11"/>
  <c r="CZ18" i="11"/>
  <c r="CY149" i="3"/>
  <c r="CZ13" i="2"/>
  <c r="CZ10" i="11"/>
  <c r="CZ113" i="2"/>
  <c r="CZ115" i="2" s="1"/>
  <c r="CZ117" i="2" s="1"/>
  <c r="CY79" i="3"/>
  <c r="CY27" i="3"/>
  <c r="CY32" i="11"/>
  <c r="CY27" i="2"/>
  <c r="CY68" i="2"/>
  <c r="CZ14" i="11"/>
  <c r="DA17" i="4"/>
  <c r="CZ26" i="4"/>
  <c r="CZ107" i="3" s="1"/>
  <c r="DA28" i="4"/>
  <c r="CZ12" i="11"/>
  <c r="CZ13" i="11" s="1"/>
  <c r="CZ116" i="2"/>
  <c r="CZ107" i="2"/>
  <c r="CZ11" i="2" l="1"/>
  <c r="CZ79" i="2" s="1"/>
  <c r="CZ31" i="2"/>
  <c r="CZ114" i="2"/>
  <c r="CZ15" i="11"/>
  <c r="DA16" i="11"/>
  <c r="CZ14" i="3"/>
  <c r="CZ101" i="3"/>
  <c r="CZ104" i="3" s="1"/>
  <c r="CZ6" i="2"/>
  <c r="DA18" i="2"/>
  <c r="DB17" i="4"/>
  <c r="DB18" i="4" s="1"/>
  <c r="CZ11" i="11"/>
  <c r="CZ25" i="11"/>
  <c r="CZ32" i="4"/>
  <c r="DA39" i="4" s="1"/>
  <c r="DB39" i="4" s="1"/>
  <c r="DB40" i="4" s="1"/>
  <c r="DA111" i="2" l="1"/>
  <c r="CZ33" i="11"/>
  <c r="CZ30" i="2"/>
  <c r="CZ62" i="2"/>
  <c r="DA27" i="11"/>
  <c r="DB18" i="2"/>
  <c r="CZ14" i="2"/>
  <c r="CZ4" i="2"/>
  <c r="CZ12" i="3"/>
  <c r="CZ34" i="3" s="1"/>
  <c r="CZ112" i="3"/>
  <c r="CZ111" i="3" s="1"/>
  <c r="CZ36" i="3" s="1"/>
  <c r="CZ108" i="2"/>
  <c r="CZ10" i="2" l="1"/>
  <c r="CZ60" i="2"/>
  <c r="CZ24" i="11"/>
  <c r="DB27" i="11"/>
  <c r="DB20" i="2"/>
  <c r="CZ80" i="2"/>
  <c r="CZ21" i="11"/>
  <c r="CZ19" i="11" s="1"/>
  <c r="CZ7" i="2"/>
  <c r="CZ9" i="2" s="1"/>
  <c r="CZ109" i="2"/>
  <c r="CZ110" i="2" s="1"/>
  <c r="DB111" i="2"/>
  <c r="CZ102" i="3" l="1"/>
  <c r="CZ94" i="3"/>
  <c r="CZ23" i="11"/>
  <c r="CZ22" i="2"/>
  <c r="CZ16" i="2"/>
  <c r="CZ59" i="2"/>
  <c r="CZ19" i="2"/>
  <c r="CZ61" i="2" l="1"/>
  <c r="CZ85" i="2"/>
  <c r="CZ78" i="2"/>
  <c r="CZ88" i="2" s="1"/>
  <c r="CZ22" i="11"/>
  <c r="CZ26" i="11"/>
  <c r="CZ98" i="3"/>
  <c r="CZ99" i="3"/>
  <c r="CZ10" i="3" s="1"/>
  <c r="CZ103" i="3"/>
  <c r="CZ118" i="3"/>
  <c r="CZ117" i="3" s="1"/>
  <c r="CZ33" i="3" s="1"/>
  <c r="CZ29" i="11" l="1"/>
  <c r="CZ41" i="11"/>
  <c r="CZ63" i="2"/>
  <c r="CZ77" i="2"/>
  <c r="CZ87" i="2" s="1"/>
  <c r="CZ86" i="2"/>
  <c r="CZ8" i="3"/>
  <c r="CZ52" i="3"/>
  <c r="CZ29" i="3" s="1"/>
  <c r="CZ28" i="3" s="1"/>
  <c r="CZ51" i="3" l="1"/>
  <c r="CZ83" i="3"/>
  <c r="CZ102" i="2"/>
  <c r="CZ93" i="3"/>
  <c r="DA19" i="4"/>
  <c r="CZ21" i="3"/>
  <c r="CZ42" i="3"/>
  <c r="CZ65" i="2"/>
  <c r="CZ82" i="2"/>
  <c r="CZ20" i="3" l="1"/>
  <c r="CZ81" i="3" s="1"/>
  <c r="CZ82" i="3" s="1"/>
  <c r="CZ96" i="3"/>
  <c r="CZ38" i="2" s="1"/>
  <c r="CZ95" i="3"/>
  <c r="CZ89" i="2"/>
  <c r="CZ81" i="2"/>
  <c r="DB19" i="4"/>
  <c r="DB20" i="4" s="1"/>
  <c r="DA21" i="4"/>
  <c r="DB21" i="4" s="1"/>
  <c r="DA14" i="4"/>
  <c r="DA38" i="4" s="1"/>
  <c r="CZ95" i="2"/>
  <c r="CZ40" i="2" l="1"/>
  <c r="DA38" i="11"/>
  <c r="DA72" i="2"/>
  <c r="CZ94" i="2"/>
  <c r="CZ96" i="2"/>
  <c r="CZ97" i="2" s="1"/>
  <c r="DA33" i="4"/>
  <c r="DA9" i="4"/>
  <c r="DB14" i="4"/>
  <c r="DB33" i="4" s="1"/>
  <c r="CZ144" i="3" l="1"/>
  <c r="CZ26" i="2"/>
  <c r="DB38" i="11"/>
  <c r="DB72" i="2"/>
  <c r="L20" i="15"/>
  <c r="CZ38" i="3"/>
  <c r="CZ71" i="2"/>
  <c r="DA115" i="3"/>
  <c r="DA9" i="11"/>
  <c r="DA12" i="4"/>
  <c r="DA10" i="4"/>
  <c r="DA29" i="4"/>
  <c r="DB9" i="4"/>
  <c r="DA24" i="4"/>
  <c r="DA34" i="4"/>
  <c r="DA37" i="4"/>
  <c r="CZ37" i="11"/>
  <c r="DA114" i="3" l="1"/>
  <c r="DA35" i="3" s="1"/>
  <c r="DB35" i="3" s="1"/>
  <c r="DB114" i="3" s="1"/>
  <c r="DA126" i="3"/>
  <c r="DA16" i="3" s="1"/>
  <c r="DB16" i="3" s="1"/>
  <c r="DB126" i="3" s="1"/>
  <c r="DA124" i="3"/>
  <c r="DA18" i="3" s="1"/>
  <c r="DB18" i="3" s="1"/>
  <c r="DB124" i="3" s="1"/>
  <c r="DA128" i="3"/>
  <c r="DA37" i="3" s="1"/>
  <c r="DB37" i="3" s="1"/>
  <c r="DB128" i="3" s="1"/>
  <c r="DA17" i="11"/>
  <c r="DB9" i="11"/>
  <c r="DA18" i="11"/>
  <c r="CZ79" i="3"/>
  <c r="CZ27" i="3"/>
  <c r="DA35" i="4"/>
  <c r="DA12" i="2" s="1"/>
  <c r="DB37" i="4"/>
  <c r="DB38" i="4" s="1"/>
  <c r="CZ149" i="3"/>
  <c r="DA13" i="2"/>
  <c r="DA14" i="11"/>
  <c r="DB24" i="4"/>
  <c r="DA26" i="4"/>
  <c r="DB115" i="3"/>
  <c r="DB29" i="4"/>
  <c r="DB34" i="4"/>
  <c r="DA112" i="2"/>
  <c r="CZ32" i="11"/>
  <c r="CZ27" i="2"/>
  <c r="CZ68" i="2"/>
  <c r="DA10" i="11"/>
  <c r="DB10" i="4"/>
  <c r="DB11" i="4" s="1"/>
  <c r="DA12" i="11"/>
  <c r="DB12" i="11" s="1"/>
  <c r="DB12" i="4"/>
  <c r="DB13" i="4" s="1"/>
  <c r="DA11" i="11" l="1"/>
  <c r="DB10" i="11"/>
  <c r="DB11" i="11" s="1"/>
  <c r="DB129" i="3"/>
  <c r="DA113" i="2"/>
  <c r="DA107" i="3"/>
  <c r="DB26" i="4"/>
  <c r="DB18" i="11"/>
  <c r="DB13" i="11"/>
  <c r="DB17" i="11"/>
  <c r="DA25" i="11"/>
  <c r="DB13" i="2"/>
  <c r="DB25" i="11" s="1"/>
  <c r="DB125" i="3"/>
  <c r="DA116" i="2"/>
  <c r="DB112" i="2"/>
  <c r="DA107" i="2"/>
  <c r="DB127" i="3"/>
  <c r="DA15" i="11"/>
  <c r="DB14" i="11"/>
  <c r="DB15" i="11" s="1"/>
  <c r="DA13" i="11"/>
  <c r="DA5" i="2"/>
  <c r="DA36" i="4"/>
  <c r="DA41" i="4"/>
  <c r="DB35" i="4"/>
  <c r="DB36" i="4" s="1"/>
  <c r="DB116" i="3"/>
  <c r="DA11" i="2" l="1"/>
  <c r="DB11" i="2" s="1"/>
  <c r="DA31" i="2"/>
  <c r="DB31" i="2" s="1"/>
  <c r="DA14" i="3"/>
  <c r="DB107" i="3"/>
  <c r="DB108" i="3" s="1"/>
  <c r="DA101" i="3"/>
  <c r="DA104" i="3" s="1"/>
  <c r="DB107" i="2"/>
  <c r="DB32" i="4" s="1"/>
  <c r="DA32" i="4"/>
  <c r="DA114" i="2"/>
  <c r="DB116" i="2"/>
  <c r="DB118" i="2" s="1"/>
  <c r="DA6" i="2"/>
  <c r="DA4" i="2" s="1"/>
  <c r="DB41" i="4"/>
  <c r="DB42" i="4" s="1"/>
  <c r="DB5" i="2"/>
  <c r="DB113" i="2"/>
  <c r="DA115" i="2"/>
  <c r="DA79" i="2" l="1"/>
  <c r="DB79" i="2"/>
  <c r="DB114" i="2"/>
  <c r="DA108" i="2"/>
  <c r="DA33" i="11"/>
  <c r="DA30" i="2"/>
  <c r="DB30" i="2" s="1"/>
  <c r="DA62" i="2"/>
  <c r="DB115" i="2"/>
  <c r="DB117" i="2" s="1"/>
  <c r="DA117" i="2"/>
  <c r="DA12" i="3"/>
  <c r="DB14" i="3"/>
  <c r="DB112" i="3" s="1"/>
  <c r="DA112" i="3"/>
  <c r="DA111" i="3" s="1"/>
  <c r="DA36" i="3" s="1"/>
  <c r="DB36" i="3" s="1"/>
  <c r="DB111" i="3" s="1"/>
  <c r="DB12" i="2"/>
  <c r="DA21" i="11"/>
  <c r="DA19" i="11" s="1"/>
  <c r="DA7" i="2"/>
  <c r="DB7" i="2" s="1"/>
  <c r="DB4" i="2"/>
  <c r="DB21" i="11" s="1"/>
  <c r="DB19" i="11" s="1"/>
  <c r="DA14" i="2"/>
  <c r="DA80" i="2" s="1"/>
  <c r="DB6" i="2"/>
  <c r="DB113" i="3" l="1"/>
  <c r="DB12" i="3"/>
  <c r="DB101" i="3" s="1"/>
  <c r="DB104" i="3" s="1"/>
  <c r="DA34" i="3"/>
  <c r="DB34" i="3" s="1"/>
  <c r="DB14" i="2"/>
  <c r="DA24" i="11"/>
  <c r="DA60" i="2"/>
  <c r="DA10" i="2"/>
  <c r="DB8" i="2"/>
  <c r="DB108" i="2"/>
  <c r="DA109" i="2"/>
  <c r="DB33" i="11"/>
  <c r="DB62" i="2"/>
  <c r="DA9" i="2"/>
  <c r="DA110" i="2" l="1"/>
  <c r="DB109" i="2"/>
  <c r="DB110" i="2" s="1"/>
  <c r="DB10" i="2"/>
  <c r="DB102" i="3" s="1"/>
  <c r="DA102" i="3"/>
  <c r="DB15" i="2"/>
  <c r="DB24" i="11"/>
  <c r="DB60" i="2"/>
  <c r="DA16" i="2"/>
  <c r="DA23" i="11"/>
  <c r="DA22" i="2"/>
  <c r="DA59" i="2"/>
  <c r="DA19" i="2"/>
  <c r="DA94" i="3"/>
  <c r="DB9" i="2"/>
  <c r="DB80" i="2"/>
  <c r="DA61" i="2" l="1"/>
  <c r="DA85" i="2"/>
  <c r="DB94" i="3"/>
  <c r="DB23" i="11"/>
  <c r="DB22" i="2"/>
  <c r="DB59" i="2"/>
  <c r="DB19" i="2"/>
  <c r="DA26" i="11"/>
  <c r="DA22" i="11"/>
  <c r="DA78" i="2"/>
  <c r="DA88" i="2" s="1"/>
  <c r="DB16" i="2"/>
  <c r="DA118" i="3"/>
  <c r="DA117" i="3" s="1"/>
  <c r="DA33" i="3" s="1"/>
  <c r="DA103" i="3"/>
  <c r="DB118" i="3"/>
  <c r="DB103" i="3"/>
  <c r="DA98" i="3"/>
  <c r="DA99" i="3"/>
  <c r="DA10" i="3" s="1"/>
  <c r="DA29" i="11" l="1"/>
  <c r="DA41" i="11"/>
  <c r="DA8" i="3"/>
  <c r="DB10" i="3"/>
  <c r="DA52" i="3"/>
  <c r="DA63" i="2"/>
  <c r="DA77" i="2"/>
  <c r="DA87" i="2" s="1"/>
  <c r="DA86" i="2"/>
  <c r="DB61" i="2"/>
  <c r="DB85" i="2"/>
  <c r="L5" i="15"/>
  <c r="L6" i="15" s="1"/>
  <c r="DB26" i="11"/>
  <c r="DB22" i="11"/>
  <c r="DB98" i="3"/>
  <c r="DB33" i="3"/>
  <c r="DB78" i="2"/>
  <c r="DB88" i="2" s="1"/>
  <c r="L22" i="15"/>
  <c r="DB117" i="3" l="1"/>
  <c r="DB119" i="3" s="1"/>
  <c r="DB63" i="2"/>
  <c r="DB77" i="2"/>
  <c r="DB87" i="2" s="1"/>
  <c r="DB86" i="2"/>
  <c r="DA65" i="2"/>
  <c r="DA82" i="2"/>
  <c r="DB8" i="3"/>
  <c r="DB93" i="3" s="1"/>
  <c r="DB99" i="3"/>
  <c r="DB100" i="3" s="1"/>
  <c r="DA93" i="3"/>
  <c r="DA42" i="3"/>
  <c r="DA21" i="3"/>
  <c r="DB29" i="11"/>
  <c r="DB41" i="11"/>
  <c r="DB52" i="3"/>
  <c r="DB53" i="3" s="1"/>
  <c r="DA29" i="3"/>
  <c r="DA96" i="3" l="1"/>
  <c r="DA38" i="2" s="1"/>
  <c r="DA95" i="3"/>
  <c r="DB42" i="3"/>
  <c r="DB96" i="3"/>
  <c r="DB95" i="3"/>
  <c r="DA81" i="2"/>
  <c r="DA89" i="2"/>
  <c r="DB29" i="3"/>
  <c r="DB28" i="3" s="1"/>
  <c r="DA28" i="3"/>
  <c r="DB65" i="2"/>
  <c r="DB82" i="2"/>
  <c r="L9" i="15"/>
  <c r="L10" i="15" s="1"/>
  <c r="DB21" i="3"/>
  <c r="DB20" i="3" s="1"/>
  <c r="DA20" i="3"/>
  <c r="DA81" i="3" s="1"/>
  <c r="DA82" i="3" s="1"/>
  <c r="DB81" i="2" l="1"/>
  <c r="DB89" i="2"/>
  <c r="L7" i="15"/>
  <c r="L8" i="15" s="1"/>
  <c r="DB51" i="3"/>
  <c r="DB83" i="3"/>
  <c r="DB81" i="3"/>
  <c r="L23" i="15"/>
  <c r="DA51" i="3"/>
  <c r="DA83" i="3"/>
  <c r="DA102" i="2"/>
  <c r="DB38" i="2"/>
  <c r="DB39" i="2" s="1"/>
  <c r="DA40" i="2"/>
  <c r="DB40" i="2" l="1"/>
  <c r="DB37" i="11" s="1"/>
  <c r="DA38" i="3"/>
  <c r="DA71" i="2"/>
  <c r="DA95" i="2"/>
  <c r="DB102" i="2"/>
  <c r="DB103" i="2" s="1"/>
  <c r="DB104" i="2" s="1"/>
  <c r="DB82" i="3"/>
  <c r="L17" i="15"/>
  <c r="DA37" i="11"/>
  <c r="DB41" i="2" l="1"/>
  <c r="DB71" i="2"/>
  <c r="DA96" i="2"/>
  <c r="DA97" i="2" s="1"/>
  <c r="DA94" i="2"/>
  <c r="DB95" i="2"/>
  <c r="DB96" i="2" s="1"/>
  <c r="DB97" i="2" s="1"/>
  <c r="DB38" i="3"/>
  <c r="DA79" i="3"/>
  <c r="DA27" i="3"/>
  <c r="DB79" i="3" l="1"/>
  <c r="DB27" i="3"/>
  <c r="DB94" i="2"/>
  <c r="DB98" i="2" s="1"/>
  <c r="DA144" i="3"/>
  <c r="DA26" i="2"/>
  <c r="DA149" i="3" l="1"/>
  <c r="DB149" i="3" s="1"/>
  <c r="DB144" i="3"/>
  <c r="L26" i="15"/>
  <c r="DA32" i="11"/>
  <c r="DA27" i="2"/>
  <c r="DA68" i="2"/>
  <c r="DB26" i="2"/>
  <c r="DB32" i="11" l="1"/>
  <c r="DB27" i="2"/>
  <c r="DB68" i="2"/>
  <c r="CC34" i="14" l="1"/>
  <c r="CC24" i="14"/>
  <c r="CC34" i="2" l="1"/>
  <c r="I44" i="9" s="1"/>
  <c r="M44" i="9" s="1"/>
  <c r="CC35" i="11" l="1"/>
  <c r="CC69" i="2"/>
  <c r="D39" i="13" l="1"/>
  <c r="D41" i="13" s="1"/>
  <c r="H39" i="13"/>
  <c r="H41" i="13" s="1"/>
  <c r="L39" i="13"/>
  <c r="L41" i="13" s="1"/>
  <c r="H43" i="13" l="1"/>
  <c r="H45" i="13" s="1"/>
  <c r="D43" i="13"/>
  <c r="D45" i="13" s="1"/>
  <c r="P13" i="15"/>
  <c r="CC35" i="2"/>
  <c r="I45" i="9" s="1"/>
  <c r="M45" i="9" s="1"/>
  <c r="CC17" i="2"/>
  <c r="D10" i="9" s="1"/>
  <c r="CB56" i="2"/>
  <c r="CC151" i="3"/>
  <c r="CC42" i="2"/>
  <c r="CC44" i="2" s="1"/>
  <c r="CC37" i="2"/>
  <c r="CC70" i="2" s="1"/>
  <c r="G13" i="15" s="1"/>
  <c r="CC23" i="2"/>
  <c r="CC45" i="2"/>
  <c r="CC47" i="3"/>
  <c r="CC24" i="2"/>
  <c r="CC67" i="2" l="1"/>
  <c r="CC66" i="2" s="1"/>
  <c r="CC31" i="11"/>
  <c r="CC30" i="11" s="1"/>
  <c r="CC36" i="11" s="1"/>
  <c r="CC39" i="11" s="1"/>
  <c r="CD53" i="2"/>
  <c r="C39" i="13" s="1"/>
  <c r="Q14" i="15"/>
  <c r="CH55" i="2"/>
  <c r="CC43" i="3"/>
  <c r="CD84" i="3" s="1"/>
  <c r="CD85" i="3" s="1"/>
  <c r="CD86" i="3" s="1"/>
  <c r="I42" i="9"/>
  <c r="M42" i="9" s="1"/>
  <c r="D11" i="9"/>
  <c r="P11" i="15"/>
  <c r="I48" i="9"/>
  <c r="M48" i="9" s="1"/>
  <c r="D16" i="9"/>
  <c r="CC56" i="2"/>
  <c r="CC77" i="3"/>
  <c r="CC80" i="3" s="1"/>
  <c r="CC73" i="2"/>
  <c r="D13" i="9"/>
  <c r="CD89" i="3" l="1"/>
  <c r="CD90" i="3"/>
  <c r="CH72" i="3"/>
  <c r="P12" i="15"/>
  <c r="G11" i="15"/>
  <c r="CC51" i="2"/>
  <c r="I63" i="9" s="1"/>
  <c r="CC90" i="2"/>
  <c r="CC74" i="2"/>
  <c r="CB26" i="3"/>
  <c r="C43" i="13"/>
  <c r="C45" i="13" s="1"/>
  <c r="C41" i="13"/>
  <c r="C27" i="13" s="1"/>
  <c r="CH53" i="2"/>
  <c r="H14" i="15"/>
  <c r="N54" i="9"/>
  <c r="P54" i="9" s="1"/>
  <c r="CC42" i="11"/>
  <c r="CC40" i="11"/>
  <c r="CC84" i="3"/>
  <c r="CC85" i="3" s="1"/>
  <c r="CC86" i="3" s="1"/>
  <c r="CC26" i="3"/>
  <c r="CC65" i="3"/>
  <c r="CC134" i="3"/>
  <c r="C24" i="13" l="1"/>
  <c r="C29" i="13" s="1"/>
  <c r="N64" i="9"/>
  <c r="CC89" i="3"/>
  <c r="G18" i="15" s="1"/>
  <c r="CC90" i="3"/>
  <c r="CC132" i="3"/>
  <c r="CC43" i="11"/>
  <c r="CD44" i="11" s="1"/>
  <c r="G16" i="15"/>
  <c r="M63" i="9"/>
  <c r="I58" i="9"/>
  <c r="I57" i="9"/>
  <c r="I49" i="9"/>
  <c r="M49" i="9" s="1"/>
  <c r="CC44" i="11"/>
  <c r="Q26" i="15"/>
  <c r="G12" i="15"/>
  <c r="CC83" i="2"/>
  <c r="CC52" i="2"/>
  <c r="CC136" i="3" s="1"/>
  <c r="CC137" i="3" s="1"/>
  <c r="CC135" i="3"/>
  <c r="I65" i="9" s="1"/>
  <c r="I59" i="9" s="1"/>
  <c r="P16" i="15"/>
  <c r="P19" i="15"/>
  <c r="P18" i="15"/>
  <c r="I52" i="9" l="1"/>
  <c r="M52" i="9" s="1"/>
  <c r="D19" i="9"/>
  <c r="CC91" i="2"/>
  <c r="CC138" i="3"/>
  <c r="CB25" i="2"/>
  <c r="CB5" i="3"/>
  <c r="CC6" i="3"/>
  <c r="CD87" i="3" s="1"/>
  <c r="CD88" i="3" s="1"/>
  <c r="P25" i="15"/>
  <c r="CC25" i="2"/>
  <c r="CC133" i="3"/>
  <c r="I56" i="9"/>
  <c r="M56" i="9" s="1"/>
  <c r="D22" i="9"/>
  <c r="G19" i="15"/>
  <c r="P24" i="15" l="1"/>
  <c r="CB4" i="3"/>
  <c r="CC88" i="3"/>
  <c r="CH87" i="3"/>
  <c r="G25" i="15"/>
  <c r="CC5" i="3"/>
  <c r="CC56" i="3"/>
  <c r="CC57" i="3" s="1"/>
  <c r="CB140" i="3" l="1"/>
  <c r="CB139" i="3"/>
  <c r="CB141" i="3" s="1"/>
  <c r="CB48" i="3"/>
  <c r="CC4" i="3"/>
  <c r="G24" i="15"/>
  <c r="P15" i="15"/>
  <c r="CC68" i="3"/>
  <c r="CC66" i="3"/>
  <c r="CC64" i="3"/>
  <c r="CD71" i="3" s="1"/>
  <c r="CD75" i="3" s="1"/>
  <c r="P21" i="15"/>
  <c r="G15" i="15" l="1"/>
  <c r="CC71" i="3"/>
  <c r="CC75" i="3" s="1"/>
  <c r="CC67" i="3"/>
  <c r="CC139" i="3"/>
  <c r="G21" i="15"/>
  <c r="CC140" i="3"/>
  <c r="CC48" i="3"/>
  <c r="I55" i="9"/>
  <c r="M55" i="9" s="1"/>
  <c r="D21" i="9"/>
  <c r="CC141" i="3"/>
  <c r="CD141" i="3" l="1"/>
  <c r="I53" i="9"/>
  <c r="M53" i="9" s="1"/>
  <c r="D20" i="9"/>
  <c r="CB25" i="14" l="1"/>
  <c r="E8" i="12" l="1"/>
  <c r="CF25" i="14" l="1"/>
  <c r="CG25" i="14" l="1"/>
  <c r="CI25" i="14" l="1"/>
  <c r="CH25" i="14"/>
  <c r="CJ25" i="14" l="1"/>
  <c r="CK25" i="14" l="1"/>
  <c r="CL25" i="14" l="1"/>
  <c r="CN25" i="14" l="1"/>
  <c r="CM25" i="14"/>
  <c r="CO25" i="14" l="1"/>
  <c r="CP25" i="14" l="1"/>
  <c r="CQ25" i="14" l="1"/>
  <c r="CS25" i="14" l="1"/>
  <c r="CR25" i="14"/>
  <c r="CT25" i="14" l="1"/>
  <c r="CU25" i="14" l="1"/>
  <c r="CV25" i="14" l="1"/>
  <c r="CW25" i="14"/>
  <c r="CX25" i="14" l="1"/>
  <c r="CY25" i="14" l="1"/>
  <c r="CZ25" i="14" l="1"/>
  <c r="DA25" i="14" l="1"/>
  <c r="DB25" i="14" s="1"/>
  <c r="CB35" i="14"/>
  <c r="CF35" i="14" l="1"/>
  <c r="CG35" i="14" l="1"/>
  <c r="CH35" i="14"/>
  <c r="CI35" i="14" l="1"/>
  <c r="CJ35" i="14" l="1"/>
  <c r="CK35" i="14" l="1"/>
  <c r="CL35" i="14" l="1"/>
  <c r="CN35" i="14" l="1"/>
  <c r="CM35" i="14"/>
  <c r="CO35" i="14" l="1"/>
  <c r="CP35" i="14" l="1"/>
  <c r="CQ35" i="14" l="1"/>
  <c r="CS35" i="14" l="1"/>
  <c r="CR35" i="14"/>
  <c r="CT35" i="14" l="1"/>
  <c r="CU35" i="14" l="1"/>
  <c r="CV35" i="14" l="1"/>
  <c r="CX35" i="14" l="1"/>
  <c r="CW35" i="14"/>
  <c r="CY35" i="14" l="1"/>
  <c r="CZ35" i="14" l="1"/>
  <c r="DA35" i="14" l="1"/>
  <c r="DB35" i="14" l="1"/>
  <c r="CC8" i="14" l="1"/>
  <c r="I16" i="9" l="1"/>
  <c r="K16" i="9" l="1"/>
  <c r="M16" i="9"/>
  <c r="O16" i="9"/>
  <c r="CD51" i="2"/>
  <c r="CD52" i="2"/>
  <c r="CD136" i="3" s="1"/>
  <c r="CD137" i="3" s="1"/>
  <c r="Q11" i="15"/>
  <c r="Q12" i="15"/>
  <c r="Q13" i="15"/>
  <c r="K14" i="9"/>
  <c r="M14" i="9"/>
  <c r="O14" i="9"/>
  <c r="I17" i="9"/>
  <c r="K17" i="9" s="1"/>
  <c r="I20" i="9"/>
  <c r="M20" i="9" s="1"/>
  <c r="I21" i="9"/>
  <c r="K21" i="9" s="1"/>
  <c r="O21" i="9"/>
  <c r="M17" i="9" l="1"/>
  <c r="O17" i="9"/>
  <c r="I24" i="9"/>
  <c r="M24" i="9" s="1"/>
  <c r="K24" i="9"/>
  <c r="K20" i="9"/>
  <c r="M21" i="9"/>
  <c r="O24" i="9"/>
  <c r="O20" i="9"/>
  <c r="I28" i="9"/>
  <c r="J28" i="9" s="1"/>
  <c r="Q18" i="15" l="1"/>
  <c r="Q19" i="15"/>
  <c r="Q16" i="15"/>
  <c r="I27" i="9" l="1"/>
  <c r="CD25" i="2"/>
  <c r="Q25" i="15"/>
  <c r="Q24" i="15" l="1"/>
  <c r="I26" i="9"/>
  <c r="M27" i="9"/>
  <c r="K27" i="9"/>
  <c r="O27" i="9"/>
  <c r="K26" i="9" l="1"/>
  <c r="M26" i="9"/>
  <c r="O26" i="9"/>
  <c r="I25" i="9"/>
  <c r="Q15" i="15"/>
  <c r="Q21" i="15"/>
  <c r="M25" i="9" l="1"/>
  <c r="K25" i="9"/>
  <c r="CF145" i="3"/>
  <c r="CG145" i="3" s="1"/>
  <c r="CH145" i="3" s="1"/>
  <c r="CI145" i="3" s="1"/>
  <c r="CJ145" i="3" s="1"/>
  <c r="CK145" i="3" s="1"/>
  <c r="CL145" i="3" s="1"/>
  <c r="CM145" i="3" s="1"/>
  <c r="CN145" i="3" s="1"/>
  <c r="CO145" i="3" s="1"/>
  <c r="CP145" i="3" s="1"/>
  <c r="CQ145" i="3" s="1"/>
  <c r="CR145" i="3" s="1"/>
  <c r="CS145" i="3" s="1"/>
  <c r="CT145" i="3" s="1"/>
  <c r="CU145" i="3" s="1"/>
  <c r="CV145" i="3" s="1"/>
  <c r="CW145" i="3" s="1"/>
  <c r="CX145" i="3" s="1"/>
  <c r="CY145" i="3" s="1"/>
  <c r="CZ145" i="3" s="1"/>
  <c r="DA145" i="3" s="1"/>
  <c r="DB145" i="3" s="1"/>
  <c r="G39" i="13" l="1"/>
  <c r="G41" i="13" s="1"/>
  <c r="K39" i="13"/>
  <c r="K41" i="13" s="1"/>
  <c r="K43" i="13" l="1"/>
  <c r="G43" i="13"/>
  <c r="G45" i="13" s="1"/>
  <c r="F39" i="13" l="1"/>
  <c r="F41" i="13" s="1"/>
  <c r="J39" i="13"/>
  <c r="J41" i="13" s="1"/>
  <c r="N39" i="13"/>
  <c r="N41" i="13" s="1"/>
  <c r="J43" i="13" l="1"/>
  <c r="J45" i="13" s="1"/>
  <c r="F43" i="13"/>
  <c r="F45" i="13" s="1"/>
  <c r="R13" i="15" l="1"/>
  <c r="R11" i="15"/>
  <c r="R12" i="15" l="1"/>
  <c r="R16" i="15" l="1"/>
  <c r="R18" i="15"/>
  <c r="R19" i="15"/>
  <c r="CE25" i="2" l="1"/>
  <c r="CF87" i="3"/>
  <c r="R25" i="15"/>
  <c r="R24" i="15" l="1"/>
  <c r="R15" i="15" l="1"/>
  <c r="R21" i="15"/>
  <c r="CH65" i="11"/>
  <c r="CH66" i="11"/>
  <c r="CH67" i="11"/>
  <c r="CH68" i="11"/>
  <c r="CH69" i="11"/>
  <c r="CH71" i="11"/>
  <c r="CH80" i="11"/>
  <c r="CH81" i="11"/>
  <c r="CH83" i="11"/>
  <c r="CH84" i="11"/>
  <c r="CF87" i="11"/>
  <c r="CF88" i="11" s="1"/>
  <c r="CH70" i="11" l="1"/>
  <c r="CH85" i="11" s="1"/>
  <c r="CH86" i="11"/>
  <c r="CH73" i="11"/>
  <c r="CH63" i="11"/>
  <c r="CE21" i="11"/>
  <c r="CE19" i="11" s="1"/>
  <c r="CE23" i="11"/>
  <c r="CE24" i="11"/>
  <c r="CE27" i="11"/>
  <c r="CE37" i="11"/>
  <c r="CE43" i="11"/>
  <c r="CH109" i="11"/>
  <c r="CH21" i="11" s="1"/>
  <c r="CH19" i="11" s="1"/>
  <c r="CH110" i="11"/>
  <c r="CH111" i="11"/>
  <c r="CH23" i="11" s="1"/>
  <c r="CH112" i="11"/>
  <c r="CH24" i="11" s="1"/>
  <c r="CH113" i="11"/>
  <c r="CH25" i="11" s="1"/>
  <c r="CH115" i="11"/>
  <c r="CH27" i="11" s="1"/>
  <c r="CH124" i="11"/>
  <c r="CH125" i="11"/>
  <c r="CH37" i="11" s="1"/>
  <c r="CH127" i="11"/>
  <c r="G16" i="12" s="1"/>
  <c r="CH128" i="11"/>
  <c r="CF131" i="11"/>
  <c r="CG131" i="11" l="1"/>
  <c r="G19" i="12"/>
  <c r="G20" i="12" s="1"/>
  <c r="CH130" i="11"/>
  <c r="CE26" i="11"/>
  <c r="DC70" i="11" s="1"/>
  <c r="CH132" i="11"/>
  <c r="CI131" i="11"/>
  <c r="CG132" i="11"/>
  <c r="CH131" i="11"/>
  <c r="CI132" i="11" s="1"/>
  <c r="G17" i="12"/>
  <c r="G21" i="12"/>
  <c r="G24" i="12" s="1"/>
  <c r="CH26" i="11"/>
  <c r="CH22" i="11"/>
  <c r="CF132" i="11"/>
  <c r="CH107" i="11"/>
  <c r="CH114" i="11"/>
  <c r="CE22" i="11"/>
  <c r="CE29" i="11" l="1"/>
  <c r="CE41" i="11"/>
  <c r="CH117" i="11"/>
  <c r="CH129" i="11"/>
  <c r="CH29" i="11"/>
  <c r="CH41" i="11"/>
  <c r="CJ131" i="11"/>
  <c r="CJ132" i="11" s="1"/>
  <c r="CE36" i="11" l="1"/>
  <c r="CE39" i="11" s="1"/>
  <c r="CE40" i="11"/>
  <c r="CE44" i="11" s="1"/>
  <c r="CE42" i="11"/>
  <c r="CK131" i="11"/>
  <c r="CL131" i="11" l="1"/>
  <c r="CM132" i="11"/>
  <c r="CM131" i="11"/>
  <c r="CK132" i="11"/>
  <c r="CL132" i="11" l="1"/>
  <c r="CB9" i="14" l="1"/>
  <c r="CC9" i="14" s="1"/>
  <c r="CC15" i="14"/>
  <c r="CC73" i="14" s="1"/>
  <c r="CB73" i="14" s="1"/>
  <c r="CB6" i="14" s="1"/>
  <c r="CB72" i="14"/>
  <c r="CB5" i="14" s="1"/>
  <c r="CB7" i="14" s="1"/>
  <c r="CC72" i="14"/>
  <c r="CB74" i="14" l="1"/>
  <c r="CC74" i="14"/>
  <c r="CB10" i="14"/>
  <c r="CC10" i="14" l="1"/>
  <c r="CB2" i="14"/>
  <c r="CG2" i="14" l="1"/>
  <c r="CH10" i="14"/>
  <c r="CL10" i="14"/>
  <c r="CQ10" i="14" l="1"/>
  <c r="CM10" i="14"/>
  <c r="CV10" i="14" l="1"/>
  <c r="CR10" i="14"/>
  <c r="CW10" i="14" l="1"/>
  <c r="DA10" i="14"/>
  <c r="DB10" i="14" l="1"/>
  <c r="CF12" i="14"/>
  <c r="CG12" i="14"/>
  <c r="CH12" i="14"/>
  <c r="CI12" i="14"/>
  <c r="CJ12" i="14"/>
  <c r="CK12" i="14"/>
  <c r="CL12" i="14"/>
  <c r="CM12" i="14"/>
  <c r="CM14" i="14" s="1"/>
  <c r="CN12" i="14"/>
  <c r="CO12" i="14"/>
  <c r="CP12" i="14"/>
  <c r="CQ12" i="14"/>
  <c r="CR12" i="14"/>
  <c r="CS12" i="14"/>
  <c r="CT12" i="14"/>
  <c r="CU12" i="14"/>
  <c r="CV12" i="14"/>
  <c r="CW12" i="14"/>
  <c r="CX12" i="14"/>
  <c r="CY12" i="14"/>
  <c r="CZ12" i="14"/>
  <c r="DA12" i="14"/>
  <c r="DB12" i="14"/>
  <c r="CF13" i="14"/>
  <c r="CG13" i="14"/>
  <c r="CH13" i="14"/>
  <c r="CI13" i="14"/>
  <c r="CJ13" i="14"/>
  <c r="CK13" i="14"/>
  <c r="CK14" i="14" s="1"/>
  <c r="CL13" i="14"/>
  <c r="CM13" i="14"/>
  <c r="CN13" i="14"/>
  <c r="CN14" i="14" s="1"/>
  <c r="CO13" i="14"/>
  <c r="CP13" i="14"/>
  <c r="CQ13" i="14"/>
  <c r="CR13" i="14"/>
  <c r="CS13" i="14"/>
  <c r="CT13" i="14"/>
  <c r="CU13" i="14"/>
  <c r="CV13" i="14"/>
  <c r="CW13" i="14"/>
  <c r="CW14" i="14" s="1"/>
  <c r="CX13" i="14"/>
  <c r="CY13" i="14"/>
  <c r="CZ13" i="14"/>
  <c r="CZ14" i="14" s="1"/>
  <c r="DA13" i="14"/>
  <c r="DB13" i="14"/>
  <c r="CF14" i="14"/>
  <c r="CG14" i="14"/>
  <c r="CH14" i="14"/>
  <c r="CI14" i="14"/>
  <c r="CJ14" i="14"/>
  <c r="CL14" i="14"/>
  <c r="CO14" i="14"/>
  <c r="CP14" i="14"/>
  <c r="CQ14" i="14"/>
  <c r="CR14" i="14"/>
  <c r="CS14" i="14"/>
  <c r="CT14" i="14"/>
  <c r="CU14" i="14"/>
  <c r="CV14" i="14"/>
  <c r="CX14" i="14"/>
  <c r="DA14" i="14"/>
  <c r="DB14" i="14"/>
  <c r="CF22" i="14"/>
  <c r="CG22" i="14"/>
  <c r="CH22" i="14"/>
  <c r="CI22" i="14"/>
  <c r="CJ22" i="14"/>
  <c r="CK22" i="14"/>
  <c r="CK24" i="14" s="1"/>
  <c r="CL22" i="14"/>
  <c r="CM22" i="14"/>
  <c r="CM24" i="14" s="1"/>
  <c r="CN22" i="14"/>
  <c r="CO22" i="14"/>
  <c r="CP22" i="14"/>
  <c r="CP24" i="14" s="1"/>
  <c r="CQ22" i="14"/>
  <c r="CR22" i="14"/>
  <c r="CR24" i="14" s="1"/>
  <c r="CS22" i="14"/>
  <c r="CS24" i="14" s="1"/>
  <c r="CT22" i="14"/>
  <c r="CU22" i="14"/>
  <c r="CU24" i="14" s="1"/>
  <c r="CV22" i="14"/>
  <c r="CV24" i="14" s="1"/>
  <c r="CW22" i="14"/>
  <c r="CW24" i="14" s="1"/>
  <c r="CX22" i="14"/>
  <c r="CY22" i="14"/>
  <c r="CY24" i="14" s="1"/>
  <c r="CZ22" i="14"/>
  <c r="DA22" i="14"/>
  <c r="DB22" i="14"/>
  <c r="DB24" i="14" s="1"/>
  <c r="CF23" i="14"/>
  <c r="CG23" i="14"/>
  <c r="CG24" i="14" s="1"/>
  <c r="CH23" i="14"/>
  <c r="CI23" i="14"/>
  <c r="CI24" i="14" s="1"/>
  <c r="CJ23" i="14"/>
  <c r="CJ24" i="14" s="1"/>
  <c r="CK23" i="14"/>
  <c r="CL23" i="14"/>
  <c r="CM23" i="14"/>
  <c r="CN23" i="14"/>
  <c r="CN24" i="14" s="1"/>
  <c r="CO23" i="14"/>
  <c r="CP23" i="14"/>
  <c r="CQ23" i="14"/>
  <c r="CQ24" i="14" s="1"/>
  <c r="CR23" i="14"/>
  <c r="CS23" i="14"/>
  <c r="CT23" i="14"/>
  <c r="CU23" i="14"/>
  <c r="CV23" i="14"/>
  <c r="CW23" i="14"/>
  <c r="CX23" i="14"/>
  <c r="CY23" i="14"/>
  <c r="CZ23" i="14"/>
  <c r="CZ24" i="14" s="1"/>
  <c r="DA23" i="14"/>
  <c r="DB23" i="14"/>
  <c r="CF24" i="14"/>
  <c r="CH24" i="14"/>
  <c r="CL24" i="14"/>
  <c r="CO24" i="14"/>
  <c r="CT24" i="14"/>
  <c r="CX24" i="14"/>
  <c r="DA24" i="14"/>
  <c r="D9" i="12"/>
  <c r="E9" i="12"/>
  <c r="E11" i="12" s="1"/>
  <c r="I11" i="12" s="1"/>
  <c r="D11" i="12"/>
  <c r="D12" i="12"/>
  <c r="D13" i="12"/>
  <c r="D14" i="12" s="1"/>
  <c r="E13" i="12"/>
  <c r="E14" i="12"/>
  <c r="D15" i="12"/>
  <c r="E15" i="12"/>
  <c r="D16" i="12"/>
  <c r="D17" i="12" s="1"/>
  <c r="E16" i="12"/>
  <c r="E17" i="12" s="1"/>
  <c r="D19" i="12"/>
  <c r="D20" i="12" s="1"/>
  <c r="E19" i="12"/>
  <c r="E20" i="12" s="1"/>
  <c r="I14" i="12" l="1"/>
  <c r="E12" i="12"/>
  <c r="E21" i="12"/>
  <c r="E24" i="12" s="1"/>
  <c r="D21" i="12"/>
  <c r="D24" i="12" s="1"/>
  <c r="E18" i="12"/>
  <c r="D18" i="12"/>
  <c r="G18" i="12" s="1"/>
  <c r="G8" i="12" s="1"/>
  <c r="CY14" i="14"/>
  <c r="G7" i="12" l="1"/>
  <c r="G12" i="12" s="1"/>
  <c r="I8" i="12"/>
  <c r="I12" i="12" l="1"/>
  <c r="I15" i="12"/>
  <c r="CJ69" i="2" l="1"/>
  <c r="CZ8" i="14"/>
  <c r="CZ34" i="2" s="1"/>
  <c r="CO9" i="14"/>
  <c r="CO8" i="14" s="1"/>
  <c r="CO34" i="2" s="1"/>
  <c r="CQ9" i="14"/>
  <c r="CQ8" i="14" s="1"/>
  <c r="CQ34" i="2" s="1"/>
  <c r="DA9" i="14"/>
  <c r="DA8" i="14" s="1"/>
  <c r="DA34" i="2" s="1"/>
  <c r="CF32" i="14"/>
  <c r="CF9" i="14" s="1"/>
  <c r="CG32" i="14"/>
  <c r="CG9" i="14" s="1"/>
  <c r="CG8" i="14" s="1"/>
  <c r="CG34" i="2" s="1"/>
  <c r="CH32" i="14"/>
  <c r="CI32" i="14"/>
  <c r="CI9" i="14" s="1"/>
  <c r="CJ32" i="14"/>
  <c r="CJ9" i="14" s="1"/>
  <c r="CJ8" i="14" s="1"/>
  <c r="CJ34" i="2" s="1"/>
  <c r="CJ35" i="11" s="1"/>
  <c r="CK32" i="14"/>
  <c r="CK9" i="14" s="1"/>
  <c r="CK8" i="14" s="1"/>
  <c r="CK34" i="2" s="1"/>
  <c r="CL32" i="14"/>
  <c r="CL9" i="14" s="1"/>
  <c r="CL8" i="14" s="1"/>
  <c r="CL34" i="2" s="1"/>
  <c r="CM32" i="14"/>
  <c r="CN32" i="14"/>
  <c r="CN9" i="14" s="1"/>
  <c r="CO32" i="14"/>
  <c r="CP32" i="14"/>
  <c r="CQ32" i="14"/>
  <c r="CR32" i="14"/>
  <c r="CR34" i="14" s="1"/>
  <c r="CS32" i="14"/>
  <c r="CS9" i="14" s="1"/>
  <c r="CT32" i="14"/>
  <c r="CT9" i="14" s="1"/>
  <c r="CT8" i="14" s="1"/>
  <c r="CT34" i="2" s="1"/>
  <c r="CT35" i="11" s="1"/>
  <c r="CU32" i="14"/>
  <c r="CU9" i="14" s="1"/>
  <c r="CU8" i="14" s="1"/>
  <c r="CU34" i="2" s="1"/>
  <c r="CV32" i="14"/>
  <c r="CV9" i="14" s="1"/>
  <c r="CV8" i="14" s="1"/>
  <c r="CV34" i="2" s="1"/>
  <c r="CV35" i="11" s="1"/>
  <c r="CW32" i="14"/>
  <c r="CX32" i="14"/>
  <c r="CX9" i="14" s="1"/>
  <c r="CY32" i="14"/>
  <c r="CY9" i="14" s="1"/>
  <c r="CY8" i="14" s="1"/>
  <c r="CY34" i="2" s="1"/>
  <c r="CZ32" i="14"/>
  <c r="CZ9" i="14" s="1"/>
  <c r="DA32" i="14"/>
  <c r="DB32" i="14"/>
  <c r="DB34" i="14" s="1"/>
  <c r="CF33" i="14"/>
  <c r="CG33" i="14"/>
  <c r="CG34" i="14" s="1"/>
  <c r="CH33" i="14"/>
  <c r="CI33" i="14"/>
  <c r="CJ33" i="14"/>
  <c r="CK33" i="14"/>
  <c r="CL33" i="14"/>
  <c r="CM33" i="14"/>
  <c r="CN33" i="14"/>
  <c r="CO33" i="14"/>
  <c r="CP33" i="14"/>
  <c r="CQ33" i="14"/>
  <c r="CQ34" i="14" s="1"/>
  <c r="CR33" i="14"/>
  <c r="CS33" i="14"/>
  <c r="CS34" i="14" s="1"/>
  <c r="CT33" i="14"/>
  <c r="CU33" i="14"/>
  <c r="CV33" i="14"/>
  <c r="CW33" i="14"/>
  <c r="CX33" i="14"/>
  <c r="CY33" i="14"/>
  <c r="CZ33" i="14"/>
  <c r="DA33" i="14"/>
  <c r="DB33" i="14"/>
  <c r="CH34" i="14"/>
  <c r="CI34" i="14"/>
  <c r="CJ34" i="14"/>
  <c r="CK34" i="14"/>
  <c r="CL34" i="14"/>
  <c r="CM34" i="14"/>
  <c r="CN34" i="14"/>
  <c r="CO34" i="14"/>
  <c r="CT34" i="14"/>
  <c r="CU34" i="14"/>
  <c r="CV34" i="14"/>
  <c r="CW34" i="14"/>
  <c r="CX34" i="14"/>
  <c r="CY34" i="14"/>
  <c r="CZ34" i="14"/>
  <c r="DA34" i="14"/>
  <c r="F16" i="12"/>
  <c r="F21" i="12" s="1"/>
  <c r="F24" i="12" s="1"/>
  <c r="F17" i="12"/>
  <c r="F18" i="12"/>
  <c r="F19" i="12"/>
  <c r="F20" i="12"/>
  <c r="DA35" i="11" l="1"/>
  <c r="DA69" i="2"/>
  <c r="CO35" i="11"/>
  <c r="CO69" i="2"/>
  <c r="CY35" i="11"/>
  <c r="CY69" i="2"/>
  <c r="CV69" i="2"/>
  <c r="CU35" i="11"/>
  <c r="CU69" i="2"/>
  <c r="CI8" i="14"/>
  <c r="CM9" i="14"/>
  <c r="CT69" i="2"/>
  <c r="CS8" i="14"/>
  <c r="CW9" i="14"/>
  <c r="CG35" i="11"/>
  <c r="CG69" i="2"/>
  <c r="CH9" i="14"/>
  <c r="CF8" i="14"/>
  <c r="CF34" i="14"/>
  <c r="CP34" i="14"/>
  <c r="CP9" i="14"/>
  <c r="CP8" i="14" s="1"/>
  <c r="CP34" i="2" s="1"/>
  <c r="CQ35" i="11"/>
  <c r="CQ69" i="2"/>
  <c r="CR9" i="14"/>
  <c r="CZ35" i="11"/>
  <c r="CZ69" i="2"/>
  <c r="CX8" i="14"/>
  <c r="DB9" i="14"/>
  <c r="CL35" i="11"/>
  <c r="CL69" i="2"/>
  <c r="CK35" i="11"/>
  <c r="CK69" i="2"/>
  <c r="CN8" i="14"/>
  <c r="CP35" i="11" l="1"/>
  <c r="CP69" i="2"/>
  <c r="CF34" i="2"/>
  <c r="CH8" i="14"/>
  <c r="CI34" i="2"/>
  <c r="CM8" i="14"/>
  <c r="CN34" i="2"/>
  <c r="CR8" i="14"/>
  <c r="CX34" i="2"/>
  <c r="DB8" i="14"/>
  <c r="CS34" i="2"/>
  <c r="CW8" i="14"/>
  <c r="CS35" i="11" l="1"/>
  <c r="CW34" i="2"/>
  <c r="CS69" i="2"/>
  <c r="CN35" i="11"/>
  <c r="CR34" i="2"/>
  <c r="CN69" i="2"/>
  <c r="CI35" i="11"/>
  <c r="CI69" i="2"/>
  <c r="CM34" i="2"/>
  <c r="CF35" i="11"/>
  <c r="CH34" i="2"/>
  <c r="CF69" i="2"/>
  <c r="CX35" i="11"/>
  <c r="DB34" i="2"/>
  <c r="CX69" i="2"/>
  <c r="CH35" i="11" l="1"/>
  <c r="N44" i="9"/>
  <c r="P44" i="9" s="1"/>
  <c r="CH69" i="2"/>
  <c r="CM35" i="11"/>
  <c r="CM69" i="2"/>
  <c r="Q44" i="9"/>
  <c r="S44" i="9" s="1"/>
  <c r="CR35" i="11"/>
  <c r="CR69" i="2"/>
  <c r="DB35" i="11"/>
  <c r="DB69" i="2"/>
  <c r="CW35" i="11"/>
  <c r="CW69" i="2"/>
  <c r="A2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Y26" i="3"/>
  <c r="CZ26" i="3"/>
  <c r="DA26" i="3"/>
  <c r="DB26" i="3"/>
  <c r="CI27" i="3"/>
  <c r="CN27" i="3"/>
  <c r="CS27" i="3"/>
  <c r="CX27" i="3"/>
  <c r="CI39" i="3"/>
  <c r="CN39" i="3"/>
  <c r="CS39" i="3"/>
  <c r="CX39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CR43" i="3"/>
  <c r="CS43" i="3"/>
  <c r="CT43" i="3"/>
  <c r="CU43" i="3"/>
  <c r="CV43" i="3"/>
  <c r="CW43" i="3"/>
  <c r="CX43" i="3"/>
  <c r="CY43" i="3"/>
  <c r="CZ43" i="3"/>
  <c r="DA43" i="3"/>
  <c r="DB43" i="3"/>
  <c r="CF47" i="3"/>
  <c r="CG47" i="3"/>
  <c r="CH47" i="3"/>
  <c r="CI47" i="3"/>
  <c r="CJ47" i="3"/>
  <c r="CK47" i="3"/>
  <c r="CL47" i="3"/>
  <c r="CM47" i="3"/>
  <c r="CN47" i="3"/>
  <c r="CO47" i="3"/>
  <c r="CP47" i="3"/>
  <c r="CQ47" i="3"/>
  <c r="CR47" i="3"/>
  <c r="CS47" i="3"/>
  <c r="CT47" i="3"/>
  <c r="CU47" i="3"/>
  <c r="CV47" i="3"/>
  <c r="CW47" i="3"/>
  <c r="CX47" i="3"/>
  <c r="CY47" i="3"/>
  <c r="CZ47" i="3"/>
  <c r="DA47" i="3"/>
  <c r="DB47" i="3"/>
  <c r="CF48" i="3"/>
  <c r="CG48" i="3"/>
  <c r="CH48" i="3"/>
  <c r="CI48" i="3"/>
  <c r="CJ48" i="3"/>
  <c r="CK48" i="3"/>
  <c r="CL48" i="3"/>
  <c r="CM48" i="3"/>
  <c r="CN48" i="3"/>
  <c r="CO48" i="3"/>
  <c r="CP48" i="3"/>
  <c r="CQ48" i="3"/>
  <c r="CR48" i="3"/>
  <c r="CS48" i="3"/>
  <c r="CT48" i="3"/>
  <c r="CU48" i="3"/>
  <c r="CV48" i="3"/>
  <c r="CW48" i="3"/>
  <c r="CX48" i="3"/>
  <c r="CY48" i="3"/>
  <c r="CZ48" i="3"/>
  <c r="DA48" i="3"/>
  <c r="DB48" i="3"/>
  <c r="CF56" i="3"/>
  <c r="CG56" i="3"/>
  <c r="CH56" i="3"/>
  <c r="CI56" i="3"/>
  <c r="CJ56" i="3"/>
  <c r="CK56" i="3"/>
  <c r="CL56" i="3"/>
  <c r="CM56" i="3"/>
  <c r="CN56" i="3"/>
  <c r="CO56" i="3"/>
  <c r="CP56" i="3"/>
  <c r="CQ56" i="3"/>
  <c r="CR56" i="3"/>
  <c r="CS56" i="3"/>
  <c r="CT56" i="3"/>
  <c r="CU56" i="3"/>
  <c r="CV56" i="3"/>
  <c r="CW56" i="3"/>
  <c r="CX56" i="3"/>
  <c r="CY56" i="3"/>
  <c r="CZ56" i="3"/>
  <c r="DA56" i="3"/>
  <c r="DB56" i="3"/>
  <c r="CF57" i="3"/>
  <c r="CG57" i="3"/>
  <c r="CH57" i="3"/>
  <c r="CI57" i="3"/>
  <c r="CJ57" i="3"/>
  <c r="CK57" i="3"/>
  <c r="CL57" i="3"/>
  <c r="CM57" i="3"/>
  <c r="CN57" i="3"/>
  <c r="CO57" i="3"/>
  <c r="CP57" i="3"/>
  <c r="CQ57" i="3"/>
  <c r="CR57" i="3"/>
  <c r="CS57" i="3"/>
  <c r="CT57" i="3"/>
  <c r="CU57" i="3"/>
  <c r="CV57" i="3"/>
  <c r="CW57" i="3"/>
  <c r="CX57" i="3"/>
  <c r="CY57" i="3"/>
  <c r="CZ57" i="3"/>
  <c r="DA57" i="3"/>
  <c r="DB57" i="3"/>
  <c r="CF64" i="3"/>
  <c r="CG64" i="3"/>
  <c r="CH64" i="3"/>
  <c r="CI64" i="3"/>
  <c r="CJ64" i="3"/>
  <c r="CK64" i="3"/>
  <c r="CL64" i="3"/>
  <c r="CM64" i="3"/>
  <c r="CN64" i="3"/>
  <c r="CO64" i="3"/>
  <c r="CP64" i="3"/>
  <c r="CQ64" i="3"/>
  <c r="CR64" i="3"/>
  <c r="CS64" i="3"/>
  <c r="CT64" i="3"/>
  <c r="CU64" i="3"/>
  <c r="CV64" i="3"/>
  <c r="CW64" i="3"/>
  <c r="CX64" i="3"/>
  <c r="CY64" i="3"/>
  <c r="CZ64" i="3"/>
  <c r="DA64" i="3"/>
  <c r="DB64" i="3"/>
  <c r="CF65" i="3"/>
  <c r="CG65" i="3"/>
  <c r="CH65" i="3"/>
  <c r="CI65" i="3"/>
  <c r="CJ65" i="3"/>
  <c r="CK65" i="3"/>
  <c r="CL65" i="3"/>
  <c r="CM65" i="3"/>
  <c r="CN65" i="3"/>
  <c r="CO65" i="3"/>
  <c r="CP65" i="3"/>
  <c r="CQ65" i="3"/>
  <c r="CR65" i="3"/>
  <c r="CS65" i="3"/>
  <c r="CT65" i="3"/>
  <c r="CU65" i="3"/>
  <c r="CV65" i="3"/>
  <c r="CW65" i="3"/>
  <c r="CX65" i="3"/>
  <c r="CY65" i="3"/>
  <c r="CZ65" i="3"/>
  <c r="DA65" i="3"/>
  <c r="DB65" i="3"/>
  <c r="CF66" i="3"/>
  <c r="CG66" i="3"/>
  <c r="CH66" i="3"/>
  <c r="CI66" i="3"/>
  <c r="CJ66" i="3"/>
  <c r="CK66" i="3"/>
  <c r="CL66" i="3"/>
  <c r="CM66" i="3"/>
  <c r="CN66" i="3"/>
  <c r="CO66" i="3"/>
  <c r="CP66" i="3"/>
  <c r="CQ66" i="3"/>
  <c r="CR66" i="3"/>
  <c r="CS66" i="3"/>
  <c r="CT66" i="3"/>
  <c r="CU66" i="3"/>
  <c r="CV66" i="3"/>
  <c r="CW66" i="3"/>
  <c r="CX66" i="3"/>
  <c r="CY66" i="3"/>
  <c r="CZ66" i="3"/>
  <c r="DA66" i="3"/>
  <c r="DB66" i="3"/>
  <c r="CF67" i="3"/>
  <c r="CG67" i="3"/>
  <c r="CH67" i="3"/>
  <c r="CI67" i="3"/>
  <c r="CJ67" i="3"/>
  <c r="CK67" i="3"/>
  <c r="CL67" i="3"/>
  <c r="CM67" i="3"/>
  <c r="CN67" i="3"/>
  <c r="CO67" i="3"/>
  <c r="CP67" i="3"/>
  <c r="CQ67" i="3"/>
  <c r="CR67" i="3"/>
  <c r="CS67" i="3"/>
  <c r="CT67" i="3"/>
  <c r="CU67" i="3"/>
  <c r="CV67" i="3"/>
  <c r="CW67" i="3"/>
  <c r="CX67" i="3"/>
  <c r="CY67" i="3"/>
  <c r="CZ67" i="3"/>
  <c r="DA67" i="3"/>
  <c r="DB67" i="3"/>
  <c r="CF68" i="3"/>
  <c r="CG68" i="3"/>
  <c r="CH68" i="3"/>
  <c r="CI68" i="3"/>
  <c r="CJ68" i="3"/>
  <c r="CK68" i="3"/>
  <c r="CL68" i="3"/>
  <c r="CM68" i="3"/>
  <c r="CN68" i="3"/>
  <c r="CO68" i="3"/>
  <c r="CP68" i="3"/>
  <c r="CQ68" i="3"/>
  <c r="CR68" i="3"/>
  <c r="CS68" i="3"/>
  <c r="CT68" i="3"/>
  <c r="CU68" i="3"/>
  <c r="CV68" i="3"/>
  <c r="CW68" i="3"/>
  <c r="CX68" i="3"/>
  <c r="CY68" i="3"/>
  <c r="CZ68" i="3"/>
  <c r="DA68" i="3"/>
  <c r="DB68" i="3"/>
  <c r="CH69" i="3"/>
  <c r="CM69" i="3"/>
  <c r="CR69" i="3"/>
  <c r="CW69" i="3"/>
  <c r="DB69" i="3"/>
  <c r="CF71" i="3"/>
  <c r="CG71" i="3"/>
  <c r="CH71" i="3"/>
  <c r="CI71" i="3"/>
  <c r="CJ71" i="3"/>
  <c r="CK71" i="3"/>
  <c r="CL71" i="3"/>
  <c r="CM71" i="3"/>
  <c r="CN71" i="3"/>
  <c r="CO71" i="3"/>
  <c r="CP71" i="3"/>
  <c r="CQ71" i="3"/>
  <c r="CR71" i="3"/>
  <c r="CS71" i="3"/>
  <c r="CT71" i="3"/>
  <c r="CU71" i="3"/>
  <c r="CV71" i="3"/>
  <c r="CW71" i="3"/>
  <c r="CX71" i="3"/>
  <c r="CY71" i="3"/>
  <c r="CZ71" i="3"/>
  <c r="DA71" i="3"/>
  <c r="DB71" i="3"/>
  <c r="CI72" i="3"/>
  <c r="CJ72" i="3"/>
  <c r="CM72" i="3"/>
  <c r="CN72" i="3"/>
  <c r="CO72" i="3"/>
  <c r="CR72" i="3"/>
  <c r="CS72" i="3"/>
  <c r="CT72" i="3"/>
  <c r="CW72" i="3"/>
  <c r="CX72" i="3"/>
  <c r="CY72" i="3"/>
  <c r="DB72" i="3"/>
  <c r="CF75" i="3"/>
  <c r="CG75" i="3"/>
  <c r="CH75" i="3"/>
  <c r="CI75" i="3"/>
  <c r="CJ75" i="3"/>
  <c r="CK75" i="3"/>
  <c r="CL75" i="3"/>
  <c r="CM75" i="3"/>
  <c r="CN75" i="3"/>
  <c r="CO75" i="3"/>
  <c r="CP75" i="3"/>
  <c r="CQ75" i="3"/>
  <c r="CR75" i="3"/>
  <c r="CS75" i="3"/>
  <c r="CT75" i="3"/>
  <c r="CU75" i="3"/>
  <c r="CV75" i="3"/>
  <c r="CW75" i="3"/>
  <c r="CX75" i="3"/>
  <c r="CY75" i="3"/>
  <c r="CZ75" i="3"/>
  <c r="DA75" i="3"/>
  <c r="DB75" i="3"/>
  <c r="CF77" i="3"/>
  <c r="CG77" i="3"/>
  <c r="CH77" i="3"/>
  <c r="CI77" i="3"/>
  <c r="CJ77" i="3"/>
  <c r="CK77" i="3"/>
  <c r="CL77" i="3"/>
  <c r="CM77" i="3"/>
  <c r="CN77" i="3"/>
  <c r="CO77" i="3"/>
  <c r="CP77" i="3"/>
  <c r="CQ77" i="3"/>
  <c r="CR77" i="3"/>
  <c r="CS77" i="3"/>
  <c r="CT77" i="3"/>
  <c r="CU77" i="3"/>
  <c r="CV77" i="3"/>
  <c r="CW77" i="3"/>
  <c r="CX77" i="3"/>
  <c r="CY77" i="3"/>
  <c r="CZ77" i="3"/>
  <c r="DA77" i="3"/>
  <c r="DB77" i="3"/>
  <c r="CF80" i="3"/>
  <c r="CG80" i="3"/>
  <c r="CH80" i="3"/>
  <c r="CI80" i="3"/>
  <c r="CJ80" i="3"/>
  <c r="CK80" i="3"/>
  <c r="CL80" i="3"/>
  <c r="CM80" i="3"/>
  <c r="CN80" i="3"/>
  <c r="CO80" i="3"/>
  <c r="CP80" i="3"/>
  <c r="CQ80" i="3"/>
  <c r="CR80" i="3"/>
  <c r="CS80" i="3"/>
  <c r="CT80" i="3"/>
  <c r="CU80" i="3"/>
  <c r="CV80" i="3"/>
  <c r="CW80" i="3"/>
  <c r="CX80" i="3"/>
  <c r="CY80" i="3"/>
  <c r="CZ80" i="3"/>
  <c r="DA80" i="3"/>
  <c r="DB80" i="3"/>
  <c r="CF84" i="3"/>
  <c r="CG84" i="3"/>
  <c r="CH84" i="3"/>
  <c r="CI84" i="3"/>
  <c r="CJ84" i="3"/>
  <c r="CK84" i="3"/>
  <c r="CL84" i="3"/>
  <c r="CM84" i="3"/>
  <c r="CN84" i="3"/>
  <c r="CO84" i="3"/>
  <c r="CP84" i="3"/>
  <c r="CQ84" i="3"/>
  <c r="CR84" i="3"/>
  <c r="CS84" i="3"/>
  <c r="CT84" i="3"/>
  <c r="CU84" i="3"/>
  <c r="CV84" i="3"/>
  <c r="CW84" i="3"/>
  <c r="CX84" i="3"/>
  <c r="CY84" i="3"/>
  <c r="CZ84" i="3"/>
  <c r="DA84" i="3"/>
  <c r="DB84" i="3"/>
  <c r="CF85" i="3"/>
  <c r="CG85" i="3"/>
  <c r="CH85" i="3"/>
  <c r="CI85" i="3"/>
  <c r="CJ85" i="3"/>
  <c r="CK85" i="3"/>
  <c r="CL85" i="3"/>
  <c r="CM85" i="3"/>
  <c r="CN85" i="3"/>
  <c r="CO85" i="3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CF86" i="3"/>
  <c r="CG86" i="3"/>
  <c r="CH86" i="3"/>
  <c r="CI86" i="3"/>
  <c r="CJ86" i="3"/>
  <c r="CK86" i="3"/>
  <c r="CL86" i="3"/>
  <c r="CM86" i="3"/>
  <c r="CN86" i="3"/>
  <c r="CO86" i="3"/>
  <c r="CP86" i="3"/>
  <c r="CQ86" i="3"/>
  <c r="CR86" i="3"/>
  <c r="CS86" i="3"/>
  <c r="CT86" i="3"/>
  <c r="CU86" i="3"/>
  <c r="CV86" i="3"/>
  <c r="CW86" i="3"/>
  <c r="CX86" i="3"/>
  <c r="CY86" i="3"/>
  <c r="CZ86" i="3"/>
  <c r="DA86" i="3"/>
  <c r="DB86" i="3"/>
  <c r="CG87" i="3"/>
  <c r="CI87" i="3"/>
  <c r="CJ87" i="3"/>
  <c r="CK87" i="3"/>
  <c r="CL87" i="3"/>
  <c r="CM87" i="3"/>
  <c r="CN87" i="3"/>
  <c r="CO87" i="3"/>
  <c r="CP87" i="3"/>
  <c r="CQ87" i="3"/>
  <c r="CR87" i="3"/>
  <c r="CS87" i="3"/>
  <c r="CT87" i="3"/>
  <c r="CU87" i="3"/>
  <c r="CV87" i="3"/>
  <c r="CW87" i="3"/>
  <c r="CX87" i="3"/>
  <c r="CY87" i="3"/>
  <c r="CZ87" i="3"/>
  <c r="DA87" i="3"/>
  <c r="DB87" i="3"/>
  <c r="CF88" i="3"/>
  <c r="CG88" i="3"/>
  <c r="CH88" i="3"/>
  <c r="CI88" i="3"/>
  <c r="CJ88" i="3"/>
  <c r="CK88" i="3"/>
  <c r="CL88" i="3"/>
  <c r="CM88" i="3"/>
  <c r="CN88" i="3"/>
  <c r="CO88" i="3"/>
  <c r="CP88" i="3"/>
  <c r="CQ88" i="3"/>
  <c r="CR88" i="3"/>
  <c r="CS88" i="3"/>
  <c r="CT88" i="3"/>
  <c r="CU88" i="3"/>
  <c r="CV88" i="3"/>
  <c r="CW88" i="3"/>
  <c r="CX88" i="3"/>
  <c r="CY88" i="3"/>
  <c r="CZ88" i="3"/>
  <c r="DA88" i="3"/>
  <c r="DB88" i="3"/>
  <c r="CF89" i="3"/>
  <c r="CG89" i="3"/>
  <c r="CH89" i="3"/>
  <c r="CI89" i="3"/>
  <c r="CJ89" i="3"/>
  <c r="CK89" i="3"/>
  <c r="CL89" i="3"/>
  <c r="CM89" i="3"/>
  <c r="CN89" i="3"/>
  <c r="CO89" i="3"/>
  <c r="CP89" i="3"/>
  <c r="CQ89" i="3"/>
  <c r="CR89" i="3"/>
  <c r="CS89" i="3"/>
  <c r="CT89" i="3"/>
  <c r="CU89" i="3"/>
  <c r="CV89" i="3"/>
  <c r="CW89" i="3"/>
  <c r="CX89" i="3"/>
  <c r="CY89" i="3"/>
  <c r="CZ89" i="3"/>
  <c r="DA89" i="3"/>
  <c r="DB89" i="3"/>
  <c r="CF90" i="3"/>
  <c r="CG90" i="3"/>
  <c r="CH90" i="3"/>
  <c r="CI90" i="3"/>
  <c r="CJ90" i="3"/>
  <c r="CK90" i="3"/>
  <c r="CL90" i="3"/>
  <c r="CM90" i="3"/>
  <c r="CN90" i="3"/>
  <c r="CO90" i="3"/>
  <c r="CP90" i="3"/>
  <c r="CQ90" i="3"/>
  <c r="CR90" i="3"/>
  <c r="CS90" i="3"/>
  <c r="CT90" i="3"/>
  <c r="CU90" i="3"/>
  <c r="CV90" i="3"/>
  <c r="CW90" i="3"/>
  <c r="CX90" i="3"/>
  <c r="CY90" i="3"/>
  <c r="CZ90" i="3"/>
  <c r="DA90" i="3"/>
  <c r="DB90" i="3"/>
  <c r="CF132" i="3"/>
  <c r="CG132" i="3"/>
  <c r="CH132" i="3"/>
  <c r="CI132" i="3"/>
  <c r="CJ132" i="3"/>
  <c r="CK132" i="3"/>
  <c r="CL132" i="3"/>
  <c r="CM132" i="3"/>
  <c r="CN132" i="3"/>
  <c r="CO132" i="3"/>
  <c r="CP132" i="3"/>
  <c r="CQ132" i="3"/>
  <c r="CR132" i="3"/>
  <c r="CS132" i="3"/>
  <c r="CT132" i="3"/>
  <c r="CU132" i="3"/>
  <c r="CV132" i="3"/>
  <c r="CW132" i="3"/>
  <c r="CX132" i="3"/>
  <c r="CY132" i="3"/>
  <c r="CZ132" i="3"/>
  <c r="DA132" i="3"/>
  <c r="DB132" i="3"/>
  <c r="CF133" i="3"/>
  <c r="CG133" i="3"/>
  <c r="CH133" i="3"/>
  <c r="CI133" i="3"/>
  <c r="CJ133" i="3"/>
  <c r="CK133" i="3"/>
  <c r="CL133" i="3"/>
  <c r="CM133" i="3"/>
  <c r="CN133" i="3"/>
  <c r="CO133" i="3"/>
  <c r="CP133" i="3"/>
  <c r="CQ133" i="3"/>
  <c r="CR133" i="3"/>
  <c r="CS133" i="3"/>
  <c r="CT133" i="3"/>
  <c r="CU133" i="3"/>
  <c r="CV133" i="3"/>
  <c r="CW133" i="3"/>
  <c r="CX133" i="3"/>
  <c r="CY133" i="3"/>
  <c r="CZ133" i="3"/>
  <c r="DA133" i="3"/>
  <c r="DB133" i="3"/>
  <c r="CF134" i="3"/>
  <c r="CG134" i="3"/>
  <c r="CH134" i="3"/>
  <c r="CI134" i="3"/>
  <c r="CJ134" i="3"/>
  <c r="CK134" i="3"/>
  <c r="CL134" i="3"/>
  <c r="CM134" i="3"/>
  <c r="CN134" i="3"/>
  <c r="CO134" i="3"/>
  <c r="CP134" i="3"/>
  <c r="CQ134" i="3"/>
  <c r="CR134" i="3"/>
  <c r="CS134" i="3"/>
  <c r="CT134" i="3"/>
  <c r="CU134" i="3"/>
  <c r="CV134" i="3"/>
  <c r="CW134" i="3"/>
  <c r="CX134" i="3"/>
  <c r="CY134" i="3"/>
  <c r="CZ134" i="3"/>
  <c r="DA134" i="3"/>
  <c r="DB134" i="3"/>
  <c r="CF135" i="3"/>
  <c r="CG135" i="3"/>
  <c r="CH135" i="3"/>
  <c r="CI135" i="3"/>
  <c r="CJ135" i="3"/>
  <c r="CK135" i="3"/>
  <c r="CL135" i="3"/>
  <c r="CM135" i="3"/>
  <c r="CN135" i="3"/>
  <c r="CO135" i="3"/>
  <c r="CP135" i="3"/>
  <c r="CQ135" i="3"/>
  <c r="CR135" i="3"/>
  <c r="CS135" i="3"/>
  <c r="CT135" i="3"/>
  <c r="CU135" i="3"/>
  <c r="CV135" i="3"/>
  <c r="CW135" i="3"/>
  <c r="CX135" i="3"/>
  <c r="CY135" i="3"/>
  <c r="CZ135" i="3"/>
  <c r="DA135" i="3"/>
  <c r="DB135" i="3"/>
  <c r="CF136" i="3"/>
  <c r="CG136" i="3"/>
  <c r="CH136" i="3"/>
  <c r="CI136" i="3"/>
  <c r="CJ136" i="3"/>
  <c r="CK136" i="3"/>
  <c r="CL136" i="3"/>
  <c r="CM136" i="3"/>
  <c r="CN136" i="3"/>
  <c r="CO136" i="3"/>
  <c r="CP136" i="3"/>
  <c r="CQ136" i="3"/>
  <c r="CR136" i="3"/>
  <c r="CS136" i="3"/>
  <c r="CT136" i="3"/>
  <c r="CU136" i="3"/>
  <c r="CV136" i="3"/>
  <c r="CW136" i="3"/>
  <c r="CX136" i="3"/>
  <c r="CY136" i="3"/>
  <c r="CZ136" i="3"/>
  <c r="DA136" i="3"/>
  <c r="DB136" i="3"/>
  <c r="CF137" i="3"/>
  <c r="CG137" i="3"/>
  <c r="CH137" i="3"/>
  <c r="CI137" i="3"/>
  <c r="CJ137" i="3"/>
  <c r="CK137" i="3"/>
  <c r="CL137" i="3"/>
  <c r="CM137" i="3"/>
  <c r="CN137" i="3"/>
  <c r="CO137" i="3"/>
  <c r="CP137" i="3"/>
  <c r="CQ137" i="3"/>
  <c r="CR137" i="3"/>
  <c r="CS137" i="3"/>
  <c r="CT137" i="3"/>
  <c r="CU137" i="3"/>
  <c r="CV137" i="3"/>
  <c r="CW137" i="3"/>
  <c r="CX137" i="3"/>
  <c r="CY137" i="3"/>
  <c r="CZ137" i="3"/>
  <c r="DA137" i="3"/>
  <c r="DB137" i="3"/>
  <c r="CF138" i="3"/>
  <c r="CG138" i="3"/>
  <c r="CH138" i="3"/>
  <c r="CI138" i="3"/>
  <c r="CJ138" i="3"/>
  <c r="CK138" i="3"/>
  <c r="CL138" i="3"/>
  <c r="CM138" i="3"/>
  <c r="CN138" i="3"/>
  <c r="CO138" i="3"/>
  <c r="CP138" i="3"/>
  <c r="CQ138" i="3"/>
  <c r="CR138" i="3"/>
  <c r="CS138" i="3"/>
  <c r="CT138" i="3"/>
  <c r="CU138" i="3"/>
  <c r="CV138" i="3"/>
  <c r="CW138" i="3"/>
  <c r="CX138" i="3"/>
  <c r="CY138" i="3"/>
  <c r="CZ138" i="3"/>
  <c r="DA138" i="3"/>
  <c r="DB138" i="3"/>
  <c r="CF139" i="3"/>
  <c r="CG139" i="3"/>
  <c r="CH139" i="3"/>
  <c r="CI139" i="3"/>
  <c r="CJ139" i="3"/>
  <c r="CK139" i="3"/>
  <c r="CL139" i="3"/>
  <c r="CM139" i="3"/>
  <c r="CN139" i="3"/>
  <c r="CO139" i="3"/>
  <c r="CP139" i="3"/>
  <c r="CQ139" i="3"/>
  <c r="CR139" i="3"/>
  <c r="CS139" i="3"/>
  <c r="CT139" i="3"/>
  <c r="CU139" i="3"/>
  <c r="CV139" i="3"/>
  <c r="CW139" i="3"/>
  <c r="CX139" i="3"/>
  <c r="CY139" i="3"/>
  <c r="CZ139" i="3"/>
  <c r="DA139" i="3"/>
  <c r="DB139" i="3"/>
  <c r="CF140" i="3"/>
  <c r="CG140" i="3"/>
  <c r="CH140" i="3"/>
  <c r="CI140" i="3"/>
  <c r="CJ140" i="3"/>
  <c r="CK140" i="3"/>
  <c r="CL140" i="3"/>
  <c r="CM140" i="3"/>
  <c r="CN140" i="3"/>
  <c r="CO140" i="3"/>
  <c r="CP140" i="3"/>
  <c r="CQ140" i="3"/>
  <c r="CR140" i="3"/>
  <c r="CS140" i="3"/>
  <c r="CT140" i="3"/>
  <c r="CU140" i="3"/>
  <c r="CV140" i="3"/>
  <c r="CW140" i="3"/>
  <c r="CX140" i="3"/>
  <c r="CY140" i="3"/>
  <c r="CZ140" i="3"/>
  <c r="DA140" i="3"/>
  <c r="DB140" i="3"/>
  <c r="CF141" i="3"/>
  <c r="CG141" i="3"/>
  <c r="CH141" i="3"/>
  <c r="CI141" i="3"/>
  <c r="CJ141" i="3"/>
  <c r="CK141" i="3"/>
  <c r="CL141" i="3"/>
  <c r="CM141" i="3"/>
  <c r="CN141" i="3"/>
  <c r="CO141" i="3"/>
  <c r="CP141" i="3"/>
  <c r="CQ141" i="3"/>
  <c r="CR141" i="3"/>
  <c r="CS141" i="3"/>
  <c r="CT141" i="3"/>
  <c r="CU141" i="3"/>
  <c r="CV141" i="3"/>
  <c r="CW141" i="3"/>
  <c r="CX141" i="3"/>
  <c r="CY141" i="3"/>
  <c r="CZ141" i="3"/>
  <c r="DA141" i="3"/>
  <c r="DB141" i="3"/>
  <c r="CB145" i="3"/>
  <c r="CC145" i="3"/>
  <c r="CB146" i="3"/>
  <c r="CC146" i="3"/>
  <c r="CF146" i="3"/>
  <c r="CG146" i="3"/>
  <c r="CH146" i="3"/>
  <c r="CI146" i="3"/>
  <c r="CJ146" i="3"/>
  <c r="CK146" i="3"/>
  <c r="CL146" i="3"/>
  <c r="CM146" i="3"/>
  <c r="CN146" i="3"/>
  <c r="CO146" i="3"/>
  <c r="CP146" i="3"/>
  <c r="CQ146" i="3"/>
  <c r="CR146" i="3"/>
  <c r="CS146" i="3"/>
  <c r="CT146" i="3"/>
  <c r="CU146" i="3"/>
  <c r="CV146" i="3"/>
  <c r="CW146" i="3"/>
  <c r="CX146" i="3"/>
  <c r="CY146" i="3"/>
  <c r="CZ146" i="3"/>
  <c r="DA146" i="3"/>
  <c r="DB146" i="3"/>
  <c r="CB147" i="3"/>
  <c r="CC147" i="3"/>
  <c r="CF147" i="3"/>
  <c r="CG147" i="3"/>
  <c r="CH147" i="3"/>
  <c r="CI147" i="3"/>
  <c r="CJ147" i="3"/>
  <c r="CK147" i="3"/>
  <c r="CL147" i="3"/>
  <c r="CM147" i="3"/>
  <c r="CN147" i="3"/>
  <c r="CO147" i="3"/>
  <c r="CP147" i="3"/>
  <c r="CQ147" i="3"/>
  <c r="CR147" i="3"/>
  <c r="CS147" i="3"/>
  <c r="CT147" i="3"/>
  <c r="CU147" i="3"/>
  <c r="CV147" i="3"/>
  <c r="CW147" i="3"/>
  <c r="CX147" i="3"/>
  <c r="CY147" i="3"/>
  <c r="CZ147" i="3"/>
  <c r="DA147" i="3"/>
  <c r="DB147" i="3"/>
  <c r="CF151" i="3"/>
  <c r="CG151" i="3"/>
  <c r="CH151" i="3"/>
  <c r="CI151" i="3"/>
  <c r="CJ151" i="3"/>
  <c r="CK151" i="3"/>
  <c r="CL151" i="3"/>
  <c r="CM151" i="3"/>
  <c r="CN151" i="3"/>
  <c r="CO151" i="3"/>
  <c r="CP151" i="3"/>
  <c r="CQ151" i="3"/>
  <c r="CR151" i="3"/>
  <c r="CS151" i="3"/>
  <c r="CT151" i="3"/>
  <c r="CU151" i="3"/>
  <c r="CV151" i="3"/>
  <c r="CW151" i="3"/>
  <c r="CX151" i="3"/>
  <c r="CY151" i="3"/>
  <c r="CZ151" i="3"/>
  <c r="DA151" i="3"/>
  <c r="DB151" i="3"/>
  <c r="CC152" i="3"/>
  <c r="CH152" i="3"/>
  <c r="CM152" i="3"/>
  <c r="CR152" i="3"/>
  <c r="CW152" i="3"/>
  <c r="DB152" i="3"/>
  <c r="CG153" i="3"/>
  <c r="CB154" i="3"/>
  <c r="CG154" i="3"/>
  <c r="A2" i="11"/>
  <c r="CF30" i="11"/>
  <c r="CG30" i="11"/>
  <c r="CH30" i="11"/>
  <c r="CI30" i="11"/>
  <c r="CJ30" i="11"/>
  <c r="CK30" i="11"/>
  <c r="CL30" i="11"/>
  <c r="CM30" i="11"/>
  <c r="CN30" i="11"/>
  <c r="CO30" i="11"/>
  <c r="CP30" i="11"/>
  <c r="CQ30" i="11"/>
  <c r="CR30" i="11"/>
  <c r="CS30" i="11"/>
  <c r="CT30" i="11"/>
  <c r="CU30" i="11"/>
  <c r="CV30" i="11"/>
  <c r="CW30" i="11"/>
  <c r="CX30" i="11"/>
  <c r="CY30" i="11"/>
  <c r="CZ30" i="11"/>
  <c r="DA30" i="11"/>
  <c r="DB30" i="11"/>
  <c r="CF31" i="11"/>
  <c r="CG31" i="11"/>
  <c r="CH31" i="11"/>
  <c r="CI31" i="11"/>
  <c r="CJ31" i="11"/>
  <c r="CK31" i="11"/>
  <c r="CL31" i="11"/>
  <c r="CM31" i="11"/>
  <c r="CN31" i="11"/>
  <c r="CO31" i="11"/>
  <c r="CP31" i="11"/>
  <c r="CQ31" i="11"/>
  <c r="CR31" i="11"/>
  <c r="CS31" i="11"/>
  <c r="CT31" i="11"/>
  <c r="CU31" i="11"/>
  <c r="CV31" i="11"/>
  <c r="CW31" i="11"/>
  <c r="CX31" i="11"/>
  <c r="CY31" i="11"/>
  <c r="CZ31" i="11"/>
  <c r="DA31" i="11"/>
  <c r="DB31" i="11"/>
  <c r="CF36" i="11"/>
  <c r="CG36" i="11"/>
  <c r="CH36" i="11"/>
  <c r="CI36" i="11"/>
  <c r="CJ36" i="11"/>
  <c r="CK36" i="11"/>
  <c r="CL36" i="11"/>
  <c r="CM36" i="11"/>
  <c r="CN36" i="11"/>
  <c r="CO36" i="11"/>
  <c r="CP36" i="11"/>
  <c r="CQ36" i="11"/>
  <c r="CR36" i="11"/>
  <c r="CS36" i="11"/>
  <c r="CT36" i="11"/>
  <c r="CU36" i="11"/>
  <c r="CV36" i="11"/>
  <c r="CW36" i="11"/>
  <c r="CX36" i="11"/>
  <c r="CY36" i="11"/>
  <c r="CZ36" i="11"/>
  <c r="DA36" i="11"/>
  <c r="DB36" i="11"/>
  <c r="CF39" i="11"/>
  <c r="CG39" i="11"/>
  <c r="CH39" i="11"/>
  <c r="CI39" i="11"/>
  <c r="CJ39" i="11"/>
  <c r="CK39" i="11"/>
  <c r="CL39" i="11"/>
  <c r="CM39" i="11"/>
  <c r="CN39" i="11"/>
  <c r="CO39" i="11"/>
  <c r="CP39" i="11"/>
  <c r="CQ39" i="11"/>
  <c r="CR39" i="11"/>
  <c r="CS39" i="11"/>
  <c r="CT39" i="11"/>
  <c r="CU39" i="11"/>
  <c r="CV39" i="11"/>
  <c r="CW39" i="11"/>
  <c r="CX39" i="11"/>
  <c r="CY39" i="11"/>
  <c r="CZ39" i="11"/>
  <c r="DA39" i="11"/>
  <c r="DB39" i="11"/>
  <c r="CF40" i="11"/>
  <c r="CG40" i="11"/>
  <c r="CH40" i="11"/>
  <c r="CI40" i="11"/>
  <c r="CJ40" i="11"/>
  <c r="CK40" i="11"/>
  <c r="CL40" i="11"/>
  <c r="CM40" i="11"/>
  <c r="CN40" i="11"/>
  <c r="CO40" i="11"/>
  <c r="CP40" i="11"/>
  <c r="CQ40" i="11"/>
  <c r="CR40" i="11"/>
  <c r="CS40" i="11"/>
  <c r="CT40" i="11"/>
  <c r="CU40" i="11"/>
  <c r="CV40" i="11"/>
  <c r="CW40" i="11"/>
  <c r="CX40" i="11"/>
  <c r="CY40" i="11"/>
  <c r="CZ40" i="11"/>
  <c r="DA40" i="11"/>
  <c r="DB40" i="11"/>
  <c r="CF42" i="11"/>
  <c r="CG42" i="11"/>
  <c r="CH42" i="11"/>
  <c r="CI42" i="11"/>
  <c r="CJ42" i="11"/>
  <c r="CK42" i="11"/>
  <c r="CL42" i="11"/>
  <c r="CM42" i="11"/>
  <c r="CN42" i="11"/>
  <c r="CO42" i="11"/>
  <c r="CP42" i="11"/>
  <c r="CQ42" i="11"/>
  <c r="CR42" i="11"/>
  <c r="CS42" i="11"/>
  <c r="CT42" i="11"/>
  <c r="CU42" i="11"/>
  <c r="CV42" i="11"/>
  <c r="CW42" i="11"/>
  <c r="CX42" i="11"/>
  <c r="CY42" i="11"/>
  <c r="CZ42" i="11"/>
  <c r="DA42" i="11"/>
  <c r="DB42" i="11"/>
  <c r="CF43" i="11"/>
  <c r="CG43" i="11"/>
  <c r="CH43" i="11"/>
  <c r="CI43" i="11"/>
  <c r="CJ43" i="11"/>
  <c r="CK43" i="11"/>
  <c r="CL43" i="11"/>
  <c r="CM43" i="11"/>
  <c r="CN43" i="11"/>
  <c r="CO43" i="11"/>
  <c r="CP43" i="11"/>
  <c r="CQ43" i="11"/>
  <c r="CR43" i="11"/>
  <c r="CS43" i="11"/>
  <c r="CT43" i="11"/>
  <c r="CU43" i="11"/>
  <c r="CV43" i="11"/>
  <c r="CW43" i="11"/>
  <c r="CX43" i="11"/>
  <c r="CY43" i="11"/>
  <c r="CZ43" i="11"/>
  <c r="DA43" i="11"/>
  <c r="DB43" i="11"/>
  <c r="CF44" i="11"/>
  <c r="CG44" i="11"/>
  <c r="CH44" i="11"/>
  <c r="CI44" i="11"/>
  <c r="CJ44" i="11"/>
  <c r="CK44" i="11"/>
  <c r="CL44" i="11"/>
  <c r="CM44" i="11"/>
  <c r="CN44" i="11"/>
  <c r="CO44" i="11"/>
  <c r="CP44" i="11"/>
  <c r="CQ44" i="11"/>
  <c r="CR44" i="11"/>
  <c r="CS44" i="11"/>
  <c r="CT44" i="11"/>
  <c r="CU44" i="11"/>
  <c r="CV44" i="11"/>
  <c r="CW44" i="11"/>
  <c r="CX44" i="11"/>
  <c r="CY44" i="11"/>
  <c r="CZ44" i="11"/>
  <c r="DA44" i="11"/>
  <c r="DB44" i="11"/>
  <c r="CG87" i="11"/>
  <c r="CH87" i="11"/>
  <c r="CI87" i="11"/>
  <c r="CJ87" i="11"/>
  <c r="CK87" i="11"/>
  <c r="CL87" i="11"/>
  <c r="CM87" i="11"/>
  <c r="CN87" i="11"/>
  <c r="CO87" i="11"/>
  <c r="CP87" i="11"/>
  <c r="CQ87" i="11"/>
  <c r="CR87" i="11"/>
  <c r="CS87" i="11"/>
  <c r="CT87" i="11"/>
  <c r="CU87" i="11"/>
  <c r="CV87" i="11"/>
  <c r="CW87" i="11"/>
  <c r="CX87" i="11"/>
  <c r="CY87" i="11"/>
  <c r="CZ87" i="11"/>
  <c r="DA87" i="11"/>
  <c r="DB87" i="11"/>
  <c r="CG88" i="11"/>
  <c r="CH88" i="11"/>
  <c r="CI88" i="11"/>
  <c r="CJ88" i="11"/>
  <c r="CK88" i="11"/>
  <c r="CL88" i="11"/>
  <c r="CM88" i="11"/>
  <c r="CN88" i="11"/>
  <c r="CO88" i="11"/>
  <c r="CP88" i="11"/>
  <c r="CQ88" i="11"/>
  <c r="CR88" i="11"/>
  <c r="CS88" i="11"/>
  <c r="CT88" i="11"/>
  <c r="CU88" i="11"/>
  <c r="CV88" i="11"/>
  <c r="CW88" i="11"/>
  <c r="CX88" i="11"/>
  <c r="CY88" i="11"/>
  <c r="CZ88" i="11"/>
  <c r="DA88" i="11"/>
  <c r="DB88" i="11"/>
  <c r="CH90" i="11"/>
  <c r="CN131" i="11"/>
  <c r="CO131" i="11"/>
  <c r="CP131" i="11"/>
  <c r="CQ131" i="11"/>
  <c r="CR131" i="11"/>
  <c r="CS131" i="11"/>
  <c r="CT131" i="11"/>
  <c r="CU131" i="11"/>
  <c r="CV131" i="11"/>
  <c r="CW131" i="11"/>
  <c r="CX131" i="11"/>
  <c r="CY131" i="11"/>
  <c r="CZ131" i="11"/>
  <c r="DA131" i="11"/>
  <c r="DB131" i="11"/>
  <c r="CN132" i="11"/>
  <c r="CO132" i="11"/>
  <c r="CP132" i="11"/>
  <c r="CQ132" i="11"/>
  <c r="CR132" i="11"/>
  <c r="CS132" i="11"/>
  <c r="CT132" i="11"/>
  <c r="CU132" i="11"/>
  <c r="CV132" i="11"/>
  <c r="CW132" i="11"/>
  <c r="CX132" i="11"/>
  <c r="CY132" i="11"/>
  <c r="CZ132" i="11"/>
  <c r="DA132" i="11"/>
  <c r="DB132" i="11"/>
  <c r="CR133" i="11"/>
  <c r="CW133" i="11"/>
  <c r="DB133" i="11"/>
  <c r="B6" i="10"/>
  <c r="A2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CH25" i="2"/>
  <c r="CM25" i="2"/>
  <c r="CR25" i="2"/>
  <c r="CW25" i="2"/>
  <c r="DB2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Z42" i="2"/>
  <c r="DA42" i="2"/>
  <c r="DB42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Z44" i="2"/>
  <c r="DA44" i="2"/>
  <c r="DB44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Z51" i="2"/>
  <c r="DA51" i="2"/>
  <c r="DB51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Z52" i="2"/>
  <c r="DA52" i="2"/>
  <c r="DB52" i="2"/>
  <c r="CI53" i="2"/>
  <c r="CM53" i="2"/>
  <c r="CN53" i="2"/>
  <c r="CR53" i="2"/>
  <c r="CS53" i="2"/>
  <c r="CW53" i="2"/>
  <c r="CX53" i="2"/>
  <c r="DB53" i="2"/>
  <c r="CI55" i="2"/>
  <c r="CM55" i="2"/>
  <c r="CN55" i="2"/>
  <c r="CR55" i="2"/>
  <c r="CS55" i="2"/>
  <c r="CW55" i="2"/>
  <c r="CX55" i="2"/>
  <c r="DB55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Z56" i="2"/>
  <c r="DA56" i="2"/>
  <c r="DB5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Z66" i="2"/>
  <c r="DA66" i="2"/>
  <c r="DB66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Z67" i="2"/>
  <c r="DA67" i="2"/>
  <c r="DB67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Z70" i="2"/>
  <c r="DA70" i="2"/>
  <c r="DB70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Z73" i="2"/>
  <c r="DA73" i="2"/>
  <c r="DB73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Z74" i="2"/>
  <c r="DA74" i="2"/>
  <c r="DB74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Z83" i="2"/>
  <c r="DA83" i="2"/>
  <c r="DB83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Z90" i="2"/>
  <c r="DA90" i="2"/>
  <c r="DB90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Z91" i="2"/>
  <c r="DA91" i="2"/>
  <c r="DB91" i="2"/>
  <c r="A2" i="14"/>
  <c r="A2" i="1"/>
  <c r="F2" i="15"/>
  <c r="H11" i="15"/>
  <c r="I11" i="15"/>
  <c r="J11" i="15"/>
  <c r="K11" i="15"/>
  <c r="L11" i="15"/>
  <c r="S11" i="15"/>
  <c r="T11" i="15"/>
  <c r="H12" i="15"/>
  <c r="I12" i="15"/>
  <c r="J12" i="15"/>
  <c r="K12" i="15"/>
  <c r="L12" i="15"/>
  <c r="S12" i="15"/>
  <c r="T12" i="15"/>
  <c r="H13" i="15"/>
  <c r="I13" i="15"/>
  <c r="J13" i="15"/>
  <c r="K13" i="15"/>
  <c r="L13" i="15"/>
  <c r="S13" i="15"/>
  <c r="T13" i="15"/>
  <c r="I14" i="15"/>
  <c r="J14" i="15"/>
  <c r="K14" i="15"/>
  <c r="L14" i="15"/>
  <c r="H15" i="15"/>
  <c r="I15" i="15"/>
  <c r="J15" i="15"/>
  <c r="K15" i="15"/>
  <c r="L15" i="15"/>
  <c r="S15" i="15"/>
  <c r="T15" i="15"/>
  <c r="H16" i="15"/>
  <c r="I16" i="15"/>
  <c r="J16" i="15"/>
  <c r="K16" i="15"/>
  <c r="L16" i="15"/>
  <c r="S16" i="15"/>
  <c r="T16" i="15"/>
  <c r="H18" i="15"/>
  <c r="I18" i="15"/>
  <c r="J18" i="15"/>
  <c r="K18" i="15"/>
  <c r="L18" i="15"/>
  <c r="S18" i="15"/>
  <c r="T18" i="15"/>
  <c r="H19" i="15"/>
  <c r="I19" i="15"/>
  <c r="J19" i="15"/>
  <c r="K19" i="15"/>
  <c r="L19" i="15"/>
  <c r="S19" i="15"/>
  <c r="T19" i="15"/>
  <c r="H21" i="15"/>
  <c r="I21" i="15"/>
  <c r="J21" i="15"/>
  <c r="K21" i="15"/>
  <c r="L21" i="15"/>
  <c r="S21" i="15"/>
  <c r="T21" i="15"/>
  <c r="H24" i="15"/>
  <c r="I24" i="15"/>
  <c r="J24" i="15"/>
  <c r="K24" i="15"/>
  <c r="L24" i="15"/>
  <c r="S24" i="15"/>
  <c r="T24" i="15"/>
  <c r="H25" i="15"/>
  <c r="I25" i="15"/>
  <c r="J25" i="15"/>
  <c r="K25" i="15"/>
  <c r="L25" i="15"/>
  <c r="S25" i="15"/>
  <c r="T25" i="15"/>
  <c r="A2" i="4"/>
  <c r="E10" i="9"/>
  <c r="F10" i="9"/>
  <c r="E11" i="9"/>
  <c r="F11" i="9"/>
  <c r="E13" i="9"/>
  <c r="F13" i="9"/>
  <c r="E16" i="9"/>
  <c r="F16" i="9"/>
  <c r="E19" i="9"/>
  <c r="F19" i="9"/>
  <c r="E20" i="9"/>
  <c r="F20" i="9"/>
  <c r="E21" i="9"/>
  <c r="F21" i="9"/>
  <c r="E22" i="9"/>
  <c r="F22" i="9"/>
  <c r="E23" i="9"/>
  <c r="F23" i="9"/>
  <c r="E24" i="9"/>
  <c r="F24" i="9"/>
  <c r="E25" i="9"/>
  <c r="F25" i="9"/>
  <c r="E26" i="9"/>
  <c r="F26" i="9"/>
  <c r="N42" i="9"/>
  <c r="P42" i="9"/>
  <c r="Q42" i="9"/>
  <c r="S42" i="9"/>
  <c r="N45" i="9"/>
  <c r="P45" i="9"/>
  <c r="Q45" i="9"/>
  <c r="S45" i="9"/>
  <c r="N48" i="9"/>
  <c r="P48" i="9"/>
  <c r="Q48" i="9"/>
  <c r="S48" i="9"/>
  <c r="N49" i="9"/>
  <c r="P49" i="9"/>
  <c r="Q49" i="9"/>
  <c r="S49" i="9"/>
  <c r="N52" i="9"/>
  <c r="P52" i="9"/>
  <c r="Q52" i="9"/>
  <c r="S52" i="9"/>
  <c r="N53" i="9"/>
  <c r="P53" i="9"/>
  <c r="Q53" i="9"/>
  <c r="S53" i="9"/>
  <c r="Q54" i="9"/>
  <c r="S54" i="9"/>
  <c r="N55" i="9"/>
  <c r="P55" i="9"/>
  <c r="Q55" i="9"/>
  <c r="S55" i="9"/>
  <c r="N56" i="9"/>
  <c r="P56" i="9"/>
  <c r="Q56" i="9"/>
  <c r="S56" i="9"/>
  <c r="N57" i="9"/>
  <c r="Q57" i="9"/>
  <c r="N58" i="9"/>
  <c r="Q58" i="9"/>
  <c r="N59" i="9"/>
  <c r="Q59" i="9"/>
  <c r="I60" i="9"/>
  <c r="N60" i="9"/>
  <c r="Q60" i="9"/>
  <c r="N63" i="9"/>
  <c r="P63" i="9"/>
  <c r="Q63" i="9"/>
  <c r="S63" i="9"/>
  <c r="Q64" i="9"/>
  <c r="N65" i="9"/>
  <c r="Q65" i="9"/>
  <c r="I66" i="9"/>
  <c r="N66" i="9"/>
  <c r="Q66" i="9"/>
  <c r="J11" i="12"/>
  <c r="C16" i="12"/>
  <c r="I17" i="12"/>
  <c r="C18" i="12"/>
  <c r="I18" i="12"/>
  <c r="C19" i="12"/>
  <c r="I20" i="12"/>
  <c r="C21" i="12"/>
  <c r="I21" i="12"/>
  <c r="C24" i="12"/>
  <c r="I24" i="12"/>
  <c r="J24" i="12"/>
  <c r="C54" i="12"/>
  <c r="C56" i="12"/>
  <c r="C60" i="12"/>
  <c r="C62" i="12"/>
  <c r="C67" i="12"/>
  <c r="C69" i="12"/>
  <c r="A2" i="13"/>
  <c r="B16" i="13"/>
  <c r="B17" i="13"/>
  <c r="C22" i="13"/>
  <c r="D22" i="13"/>
  <c r="E22" i="13"/>
  <c r="F22" i="13"/>
  <c r="C23" i="13"/>
  <c r="D23" i="13"/>
  <c r="E23" i="13"/>
  <c r="F23" i="13"/>
  <c r="D24" i="13"/>
  <c r="E24" i="13"/>
  <c r="F24" i="13"/>
  <c r="C25" i="13"/>
  <c r="D25" i="13"/>
  <c r="E25" i="13"/>
  <c r="F25" i="13"/>
  <c r="C26" i="13"/>
  <c r="D26" i="13"/>
  <c r="E26" i="13"/>
  <c r="F26" i="13"/>
  <c r="D27" i="13"/>
  <c r="E27" i="13"/>
  <c r="F27" i="13"/>
  <c r="C28" i="13"/>
  <c r="D28" i="13"/>
  <c r="E28" i="13"/>
  <c r="F28" i="13"/>
  <c r="D29" i="13"/>
  <c r="E29" i="13"/>
  <c r="F29" i="13"/>
  <c r="C30" i="13"/>
  <c r="D30" i="13"/>
  <c r="E30" i="13"/>
  <c r="F30" i="13"/>
  <c r="C31" i="13"/>
  <c r="D31" i="13"/>
  <c r="E31" i="13"/>
  <c r="F31" i="13"/>
  <c r="C32" i="13"/>
  <c r="D32" i="13"/>
  <c r="E32" i="13"/>
  <c r="F32" i="13"/>
  <c r="C33" i="13"/>
  <c r="D33" i="13"/>
  <c r="E33" i="13"/>
  <c r="F33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E39" i="13"/>
  <c r="I39" i="13"/>
  <c r="M39" i="13"/>
  <c r="E41" i="13"/>
  <c r="I41" i="13"/>
  <c r="M41" i="13"/>
  <c r="E43" i="13"/>
  <c r="I43" i="13"/>
  <c r="K44" i="13"/>
  <c r="E45" i="13"/>
  <c r="I45" i="13"/>
  <c r="K45" i="13"/>
  <c r="B46" i="13"/>
  <c r="C46" i="13"/>
  <c r="D46" i="13"/>
  <c r="B47" i="13"/>
  <c r="B48" i="13"/>
  <c r="B53" i="13"/>
  <c r="B54" i="13"/>
  <c r="B55" i="13"/>
  <c r="B57" i="13"/>
  <c r="B59" i="13"/>
  <c r="B60" i="13"/>
  <c r="B61" i="13"/>
  <c r="B62" i="13"/>
  <c r="B67" i="13"/>
  <c r="B68" i="13"/>
  <c r="B69" i="13"/>
  <c r="B71" i="13"/>
  <c r="B72" i="13"/>
  <c r="B73" i="13"/>
  <c r="B74" i="13"/>
  <c r="C78" i="13"/>
  <c r="D78" i="13"/>
  <c r="E78" i="13"/>
  <c r="F78" i="13"/>
  <c r="G78" i="13"/>
  <c r="C80" i="13"/>
  <c r="D80" i="13"/>
  <c r="E80" i="13"/>
  <c r="F80" i="13"/>
  <c r="G80" i="13"/>
  <c r="G81" i="13"/>
  <c r="B82" i="13"/>
  <c r="B84" i="13"/>
  <c r="B8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Elvis Credendio</author>
    <author>Elvis F Credendio F</author>
  </authors>
  <commentList>
    <comment ref="CD31" authorId="0" shapeId="0" xr:uid="{02E219F9-C567-4AE3-A468-A7AD27E8B70C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Venda de cota de SPE, etc. Outras despesas foram BRL -19mn (-150mn para FY26)</t>
        </r>
      </text>
    </comment>
    <comment ref="CB33" authorId="0" shapeId="0" xr:uid="{DD84BB9E-4E2E-441D-8884-1BE0682E3FAC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Efeito de diluição do follow-on de CURY R$70mn</t>
        </r>
      </text>
    </comment>
    <comment ref="B36" authorId="1" shapeId="0" xr:uid="{4A77EBAE-D2A5-4FDE-816E-832692C444D9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Employee compensation</t>
        </r>
      </text>
    </comment>
    <comment ref="C36" authorId="1" shapeId="0" xr:uid="{B8927606-4CBC-4629-9C7A-1F44C2D7A9E8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Employee compensation</t>
        </r>
      </text>
    </comment>
    <comment ref="D36" authorId="1" shapeId="0" xr:uid="{73E9832A-FC9D-4552-9592-32ADB4381917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Employee compensation</t>
        </r>
      </text>
    </comment>
    <comment ref="CB48" authorId="0" shapeId="0" xr:uid="{D738626F-D55E-43F5-ADCF-CCF65B752C9C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Including CYRE4 share issuance</t>
        </r>
      </text>
    </comment>
    <comment ref="CB50" authorId="0" shapeId="0" xr:uid="{6A27A849-13FB-45D1-B78D-4BC722FEAB54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Issuance of PN shares (CYRE4)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Mariangela Castro</author>
    <author>Elvis Credendio</author>
  </authors>
  <commentList>
    <comment ref="AD74" authorId="0" shapeId="0" xr:uid="{C639EDD8-659E-420E-A065-6D197F9A192F}">
      <text>
        <r>
          <rPr>
            <sz val="9"/>
            <color indexed="81"/>
            <rFont val="Tahoma"/>
            <family val="2"/>
          </rPr>
          <t>PLPL acquisition</t>
        </r>
      </text>
    </comment>
    <comment ref="AH74" authorId="0" shapeId="0" xr:uid="{000A5A73-59F4-4C9C-9BD8-1699318DB2B0}">
      <text>
        <r>
          <rPr>
            <sz val="9"/>
            <color indexed="81"/>
            <rFont val="Tahoma"/>
            <family val="2"/>
          </rPr>
          <t>TCSA Aquisition</t>
        </r>
      </text>
    </comment>
    <comment ref="AI74" authorId="0" shapeId="0" xr:uid="{BBB35EAA-DD9F-4DF3-AB86-150977AFE52D}">
      <text>
        <r>
          <rPr>
            <sz val="9"/>
            <color indexed="81"/>
            <rFont val="Tahoma"/>
            <family val="2"/>
          </rPr>
          <t>TCSA Aquisition</t>
        </r>
      </text>
    </comment>
    <comment ref="AL74" authorId="0" shapeId="0" xr:uid="{05A7AD44-3E51-460E-B4A8-CC68EFB4BD2F}">
      <text>
        <r>
          <rPr>
            <sz val="9"/>
            <color indexed="81"/>
            <rFont val="Tahoma"/>
            <family val="2"/>
          </rPr>
          <t>TCSA shares acquisition</t>
        </r>
      </text>
    </comment>
    <comment ref="AM74" authorId="0" shapeId="0" xr:uid="{95497655-929D-44D3-A847-84A62501A566}">
      <text>
        <r>
          <rPr>
            <sz val="9"/>
            <color indexed="81"/>
            <rFont val="Tahoma"/>
            <family val="2"/>
          </rPr>
          <t xml:space="preserve">TCSA share's sale
SPE sale </t>
        </r>
      </text>
    </comment>
    <comment ref="AN74" authorId="0" shapeId="0" xr:uid="{73B55C8D-CCAF-4B21-B8A4-3CAD2166A9B5}">
      <text>
        <r>
          <rPr>
            <sz val="9"/>
            <color indexed="81"/>
            <rFont val="Tahoma"/>
            <family val="2"/>
          </rPr>
          <t xml:space="preserve">TCSA share's sale
SPE sale </t>
        </r>
      </text>
    </comment>
    <comment ref="AR74" authorId="0" shapeId="0" xr:uid="{DF9A7DEB-6380-4D6D-89C5-A0CEEBE2B6EC}">
      <text>
        <r>
          <rPr>
            <sz val="9"/>
            <color indexed="81"/>
            <rFont val="Tahoma"/>
            <family val="2"/>
          </rPr>
          <t>SPE sale to Hines</t>
        </r>
      </text>
    </comment>
    <comment ref="AV74" authorId="0" shapeId="0" xr:uid="{3D74C9C6-4845-4FA2-A917-AB7997D08863}">
      <text>
        <r>
          <rPr>
            <sz val="9"/>
            <color indexed="81"/>
            <rFont val="Tahoma"/>
            <family val="2"/>
          </rPr>
          <t>JV's sale</t>
        </r>
      </text>
    </comment>
    <comment ref="AW74" authorId="0" shapeId="0" xr:uid="{ABE960A9-D22B-4A34-B2AE-3F2303F4970D}">
      <text>
        <r>
          <rPr>
            <sz val="9"/>
            <color indexed="81"/>
            <rFont val="Tahoma"/>
            <family val="2"/>
          </rPr>
          <t>JV's sale</t>
        </r>
      </text>
    </comment>
    <comment ref="AX74" authorId="0" shapeId="0" xr:uid="{11F54E7D-CF7A-496C-82D1-843F4EAC64AE}">
      <text>
        <r>
          <rPr>
            <sz val="9"/>
            <color indexed="81"/>
            <rFont val="Tahoma"/>
            <family val="2"/>
          </rPr>
          <t>JV's sale</t>
        </r>
      </text>
    </comment>
    <comment ref="BA74" authorId="0" shapeId="0" xr:uid="{2185A49B-013E-4D8E-8B28-61B66D4675FF}">
      <text>
        <r>
          <rPr>
            <sz val="9"/>
            <color indexed="81"/>
            <rFont val="Tahoma"/>
            <family val="2"/>
          </rPr>
          <t>JV's sale</t>
        </r>
      </text>
    </comment>
    <comment ref="BB74" authorId="0" shapeId="0" xr:uid="{212B9A37-5538-4230-9972-E2A59CBB5248}">
      <text>
        <r>
          <rPr>
            <sz val="9"/>
            <color indexed="81"/>
            <rFont val="Tahoma"/>
            <family val="2"/>
          </rPr>
          <t>JV's IPO</t>
        </r>
      </text>
    </comment>
    <comment ref="BC74" authorId="0" shapeId="0" xr:uid="{2A25AC1E-6A6A-4F67-B22A-C57F29C3AC7D}">
      <text>
        <r>
          <rPr>
            <sz val="9"/>
            <color indexed="81"/>
            <rFont val="Tahoma"/>
            <family val="2"/>
          </rPr>
          <t>JV's IPO</t>
        </r>
      </text>
    </comment>
    <comment ref="BL74" authorId="0" shapeId="0" xr:uid="{E0205C13-B415-405C-9D51-AD42FD5C076C}">
      <text>
        <r>
          <rPr>
            <sz val="9"/>
            <color indexed="81"/>
            <rFont val="Tahoma"/>
            <family val="2"/>
          </rPr>
          <t>JV's sales</t>
        </r>
      </text>
    </comment>
    <comment ref="BM74" authorId="0" shapeId="0" xr:uid="{3FDB5B55-472B-4B18-AB71-D73AC7A2C867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BO74" authorId="0" shapeId="0" xr:uid="{F166C31E-E654-4B00-98AF-CFE2B445A477}">
      <text>
        <r>
          <rPr>
            <sz val="9"/>
            <color indexed="81"/>
            <rFont val="Tahoma"/>
            <family val="2"/>
          </rPr>
          <t>∆ AVJora &amp; SKR Unconsolidation</t>
        </r>
      </text>
    </comment>
    <comment ref="BP74" authorId="0" shapeId="0" xr:uid="{663BDEB8-6EA2-48FD-90F1-CF60EC642595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BQ74" authorId="0" shapeId="0" xr:uid="{2E5C5151-E320-4D3B-A962-EEC70BA13DC6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BR74" authorId="0" shapeId="0" xr:uid="{5CB0885B-A78F-43EB-AFE2-5D3155A1C321}">
      <text>
        <r>
          <rPr>
            <sz val="9"/>
            <color indexed="81"/>
            <rFont val="Tahoma"/>
            <family val="2"/>
          </rPr>
          <t>∆ AVJora</t>
        </r>
      </text>
    </comment>
    <comment ref="BT74" authorId="0" shapeId="0" xr:uid="{15C8AF99-C6AB-4A1B-A162-B7BA66714E36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BU74" authorId="0" shapeId="0" xr:uid="{9C2A632A-8FD6-4C7C-B4A3-E6A9A9668A57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BV74" authorId="0" shapeId="0" xr:uid="{39364519-18E0-4D89-8D2E-C068342004F7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BW74" authorId="0" shapeId="0" xr:uid="{C47C91DD-F41D-43BC-9B5C-DBE27FAE923B}">
      <text>
        <r>
          <rPr>
            <sz val="9"/>
            <color indexed="81"/>
            <rFont val="Tahoma"/>
            <family val="2"/>
          </rPr>
          <t>∆ AVJora</t>
        </r>
      </text>
    </comment>
    <comment ref="BY74" authorId="0" shapeId="0" xr:uid="{11FEB33D-EECE-476F-A294-9A0AC1C9E69A}">
      <text>
        <r>
          <rPr>
            <sz val="9"/>
            <color indexed="81"/>
            <rFont val="Tahoma"/>
            <family val="2"/>
          </rPr>
          <t>∆ AVJora</t>
        </r>
      </text>
    </comment>
    <comment ref="BZ74" authorId="0" shapeId="0" xr:uid="{22E85519-754D-4D75-BCF1-DB254488D4D3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CA74" authorId="0" shapeId="0" xr:uid="{221D07CD-207B-4686-AEFA-1B8D5566C4E3}">
      <text>
        <r>
          <rPr>
            <sz val="9"/>
            <color indexed="81"/>
            <rFont val="Tahoma"/>
            <family val="2"/>
          </rPr>
          <t>∆AVJORA and JV's sales</t>
        </r>
      </text>
    </comment>
    <comment ref="CB74" authorId="1" shapeId="0" xr:uid="{9DE6082B-4911-487D-87E8-C077372E57F6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AVJORA and interest effect</t>
        </r>
      </text>
    </comment>
    <comment ref="CD74" authorId="0" shapeId="0" xr:uid="{A89F6D95-2693-4BEA-AEE1-F5DD79031D13}">
      <text>
        <r>
          <rPr>
            <sz val="9"/>
            <color indexed="81"/>
            <rFont val="Tahoma"/>
            <family val="2"/>
          </rPr>
          <t>∆ AVJora</t>
        </r>
      </text>
    </comment>
    <comment ref="CE74" authorId="0" shapeId="0" xr:uid="{66985217-6A1A-4C97-8B26-A163DB37FD9E}">
      <text>
        <r>
          <rPr>
            <sz val="9"/>
            <color indexed="81"/>
            <rFont val="Tahoma"/>
            <family val="2"/>
          </rPr>
          <t>∆AVJORA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Paulino Veiga</author>
  </authors>
  <commentList>
    <comment ref="A11" authorId="0" shapeId="0" xr:uid="{6EB41E7F-3CCC-47B1-BD9F-EF8167020AA2}">
      <text>
        <r>
          <rPr>
            <sz val="9"/>
            <color indexed="81"/>
            <rFont val="Tahoma"/>
            <family val="2"/>
          </rPr>
          <t>Cury Construtora E Incorp S/A</t>
        </r>
      </text>
    </comment>
    <comment ref="A16" authorId="0" shapeId="0" xr:uid="{BCDFFE39-B0C0-454D-BE3D-2C9B5E3F62EE}">
      <text>
        <r>
          <rPr>
            <sz val="9"/>
            <color indexed="81"/>
            <rFont val="Tahoma"/>
            <family val="2"/>
          </rPr>
          <t>Plano &amp; Plano Constr E Particip Ltda</t>
        </r>
      </text>
    </comment>
    <comment ref="A21" authorId="0" shapeId="0" xr:uid="{5AFF03DE-1949-4C4C-8C02-A0D4B5A39B4E}">
      <text>
        <r>
          <rPr>
            <sz val="9"/>
            <color indexed="81"/>
            <rFont val="Tahoma"/>
            <family val="2"/>
          </rPr>
          <t>Plano &amp; Plano Constr E Particip Ltda</t>
        </r>
      </text>
    </comment>
    <comment ref="A26" authorId="0" shapeId="0" xr:uid="{AB9B1AB7-E451-417B-AC81-F16A24DF9C73}">
      <text>
        <r>
          <rPr>
            <sz val="9"/>
            <color indexed="81"/>
            <rFont val="Tahoma"/>
            <family val="2"/>
          </rPr>
          <t>Mac Empreend Imob Ltda</t>
        </r>
      </text>
    </comment>
    <comment ref="A31" authorId="0" shapeId="0" xr:uid="{AA497A3C-F748-4C4C-8FD5-822F1AADCD05}">
      <text>
        <r>
          <rPr>
            <sz val="9"/>
            <color indexed="81"/>
            <rFont val="Tahoma"/>
            <family val="2"/>
          </rPr>
          <t>Lavvi Empreendimentos Imobiliários SA</t>
        </r>
      </text>
    </comment>
    <comment ref="A36" authorId="0" shapeId="0" xr:uid="{0D55F17B-8A90-456B-A6C3-CB530CFF353B}">
      <text>
        <r>
          <rPr>
            <sz val="9"/>
            <color indexed="81"/>
            <rFont val="Tahoma"/>
            <family val="2"/>
          </rPr>
          <t>Lavvi Monaco Empreendimentos Imobiliários Ltda</t>
        </r>
      </text>
    </comment>
    <comment ref="A41" authorId="0" shapeId="0" xr:uid="{DC1DEC5E-E567-4460-91CE-464D8B509952}">
      <text>
        <r>
          <rPr>
            <sz val="9"/>
            <color indexed="81"/>
            <rFont val="Tahoma"/>
            <family val="2"/>
          </rPr>
          <t>Lavvi Madrid Empreendimentos Imobiliários Ltda</t>
        </r>
      </text>
    </comment>
    <comment ref="A46" authorId="0" shapeId="0" xr:uid="{7695E962-C6FF-435B-8836-E8A36B392AC5}">
      <text>
        <r>
          <rPr>
            <sz val="9"/>
            <color indexed="81"/>
            <rFont val="Tahoma"/>
            <family val="2"/>
          </rPr>
          <t>Lavvi Paris Empreendimentos Imobiliários Ltda</t>
        </r>
      </text>
    </comment>
    <comment ref="A51" authorId="0" shapeId="0" xr:uid="{D3CB2BAA-EDC8-4F6C-A637-903E37A5A540}">
      <text>
        <r>
          <rPr>
            <sz val="9"/>
            <color indexed="81"/>
            <rFont val="Tahoma"/>
            <family val="2"/>
          </rPr>
          <t>Cyrela Rjz Empreend Imob Ltda</t>
        </r>
      </text>
    </comment>
    <comment ref="A56" authorId="0" shapeId="0" xr:uid="{ED3E45F9-776F-4164-8D82-D5FDDC7613C0}">
      <text>
        <r>
          <rPr>
            <sz val="9"/>
            <color indexed="81"/>
            <rFont val="Tahoma"/>
            <family val="2"/>
          </rPr>
          <t>Cyrela Rjz Construtora E Empreendimentos Ltda</t>
        </r>
      </text>
    </comment>
    <comment ref="A61" authorId="0" shapeId="0" xr:uid="{6673BC7A-CCAB-4DEC-9E81-098ECCCAA5EC}">
      <text>
        <r>
          <rPr>
            <sz val="9"/>
            <color indexed="81"/>
            <rFont val="Tahoma"/>
            <family val="2"/>
          </rPr>
          <t>Cyrela Rjz Empreend Imob Ltda</t>
        </r>
      </text>
    </comment>
    <comment ref="A66" authorId="0" shapeId="0" xr:uid="{1AFAF8AE-CB94-4E1E-8BC6-5E5E6A367AE6}">
      <text>
        <r>
          <rPr>
            <sz val="9"/>
            <color indexed="81"/>
            <rFont val="Tahoma"/>
            <family val="2"/>
          </rPr>
          <t>Goldsztein Cyrela Empreend Imob S/A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Elvis Credendio</author>
  </authors>
  <commentList>
    <comment ref="C10" authorId="0" shapeId="0" xr:uid="{6DD6EE4F-E9EB-4A77-B71B-BFAB9A7E6E93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CashMe AVJORA</t>
        </r>
      </text>
    </comment>
    <comment ref="E10" authorId="0" shapeId="0" xr:uid="{BF365474-0779-4666-A6BC-5C02626A5473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IPO fair value ex capital gain taxes</t>
        </r>
      </text>
    </comment>
    <comment ref="F10" authorId="0" shapeId="0" xr:uid="{BBE667CA-C8AD-41E0-8294-ABF3AFA5E60C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IPO fair value ex capital gain taxes</t>
        </r>
      </text>
    </comment>
    <comment ref="D13" authorId="0" shapeId="0" xr:uid="{218446C3-F8B5-4A78-8DB9-6A0D8FF2D7D6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Ex-1Q26 dividends</t>
        </r>
      </text>
    </comment>
    <comment ref="F13" authorId="0" shapeId="0" xr:uid="{8AD57F51-030C-4D99-A4E6-9245C82EE3ED}">
      <text>
        <r>
          <rPr>
            <b/>
            <sz val="8"/>
            <color indexed="81"/>
            <rFont val="Tahoma"/>
            <family val="2"/>
          </rPr>
          <t>Elvis Credendio:</t>
        </r>
        <r>
          <rPr>
            <sz val="8"/>
            <color indexed="81"/>
            <rFont val="Tahoma"/>
            <family val="2"/>
          </rPr>
          <t xml:space="preserve">
Ex-1Q26 dividends</t>
        </r>
      </text>
    </comment>
  </commentList>
</comments>
</file>

<file path=xl/sharedStrings.xml><?xml version="1.0" encoding="utf-8"?>
<sst xmlns="http://schemas.openxmlformats.org/spreadsheetml/2006/main" count="969" uniqueCount="543">
  <si>
    <t>Quarter</t>
  </si>
  <si>
    <t>1Q</t>
  </si>
  <si>
    <t>2Q</t>
  </si>
  <si>
    <t>3Q</t>
  </si>
  <si>
    <t>4Q</t>
  </si>
  <si>
    <t>Year</t>
  </si>
  <si>
    <t>E</t>
  </si>
  <si>
    <t>Macro variables</t>
  </si>
  <si>
    <t>IGP-M</t>
  </si>
  <si>
    <t>Net Revenues</t>
  </si>
  <si>
    <t>Operating Costs</t>
  </si>
  <si>
    <t>Other Operating Expenses</t>
  </si>
  <si>
    <t>Equity Income</t>
  </si>
  <si>
    <t>Payout (%)</t>
  </si>
  <si>
    <t>EBIT Margin</t>
  </si>
  <si>
    <t>EPS</t>
  </si>
  <si>
    <t>Adj. EPS</t>
  </si>
  <si>
    <t>DPS</t>
  </si>
  <si>
    <t>Capitalized Interest</t>
  </si>
  <si>
    <t>Total Interest Expense</t>
  </si>
  <si>
    <t>% of CDI</t>
  </si>
  <si>
    <t>Liabilities</t>
  </si>
  <si>
    <t>Check</t>
  </si>
  <si>
    <t>Net Debt/Equity (%)</t>
  </si>
  <si>
    <t>Net Debt/EBITDA (x)</t>
  </si>
  <si>
    <t>Completed units</t>
  </si>
  <si>
    <t>Properties for Sale</t>
  </si>
  <si>
    <t>Depreciation</t>
  </si>
  <si>
    <t>Capex</t>
  </si>
  <si>
    <t>Backlog</t>
  </si>
  <si>
    <t>Result in the period</t>
  </si>
  <si>
    <t>ROIC</t>
  </si>
  <si>
    <t>Goodwill</t>
  </si>
  <si>
    <t>Capitalized interest</t>
  </si>
  <si>
    <t>TBVPS</t>
  </si>
  <si>
    <t>FCFF</t>
  </si>
  <si>
    <t>FCFE</t>
  </si>
  <si>
    <t>Launches and sales</t>
  </si>
  <si>
    <t># of Units Sold</t>
  </si>
  <si>
    <t>Sales speed</t>
  </si>
  <si>
    <t xml:space="preserve">  Completed</t>
  </si>
  <si>
    <t>Revenue recognition</t>
  </si>
  <si>
    <t>Rate of recognition (%)</t>
  </si>
  <si>
    <t>Revenue from backlog</t>
  </si>
  <si>
    <t>Land Bank</t>
  </si>
  <si>
    <t>Deliveries</t>
  </si>
  <si>
    <t>P/E</t>
  </si>
  <si>
    <t>Target P/E</t>
  </si>
  <si>
    <t>Brazil - Homebuilders</t>
  </si>
  <si>
    <t>Daniel Gasparete</t>
  </si>
  <si>
    <t>Itaú BBA - Real Estate</t>
  </si>
  <si>
    <t>Mariangela Castro</t>
  </si>
  <si>
    <t>Elvis Credendio</t>
  </si>
  <si>
    <t>Extraordinary items</t>
  </si>
  <si>
    <t>Development revenues</t>
  </si>
  <si>
    <t>Gross revenues</t>
  </si>
  <si>
    <t>Service revenues</t>
  </si>
  <si>
    <t>Taxes and deductions</t>
  </si>
  <si>
    <t>Expenses</t>
  </si>
  <si>
    <t>Income Statement (R$000')</t>
  </si>
  <si>
    <t>Margins (%)</t>
  </si>
  <si>
    <t>Net sales (100%)</t>
  </si>
  <si>
    <t>Net sales (at stake)</t>
  </si>
  <si>
    <t>Launches (100%)</t>
  </si>
  <si>
    <t>Launches (at stake)</t>
  </si>
  <si>
    <t>Units launched</t>
  </si>
  <si>
    <t>Share (%)</t>
  </si>
  <si>
    <t>Price per unit launched (R$000'/unit)</t>
  </si>
  <si>
    <t>Price per unit sold (R$000'/unit)</t>
  </si>
  <si>
    <t>Inventory sales speed (%)</t>
  </si>
  <si>
    <t>Launches sales speed (%)</t>
  </si>
  <si>
    <t>Net inventory sales</t>
  </si>
  <si>
    <t>Units delivered</t>
  </si>
  <si>
    <t>% of gross revenues</t>
  </si>
  <si>
    <t>Development costs</t>
  </si>
  <si>
    <t>Capitalized interest expenses</t>
  </si>
  <si>
    <t>Service costs</t>
  </si>
  <si>
    <t>Gross profit</t>
  </si>
  <si>
    <t>Operating expenses</t>
  </si>
  <si>
    <t>Selling expenses</t>
  </si>
  <si>
    <t>G&amp;A expenses</t>
  </si>
  <si>
    <t>Net financial results</t>
  </si>
  <si>
    <t>Financial income</t>
  </si>
  <si>
    <t>Financial expenses</t>
  </si>
  <si>
    <t>D&amp;A</t>
  </si>
  <si>
    <t>Gross margin</t>
  </si>
  <si>
    <t>% of net revenues</t>
  </si>
  <si>
    <t>% of net sales</t>
  </si>
  <si>
    <t>as % of net revenues</t>
  </si>
  <si>
    <t>Operating income</t>
  </si>
  <si>
    <t>Income before income tax</t>
  </si>
  <si>
    <t>Income tax</t>
  </si>
  <si>
    <t>Deffered taxes</t>
  </si>
  <si>
    <t>Minority interest</t>
  </si>
  <si>
    <t>Declared dividends</t>
  </si>
  <si>
    <t>Net income</t>
  </si>
  <si>
    <t>Majority income</t>
  </si>
  <si>
    <t>Non-operating income (expenses)</t>
  </si>
  <si>
    <t>Tax rate (% of revenues)</t>
  </si>
  <si>
    <t>Cash tax rate (% of collection)</t>
  </si>
  <si>
    <t>Securitization-related liabilities</t>
  </si>
  <si>
    <t>Securitization financial expenses</t>
  </si>
  <si>
    <t>Securitization rate</t>
  </si>
  <si>
    <t>Financial expenses (ex-securitization)</t>
  </si>
  <si>
    <t>Financial expenses rate</t>
  </si>
  <si>
    <t>Equity issuance</t>
  </si>
  <si>
    <t>Share repurchase</t>
  </si>
  <si>
    <t>Dividends (R$000')</t>
  </si>
  <si>
    <t>Per share (R$)</t>
  </si>
  <si>
    <t>Shares outstanding (ex-treasury, 000')</t>
  </si>
  <si>
    <t>(=) Net revenues</t>
  </si>
  <si>
    <t>(-) COGS (ex-interest)</t>
  </si>
  <si>
    <t>(=) Adjusted gross profit</t>
  </si>
  <si>
    <t>(-) Operating expenses</t>
  </si>
  <si>
    <t>(=) EBIT</t>
  </si>
  <si>
    <t>(=) EBITDA</t>
  </si>
  <si>
    <t>(+) D&amp;A</t>
  </si>
  <si>
    <t>EBITDA margin</t>
  </si>
  <si>
    <t>(+/-) Other income (expenses)</t>
  </si>
  <si>
    <t>(=) EBT</t>
  </si>
  <si>
    <t>(-) Income taxes</t>
  </si>
  <si>
    <t>(-) Minority interest</t>
  </si>
  <si>
    <t>(+) Interest income</t>
  </si>
  <si>
    <t>(-) Interest expense</t>
  </si>
  <si>
    <t>Income statement summary</t>
  </si>
  <si>
    <t>(+) Loans from related parties</t>
  </si>
  <si>
    <t>(-) Cash</t>
  </si>
  <si>
    <t>(=) Net debt/(net cash position)</t>
  </si>
  <si>
    <t>(=) Net income (reported)</t>
  </si>
  <si>
    <t>(=) Net income (adjusted)</t>
  </si>
  <si>
    <t>(=) Gross debt</t>
  </si>
  <si>
    <t>(-) Dividend payments</t>
  </si>
  <si>
    <t>(-) Share buybacks</t>
  </si>
  <si>
    <r>
      <rPr>
        <b/>
        <sz val="8"/>
        <rFont val="Aptos Narrow"/>
        <family val="2"/>
      </rPr>
      <t>∆</t>
    </r>
    <r>
      <rPr>
        <b/>
        <sz val="8"/>
        <rFont val="Arial"/>
        <family val="2"/>
      </rPr>
      <t xml:space="preserve"> Adjusted net debt</t>
    </r>
  </si>
  <si>
    <t>(+/-) Other adjustments</t>
  </si>
  <si>
    <t>(=) Adj. net debt/(net cash position)</t>
  </si>
  <si>
    <t>Balance sheet (R$000')</t>
  </si>
  <si>
    <t>Shareholders' equity (including minorities)</t>
  </si>
  <si>
    <t>Adj. Net Debt/Equity (%)</t>
  </si>
  <si>
    <t>(-) Capex</t>
  </si>
  <si>
    <t>BoP Cash</t>
  </si>
  <si>
    <t>EoP Cash</t>
  </si>
  <si>
    <t>(=) Net income</t>
  </si>
  <si>
    <t>(+/-) ∆ Working capital</t>
  </si>
  <si>
    <t>(+) Increase in debt</t>
  </si>
  <si>
    <t>(+/-) Capital increase/dividends</t>
  </si>
  <si>
    <t>Cash flow from financing activities</t>
  </si>
  <si>
    <t>Cash flow from investment activities</t>
  </si>
  <si>
    <t>Cash flow from operations</t>
  </si>
  <si>
    <t>Cash flow</t>
  </si>
  <si>
    <t>Cash flow statement</t>
  </si>
  <si>
    <t>Avg. debt rate (%)</t>
  </si>
  <si>
    <t>Avg. cash rate (%)</t>
  </si>
  <si>
    <t>Financial results calculation (R$000')</t>
  </si>
  <si>
    <t>Development gross margin (ex-interest)</t>
  </si>
  <si>
    <t>Services gross margin (ex-interest)</t>
  </si>
  <si>
    <t>Adj. gross margin (ex-interest)</t>
  </si>
  <si>
    <t>% of landbank</t>
  </si>
  <si>
    <t>Units under construction</t>
  </si>
  <si>
    <t>Receivables from related parties</t>
  </si>
  <si>
    <t>Cash and equivalents</t>
  </si>
  <si>
    <t>Under-construction contracts</t>
  </si>
  <si>
    <t>Perfomed contracts</t>
  </si>
  <si>
    <t>Inventory (properties for sale)</t>
  </si>
  <si>
    <t>Landbank at cost</t>
  </si>
  <si>
    <t>Prepaid expenses</t>
  </si>
  <si>
    <t>Deferred Taxes and Contributions</t>
  </si>
  <si>
    <t>Recoverable taxes</t>
  </si>
  <si>
    <t>Other operating assets</t>
  </si>
  <si>
    <t xml:space="preserve"> Non-current assets</t>
  </si>
  <si>
    <t>Investments</t>
  </si>
  <si>
    <t>Property, plant and equipment</t>
  </si>
  <si>
    <t>Construction loans</t>
  </si>
  <si>
    <t>Loans and borrowings</t>
  </si>
  <si>
    <t>Debentures and other borrowings</t>
  </si>
  <si>
    <t>Suppliers</t>
  </si>
  <si>
    <t>Payroll liabilities</t>
  </si>
  <si>
    <t>Taxes payable</t>
  </si>
  <si>
    <t>Deferred tax liabilities</t>
  </si>
  <si>
    <t>Dividends payable</t>
  </si>
  <si>
    <t>Provisions</t>
  </si>
  <si>
    <t>Advances from clients</t>
  </si>
  <si>
    <t>Accounts receivables from clients</t>
  </si>
  <si>
    <t>Shareholders' equity</t>
  </si>
  <si>
    <t>Non-controlling interests</t>
  </si>
  <si>
    <t>Treasury shares</t>
  </si>
  <si>
    <t>Stock option plan</t>
  </si>
  <si>
    <t>Retained earnings</t>
  </si>
  <si>
    <t>Share capital</t>
  </si>
  <si>
    <t>Other payables</t>
  </si>
  <si>
    <t>Total liabilities and equity</t>
  </si>
  <si>
    <t>Total assets</t>
  </si>
  <si>
    <t>Current assets</t>
  </si>
  <si>
    <t>Client financing (direct sales)</t>
  </si>
  <si>
    <t>Avg. client financing rate (%)</t>
  </si>
  <si>
    <t>Client financing</t>
  </si>
  <si>
    <t>(+) Securitization-related liabilities</t>
  </si>
  <si>
    <t>Loans to related parties</t>
  </si>
  <si>
    <t>Working capital assumptions</t>
  </si>
  <si>
    <t>Securitization term (years)</t>
  </si>
  <si>
    <t>New securitization term (years)</t>
  </si>
  <si>
    <t>(-) Scheduled amortization</t>
  </si>
  <si>
    <t>(+) Securitization issuance</t>
  </si>
  <si>
    <t>(=) FCF generation (cash burn)</t>
  </si>
  <si>
    <t>(+/-) Increase (decrease) in debentures</t>
  </si>
  <si>
    <t>Debt and leverage</t>
  </si>
  <si>
    <t>Cash flow (indirect method)</t>
  </si>
  <si>
    <t>(+) Construction loans</t>
  </si>
  <si>
    <t>(+) Debentures and other borrowings</t>
  </si>
  <si>
    <t>% of receivables and inventories</t>
  </si>
  <si>
    <t>% of majority income</t>
  </si>
  <si>
    <t>Services gross margin (%)</t>
  </si>
  <si>
    <t>Development gross margin (%)</t>
  </si>
  <si>
    <t>Growth rate (%)</t>
  </si>
  <si>
    <t>Net revenue</t>
  </si>
  <si>
    <t>EBITDA</t>
  </si>
  <si>
    <t>Gross margin (bps)</t>
  </si>
  <si>
    <t>Adj. gross margin (bps)</t>
  </si>
  <si>
    <t>Net margin (bps)</t>
  </si>
  <si>
    <t>Adj. gross profit</t>
  </si>
  <si>
    <t>Invested capital</t>
  </si>
  <si>
    <t>Net margin</t>
  </si>
  <si>
    <t>Asset turnover</t>
  </si>
  <si>
    <t>Operating leverage</t>
  </si>
  <si>
    <t>ROE (adj. net income)</t>
  </si>
  <si>
    <t>Adj. net margin</t>
  </si>
  <si>
    <t>(=) DuPont ROE (adj. net income)</t>
  </si>
  <si>
    <t>Returns</t>
  </si>
  <si>
    <t>Tangible book value</t>
  </si>
  <si>
    <t>Other adjustments to book value</t>
  </si>
  <si>
    <t>Tanglible book value</t>
  </si>
  <si>
    <t>(+/-) Net financial results</t>
  </si>
  <si>
    <t>Accounts receivable</t>
  </si>
  <si>
    <t>LTM revenues</t>
  </si>
  <si>
    <t>Accounts receivable days</t>
  </si>
  <si>
    <t>Cash flow impact</t>
  </si>
  <si>
    <t>Performed receivables days</t>
  </si>
  <si>
    <t>Under-construction accounts receivable</t>
  </si>
  <si>
    <t>Perfomed accounts receivable</t>
  </si>
  <si>
    <t>Under-construction receivables days</t>
  </si>
  <si>
    <t>LTM COGS</t>
  </si>
  <si>
    <t>Inventory days</t>
  </si>
  <si>
    <t>Land at cost</t>
  </si>
  <si>
    <t>% of inventory under construction</t>
  </si>
  <si>
    <t>Units under construction at cost</t>
  </si>
  <si>
    <t>Completed units in inventory at cost</t>
  </si>
  <si>
    <t>% of inventory completed</t>
  </si>
  <si>
    <t>Land purchase obligations</t>
  </si>
  <si>
    <t>Real estate purchase obligations</t>
  </si>
  <si>
    <t>Land &amp; under construction inventory</t>
  </si>
  <si>
    <t>% of land &amp; under construction inventory</t>
  </si>
  <si>
    <t>Client advances</t>
  </si>
  <si>
    <t>LTM net sales</t>
  </si>
  <si>
    <t>% of LTM net sales</t>
  </si>
  <si>
    <t>Accounts payable days</t>
  </si>
  <si>
    <t>PP&amp;E</t>
  </si>
  <si>
    <t>Intangible assets</t>
  </si>
  <si>
    <t>Depreciation rate %</t>
  </si>
  <si>
    <t>Book value</t>
  </si>
  <si>
    <t>Goodwill amortization</t>
  </si>
  <si>
    <t>Interest capitalization</t>
  </si>
  <si>
    <t>Other adjustments to net profit</t>
  </si>
  <si>
    <t>Tangible earnings</t>
  </si>
  <si>
    <t>Adj. ROE</t>
  </si>
  <si>
    <t xml:space="preserve">  Projects not started</t>
  </si>
  <si>
    <t>Inventory at sales value</t>
  </si>
  <si>
    <t>Cancellations as % of receiavables</t>
  </si>
  <si>
    <t>% interest capitalization</t>
  </si>
  <si>
    <t>Yield</t>
  </si>
  <si>
    <t>Landbank at sales value</t>
  </si>
  <si>
    <t>Years of launches</t>
  </si>
  <si>
    <t>(+) Launch sales</t>
  </si>
  <si>
    <t>(+) Gross inventory sales</t>
  </si>
  <si>
    <t>(-) Sales cancellations</t>
  </si>
  <si>
    <t>(=) Net sales</t>
  </si>
  <si>
    <t>Sales-to-supply ratio</t>
  </si>
  <si>
    <t>Supply (launches + BoP inventory)</t>
  </si>
  <si>
    <t>Revenue backlog</t>
  </si>
  <si>
    <t>Net sales in the period</t>
  </si>
  <si>
    <t>Sales supply</t>
  </si>
  <si>
    <t>Rate of recognition (PoC %)</t>
  </si>
  <si>
    <t>Revenue from sales in the period</t>
  </si>
  <si>
    <t>Other revenues</t>
  </si>
  <si>
    <t>As % of development revenue</t>
  </si>
  <si>
    <t>Cost of equity (Ke)</t>
  </si>
  <si>
    <t>Current stock price</t>
  </si>
  <si>
    <t>Current quarter</t>
  </si>
  <si>
    <t>Real growth rate</t>
  </si>
  <si>
    <t>Nominal growth rate</t>
  </si>
  <si>
    <t>Tangible book value (R$/sh)</t>
  </si>
  <si>
    <t>Dividends (R$/sh)</t>
  </si>
  <si>
    <t>-</t>
  </si>
  <si>
    <t>Nominal terms</t>
  </si>
  <si>
    <t>(+) NTN-B 10y</t>
  </si>
  <si>
    <t>(+) Long-term inflation</t>
  </si>
  <si>
    <t>(=) Risk free rate</t>
  </si>
  <si>
    <t>(a) Equity risk premium</t>
  </si>
  <si>
    <t>(b) Beta</t>
  </si>
  <si>
    <t>(a) x (b) = Stock risk premium</t>
  </si>
  <si>
    <t>Stabilized return-on-equity</t>
  </si>
  <si>
    <t>Return-on-equity</t>
  </si>
  <si>
    <t>Book value per share (R$)</t>
  </si>
  <si>
    <t>Forecasted upside</t>
  </si>
  <si>
    <t>Shares outstanding (ex-treasury)</t>
  </si>
  <si>
    <t>Target quarter</t>
  </si>
  <si>
    <t>DPS 1Y fwd (R$/sh)</t>
  </si>
  <si>
    <t>Tangible book value (TBV)</t>
  </si>
  <si>
    <t>Target P/TBV</t>
  </si>
  <si>
    <t>Target P/TBV multiple</t>
  </si>
  <si>
    <t>Forecasted upside (1Y fwd)</t>
  </si>
  <si>
    <t>TP - Gordon Growth (P/TBV)</t>
  </si>
  <si>
    <t>Adj. EPS (R$/sh)</t>
  </si>
  <si>
    <t>Adj. EPS (1Y fwd, blended)</t>
  </si>
  <si>
    <t>Fair share price (R$/sh)</t>
  </si>
  <si>
    <t>Fair equity value</t>
  </si>
  <si>
    <t>Assets valued separately</t>
  </si>
  <si>
    <t>Target P/E 1Y fwd multiple</t>
  </si>
  <si>
    <t>DCF calculation</t>
  </si>
  <si>
    <t>Discount factor</t>
  </si>
  <si>
    <t>FCFE at present value</t>
  </si>
  <si>
    <t>Terminal value</t>
  </si>
  <si>
    <t xml:space="preserve">  Under construction</t>
  </si>
  <si>
    <t>Project deliveries at sales value</t>
  </si>
  <si>
    <t>FCFE (nominal terms)</t>
  </si>
  <si>
    <t>Target price (R$/sh)</t>
  </si>
  <si>
    <t>Discount rate &amp; target price</t>
  </si>
  <si>
    <t>Outperform</t>
  </si>
  <si>
    <t>Dividend yield (%)</t>
  </si>
  <si>
    <t>P/TBV</t>
  </si>
  <si>
    <t>Target dividend yield (%)</t>
  </si>
  <si>
    <t>Valuation multiples</t>
  </si>
  <si>
    <t>NPV of dividends + exit multiple</t>
  </si>
  <si>
    <t>Stock ticker</t>
  </si>
  <si>
    <t>CYRE3</t>
  </si>
  <si>
    <t>IBBA rating</t>
  </si>
  <si>
    <t>Actual / estimate</t>
  </si>
  <si>
    <t>Costs backlog</t>
  </si>
  <si>
    <t>Results backlog (to be recognized)</t>
  </si>
  <si>
    <t>Backlog margin (REF margin)</t>
  </si>
  <si>
    <t>Prevailing sales</t>
  </si>
  <si>
    <t>Prevaling costs</t>
  </si>
  <si>
    <t>Costs incurred in the period</t>
  </si>
  <si>
    <t>Prevailing result</t>
  </si>
  <si>
    <t>Prevailing REF margin</t>
  </si>
  <si>
    <t>REF margin added in the period</t>
  </si>
  <si>
    <t>IPCA q/q</t>
  </si>
  <si>
    <t>IPCA y/y</t>
  </si>
  <si>
    <t>GDP growth</t>
  </si>
  <si>
    <t>CDI rate</t>
  </si>
  <si>
    <t>IGP-M y/y</t>
  </si>
  <si>
    <t>(=) Gross revenues</t>
  </si>
  <si>
    <t>(-) Taxes and deductions</t>
  </si>
  <si>
    <t>(-) Development costs</t>
  </si>
  <si>
    <t>(-) Capitalized interest expenses</t>
  </si>
  <si>
    <t>(=) Gross profit</t>
  </si>
  <si>
    <t>(-) Selling expenses</t>
  </si>
  <si>
    <t>(-) G&amp;A expenses</t>
  </si>
  <si>
    <t>(-) D&amp;A</t>
  </si>
  <si>
    <t>(+/-) Equity income</t>
  </si>
  <si>
    <t>Cyrela - Income statement (R$000')</t>
  </si>
  <si>
    <t>Cyrela - launches and sales</t>
  </si>
  <si>
    <t>ROE</t>
  </si>
  <si>
    <t>Return-on-equity (%)</t>
  </si>
  <si>
    <t>Vivaz - launches and sales</t>
  </si>
  <si>
    <t>Vivaz - Income statement (R$000')</t>
  </si>
  <si>
    <t># of shares</t>
  </si>
  <si>
    <t>Ke</t>
  </si>
  <si>
    <t>g</t>
  </si>
  <si>
    <t>Cury</t>
  </si>
  <si>
    <t>Lavvi</t>
  </si>
  <si>
    <t>Cyrela</t>
  </si>
  <si>
    <t>SOTP</t>
  </si>
  <si>
    <t>Stake</t>
  </si>
  <si>
    <t>Earnings</t>
  </si>
  <si>
    <t>Dividends at present value (R$/sh)</t>
  </si>
  <si>
    <t>Adj. P/E (ex-dividends at PV)</t>
  </si>
  <si>
    <t>IRR calculation (2-year timeframe)</t>
  </si>
  <si>
    <t>Nominal-IRR (p.a.)</t>
  </si>
  <si>
    <t>Excess return over Ke (per year)</t>
  </si>
  <si>
    <t>Fair equity value (R$/sh)</t>
  </si>
  <si>
    <t>Gordon Growth (P/E) - 2-stages</t>
  </si>
  <si>
    <t>Fair equity value per share</t>
  </si>
  <si>
    <t/>
  </si>
  <si>
    <t>Living - Income statement (R$000')</t>
  </si>
  <si>
    <t>Living - launches/sales</t>
  </si>
  <si>
    <t>Cel.: +55 11 3073-3032</t>
  </si>
  <si>
    <t>Cel.: +55 11 3073-3906</t>
  </si>
  <si>
    <t>Cel.: +55 11 3073-3102</t>
  </si>
  <si>
    <t>Juliana Veiga</t>
  </si>
  <si>
    <t>Cel.: +55 11 3073-2025</t>
  </si>
  <si>
    <t xml:space="preserve">Book Value </t>
  </si>
  <si>
    <t>Plano&amp;Plano</t>
  </si>
  <si>
    <t xml:space="preserve">MAC </t>
  </si>
  <si>
    <t>Rio de Janeiro</t>
  </si>
  <si>
    <t>Stake (Direta)</t>
  </si>
  <si>
    <t>Rio Grande do Sul</t>
  </si>
  <si>
    <t>Units sold</t>
  </si>
  <si>
    <t>Sales supply (3Y trailing)</t>
  </si>
  <si>
    <t>Percentage of completion</t>
  </si>
  <si>
    <t>Equity income</t>
  </si>
  <si>
    <t>JV's equity income</t>
  </si>
  <si>
    <t>Other projects equity income</t>
  </si>
  <si>
    <t>Inventory as LTM sales</t>
  </si>
  <si>
    <t>Fair P/TBV</t>
  </si>
  <si>
    <t>P/BV</t>
  </si>
  <si>
    <t>(-) CURY</t>
  </si>
  <si>
    <t>(-) PLPL</t>
  </si>
  <si>
    <t>(-) LAVV</t>
  </si>
  <si>
    <t>2025E</t>
  </si>
  <si>
    <t>2026E</t>
  </si>
  <si>
    <t>2027E</t>
  </si>
  <si>
    <t>Net Sales (100%)</t>
  </si>
  <si>
    <t>Adj. gross margin</t>
  </si>
  <si>
    <t>Stock price</t>
  </si>
  <si>
    <t xml:space="preserve">CYRE's current stake </t>
  </si>
  <si>
    <t>Market cap</t>
  </si>
  <si>
    <t>Book value CYRE's stake</t>
  </si>
  <si>
    <t>Tangible book value CYRE's stake</t>
  </si>
  <si>
    <t>Adjusted net income 2026E</t>
  </si>
  <si>
    <t>P/E 2026E</t>
  </si>
  <si>
    <t>Average book value 2026E</t>
  </si>
  <si>
    <t>Average book value 2026E CYRE's stake</t>
  </si>
  <si>
    <t>ROE 2026E</t>
  </si>
  <si>
    <t>(-) Vivaz</t>
  </si>
  <si>
    <t>YoY (%)</t>
  </si>
  <si>
    <t>QoQ (%)</t>
  </si>
  <si>
    <t>n.a.</t>
  </si>
  <si>
    <t>4Q25</t>
  </si>
  <si>
    <t>Company ID</t>
  </si>
  <si>
    <t>Company Name</t>
  </si>
  <si>
    <t>Ticker</t>
  </si>
  <si>
    <t>Recommendation</t>
  </si>
  <si>
    <t>Target</t>
  </si>
  <si>
    <t>LastUpdate</t>
  </si>
  <si>
    <t>ADR</t>
  </si>
  <si>
    <t>ADR Target</t>
  </si>
  <si>
    <t>WACC</t>
  </si>
  <si>
    <t>PerpetuityGrowth</t>
  </si>
  <si>
    <t>Beta</t>
  </si>
  <si>
    <t>YearEnd</t>
  </si>
  <si>
    <t>Shares Out (thousands)</t>
  </si>
  <si>
    <t>OP</t>
  </si>
  <si>
    <t xml:space="preserve"> </t>
  </si>
  <si>
    <t>Period</t>
  </si>
  <si>
    <t>2021A</t>
  </si>
  <si>
    <t>2022A</t>
  </si>
  <si>
    <t>2023A</t>
  </si>
  <si>
    <t>2024A</t>
  </si>
  <si>
    <t>2028E</t>
  </si>
  <si>
    <t>2029E</t>
  </si>
  <si>
    <t>Net Revenues Adjusted</t>
  </si>
  <si>
    <t>EBITDA Adjusted</t>
  </si>
  <si>
    <t>EBIT</t>
  </si>
  <si>
    <t>EBIT Adjusted</t>
  </si>
  <si>
    <t>Net income Adjusted</t>
  </si>
  <si>
    <t>Effective tax rate (%)</t>
  </si>
  <si>
    <t>Dividends</t>
  </si>
  <si>
    <t>Net debt</t>
  </si>
  <si>
    <t>Shareholder's equity</t>
  </si>
  <si>
    <t>CAPEX</t>
  </si>
  <si>
    <t>Fixed assets</t>
  </si>
  <si>
    <t>Cash&amp;equivalents</t>
  </si>
  <si>
    <t>Current liabilities</t>
  </si>
  <si>
    <t>Short term debt</t>
  </si>
  <si>
    <t>1Yr FWD</t>
  </si>
  <si>
    <t>2030E</t>
  </si>
  <si>
    <t>2025Q1A</t>
  </si>
  <si>
    <t>2025Q2A</t>
  </si>
  <si>
    <t>2025Q3A</t>
  </si>
  <si>
    <t>2025Q4E</t>
  </si>
  <si>
    <t>2026Q1E</t>
  </si>
  <si>
    <t>2026Q2E</t>
  </si>
  <si>
    <t>2026Q3E</t>
  </si>
  <si>
    <t>2026Q4E</t>
  </si>
  <si>
    <t>(-) G&amp;A</t>
  </si>
  <si>
    <t>(+) Equity Income</t>
  </si>
  <si>
    <t>Model Update</t>
  </si>
  <si>
    <t>New</t>
  </si>
  <si>
    <t>Old</t>
  </si>
  <si>
    <t>Δ (%)</t>
  </si>
  <si>
    <t>Net Sales (at stake)</t>
  </si>
  <si>
    <t>Adj. P/E (ex-dividends)</t>
  </si>
  <si>
    <t>Current Price</t>
  </si>
  <si>
    <t xml:space="preserve">Dividend at present value </t>
  </si>
  <si>
    <t>BVPS</t>
  </si>
  <si>
    <t>CYRE</t>
  </si>
  <si>
    <t>A/E (%)</t>
  </si>
  <si>
    <t xml:space="preserve"> Outras Receitas Operacionais </t>
  </si>
  <si>
    <t xml:space="preserve"> Outros Ganhos em Investimentos </t>
  </si>
  <si>
    <t xml:space="preserve"> Outras Despesas Operacionais </t>
  </si>
  <si>
    <t xml:space="preserve"> Outras Perdas em Investimentos </t>
  </si>
  <si>
    <t>1Q26E</t>
  </si>
  <si>
    <t>1Q25A</t>
  </si>
  <si>
    <t>1Q26A</t>
  </si>
  <si>
    <t>As of 1Q26</t>
  </si>
  <si>
    <t>(-) Corporate Tower</t>
  </si>
  <si>
    <t>GLA</t>
  </si>
  <si>
    <t>GLA to be sold</t>
  </si>
  <si>
    <t>Rent per sqm</t>
  </si>
  <si>
    <t>Rent</t>
  </si>
  <si>
    <t>NOI mg</t>
  </si>
  <si>
    <t>NOI</t>
  </si>
  <si>
    <t>Exit cap rate</t>
  </si>
  <si>
    <t>% Nubank</t>
  </si>
  <si>
    <t>Value ex-taxes</t>
  </si>
  <si>
    <t>(=) CYRE Consolidated</t>
  </si>
  <si>
    <t>(=) CYRE Standalone</t>
  </si>
  <si>
    <t>Market cap / fair value at CYRE' stake</t>
  </si>
  <si>
    <t>Adj. net income 2026E CYRE's stake</t>
  </si>
  <si>
    <t>Fair value</t>
  </si>
  <si>
    <t>2Q26</t>
  </si>
  <si>
    <t>Corporate Tower TRX Valuation</t>
  </si>
  <si>
    <t>Sale of portfolio of properties to TRXF11</t>
  </si>
  <si>
    <t>Sale value (100%)</t>
  </si>
  <si>
    <t>Sale value at CYRE stake</t>
  </si>
  <si>
    <t>Collection in cash</t>
  </si>
  <si>
    <t>Collection in TRXF11 units</t>
  </si>
  <si>
    <t>Total cost</t>
  </si>
  <si>
    <t>Transaction capital gains</t>
  </si>
  <si>
    <t>Capital gain taxes</t>
  </si>
  <si>
    <t>Capital gains nof taxes</t>
  </si>
  <si>
    <t>CYRE valuation</t>
  </si>
  <si>
    <t>P/TBV pre-deal</t>
  </si>
  <si>
    <t>CYRE Mkt-Cap</t>
  </si>
  <si>
    <t>Net Debt</t>
  </si>
  <si>
    <t>Book Value YE26</t>
  </si>
  <si>
    <t>ND/Equity</t>
  </si>
  <si>
    <t>P/TBV YE26</t>
  </si>
  <si>
    <t>P/TBV post-deal</t>
  </si>
  <si>
    <t>Mkt Cap</t>
  </si>
  <si>
    <t>Book Value</t>
  </si>
  <si>
    <t>P/TBV post-deal and extra dividends</t>
  </si>
  <si>
    <t>Dividends = properties sale value</t>
  </si>
  <si>
    <t>Mkt Cap ex-dividends</t>
  </si>
  <si>
    <t>Upside</t>
  </si>
  <si>
    <t>Extra Div Yield</t>
  </si>
  <si>
    <t>TRXF11 units discount</t>
  </si>
  <si>
    <t>% Cash collection</t>
  </si>
  <si>
    <t>% Units received</t>
  </si>
  <si>
    <t>Terra Encantada</t>
  </si>
  <si>
    <t xml:space="preserve">Custo orçado a incorrer que subiu 3bn... </t>
  </si>
  <si>
    <t>Outros do breakdown de business. Mais lucro bruto de receita</t>
  </si>
  <si>
    <t>CashMe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</si>
</sst>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%"/>
    <numFmt numFmtId="168" formatCode="_(* #,##0_);_(* \(#,##0\);_(* &quot;-&quot;??_);_(@_)"/>
    <numFmt numFmtId="169" formatCode="_(* #,##0.0000_);_(* \(#,##0.0000\);_(* &quot;-&quot;??_);_(@_)"/>
    <numFmt numFmtId="170" formatCode="_(* #,##0.0_);_(* \(#,##0.0\);_(* &quot;-&quot;??_);_(@_)"/>
    <numFmt numFmtId="171" formatCode="#,##0.0"/>
    <numFmt numFmtId="172" formatCode="0.0\x"/>
    <numFmt numFmtId="173" formatCode="0.0_);\(0.0\)"/>
    <numFmt numFmtId="174" formatCode="_(* #,##0.00_);_(* \(#,##0.00\);_(* &quot;-&quot;_);_(@_)"/>
    <numFmt numFmtId="175" formatCode="0.00\x"/>
    <numFmt numFmtId="176" formatCode="#,##0.00\x"/>
    <numFmt numFmtId="177" formatCode="_(&quot;R$ &quot;* #,##0.00_);_(&quot;R$ &quot;* \(#,##0.00\);_(&quot;R$ &quot;* &quot;-&quot;??_);_(@_)"/>
    <numFmt numFmtId="178" formatCode="&quot;R$&quot;\ #,##0.0;[Red]\-&quot;R$&quot;\ #,##0.0"/>
    <numFmt numFmtId="179" formatCode="0&quot;bps&quot;"/>
    <numFmt numFmtId="180" formatCode="_(* #,##0.0%_);_(* \(#,##0.0%\);_(* &quot;-&quot;??_);_(@_)"/>
    <numFmt numFmtId="181" formatCode="\R&quot;$&quot;\ 0.00"/>
    <numFmt numFmtId="182" formatCode="_(* #,##0.0_);_(* \(#,##0.0\);_(* &quot;-&quot;_);_(@_)"/>
    <numFmt numFmtId="183" formatCode="#,##0.0\x"/>
    <numFmt numFmtId="184" formatCode="#,##0.0000"/>
    <numFmt numFmtId="185" formatCode="_-* #,##0_-;\-* #,##0_-;_-* &quot;-&quot;??_-;_-@_-"/>
    <numFmt numFmtId="186" formatCode="0.0&quot;bps&quot;"/>
    <numFmt numFmtId="187" formatCode="0.0&quot;p.p.&quot;"/>
    <numFmt numFmtId="188" formatCode="0.0&quot;x&quot;"/>
    <numFmt numFmtId="189" formatCode="0.00&quot;x&quot;"/>
  </numFmts>
  <fonts count="5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4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i/>
      <sz val="8"/>
      <color indexed="10"/>
      <name val="Arial"/>
      <family val="2"/>
    </font>
    <font>
      <i/>
      <sz val="8"/>
      <name val="Arial"/>
      <family val="2"/>
    </font>
    <font>
      <sz val="8"/>
      <color rgb="FF384E42"/>
      <name val="Arial"/>
      <family val="2"/>
    </font>
    <font>
      <b/>
      <sz val="8"/>
      <color rgb="FF384E42"/>
      <name val="Arial"/>
      <family val="2"/>
    </font>
    <font>
      <b/>
      <sz val="8"/>
      <color theme="2" tint="-0.89999084444715716"/>
      <name val="Arial"/>
      <family val="2"/>
    </font>
    <font>
      <b/>
      <sz val="11"/>
      <color theme="2" tint="-0.89999084444715716"/>
      <name val="Arial"/>
      <family val="2"/>
    </font>
    <font>
      <b/>
      <sz val="12"/>
      <color theme="2" tint="-0.89999084444715716"/>
      <name val="Arial"/>
      <family val="2"/>
    </font>
    <font>
      <sz val="8"/>
      <color rgb="FFFF0000"/>
      <name val="Arial"/>
      <family val="2"/>
    </font>
    <font>
      <b/>
      <sz val="8"/>
      <name val="Aptos Narrow"/>
      <family val="2"/>
    </font>
    <font>
      <i/>
      <sz val="8"/>
      <color rgb="FFFF0000"/>
      <name val="Arial"/>
      <family val="2"/>
    </font>
    <font>
      <b/>
      <i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9"/>
      <color indexed="81"/>
      <name val="Tahoma"/>
      <family val="2"/>
    </font>
    <font>
      <sz val="8"/>
      <color rgb="FF0070C0"/>
      <name val="Arial"/>
      <family val="2"/>
    </font>
    <font>
      <b/>
      <sz val="8"/>
      <color rgb="FF0070C0"/>
      <name val="Arial"/>
      <family val="2"/>
    </font>
    <font>
      <i/>
      <sz val="8"/>
      <color rgb="FF008000"/>
      <name val="Arial"/>
      <family val="2"/>
    </font>
    <font>
      <sz val="8"/>
      <color rgb="FF008000"/>
      <name val="Arial"/>
      <family val="2"/>
    </font>
    <font>
      <i/>
      <sz val="8"/>
      <color rgb="FF0070C0"/>
      <name val="Arial"/>
      <family val="2"/>
    </font>
    <font>
      <b/>
      <sz val="8"/>
      <color rgb="FF008000"/>
      <name val="Arial"/>
      <family val="2"/>
    </font>
    <font>
      <i/>
      <sz val="8"/>
      <color rgb="FF7030A0"/>
      <name val="Arial"/>
      <family val="2"/>
    </font>
    <font>
      <sz val="8"/>
      <color rgb="FF7030A0"/>
      <name val="Arial"/>
      <family val="2"/>
    </font>
    <font>
      <b/>
      <sz val="8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2"/>
      <name val="Arial"/>
      <family val="2"/>
    </font>
    <font>
      <sz val="11"/>
      <color theme="2"/>
      <name val="Aptos Narrow"/>
      <family val="2"/>
      <scheme val="minor"/>
    </font>
    <font>
      <b/>
      <u/>
      <sz val="10"/>
      <name val="Arial"/>
      <family val="2"/>
    </font>
    <font>
      <u/>
      <sz val="11"/>
      <color theme="1"/>
      <name val="Aptos Narrow"/>
      <family val="2"/>
      <scheme val="minor"/>
    </font>
    <font>
      <b/>
      <u/>
      <sz val="8"/>
      <name val="Arial"/>
      <family val="2"/>
    </font>
    <font>
      <b/>
      <u/>
      <sz val="8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E7EDEA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dotted">
        <color indexed="64"/>
      </right>
      <top style="double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7" fillId="0" borderId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843">
    <xf numFmtId="0" fontId="0" fillId="0" borderId="0" xfId="0"/>
    <xf numFmtId="0" fontId="6" fillId="0" borderId="0" xfId="8" applyFont="1" applyAlignment="1">
      <alignment vertical="center"/>
    </xf>
    <xf numFmtId="0" fontId="8" fillId="0" borderId="0" xfId="9" applyFont="1"/>
    <xf numFmtId="0" fontId="9" fillId="0" borderId="0" xfId="9" applyFont="1"/>
    <xf numFmtId="178" fontId="10" fillId="0" borderId="0" xfId="8" applyNumberFormat="1" applyFont="1" applyAlignment="1">
      <alignment horizontal="left"/>
    </xf>
    <xf numFmtId="0" fontId="6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4" fontId="12" fillId="0" borderId="0" xfId="0" applyNumberFormat="1" applyFont="1" applyAlignment="1">
      <alignment vertical="center"/>
    </xf>
    <xf numFmtId="9" fontId="12" fillId="0" borderId="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167" fontId="12" fillId="0" borderId="0" xfId="4" applyNumberFormat="1" applyFont="1" applyFill="1" applyBorder="1" applyAlignment="1">
      <alignment vertical="center"/>
    </xf>
    <xf numFmtId="167" fontId="12" fillId="0" borderId="2" xfId="4" applyNumberFormat="1" applyFont="1" applyFill="1" applyBorder="1" applyAlignment="1">
      <alignment vertical="center"/>
    </xf>
    <xf numFmtId="167" fontId="12" fillId="0" borderId="0" xfId="4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8" fontId="16" fillId="0" borderId="0" xfId="1" applyNumberFormat="1" applyFont="1" applyFill="1" applyAlignment="1">
      <alignment horizontal="right" vertical="center"/>
    </xf>
    <xf numFmtId="168" fontId="16" fillId="0" borderId="2" xfId="1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168" fontId="17" fillId="0" borderId="2" xfId="1" applyNumberFormat="1" applyFont="1" applyFill="1" applyBorder="1" applyAlignment="1">
      <alignment horizontal="right" vertical="center"/>
    </xf>
    <xf numFmtId="167" fontId="12" fillId="0" borderId="0" xfId="4" applyNumberFormat="1" applyFont="1" applyFill="1" applyAlignment="1">
      <alignment horizontal="right" vertical="center"/>
    </xf>
    <xf numFmtId="167" fontId="12" fillId="0" borderId="2" xfId="4" applyNumberFormat="1" applyFont="1" applyFill="1" applyBorder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7" fontId="20" fillId="0" borderId="0" xfId="4" applyNumberFormat="1" applyFont="1" applyFill="1" applyAlignment="1">
      <alignment horizontal="right" vertical="center"/>
    </xf>
    <xf numFmtId="167" fontId="20" fillId="0" borderId="2" xfId="4" applyNumberFormat="1" applyFont="1" applyFill="1" applyBorder="1" applyAlignment="1">
      <alignment horizontal="right" vertical="center"/>
    </xf>
    <xf numFmtId="9" fontId="19" fillId="0" borderId="0" xfId="4" applyFont="1" applyFill="1" applyAlignment="1">
      <alignment vertical="center"/>
    </xf>
    <xf numFmtId="9" fontId="19" fillId="0" borderId="0" xfId="4" applyFont="1" applyFill="1" applyBorder="1" applyAlignment="1">
      <alignment vertical="center"/>
    </xf>
    <xf numFmtId="168" fontId="17" fillId="0" borderId="0" xfId="1" applyNumberFormat="1" applyFont="1" applyFill="1" applyAlignment="1">
      <alignment horizontal="right" vertical="center"/>
    </xf>
    <xf numFmtId="168" fontId="12" fillId="0" borderId="2" xfId="1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3" fillId="0" borderId="5" xfId="0" applyFont="1" applyBorder="1" applyAlignment="1">
      <alignment horizontal="left" vertical="center"/>
    </xf>
    <xf numFmtId="9" fontId="12" fillId="0" borderId="0" xfId="4" applyFont="1" applyFill="1" applyAlignment="1">
      <alignment vertical="center"/>
    </xf>
    <xf numFmtId="166" fontId="12" fillId="0" borderId="0" xfId="1" applyFont="1" applyFill="1" applyAlignment="1">
      <alignment vertical="center"/>
    </xf>
    <xf numFmtId="0" fontId="14" fillId="3" borderId="3" xfId="0" applyFont="1" applyFill="1" applyBorder="1" applyAlignment="1">
      <alignment horizontal="left" vertical="center"/>
    </xf>
    <xf numFmtId="166" fontId="14" fillId="3" borderId="3" xfId="1" applyFont="1" applyFill="1" applyBorder="1" applyAlignment="1">
      <alignment horizontal="right" vertical="center"/>
    </xf>
    <xf numFmtId="166" fontId="14" fillId="3" borderId="4" xfId="1" applyFont="1" applyFill="1" applyBorder="1" applyAlignment="1">
      <alignment horizontal="right" vertical="center"/>
    </xf>
    <xf numFmtId="168" fontId="13" fillId="0" borderId="0" xfId="1" applyNumberFormat="1" applyFont="1" applyFill="1" applyAlignment="1">
      <alignment horizontal="right" vertical="center"/>
    </xf>
    <xf numFmtId="168" fontId="13" fillId="0" borderId="2" xfId="1" applyNumberFormat="1" applyFont="1" applyFill="1" applyBorder="1" applyAlignment="1">
      <alignment horizontal="right" vertical="center"/>
    </xf>
    <xf numFmtId="167" fontId="12" fillId="0" borderId="6" xfId="4" applyNumberFormat="1" applyFont="1" applyFill="1" applyBorder="1" applyAlignment="1">
      <alignment vertical="center"/>
    </xf>
    <xf numFmtId="169" fontId="16" fillId="0" borderId="0" xfId="1" applyNumberFormat="1" applyFont="1" applyFill="1" applyAlignment="1">
      <alignment horizontal="right" vertical="center"/>
    </xf>
    <xf numFmtId="169" fontId="16" fillId="0" borderId="2" xfId="1" applyNumberFormat="1" applyFont="1" applyFill="1" applyBorder="1" applyAlignment="1">
      <alignment horizontal="right" vertical="center"/>
    </xf>
    <xf numFmtId="1" fontId="14" fillId="3" borderId="4" xfId="0" applyNumberFormat="1" applyFont="1" applyFill="1" applyBorder="1" applyAlignment="1">
      <alignment horizontal="right" vertical="center"/>
    </xf>
    <xf numFmtId="166" fontId="14" fillId="3" borderId="3" xfId="0" applyNumberFormat="1" applyFont="1" applyFill="1" applyBorder="1" applyAlignment="1">
      <alignment horizontal="right" vertical="center"/>
    </xf>
    <xf numFmtId="1" fontId="14" fillId="3" borderId="3" xfId="0" applyNumberFormat="1" applyFont="1" applyFill="1" applyBorder="1" applyAlignment="1">
      <alignment horizontal="right" vertical="center"/>
    </xf>
    <xf numFmtId="167" fontId="12" fillId="0" borderId="0" xfId="4" applyNumberFormat="1" applyFont="1" applyFill="1" applyBorder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8" fontId="13" fillId="0" borderId="5" xfId="0" applyNumberFormat="1" applyFont="1" applyBorder="1" applyAlignment="1">
      <alignment horizontal="right" vertical="center"/>
    </xf>
    <xf numFmtId="168" fontId="13" fillId="0" borderId="6" xfId="0" applyNumberFormat="1" applyFont="1" applyBorder="1" applyAlignment="1">
      <alignment horizontal="right" vertical="center"/>
    </xf>
    <xf numFmtId="9" fontId="12" fillId="0" borderId="0" xfId="4" applyFont="1" applyFill="1" applyAlignment="1">
      <alignment horizontal="right" vertical="center"/>
    </xf>
    <xf numFmtId="9" fontId="12" fillId="0" borderId="0" xfId="4" applyFont="1" applyFill="1" applyBorder="1" applyAlignment="1">
      <alignment horizontal="right" vertical="center"/>
    </xf>
    <xf numFmtId="9" fontId="12" fillId="0" borderId="2" xfId="4" applyFont="1" applyFill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168" fontId="13" fillId="0" borderId="2" xfId="0" applyNumberFormat="1" applyFont="1" applyBorder="1" applyAlignment="1">
      <alignment horizontal="right" vertical="center"/>
    </xf>
    <xf numFmtId="168" fontId="12" fillId="0" borderId="2" xfId="0" applyNumberFormat="1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167" fontId="13" fillId="0" borderId="2" xfId="4" applyNumberFormat="1" applyFont="1" applyFill="1" applyBorder="1" applyAlignment="1">
      <alignment horizontal="right" vertical="center"/>
    </xf>
    <xf numFmtId="167" fontId="13" fillId="0" borderId="0" xfId="4" applyNumberFormat="1" applyFont="1" applyFill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8" fontId="12" fillId="0" borderId="0" xfId="0" applyNumberFormat="1" applyFont="1" applyAlignment="1">
      <alignment vertical="center"/>
    </xf>
    <xf numFmtId="166" fontId="12" fillId="0" borderId="0" xfId="1" applyFont="1" applyAlignment="1">
      <alignment vertical="center"/>
    </xf>
    <xf numFmtId="168" fontId="12" fillId="0" borderId="0" xfId="1" applyNumberFormat="1" applyFont="1" applyFill="1" applyBorder="1" applyAlignment="1">
      <alignment vertical="center"/>
    </xf>
    <xf numFmtId="168" fontId="20" fillId="0" borderId="0" xfId="1" applyNumberFormat="1" applyFont="1" applyFill="1" applyBorder="1" applyAlignment="1">
      <alignment horizontal="right" vertical="center"/>
    </xf>
    <xf numFmtId="0" fontId="13" fillId="0" borderId="7" xfId="0" applyFont="1" applyBorder="1" applyAlignment="1">
      <alignment horizontal="left" vertical="center"/>
    </xf>
    <xf numFmtId="168" fontId="12" fillId="0" borderId="0" xfId="1" applyNumberFormat="1" applyFont="1" applyFill="1" applyBorder="1" applyAlignment="1">
      <alignment horizontal="right" vertical="center"/>
    </xf>
    <xf numFmtId="168" fontId="20" fillId="0" borderId="2" xfId="1" applyNumberFormat="1" applyFont="1" applyFill="1" applyBorder="1" applyAlignment="1">
      <alignment horizontal="right" vertical="center"/>
    </xf>
    <xf numFmtId="0" fontId="12" fillId="0" borderId="5" xfId="0" applyFont="1" applyBorder="1" applyAlignment="1">
      <alignment horizontal="left" vertical="center"/>
    </xf>
    <xf numFmtId="168" fontId="12" fillId="0" borderId="6" xfId="1" applyNumberFormat="1" applyFont="1" applyFill="1" applyBorder="1" applyAlignment="1">
      <alignment horizontal="right" vertical="center"/>
    </xf>
    <xf numFmtId="168" fontId="12" fillId="0" borderId="0" xfId="1" applyNumberFormat="1" applyFont="1" applyFill="1" applyBorder="1" applyAlignment="1">
      <alignment horizontal="right" vertical="center" wrapText="1"/>
    </xf>
    <xf numFmtId="164" fontId="12" fillId="0" borderId="0" xfId="0" applyNumberFormat="1" applyFont="1" applyAlignment="1">
      <alignment vertical="center"/>
    </xf>
    <xf numFmtId="9" fontId="12" fillId="0" borderId="0" xfId="0" applyNumberFormat="1" applyFont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167" fontId="12" fillId="0" borderId="2" xfId="4" applyNumberFormat="1" applyFont="1" applyBorder="1" applyAlignment="1">
      <alignment vertical="center"/>
    </xf>
    <xf numFmtId="166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70" fontId="12" fillId="0" borderId="2" xfId="0" applyNumberFormat="1" applyFont="1" applyBorder="1" applyAlignment="1">
      <alignment horizontal="right" vertical="center"/>
    </xf>
    <xf numFmtId="9" fontId="12" fillId="0" borderId="2" xfId="4" applyFont="1" applyBorder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68" fontId="13" fillId="0" borderId="5" xfId="1" applyNumberFormat="1" applyFont="1" applyFill="1" applyBorder="1" applyAlignment="1">
      <alignment horizontal="right" vertical="center"/>
    </xf>
    <xf numFmtId="168" fontId="13" fillId="0" borderId="6" xfId="1" applyNumberFormat="1" applyFont="1" applyFill="1" applyBorder="1" applyAlignment="1">
      <alignment horizontal="right" vertical="center"/>
    </xf>
    <xf numFmtId="168" fontId="13" fillId="0" borderId="7" xfId="1" applyNumberFormat="1" applyFont="1" applyFill="1" applyBorder="1" applyAlignment="1">
      <alignment horizontal="right" vertical="center"/>
    </xf>
    <xf numFmtId="168" fontId="13" fillId="0" borderId="8" xfId="1" applyNumberFormat="1" applyFont="1" applyFill="1" applyBorder="1" applyAlignment="1">
      <alignment horizontal="right" vertical="center"/>
    </xf>
    <xf numFmtId="168" fontId="12" fillId="0" borderId="0" xfId="1" applyNumberFormat="1" applyFont="1" applyFill="1" applyAlignment="1">
      <alignment horizontal="right" vertical="center"/>
    </xf>
    <xf numFmtId="0" fontId="20" fillId="0" borderId="0" xfId="0" applyFont="1" applyAlignment="1">
      <alignment horizontal="right" vertical="center"/>
    </xf>
    <xf numFmtId="168" fontId="20" fillId="0" borderId="0" xfId="1" applyNumberFormat="1" applyFont="1" applyFill="1" applyAlignment="1">
      <alignment horizontal="right" vertical="center"/>
    </xf>
    <xf numFmtId="168" fontId="12" fillId="0" borderId="5" xfId="1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164" fontId="13" fillId="0" borderId="0" xfId="2" applyFont="1" applyFill="1" applyAlignment="1">
      <alignment horizontal="right" vertical="center"/>
    </xf>
    <xf numFmtId="164" fontId="13" fillId="0" borderId="2" xfId="2" applyFont="1" applyFill="1" applyBorder="1" applyAlignment="1">
      <alignment horizontal="right" vertical="center"/>
    </xf>
    <xf numFmtId="164" fontId="12" fillId="0" borderId="0" xfId="2" applyFont="1" applyFill="1" applyAlignment="1">
      <alignment horizontal="right" vertical="center"/>
    </xf>
    <xf numFmtId="164" fontId="12" fillId="0" borderId="2" xfId="2" applyFont="1" applyFill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4" fontId="13" fillId="0" borderId="2" xfId="0" applyNumberFormat="1" applyFont="1" applyBorder="1" applyAlignment="1">
      <alignment horizontal="right" vertical="center"/>
    </xf>
    <xf numFmtId="167" fontId="13" fillId="0" borderId="5" xfId="4" applyNumberFormat="1" applyFont="1" applyFill="1" applyBorder="1" applyAlignment="1">
      <alignment horizontal="right" vertical="center"/>
    </xf>
    <xf numFmtId="167" fontId="13" fillId="0" borderId="6" xfId="4" applyNumberFormat="1" applyFont="1" applyFill="1" applyBorder="1" applyAlignment="1">
      <alignment horizontal="right" vertical="center"/>
    </xf>
    <xf numFmtId="168" fontId="12" fillId="0" borderId="5" xfId="0" applyNumberFormat="1" applyFont="1" applyBorder="1" applyAlignment="1">
      <alignment horizontal="right" vertical="center"/>
    </xf>
    <xf numFmtId="167" fontId="12" fillId="0" borderId="5" xfId="4" applyNumberFormat="1" applyFont="1" applyFill="1" applyBorder="1" applyAlignment="1">
      <alignment horizontal="right" vertical="center"/>
    </xf>
    <xf numFmtId="167" fontId="12" fillId="0" borderId="6" xfId="4" applyNumberFormat="1" applyFont="1" applyFill="1" applyBorder="1" applyAlignment="1">
      <alignment horizontal="right" vertical="center"/>
    </xf>
    <xf numFmtId="167" fontId="12" fillId="0" borderId="2" xfId="4" applyNumberFormat="1" applyFont="1" applyBorder="1" applyAlignment="1">
      <alignment horizontal="right" vertical="center"/>
    </xf>
    <xf numFmtId="168" fontId="12" fillId="0" borderId="6" xfId="0" applyNumberFormat="1" applyFont="1" applyBorder="1" applyAlignment="1">
      <alignment horizontal="right" vertical="center"/>
    </xf>
    <xf numFmtId="0" fontId="25" fillId="0" borderId="0" xfId="8" applyFont="1" applyAlignment="1">
      <alignment horizontal="left"/>
    </xf>
    <xf numFmtId="0" fontId="24" fillId="0" borderId="9" xfId="10" applyFont="1" applyBorder="1" applyAlignment="1">
      <alignment vertical="center"/>
    </xf>
    <xf numFmtId="0" fontId="6" fillId="0" borderId="9" xfId="8" applyFont="1" applyBorder="1" applyAlignment="1">
      <alignment vertical="center"/>
    </xf>
    <xf numFmtId="169" fontId="16" fillId="0" borderId="5" xfId="1" applyNumberFormat="1" applyFont="1" applyFill="1" applyBorder="1" applyAlignment="1">
      <alignment horizontal="right" vertical="center"/>
    </xf>
    <xf numFmtId="169" fontId="16" fillId="0" borderId="6" xfId="1" applyNumberFormat="1" applyFont="1" applyFill="1" applyBorder="1" applyAlignment="1">
      <alignment horizontal="right" vertical="center"/>
    </xf>
    <xf numFmtId="167" fontId="12" fillId="0" borderId="0" xfId="4" applyNumberFormat="1" applyFont="1" applyBorder="1" applyAlignment="1">
      <alignment horizontal="right" vertical="center"/>
    </xf>
    <xf numFmtId="167" fontId="12" fillId="0" borderId="0" xfId="4" applyNumberFormat="1" applyFont="1" applyAlignment="1">
      <alignment vertical="center"/>
    </xf>
    <xf numFmtId="9" fontId="12" fillId="0" borderId="0" xfId="4" applyFont="1" applyAlignment="1">
      <alignment vertical="center"/>
    </xf>
    <xf numFmtId="168" fontId="12" fillId="0" borderId="0" xfId="1" applyNumberFormat="1" applyFont="1" applyAlignment="1">
      <alignment vertical="center"/>
    </xf>
    <xf numFmtId="9" fontId="12" fillId="0" borderId="0" xfId="1" applyNumberFormat="1" applyFont="1" applyAlignment="1">
      <alignment vertical="center"/>
    </xf>
    <xf numFmtId="9" fontId="12" fillId="0" borderId="0" xfId="1" applyNumberFormat="1" applyFont="1" applyFill="1" applyBorder="1" applyAlignment="1">
      <alignment vertical="center"/>
    </xf>
    <xf numFmtId="167" fontId="12" fillId="0" borderId="5" xfId="0" applyNumberFormat="1" applyFont="1" applyBorder="1" applyAlignment="1">
      <alignment vertical="center"/>
    </xf>
    <xf numFmtId="168" fontId="13" fillId="0" borderId="0" xfId="1" applyNumberFormat="1" applyFont="1" applyFill="1" applyBorder="1" applyAlignment="1">
      <alignment horizontal="right" vertical="center"/>
    </xf>
    <xf numFmtId="168" fontId="13" fillId="0" borderId="5" xfId="1" applyNumberFormat="1" applyFont="1" applyBorder="1" applyAlignment="1">
      <alignment horizontal="right" vertical="center"/>
    </xf>
    <xf numFmtId="168" fontId="13" fillId="0" borderId="6" xfId="1" applyNumberFormat="1" applyFont="1" applyBorder="1" applyAlignment="1">
      <alignment horizontal="right" vertical="center"/>
    </xf>
    <xf numFmtId="168" fontId="12" fillId="0" borderId="0" xfId="1" applyNumberFormat="1" applyFont="1" applyBorder="1" applyAlignment="1">
      <alignment horizontal="right" vertical="center"/>
    </xf>
    <xf numFmtId="0" fontId="14" fillId="3" borderId="10" xfId="0" applyFont="1" applyFill="1" applyBorder="1" applyAlignment="1">
      <alignment horizontal="left" vertical="center"/>
    </xf>
    <xf numFmtId="166" fontId="14" fillId="3" borderId="10" xfId="1" applyFont="1" applyFill="1" applyBorder="1" applyAlignment="1">
      <alignment horizontal="right" vertical="center"/>
    </xf>
    <xf numFmtId="166" fontId="14" fillId="3" borderId="11" xfId="1" applyFont="1" applyFill="1" applyBorder="1" applyAlignment="1">
      <alignment horizontal="right" vertical="center"/>
    </xf>
    <xf numFmtId="0" fontId="12" fillId="5" borderId="0" xfId="0" applyFont="1" applyFill="1" applyAlignment="1">
      <alignment vertical="center"/>
    </xf>
    <xf numFmtId="167" fontId="12" fillId="0" borderId="0" xfId="0" applyNumberFormat="1" applyFont="1" applyAlignment="1">
      <alignment vertical="center"/>
    </xf>
    <xf numFmtId="166" fontId="14" fillId="3" borderId="10" xfId="0" applyNumberFormat="1" applyFont="1" applyFill="1" applyBorder="1" applyAlignment="1">
      <alignment horizontal="right" vertical="center"/>
    </xf>
    <xf numFmtId="1" fontId="14" fillId="3" borderId="10" xfId="0" applyNumberFormat="1" applyFont="1" applyFill="1" applyBorder="1" applyAlignment="1">
      <alignment horizontal="right" vertical="center"/>
    </xf>
    <xf numFmtId="1" fontId="14" fillId="3" borderId="11" xfId="0" applyNumberFormat="1" applyFont="1" applyFill="1" applyBorder="1" applyAlignment="1">
      <alignment horizontal="right" vertical="center"/>
    </xf>
    <xf numFmtId="0" fontId="13" fillId="5" borderId="0" xfId="0" applyFont="1" applyFill="1" applyAlignment="1">
      <alignment horizontal="left" vertical="center"/>
    </xf>
    <xf numFmtId="168" fontId="13" fillId="5" borderId="0" xfId="0" applyNumberFormat="1" applyFont="1" applyFill="1" applyAlignment="1">
      <alignment horizontal="right" vertical="center"/>
    </xf>
    <xf numFmtId="168" fontId="13" fillId="5" borderId="2" xfId="0" applyNumberFormat="1" applyFont="1" applyFill="1" applyBorder="1" applyAlignment="1">
      <alignment horizontal="right" vertical="center"/>
    </xf>
    <xf numFmtId="167" fontId="13" fillId="5" borderId="0" xfId="4" applyNumberFormat="1" applyFont="1" applyFill="1" applyAlignment="1">
      <alignment horizontal="right" vertical="center"/>
    </xf>
    <xf numFmtId="167" fontId="13" fillId="5" borderId="2" xfId="4" applyNumberFormat="1" applyFont="1" applyFill="1" applyBorder="1" applyAlignment="1">
      <alignment horizontal="right" vertical="center"/>
    </xf>
    <xf numFmtId="168" fontId="12" fillId="5" borderId="2" xfId="1" applyNumberFormat="1" applyFont="1" applyFill="1" applyBorder="1" applyAlignment="1">
      <alignment horizontal="right" vertical="center"/>
    </xf>
    <xf numFmtId="168" fontId="12" fillId="0" borderId="0" xfId="4" applyNumberFormat="1" applyFont="1" applyFill="1" applyBorder="1" applyAlignment="1">
      <alignment horizontal="right" vertical="center"/>
    </xf>
    <xf numFmtId="164" fontId="12" fillId="0" borderId="6" xfId="2" applyFont="1" applyFill="1" applyBorder="1" applyAlignment="1">
      <alignment horizontal="right" vertical="center"/>
    </xf>
    <xf numFmtId="167" fontId="12" fillId="0" borderId="0" xfId="4" applyNumberFormat="1" applyFont="1" applyAlignment="1">
      <alignment horizontal="right" vertical="center"/>
    </xf>
    <xf numFmtId="9" fontId="12" fillId="0" borderId="0" xfId="4" applyFont="1" applyBorder="1" applyAlignment="1">
      <alignment horizontal="right" vertical="center"/>
    </xf>
    <xf numFmtId="166" fontId="12" fillId="0" borderId="0" xfId="1" applyFont="1" applyBorder="1" applyAlignment="1">
      <alignment horizontal="right" vertical="center"/>
    </xf>
    <xf numFmtId="9" fontId="12" fillId="0" borderId="0" xfId="0" applyNumberFormat="1" applyFont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9" fontId="26" fillId="0" borderId="0" xfId="0" applyNumberFormat="1" applyFont="1" applyAlignment="1">
      <alignment horizontal="right" vertical="center"/>
    </xf>
    <xf numFmtId="171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/>
    </xf>
    <xf numFmtId="164" fontId="20" fillId="0" borderId="0" xfId="2" applyFont="1" applyFill="1" applyAlignment="1">
      <alignment horizontal="right" vertical="center"/>
    </xf>
    <xf numFmtId="167" fontId="12" fillId="0" borderId="6" xfId="4" applyNumberFormat="1" applyFont="1" applyBorder="1" applyAlignment="1">
      <alignment horizontal="right" vertical="center"/>
    </xf>
    <xf numFmtId="4" fontId="12" fillId="0" borderId="0" xfId="4" applyNumberFormat="1" applyFont="1" applyAlignment="1">
      <alignment horizontal="right" vertical="center"/>
    </xf>
    <xf numFmtId="168" fontId="12" fillId="0" borderId="0" xfId="1" applyNumberFormat="1" applyFont="1" applyAlignment="1">
      <alignment horizontal="right" vertical="center"/>
    </xf>
    <xf numFmtId="168" fontId="12" fillId="5" borderId="0" xfId="0" applyNumberFormat="1" applyFont="1" applyFill="1" applyAlignment="1">
      <alignment horizontal="right" vertical="center"/>
    </xf>
    <xf numFmtId="167" fontId="12" fillId="0" borderId="5" xfId="4" applyNumberFormat="1" applyFont="1" applyBorder="1" applyAlignment="1">
      <alignment horizontal="right" vertical="center"/>
    </xf>
    <xf numFmtId="168" fontId="12" fillId="5" borderId="2" xfId="0" applyNumberFormat="1" applyFont="1" applyFill="1" applyBorder="1" applyAlignment="1">
      <alignment horizontal="right" vertical="center"/>
    </xf>
    <xf numFmtId="170" fontId="12" fillId="0" borderId="5" xfId="0" applyNumberFormat="1" applyFont="1" applyBorder="1" applyAlignment="1">
      <alignment horizontal="right" vertical="center"/>
    </xf>
    <xf numFmtId="170" fontId="12" fillId="0" borderId="6" xfId="0" applyNumberFormat="1" applyFont="1" applyBorder="1" applyAlignment="1">
      <alignment horizontal="right" vertical="center"/>
    </xf>
    <xf numFmtId="9" fontId="12" fillId="0" borderId="0" xfId="4" applyFont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168" fontId="12" fillId="5" borderId="6" xfId="1" applyNumberFormat="1" applyFont="1" applyFill="1" applyBorder="1" applyAlignment="1">
      <alignment horizontal="right" vertical="center"/>
    </xf>
    <xf numFmtId="168" fontId="16" fillId="0" borderId="0" xfId="1" applyNumberFormat="1" applyFont="1" applyFill="1" applyBorder="1" applyAlignment="1">
      <alignment horizontal="right" vertical="center"/>
    </xf>
    <xf numFmtId="168" fontId="17" fillId="0" borderId="0" xfId="1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167" fontId="20" fillId="0" borderId="0" xfId="4" applyNumberFormat="1" applyFont="1" applyFill="1" applyBorder="1" applyAlignment="1">
      <alignment horizontal="right" vertical="center"/>
    </xf>
    <xf numFmtId="9" fontId="20" fillId="0" borderId="0" xfId="4" applyFont="1" applyFill="1" applyBorder="1" applyAlignment="1">
      <alignment horizontal="left" vertical="center" indent="1"/>
    </xf>
    <xf numFmtId="9" fontId="20" fillId="0" borderId="0" xfId="4" applyFont="1" applyFill="1" applyBorder="1" applyAlignment="1">
      <alignment horizontal="left" vertical="center" indent="2"/>
    </xf>
    <xf numFmtId="0" fontId="13" fillId="0" borderId="14" xfId="0" applyFont="1" applyBorder="1" applyAlignment="1">
      <alignment horizontal="left" vertical="center"/>
    </xf>
    <xf numFmtId="168" fontId="16" fillId="0" borderId="14" xfId="1" applyNumberFormat="1" applyFont="1" applyFill="1" applyBorder="1" applyAlignment="1">
      <alignment horizontal="right" vertical="center"/>
    </xf>
    <xf numFmtId="168" fontId="16" fillId="0" borderId="15" xfId="1" applyNumberFormat="1" applyFont="1" applyFill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168" fontId="17" fillId="0" borderId="15" xfId="1" applyNumberFormat="1" applyFont="1" applyFill="1" applyBorder="1" applyAlignment="1">
      <alignment horizontal="right" vertical="center"/>
    </xf>
    <xf numFmtId="168" fontId="12" fillId="0" borderId="16" xfId="0" applyNumberFormat="1" applyFont="1" applyBorder="1" applyAlignment="1">
      <alignment vertical="center"/>
    </xf>
    <xf numFmtId="167" fontId="12" fillId="0" borderId="2" xfId="0" applyNumberFormat="1" applyFont="1" applyBorder="1" applyAlignment="1">
      <alignment vertical="center"/>
    </xf>
    <xf numFmtId="167" fontId="12" fillId="0" borderId="0" xfId="0" applyNumberFormat="1" applyFont="1" applyAlignment="1">
      <alignment horizontal="left" vertical="center"/>
    </xf>
    <xf numFmtId="167" fontId="12" fillId="0" borderId="0" xfId="1" applyNumberFormat="1" applyFont="1" applyFill="1" applyBorder="1" applyAlignment="1">
      <alignment horizontal="right" vertical="center"/>
    </xf>
    <xf numFmtId="167" fontId="12" fillId="0" borderId="2" xfId="1" applyNumberFormat="1" applyFont="1" applyFill="1" applyBorder="1" applyAlignment="1">
      <alignment horizontal="right" vertical="center"/>
    </xf>
    <xf numFmtId="0" fontId="13" fillId="0" borderId="17" xfId="0" applyFont="1" applyBorder="1" applyAlignment="1">
      <alignment vertical="center"/>
    </xf>
    <xf numFmtId="168" fontId="13" fillId="0" borderId="17" xfId="1" applyNumberFormat="1" applyFont="1" applyBorder="1" applyAlignment="1">
      <alignment horizontal="right" vertical="center"/>
    </xf>
    <xf numFmtId="4" fontId="13" fillId="5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vertical="center"/>
    </xf>
    <xf numFmtId="4" fontId="13" fillId="0" borderId="5" xfId="1" applyNumberFormat="1" applyFont="1" applyFill="1" applyBorder="1" applyAlignment="1">
      <alignment vertical="center"/>
    </xf>
    <xf numFmtId="4" fontId="13" fillId="0" borderId="0" xfId="1" applyNumberFormat="1" applyFont="1" applyFill="1" applyAlignment="1">
      <alignment horizontal="left" vertical="center"/>
    </xf>
    <xf numFmtId="4" fontId="12" fillId="0" borderId="0" xfId="1" applyNumberFormat="1" applyFont="1" applyFill="1" applyAlignment="1">
      <alignment horizontal="left" vertical="center" indent="2"/>
    </xf>
    <xf numFmtId="4" fontId="13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left" vertical="center" indent="1"/>
    </xf>
    <xf numFmtId="4" fontId="12" fillId="0" borderId="0" xfId="1" applyNumberFormat="1" applyFont="1" applyFill="1" applyBorder="1" applyAlignment="1">
      <alignment horizontal="left" vertical="center" indent="1"/>
    </xf>
    <xf numFmtId="4" fontId="12" fillId="5" borderId="0" xfId="1" applyNumberFormat="1" applyFont="1" applyFill="1" applyAlignment="1">
      <alignment horizontal="left" vertical="center" indent="1"/>
    </xf>
    <xf numFmtId="0" fontId="12" fillId="0" borderId="8" xfId="0" applyFont="1" applyBorder="1" applyAlignment="1">
      <alignment vertical="center"/>
    </xf>
    <xf numFmtId="168" fontId="17" fillId="5" borderId="2" xfId="1" applyNumberFormat="1" applyFont="1" applyFill="1" applyBorder="1" applyAlignment="1">
      <alignment horizontal="right" vertical="center"/>
    </xf>
    <xf numFmtId="18" fontId="12" fillId="0" borderId="0" xfId="0" applyNumberFormat="1" applyFont="1" applyAlignment="1">
      <alignment horizontal="left" vertical="center"/>
    </xf>
    <xf numFmtId="18" fontId="20" fillId="0" borderId="0" xfId="0" applyNumberFormat="1" applyFont="1" applyAlignment="1">
      <alignment horizontal="left" vertical="center" indent="1"/>
    </xf>
    <xf numFmtId="18" fontId="13" fillId="0" borderId="5" xfId="0" applyNumberFormat="1" applyFont="1" applyBorder="1" applyAlignment="1">
      <alignment horizontal="left" vertical="center"/>
    </xf>
    <xf numFmtId="18" fontId="12" fillId="0" borderId="5" xfId="0" applyNumberFormat="1" applyFont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168" fontId="26" fillId="0" borderId="0" xfId="1" applyNumberFormat="1" applyFont="1" applyFill="1" applyAlignment="1">
      <alignment horizontal="right" vertical="center"/>
    </xf>
    <xf numFmtId="168" fontId="26" fillId="0" borderId="2" xfId="1" applyNumberFormat="1" applyFont="1" applyFill="1" applyBorder="1" applyAlignment="1">
      <alignment horizontal="right" vertical="center"/>
    </xf>
    <xf numFmtId="170" fontId="20" fillId="0" borderId="0" xfId="1" applyNumberFormat="1" applyFont="1" applyFill="1" applyBorder="1" applyAlignment="1">
      <alignment horizontal="right" vertical="center"/>
    </xf>
    <xf numFmtId="170" fontId="20" fillId="0" borderId="2" xfId="1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center" indent="2"/>
    </xf>
    <xf numFmtId="0" fontId="12" fillId="0" borderId="14" xfId="0" applyFont="1" applyBorder="1" applyAlignment="1">
      <alignment horizontal="left" vertical="center" indent="1"/>
    </xf>
    <xf numFmtId="168" fontId="12" fillId="0" borderId="14" xfId="1" applyNumberFormat="1" applyFont="1" applyFill="1" applyBorder="1" applyAlignment="1">
      <alignment horizontal="right" vertical="center"/>
    </xf>
    <xf numFmtId="168" fontId="12" fillId="0" borderId="15" xfId="1" applyNumberFormat="1" applyFont="1" applyFill="1" applyBorder="1" applyAlignment="1">
      <alignment horizontal="right" vertical="center"/>
    </xf>
    <xf numFmtId="4" fontId="13" fillId="0" borderId="0" xfId="1" applyNumberFormat="1" applyFont="1" applyFill="1" applyBorder="1" applyAlignment="1">
      <alignment vertical="center"/>
    </xf>
    <xf numFmtId="167" fontId="13" fillId="0" borderId="0" xfId="4" applyNumberFormat="1" applyFont="1" applyFill="1" applyBorder="1" applyAlignment="1">
      <alignment horizontal="right" vertical="center"/>
    </xf>
    <xf numFmtId="179" fontId="20" fillId="0" borderId="0" xfId="4" applyNumberFormat="1" applyFont="1" applyFill="1" applyAlignment="1">
      <alignment horizontal="right" vertical="center"/>
    </xf>
    <xf numFmtId="179" fontId="20" fillId="0" borderId="2" xfId="4" applyNumberFormat="1" applyFont="1" applyFill="1" applyBorder="1" applyAlignment="1">
      <alignment horizontal="right" vertical="center"/>
    </xf>
    <xf numFmtId="167" fontId="12" fillId="4" borderId="0" xfId="4" applyNumberFormat="1" applyFont="1" applyFill="1" applyBorder="1" applyAlignment="1">
      <alignment horizontal="right" vertical="center"/>
    </xf>
    <xf numFmtId="4" fontId="12" fillId="0" borderId="0" xfId="1" applyNumberFormat="1" applyFont="1" applyFill="1" applyBorder="1" applyAlignment="1">
      <alignment vertical="center"/>
    </xf>
    <xf numFmtId="4" fontId="20" fillId="5" borderId="0" xfId="1" applyNumberFormat="1" applyFont="1" applyFill="1" applyAlignment="1">
      <alignment vertical="center"/>
    </xf>
    <xf numFmtId="4" fontId="29" fillId="0" borderId="5" xfId="1" applyNumberFormat="1" applyFont="1" applyFill="1" applyBorder="1" applyAlignment="1">
      <alignment vertical="center"/>
    </xf>
    <xf numFmtId="179" fontId="29" fillId="0" borderId="5" xfId="4" applyNumberFormat="1" applyFont="1" applyFill="1" applyBorder="1" applyAlignment="1">
      <alignment horizontal="right" vertical="center"/>
    </xf>
    <xf numFmtId="179" fontId="29" fillId="0" borderId="6" xfId="4" applyNumberFormat="1" applyFont="1" applyFill="1" applyBorder="1" applyAlignment="1">
      <alignment horizontal="right" vertical="center"/>
    </xf>
    <xf numFmtId="0" fontId="12" fillId="0" borderId="5" xfId="0" applyFont="1" applyBorder="1" applyAlignment="1">
      <alignment horizontal="left" vertical="center" indent="1"/>
    </xf>
    <xf numFmtId="168" fontId="17" fillId="0" borderId="5" xfId="1" applyNumberFormat="1" applyFont="1" applyFill="1" applyBorder="1" applyAlignment="1">
      <alignment horizontal="right" vertical="center"/>
    </xf>
    <xf numFmtId="168" fontId="17" fillId="0" borderId="6" xfId="1" applyNumberFormat="1" applyFont="1" applyFill="1" applyBorder="1" applyAlignment="1">
      <alignment horizontal="right" vertical="center"/>
    </xf>
    <xf numFmtId="167" fontId="13" fillId="0" borderId="0" xfId="0" applyNumberFormat="1" applyFont="1" applyAlignment="1">
      <alignment horizontal="left" vertical="center"/>
    </xf>
    <xf numFmtId="18" fontId="13" fillId="0" borderId="0" xfId="0" applyNumberFormat="1" applyFont="1" applyAlignment="1">
      <alignment horizontal="left" vertical="center"/>
    </xf>
    <xf numFmtId="167" fontId="13" fillId="0" borderId="0" xfId="0" applyNumberFormat="1" applyFont="1" applyAlignment="1">
      <alignment horizontal="right" vertical="center"/>
    </xf>
    <xf numFmtId="167" fontId="13" fillId="0" borderId="2" xfId="4" applyNumberFormat="1" applyFont="1" applyBorder="1" applyAlignment="1">
      <alignment horizontal="right" vertical="center"/>
    </xf>
    <xf numFmtId="175" fontId="12" fillId="0" borderId="2" xfId="4" applyNumberFormat="1" applyFont="1" applyBorder="1" applyAlignment="1">
      <alignment horizontal="right" vertical="center"/>
    </xf>
    <xf numFmtId="175" fontId="12" fillId="0" borderId="0" xfId="0" applyNumberFormat="1" applyFont="1" applyAlignment="1">
      <alignment horizontal="right" vertical="center"/>
    </xf>
    <xf numFmtId="167" fontId="13" fillId="0" borderId="14" xfId="0" applyNumberFormat="1" applyFont="1" applyBorder="1" applyAlignment="1">
      <alignment horizontal="right" vertical="center"/>
    </xf>
    <xf numFmtId="167" fontId="13" fillId="0" borderId="15" xfId="4" applyNumberFormat="1" applyFont="1" applyBorder="1" applyAlignment="1">
      <alignment horizontal="right" vertical="center"/>
    </xf>
    <xf numFmtId="0" fontId="13" fillId="5" borderId="0" xfId="0" applyFont="1" applyFill="1" applyAlignment="1">
      <alignment vertical="center"/>
    </xf>
    <xf numFmtId="164" fontId="13" fillId="5" borderId="2" xfId="2" applyFont="1" applyFill="1" applyBorder="1" applyAlignment="1">
      <alignment horizontal="right" vertical="center"/>
    </xf>
    <xf numFmtId="168" fontId="13" fillId="5" borderId="2" xfId="1" applyNumberFormat="1" applyFont="1" applyFill="1" applyBorder="1" applyAlignment="1">
      <alignment horizontal="right" vertical="center"/>
    </xf>
    <xf numFmtId="168" fontId="12" fillId="0" borderId="14" xfId="0" applyNumberFormat="1" applyFont="1" applyBorder="1" applyAlignment="1">
      <alignment horizontal="right" vertical="center"/>
    </xf>
    <xf numFmtId="167" fontId="13" fillId="0" borderId="14" xfId="4" applyNumberFormat="1" applyFont="1" applyFill="1" applyBorder="1" applyAlignment="1">
      <alignment horizontal="right" vertical="center"/>
    </xf>
    <xf numFmtId="167" fontId="13" fillId="0" borderId="15" xfId="4" applyNumberFormat="1" applyFont="1" applyFill="1" applyBorder="1" applyAlignment="1">
      <alignment horizontal="right" vertical="center"/>
    </xf>
    <xf numFmtId="0" fontId="12" fillId="0" borderId="14" xfId="0" applyFont="1" applyBorder="1" applyAlignment="1">
      <alignment vertical="center"/>
    </xf>
    <xf numFmtId="1" fontId="12" fillId="0" borderId="17" xfId="0" applyNumberFormat="1" applyFont="1" applyBorder="1" applyAlignment="1">
      <alignment horizontal="left" vertical="center"/>
    </xf>
    <xf numFmtId="168" fontId="12" fillId="0" borderId="17" xfId="1" applyNumberFormat="1" applyFont="1" applyFill="1" applyBorder="1" applyAlignment="1">
      <alignment horizontal="right" vertical="center"/>
    </xf>
    <xf numFmtId="168" fontId="12" fillId="0" borderId="18" xfId="1" applyNumberFormat="1" applyFont="1" applyFill="1" applyBorder="1" applyAlignment="1">
      <alignment horizontal="right" vertical="center"/>
    </xf>
    <xf numFmtId="166" fontId="12" fillId="4" borderId="0" xfId="0" applyNumberFormat="1" applyFont="1" applyFill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167" fontId="13" fillId="0" borderId="6" xfId="4" applyNumberFormat="1" applyFont="1" applyBorder="1" applyAlignment="1">
      <alignment horizontal="right" vertical="center"/>
    </xf>
    <xf numFmtId="164" fontId="13" fillId="5" borderId="0" xfId="2" applyFont="1" applyFill="1" applyAlignment="1">
      <alignment horizontal="right" vertical="center"/>
    </xf>
    <xf numFmtId="0" fontId="13" fillId="3" borderId="10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vertical="center"/>
    </xf>
    <xf numFmtId="167" fontId="13" fillId="0" borderId="5" xfId="4" applyNumberFormat="1" applyFont="1" applyBorder="1" applyAlignment="1">
      <alignment horizontal="right" vertical="center"/>
    </xf>
    <xf numFmtId="10" fontId="12" fillId="0" borderId="0" xfId="1" applyNumberFormat="1" applyFont="1" applyAlignment="1">
      <alignment vertical="center"/>
    </xf>
    <xf numFmtId="0" fontId="12" fillId="5" borderId="0" xfId="7" applyFont="1" applyFill="1" applyAlignment="1">
      <alignment vertical="center"/>
    </xf>
    <xf numFmtId="166" fontId="12" fillId="5" borderId="0" xfId="1" applyFont="1" applyFill="1" applyAlignment="1">
      <alignment horizontal="right" vertical="center"/>
    </xf>
    <xf numFmtId="0" fontId="12" fillId="0" borderId="0" xfId="7" applyFont="1" applyAlignment="1">
      <alignment vertical="center"/>
    </xf>
    <xf numFmtId="168" fontId="12" fillId="5" borderId="0" xfId="1" applyNumberFormat="1" applyFont="1" applyFill="1" applyAlignment="1">
      <alignment vertical="center"/>
    </xf>
    <xf numFmtId="0" fontId="13" fillId="5" borderId="0" xfId="7" applyFont="1" applyFill="1" applyAlignment="1">
      <alignment vertical="center"/>
    </xf>
    <xf numFmtId="9" fontId="12" fillId="0" borderId="0" xfId="7" applyNumberFormat="1" applyFont="1" applyAlignment="1">
      <alignment vertical="center"/>
    </xf>
    <xf numFmtId="166" fontId="12" fillId="0" borderId="0" xfId="7" applyNumberFormat="1" applyFont="1" applyAlignment="1">
      <alignment vertical="center"/>
    </xf>
    <xf numFmtId="0" fontId="12" fillId="5" borderId="19" xfId="7" applyFont="1" applyFill="1" applyBorder="1" applyAlignment="1">
      <alignment vertical="center"/>
    </xf>
    <xf numFmtId="0" fontId="12" fillId="5" borderId="5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right" vertical="center"/>
    </xf>
    <xf numFmtId="39" fontId="13" fillId="5" borderId="0" xfId="0" applyNumberFormat="1" applyFont="1" applyFill="1" applyAlignment="1">
      <alignment vertical="center"/>
    </xf>
    <xf numFmtId="39" fontId="28" fillId="5" borderId="0" xfId="0" applyNumberFormat="1" applyFont="1" applyFill="1" applyAlignment="1">
      <alignment vertical="center"/>
    </xf>
    <xf numFmtId="0" fontId="13" fillId="0" borderId="0" xfId="7" applyFont="1" applyAlignment="1">
      <alignment vertical="center"/>
    </xf>
    <xf numFmtId="0" fontId="12" fillId="0" borderId="14" xfId="7" applyFont="1" applyBorder="1" applyAlignment="1">
      <alignment vertical="center"/>
    </xf>
    <xf numFmtId="0" fontId="12" fillId="0" borderId="5" xfId="7" applyFont="1" applyBorder="1" applyAlignment="1">
      <alignment vertical="center"/>
    </xf>
    <xf numFmtId="0" fontId="13" fillId="0" borderId="5" xfId="7" applyFont="1" applyBorder="1" applyAlignment="1">
      <alignment vertical="center"/>
    </xf>
    <xf numFmtId="181" fontId="12" fillId="5" borderId="0" xfId="3" applyNumberFormat="1" applyFont="1" applyFill="1" applyBorder="1" applyAlignment="1">
      <alignment horizontal="right" vertical="center"/>
    </xf>
    <xf numFmtId="181" fontId="13" fillId="5" borderId="0" xfId="3" applyNumberFormat="1" applyFont="1" applyFill="1" applyBorder="1" applyAlignment="1">
      <alignment horizontal="right" vertical="center"/>
    </xf>
    <xf numFmtId="4" fontId="12" fillId="0" borderId="0" xfId="4" applyNumberFormat="1" applyFont="1" applyFill="1" applyAlignment="1">
      <alignment vertical="center"/>
    </xf>
    <xf numFmtId="4" fontId="12" fillId="0" borderId="0" xfId="7" applyNumberFormat="1" applyFont="1" applyAlignment="1">
      <alignment vertical="center"/>
    </xf>
    <xf numFmtId="4" fontId="12" fillId="0" borderId="2" xfId="4" applyNumberFormat="1" applyFont="1" applyFill="1" applyBorder="1" applyAlignment="1">
      <alignment horizontal="right" vertical="center"/>
    </xf>
    <xf numFmtId="0" fontId="13" fillId="0" borderId="14" xfId="7" applyFont="1" applyBorder="1" applyAlignment="1">
      <alignment vertical="center"/>
    </xf>
    <xf numFmtId="164" fontId="12" fillId="5" borderId="0" xfId="0" applyNumberFormat="1" applyFont="1" applyFill="1" applyAlignment="1">
      <alignment vertical="center"/>
    </xf>
    <xf numFmtId="3" fontId="12" fillId="5" borderId="0" xfId="7" applyNumberFormat="1" applyFont="1" applyFill="1" applyAlignment="1">
      <alignment vertical="center"/>
    </xf>
    <xf numFmtId="164" fontId="13" fillId="0" borderId="0" xfId="0" applyNumberFormat="1" applyFont="1" applyAlignment="1">
      <alignment vertical="center"/>
    </xf>
    <xf numFmtId="3" fontId="13" fillId="0" borderId="0" xfId="7" applyNumberFormat="1" applyFont="1" applyAlignment="1">
      <alignment vertical="center"/>
    </xf>
    <xf numFmtId="0" fontId="13" fillId="4" borderId="5" xfId="0" applyFont="1" applyFill="1" applyBorder="1" applyAlignment="1">
      <alignment horizontal="right" vertical="center"/>
    </xf>
    <xf numFmtId="0" fontId="13" fillId="0" borderId="14" xfId="0" applyFont="1" applyBorder="1" applyAlignment="1">
      <alignment vertical="center"/>
    </xf>
    <xf numFmtId="164" fontId="13" fillId="0" borderId="14" xfId="0" applyNumberFormat="1" applyFont="1" applyBorder="1" applyAlignment="1">
      <alignment vertical="center"/>
    </xf>
    <xf numFmtId="3" fontId="13" fillId="0" borderId="14" xfId="7" applyNumberFormat="1" applyFont="1" applyBorder="1" applyAlignment="1">
      <alignment horizontal="right" vertical="center"/>
    </xf>
    <xf numFmtId="167" fontId="12" fillId="5" borderId="0" xfId="3" applyNumberFormat="1" applyFont="1" applyFill="1" applyBorder="1" applyAlignment="1">
      <alignment horizontal="right" vertical="center"/>
    </xf>
    <xf numFmtId="181" fontId="13" fillId="4" borderId="17" xfId="3" applyNumberFormat="1" applyFont="1" applyFill="1" applyBorder="1" applyAlignment="1">
      <alignment horizontal="right" vertical="center"/>
    </xf>
    <xf numFmtId="39" fontId="13" fillId="5" borderId="14" xfId="0" applyNumberFormat="1" applyFont="1" applyFill="1" applyBorder="1" applyAlignment="1">
      <alignment vertical="center"/>
    </xf>
    <xf numFmtId="172" fontId="13" fillId="0" borderId="0" xfId="7" applyNumberFormat="1" applyFont="1" applyAlignment="1">
      <alignment vertical="center"/>
    </xf>
    <xf numFmtId="167" fontId="13" fillId="0" borderId="0" xfId="7" applyNumberFormat="1" applyFont="1" applyAlignment="1">
      <alignment vertical="center"/>
    </xf>
    <xf numFmtId="175" fontId="13" fillId="0" borderId="14" xfId="7" applyNumberFormat="1" applyFont="1" applyBorder="1" applyAlignment="1">
      <alignment vertical="center"/>
    </xf>
    <xf numFmtId="167" fontId="13" fillId="0" borderId="0" xfId="0" applyNumberFormat="1" applyFont="1" applyAlignment="1">
      <alignment vertical="center"/>
    </xf>
    <xf numFmtId="167" fontId="12" fillId="5" borderId="5" xfId="0" applyNumberFormat="1" applyFont="1" applyFill="1" applyBorder="1" applyAlignment="1">
      <alignment vertical="center"/>
    </xf>
    <xf numFmtId="0" fontId="13" fillId="5" borderId="5" xfId="7" applyFont="1" applyFill="1" applyBorder="1" applyAlignment="1">
      <alignment vertical="center"/>
    </xf>
    <xf numFmtId="167" fontId="13" fillId="5" borderId="5" xfId="4" applyNumberFormat="1" applyFont="1" applyFill="1" applyBorder="1" applyAlignment="1">
      <alignment vertical="center"/>
    </xf>
    <xf numFmtId="177" fontId="13" fillId="5" borderId="0" xfId="3" applyNumberFormat="1" applyFont="1" applyFill="1" applyAlignment="1">
      <alignment horizontal="right" vertical="center"/>
    </xf>
    <xf numFmtId="0" fontId="13" fillId="0" borderId="0" xfId="0" applyFont="1"/>
    <xf numFmtId="0" fontId="12" fillId="0" borderId="0" xfId="0" applyFont="1"/>
    <xf numFmtId="0" fontId="12" fillId="0" borderId="0" xfId="5" applyFont="1"/>
    <xf numFmtId="0" fontId="12" fillId="0" borderId="0" xfId="5" applyFont="1" applyAlignment="1">
      <alignment horizontal="left"/>
    </xf>
    <xf numFmtId="167" fontId="12" fillId="0" borderId="0" xfId="4" applyNumberFormat="1" applyFont="1" applyFill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68" fontId="12" fillId="0" borderId="0" xfId="1" applyNumberFormat="1" applyFont="1" applyFill="1" applyAlignment="1">
      <alignment horizontal="right"/>
    </xf>
    <xf numFmtId="0" fontId="12" fillId="2" borderId="0" xfId="1" applyNumberFormat="1" applyFont="1" applyFill="1" applyAlignment="1">
      <alignment horizontal="center"/>
    </xf>
    <xf numFmtId="37" fontId="12" fillId="2" borderId="0" xfId="1" applyNumberFormat="1" applyFont="1" applyFill="1" applyAlignment="1">
      <alignment horizontal="center"/>
    </xf>
    <xf numFmtId="0" fontId="14" fillId="3" borderId="10" xfId="5" applyFont="1" applyFill="1" applyBorder="1" applyAlignment="1">
      <alignment horizontal="left" vertical="top"/>
    </xf>
    <xf numFmtId="166" fontId="14" fillId="3" borderId="10" xfId="0" applyNumberFormat="1" applyFont="1" applyFill="1" applyBorder="1" applyAlignment="1">
      <alignment horizontal="center"/>
    </xf>
    <xf numFmtId="166" fontId="14" fillId="3" borderId="11" xfId="0" applyNumberFormat="1" applyFont="1" applyFill="1" applyBorder="1" applyAlignment="1">
      <alignment horizontal="center"/>
    </xf>
    <xf numFmtId="0" fontId="12" fillId="5" borderId="0" xfId="6" applyFont="1" applyFill="1" applyAlignment="1">
      <alignment horizontal="left"/>
    </xf>
    <xf numFmtId="0" fontId="12" fillId="5" borderId="2" xfId="1" applyNumberFormat="1" applyFont="1" applyFill="1" applyBorder="1" applyAlignment="1">
      <alignment horizontal="center"/>
    </xf>
    <xf numFmtId="37" fontId="12" fillId="5" borderId="2" xfId="1" applyNumberFormat="1" applyFont="1" applyFill="1" applyBorder="1" applyAlignment="1">
      <alignment horizontal="center"/>
    </xf>
    <xf numFmtId="0" fontId="15" fillId="0" borderId="0" xfId="5" applyFont="1"/>
    <xf numFmtId="0" fontId="12" fillId="5" borderId="5" xfId="6" quotePrefix="1" applyFont="1" applyFill="1" applyBorder="1" applyAlignment="1">
      <alignment horizontal="left"/>
    </xf>
    <xf numFmtId="37" fontId="12" fillId="2" borderId="5" xfId="6" applyNumberFormat="1" applyFont="1" applyFill="1" applyBorder="1" applyAlignment="1">
      <alignment horizontal="center"/>
    </xf>
    <xf numFmtId="37" fontId="12" fillId="5" borderId="6" xfId="1" applyNumberFormat="1" applyFont="1" applyFill="1" applyBorder="1" applyAlignment="1">
      <alignment horizontal="center"/>
    </xf>
    <xf numFmtId="0" fontId="12" fillId="0" borderId="5" xfId="5" applyFont="1" applyBorder="1" applyAlignment="1">
      <alignment horizontal="left"/>
    </xf>
    <xf numFmtId="167" fontId="12" fillId="0" borderId="0" xfId="4" applyNumberFormat="1" applyFont="1" applyFill="1" applyBorder="1" applyAlignment="1">
      <alignment horizontal="center"/>
    </xf>
    <xf numFmtId="168" fontId="13" fillId="0" borderId="0" xfId="1" applyNumberFormat="1" applyFont="1" applyFill="1" applyBorder="1"/>
    <xf numFmtId="168" fontId="12" fillId="0" borderId="0" xfId="1" applyNumberFormat="1" applyFont="1" applyFill="1" applyBorder="1" applyAlignment="1">
      <alignment horizontal="right"/>
    </xf>
    <xf numFmtId="168" fontId="13" fillId="0" borderId="0" xfId="1" applyNumberFormat="1" applyFont="1" applyFill="1" applyBorder="1" applyAlignment="1">
      <alignment horizontal="right"/>
    </xf>
    <xf numFmtId="168" fontId="12" fillId="0" borderId="0" xfId="1" applyNumberFormat="1" applyFont="1" applyFill="1" applyBorder="1"/>
    <xf numFmtId="4" fontId="12" fillId="0" borderId="0" xfId="4" applyNumberFormat="1" applyFont="1" applyBorder="1" applyAlignment="1">
      <alignment horizontal="right" vertical="center"/>
    </xf>
    <xf numFmtId="0" fontId="12" fillId="0" borderId="20" xfId="0" applyFont="1" applyBorder="1" applyAlignment="1">
      <alignment vertical="center"/>
    </xf>
    <xf numFmtId="4" fontId="12" fillId="0" borderId="20" xfId="0" applyNumberFormat="1" applyFont="1" applyBorder="1" applyAlignment="1">
      <alignment vertical="center"/>
    </xf>
    <xf numFmtId="9" fontId="12" fillId="0" borderId="20" xfId="0" applyNumberFormat="1" applyFont="1" applyBorder="1" applyAlignment="1">
      <alignment vertical="center"/>
    </xf>
    <xf numFmtId="4" fontId="13" fillId="0" borderId="20" xfId="1" applyNumberFormat="1" applyFont="1" applyFill="1" applyBorder="1" applyAlignment="1">
      <alignment vertical="center"/>
    </xf>
    <xf numFmtId="168" fontId="13" fillId="5" borderId="20" xfId="0" applyNumberFormat="1" applyFont="1" applyFill="1" applyBorder="1" applyAlignment="1">
      <alignment horizontal="right" vertical="center"/>
    </xf>
    <xf numFmtId="168" fontId="13" fillId="0" borderId="20" xfId="0" applyNumberFormat="1" applyFont="1" applyBorder="1" applyAlignment="1">
      <alignment horizontal="right" vertical="center"/>
    </xf>
    <xf numFmtId="0" fontId="14" fillId="3" borderId="21" xfId="0" applyFont="1" applyFill="1" applyBorder="1" applyAlignment="1">
      <alignment horizontal="left" vertical="center"/>
    </xf>
    <xf numFmtId="1" fontId="14" fillId="3" borderId="21" xfId="0" applyNumberFormat="1" applyFont="1" applyFill="1" applyBorder="1" applyAlignment="1">
      <alignment horizontal="right" vertical="center"/>
    </xf>
    <xf numFmtId="166" fontId="14" fillId="3" borderId="21" xfId="0" applyNumberFormat="1" applyFont="1" applyFill="1" applyBorder="1" applyAlignment="1">
      <alignment horizontal="right" vertical="center"/>
    </xf>
    <xf numFmtId="4" fontId="13" fillId="5" borderId="20" xfId="1" applyNumberFormat="1" applyFont="1" applyFill="1" applyBorder="1" applyAlignment="1">
      <alignment vertical="center"/>
    </xf>
    <xf numFmtId="4" fontId="12" fillId="0" borderId="20" xfId="1" applyNumberFormat="1" applyFont="1" applyFill="1" applyBorder="1" applyAlignment="1">
      <alignment horizontal="left" vertical="center" indent="1"/>
    </xf>
    <xf numFmtId="168" fontId="12" fillId="5" borderId="20" xfId="0" applyNumberFormat="1" applyFont="1" applyFill="1" applyBorder="1" applyAlignment="1">
      <alignment horizontal="right" vertical="center"/>
    </xf>
    <xf numFmtId="168" fontId="12" fillId="0" borderId="20" xfId="0" applyNumberFormat="1" applyFont="1" applyBorder="1" applyAlignment="1">
      <alignment horizontal="right" vertical="center"/>
    </xf>
    <xf numFmtId="4" fontId="13" fillId="0" borderId="20" xfId="1" applyNumberFormat="1" applyFont="1" applyFill="1" applyBorder="1" applyAlignment="1">
      <alignment horizontal="left" vertical="center"/>
    </xf>
    <xf numFmtId="4" fontId="13" fillId="0" borderId="20" xfId="1" applyNumberFormat="1" applyFont="1" applyFill="1" applyBorder="1" applyAlignment="1">
      <alignment horizontal="left" vertical="center" indent="1"/>
    </xf>
    <xf numFmtId="4" fontId="12" fillId="0" borderId="20" xfId="1" applyNumberFormat="1" applyFont="1" applyFill="1" applyBorder="1" applyAlignment="1">
      <alignment horizontal="left" vertical="center" indent="2"/>
    </xf>
    <xf numFmtId="168" fontId="17" fillId="0" borderId="20" xfId="1" applyNumberFormat="1" applyFont="1" applyFill="1" applyBorder="1" applyAlignment="1">
      <alignment horizontal="right" vertical="center"/>
    </xf>
    <xf numFmtId="4" fontId="13" fillId="0" borderId="23" xfId="1" applyNumberFormat="1" applyFont="1" applyFill="1" applyBorder="1" applyAlignment="1">
      <alignment vertical="center"/>
    </xf>
    <xf numFmtId="168" fontId="13" fillId="0" borderId="23" xfId="0" applyNumberFormat="1" applyFont="1" applyBorder="1" applyAlignment="1">
      <alignment horizontal="right" vertical="center"/>
    </xf>
    <xf numFmtId="167" fontId="13" fillId="2" borderId="0" xfId="4" applyNumberFormat="1" applyFont="1" applyFill="1" applyBorder="1" applyAlignment="1">
      <alignment horizontal="right" vertical="center"/>
    </xf>
    <xf numFmtId="167" fontId="13" fillId="2" borderId="20" xfId="4" applyNumberFormat="1" applyFont="1" applyFill="1" applyBorder="1" applyAlignment="1">
      <alignment horizontal="right" vertical="center"/>
    </xf>
    <xf numFmtId="167" fontId="13" fillId="5" borderId="20" xfId="4" applyNumberFormat="1" applyFont="1" applyFill="1" applyBorder="1" applyAlignment="1">
      <alignment horizontal="right" vertical="center"/>
    </xf>
    <xf numFmtId="167" fontId="13" fillId="5" borderId="0" xfId="4" applyNumberFormat="1" applyFont="1" applyFill="1" applyBorder="1" applyAlignment="1">
      <alignment horizontal="right" vertical="center"/>
    </xf>
    <xf numFmtId="4" fontId="13" fillId="5" borderId="23" xfId="1" applyNumberFormat="1" applyFont="1" applyFill="1" applyBorder="1" applyAlignment="1">
      <alignment vertical="center"/>
    </xf>
    <xf numFmtId="167" fontId="13" fillId="5" borderId="5" xfId="4" applyNumberFormat="1" applyFont="1" applyFill="1" applyBorder="1" applyAlignment="1">
      <alignment horizontal="right" vertical="center"/>
    </xf>
    <xf numFmtId="167" fontId="13" fillId="5" borderId="23" xfId="4" applyNumberFormat="1" applyFont="1" applyFill="1" applyBorder="1" applyAlignment="1">
      <alignment horizontal="right" vertical="center"/>
    </xf>
    <xf numFmtId="4" fontId="12" fillId="5" borderId="20" xfId="1" applyNumberFormat="1" applyFont="1" applyFill="1" applyBorder="1" applyAlignment="1">
      <alignment vertical="center"/>
    </xf>
    <xf numFmtId="164" fontId="12" fillId="5" borderId="2" xfId="2" applyFont="1" applyFill="1" applyBorder="1" applyAlignment="1">
      <alignment horizontal="right" vertical="center"/>
    </xf>
    <xf numFmtId="167" fontId="12" fillId="5" borderId="0" xfId="1" applyNumberFormat="1" applyFont="1" applyFill="1" applyAlignment="1">
      <alignment horizontal="right" vertical="center"/>
    </xf>
    <xf numFmtId="167" fontId="12" fillId="5" borderId="2" xfId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5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center" vertical="center"/>
    </xf>
    <xf numFmtId="171" fontId="12" fillId="5" borderId="0" xfId="0" applyNumberFormat="1" applyFont="1" applyFill="1" applyAlignment="1">
      <alignment horizontal="center" vertical="center"/>
    </xf>
    <xf numFmtId="3" fontId="26" fillId="5" borderId="0" xfId="0" applyNumberFormat="1" applyFont="1" applyFill="1" applyAlignment="1">
      <alignment horizontal="center" vertical="center"/>
    </xf>
    <xf numFmtId="3" fontId="11" fillId="5" borderId="0" xfId="0" applyNumberFormat="1" applyFont="1" applyFill="1" applyAlignment="1">
      <alignment horizontal="center" vertical="center"/>
    </xf>
    <xf numFmtId="1" fontId="12" fillId="5" borderId="0" xfId="0" applyNumberFormat="1" applyFont="1" applyFill="1" applyAlignment="1">
      <alignment horizontal="center" vertical="center"/>
    </xf>
    <xf numFmtId="167" fontId="20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166" fontId="12" fillId="4" borderId="19" xfId="1" applyFont="1" applyFill="1" applyBorder="1" applyAlignment="1">
      <alignment horizontal="right" vertical="center"/>
    </xf>
    <xf numFmtId="166" fontId="13" fillId="4" borderId="0" xfId="1" applyFont="1" applyFill="1" applyBorder="1" applyAlignment="1">
      <alignment horizontal="right" vertical="center"/>
    </xf>
    <xf numFmtId="181" fontId="13" fillId="4" borderId="5" xfId="3" applyNumberFormat="1" applyFont="1" applyFill="1" applyBorder="1" applyAlignment="1">
      <alignment horizontal="right" vertical="center"/>
    </xf>
    <xf numFmtId="175" fontId="12" fillId="4" borderId="0" xfId="0" applyNumberFormat="1" applyFont="1" applyFill="1" applyAlignment="1">
      <alignment horizontal="right" vertical="center"/>
    </xf>
    <xf numFmtId="0" fontId="26" fillId="0" borderId="0" xfId="0" applyFont="1" applyAlignment="1">
      <alignment horizontal="right" vertical="center"/>
    </xf>
    <xf numFmtId="167" fontId="13" fillId="4" borderId="22" xfId="0" applyNumberFormat="1" applyFont="1" applyFill="1" applyBorder="1" applyAlignment="1">
      <alignment vertical="center"/>
    </xf>
    <xf numFmtId="167" fontId="13" fillId="4" borderId="0" xfId="0" applyNumberFormat="1" applyFont="1" applyFill="1" applyAlignment="1">
      <alignment vertical="center"/>
    </xf>
    <xf numFmtId="39" fontId="13" fillId="5" borderId="20" xfId="0" applyNumberFormat="1" applyFont="1" applyFill="1" applyBorder="1" applyAlignment="1">
      <alignment vertical="center"/>
    </xf>
    <xf numFmtId="39" fontId="13" fillId="5" borderId="26" xfId="0" applyNumberFormat="1" applyFont="1" applyFill="1" applyBorder="1" applyAlignment="1">
      <alignment vertical="center"/>
    </xf>
    <xf numFmtId="172" fontId="13" fillId="0" borderId="20" xfId="7" applyNumberFormat="1" applyFont="1" applyBorder="1" applyAlignment="1">
      <alignment vertical="center"/>
    </xf>
    <xf numFmtId="4" fontId="12" fillId="0" borderId="20" xfId="7" applyNumberFormat="1" applyFont="1" applyBorder="1" applyAlignment="1">
      <alignment vertical="center"/>
    </xf>
    <xf numFmtId="167" fontId="13" fillId="0" borderId="20" xfId="7" applyNumberFormat="1" applyFont="1" applyBorder="1" applyAlignment="1">
      <alignment vertical="center"/>
    </xf>
    <xf numFmtId="175" fontId="13" fillId="0" borderId="26" xfId="7" applyNumberFormat="1" applyFont="1" applyBorder="1" applyAlignment="1">
      <alignment vertical="center"/>
    </xf>
    <xf numFmtId="166" fontId="12" fillId="5" borderId="19" xfId="0" applyNumberFormat="1" applyFont="1" applyFill="1" applyBorder="1" applyAlignment="1">
      <alignment horizontal="right" vertical="center"/>
    </xf>
    <xf numFmtId="166" fontId="12" fillId="5" borderId="22" xfId="0" applyNumberFormat="1" applyFont="1" applyFill="1" applyBorder="1" applyAlignment="1">
      <alignment horizontal="right" vertical="center"/>
    </xf>
    <xf numFmtId="166" fontId="12" fillId="5" borderId="25" xfId="0" applyNumberFormat="1" applyFont="1" applyFill="1" applyBorder="1" applyAlignment="1">
      <alignment horizontal="right" vertical="center"/>
    </xf>
    <xf numFmtId="166" fontId="12" fillId="5" borderId="0" xfId="0" applyNumberFormat="1" applyFont="1" applyFill="1" applyAlignment="1">
      <alignment horizontal="right" vertical="center"/>
    </xf>
    <xf numFmtId="0" fontId="12" fillId="5" borderId="14" xfId="0" applyFont="1" applyFill="1" applyBorder="1" applyAlignment="1">
      <alignment vertical="center"/>
    </xf>
    <xf numFmtId="166" fontId="12" fillId="5" borderId="14" xfId="0" applyNumberFormat="1" applyFont="1" applyFill="1" applyBorder="1" applyAlignment="1">
      <alignment horizontal="right" vertical="center"/>
    </xf>
    <xf numFmtId="166" fontId="12" fillId="5" borderId="26" xfId="0" applyNumberFormat="1" applyFont="1" applyFill="1" applyBorder="1" applyAlignment="1">
      <alignment horizontal="right" vertical="center"/>
    </xf>
    <xf numFmtId="166" fontId="12" fillId="5" borderId="27" xfId="0" applyNumberFormat="1" applyFont="1" applyFill="1" applyBorder="1" applyAlignment="1">
      <alignment horizontal="right" vertical="center"/>
    </xf>
    <xf numFmtId="0" fontId="28" fillId="5" borderId="0" xfId="0" applyFont="1" applyFill="1" applyAlignment="1">
      <alignment vertical="center"/>
    </xf>
    <xf numFmtId="0" fontId="26" fillId="5" borderId="0" xfId="0" applyFont="1" applyFill="1" applyAlignment="1">
      <alignment vertical="center"/>
    </xf>
    <xf numFmtId="166" fontId="28" fillId="5" borderId="0" xfId="0" applyNumberFormat="1" applyFont="1" applyFill="1" applyAlignment="1">
      <alignment horizontal="right" vertical="center"/>
    </xf>
    <xf numFmtId="166" fontId="28" fillId="5" borderId="20" xfId="0" applyNumberFormat="1" applyFont="1" applyFill="1" applyBorder="1" applyAlignment="1">
      <alignment horizontal="right" vertical="center"/>
    </xf>
    <xf numFmtId="166" fontId="28" fillId="5" borderId="24" xfId="0" applyNumberFormat="1" applyFont="1" applyFill="1" applyBorder="1" applyAlignment="1">
      <alignment horizontal="right" vertical="center"/>
    </xf>
    <xf numFmtId="166" fontId="12" fillId="5" borderId="20" xfId="0" applyNumberFormat="1" applyFont="1" applyFill="1" applyBorder="1" applyAlignment="1">
      <alignment horizontal="right" vertical="center"/>
    </xf>
    <xf numFmtId="166" fontId="12" fillId="5" borderId="24" xfId="0" applyNumberFormat="1" applyFont="1" applyFill="1" applyBorder="1" applyAlignment="1">
      <alignment horizontal="right" vertical="center"/>
    </xf>
    <xf numFmtId="39" fontId="12" fillId="4" borderId="5" xfId="0" applyNumberFormat="1" applyFont="1" applyFill="1" applyBorder="1" applyAlignment="1">
      <alignment vertical="center"/>
    </xf>
    <xf numFmtId="166" fontId="12" fillId="5" borderId="5" xfId="0" applyNumberFormat="1" applyFont="1" applyFill="1" applyBorder="1" applyAlignment="1">
      <alignment horizontal="right" vertical="center"/>
    </xf>
    <xf numFmtId="166" fontId="12" fillId="5" borderId="23" xfId="0" applyNumberFormat="1" applyFont="1" applyFill="1" applyBorder="1" applyAlignment="1">
      <alignment horizontal="right" vertical="center"/>
    </xf>
    <xf numFmtId="4" fontId="13" fillId="5" borderId="0" xfId="0" applyNumberFormat="1" applyFont="1" applyFill="1" applyAlignment="1">
      <alignment vertical="center"/>
    </xf>
    <xf numFmtId="0" fontId="12" fillId="0" borderId="0" xfId="7" quotePrefix="1" applyFont="1" applyAlignment="1">
      <alignment vertical="center"/>
    </xf>
    <xf numFmtId="171" fontId="12" fillId="0" borderId="0" xfId="7" applyNumberFormat="1" applyFont="1" applyAlignment="1">
      <alignment vertical="center"/>
    </xf>
    <xf numFmtId="167" fontId="12" fillId="5" borderId="0" xfId="1" applyNumberFormat="1" applyFont="1" applyFill="1" applyAlignment="1">
      <alignment vertical="center"/>
    </xf>
    <xf numFmtId="10" fontId="12" fillId="0" borderId="0" xfId="7" applyNumberFormat="1" applyFont="1" applyAlignment="1">
      <alignment vertical="center"/>
    </xf>
    <xf numFmtId="181" fontId="12" fillId="4" borderId="0" xfId="3" applyNumberFormat="1" applyFont="1" applyFill="1" applyBorder="1" applyAlignment="1">
      <alignment horizontal="right" vertical="center"/>
    </xf>
    <xf numFmtId="172" fontId="30" fillId="4" borderId="0" xfId="1" applyNumberFormat="1" applyFont="1" applyFill="1" applyBorder="1" applyAlignment="1">
      <alignment horizontal="right" vertical="center"/>
    </xf>
    <xf numFmtId="37" fontId="12" fillId="4" borderId="0" xfId="7" applyNumberFormat="1" applyFont="1" applyFill="1" applyAlignment="1">
      <alignment vertical="center"/>
    </xf>
    <xf numFmtId="9" fontId="13" fillId="0" borderId="0" xfId="7" applyNumberFormat="1" applyFont="1" applyAlignment="1">
      <alignment vertical="center"/>
    </xf>
    <xf numFmtId="9" fontId="12" fillId="0" borderId="0" xfId="7" quotePrefix="1" applyNumberFormat="1" applyFont="1" applyAlignment="1">
      <alignment vertical="center"/>
    </xf>
    <xf numFmtId="0" fontId="12" fillId="0" borderId="0" xfId="0" quotePrefix="1" applyFont="1" applyAlignment="1">
      <alignment vertical="center"/>
    </xf>
    <xf numFmtId="168" fontId="34" fillId="0" borderId="0" xfId="1" applyNumberFormat="1" applyFont="1" applyFill="1" applyAlignment="1">
      <alignment horizontal="right" vertical="center"/>
    </xf>
    <xf numFmtId="168" fontId="35" fillId="0" borderId="0" xfId="1" applyNumberFormat="1" applyFont="1" applyFill="1" applyAlignment="1">
      <alignment horizontal="right" vertical="center"/>
    </xf>
    <xf numFmtId="168" fontId="34" fillId="0" borderId="0" xfId="1" applyNumberFormat="1" applyFont="1" applyFill="1" applyBorder="1" applyAlignment="1">
      <alignment horizontal="right" vertical="center"/>
    </xf>
    <xf numFmtId="9" fontId="20" fillId="0" borderId="0" xfId="4" applyFont="1" applyFill="1" applyAlignment="1">
      <alignment vertical="center"/>
    </xf>
    <xf numFmtId="167" fontId="36" fillId="0" borderId="0" xfId="4" applyNumberFormat="1" applyFont="1" applyFill="1" applyBorder="1" applyAlignment="1">
      <alignment horizontal="right" vertical="center"/>
    </xf>
    <xf numFmtId="167" fontId="36" fillId="0" borderId="2" xfId="4" applyNumberFormat="1" applyFont="1" applyFill="1" applyBorder="1" applyAlignment="1">
      <alignment horizontal="right" vertical="center"/>
    </xf>
    <xf numFmtId="9" fontId="20" fillId="0" borderId="0" xfId="4" applyFont="1" applyFill="1" applyBorder="1" applyAlignment="1">
      <alignment vertical="center"/>
    </xf>
    <xf numFmtId="168" fontId="34" fillId="0" borderId="14" xfId="1" applyNumberFormat="1" applyFont="1" applyFill="1" applyBorder="1" applyAlignment="1">
      <alignment horizontal="right" vertical="center"/>
    </xf>
    <xf numFmtId="167" fontId="36" fillId="0" borderId="0" xfId="4" applyNumberFormat="1" applyFont="1" applyFill="1" applyAlignment="1">
      <alignment horizontal="right" vertical="center"/>
    </xf>
    <xf numFmtId="168" fontId="34" fillId="0" borderId="0" xfId="0" applyNumberFormat="1" applyFont="1" applyAlignment="1">
      <alignment horizontal="right" vertical="center"/>
    </xf>
    <xf numFmtId="167" fontId="37" fillId="0" borderId="0" xfId="4" applyNumberFormat="1" applyFont="1" applyFill="1" applyAlignment="1">
      <alignment horizontal="right" vertical="center"/>
    </xf>
    <xf numFmtId="167" fontId="37" fillId="0" borderId="2" xfId="4" applyNumberFormat="1" applyFont="1" applyFill="1" applyBorder="1" applyAlignment="1">
      <alignment horizontal="right" vertical="center"/>
    </xf>
    <xf numFmtId="9" fontId="37" fillId="0" borderId="0" xfId="4" applyFont="1" applyFill="1" applyAlignment="1">
      <alignment horizontal="right" vertical="center"/>
    </xf>
    <xf numFmtId="9" fontId="37" fillId="0" borderId="2" xfId="4" applyFont="1" applyFill="1" applyBorder="1" applyAlignment="1">
      <alignment horizontal="right" vertical="center"/>
    </xf>
    <xf numFmtId="180" fontId="37" fillId="0" borderId="0" xfId="0" applyNumberFormat="1" applyFont="1" applyAlignment="1">
      <alignment horizontal="right" vertical="center"/>
    </xf>
    <xf numFmtId="180" fontId="37" fillId="0" borderId="2" xfId="0" applyNumberFormat="1" applyFont="1" applyBorder="1" applyAlignment="1">
      <alignment horizontal="right" vertical="center"/>
    </xf>
    <xf numFmtId="180" fontId="37" fillId="0" borderId="14" xfId="0" applyNumberFormat="1" applyFont="1" applyBorder="1" applyAlignment="1">
      <alignment horizontal="right" vertical="center"/>
    </xf>
    <xf numFmtId="180" fontId="37" fillId="0" borderId="15" xfId="0" applyNumberFormat="1" applyFont="1" applyBorder="1" applyAlignment="1">
      <alignment horizontal="right" vertical="center"/>
    </xf>
    <xf numFmtId="168" fontId="13" fillId="0" borderId="2" xfId="0" applyNumberFormat="1" applyFont="1" applyBorder="1" applyAlignment="1">
      <alignment vertical="center"/>
    </xf>
    <xf numFmtId="168" fontId="38" fillId="0" borderId="0" xfId="1" applyNumberFormat="1" applyFont="1" applyFill="1" applyAlignment="1">
      <alignment horizontal="right" vertical="center"/>
    </xf>
    <xf numFmtId="168" fontId="34" fillId="0" borderId="5" xfId="1" applyNumberFormat="1" applyFont="1" applyFill="1" applyBorder="1" applyAlignment="1">
      <alignment horizontal="right" vertical="center"/>
    </xf>
    <xf numFmtId="168" fontId="35" fillId="0" borderId="5" xfId="1" applyNumberFormat="1" applyFont="1" applyFill="1" applyBorder="1" applyAlignment="1">
      <alignment horizontal="right" vertical="center"/>
    </xf>
    <xf numFmtId="168" fontId="34" fillId="4" borderId="0" xfId="1" applyNumberFormat="1" applyFont="1" applyFill="1" applyAlignment="1">
      <alignment horizontal="right" vertical="center"/>
    </xf>
    <xf numFmtId="167" fontId="20" fillId="0" borderId="0" xfId="1" applyNumberFormat="1" applyFont="1" applyFill="1" applyBorder="1" applyAlignment="1">
      <alignment horizontal="right" vertical="center"/>
    </xf>
    <xf numFmtId="167" fontId="20" fillId="0" borderId="2" xfId="1" applyNumberFormat="1" applyFont="1" applyFill="1" applyBorder="1" applyAlignment="1">
      <alignment horizontal="right" vertical="center"/>
    </xf>
    <xf numFmtId="172" fontId="39" fillId="0" borderId="5" xfId="1" applyNumberFormat="1" applyFont="1" applyFill="1" applyBorder="1" applyAlignment="1">
      <alignment horizontal="right" vertical="center"/>
    </xf>
    <xf numFmtId="172" fontId="39" fillId="0" borderId="6" xfId="2" applyNumberFormat="1" applyFont="1" applyFill="1" applyBorder="1" applyAlignment="1">
      <alignment horizontal="right" vertical="center"/>
    </xf>
    <xf numFmtId="168" fontId="37" fillId="0" borderId="0" xfId="1" applyNumberFormat="1" applyFont="1" applyFill="1" applyBorder="1" applyAlignment="1">
      <alignment horizontal="right" vertical="center"/>
    </xf>
    <xf numFmtId="168" fontId="37" fillId="0" borderId="2" xfId="1" applyNumberFormat="1" applyFont="1" applyFill="1" applyBorder="1" applyAlignment="1">
      <alignment horizontal="right" vertical="center"/>
    </xf>
    <xf numFmtId="168" fontId="37" fillId="0" borderId="5" xfId="1" applyNumberFormat="1" applyFont="1" applyFill="1" applyBorder="1" applyAlignment="1">
      <alignment horizontal="right" vertical="center"/>
    </xf>
    <xf numFmtId="168" fontId="37" fillId="0" borderId="6" xfId="1" applyNumberFormat="1" applyFont="1" applyFill="1" applyBorder="1" applyAlignment="1">
      <alignment horizontal="right" vertical="center"/>
    </xf>
    <xf numFmtId="168" fontId="39" fillId="0" borderId="17" xfId="1" applyNumberFormat="1" applyFont="1" applyBorder="1" applyAlignment="1">
      <alignment horizontal="right" vertical="center"/>
    </xf>
    <xf numFmtId="168" fontId="39" fillId="0" borderId="18" xfId="1" applyNumberFormat="1" applyFont="1" applyBorder="1" applyAlignment="1">
      <alignment horizontal="right" vertical="center"/>
    </xf>
    <xf numFmtId="168" fontId="39" fillId="0" borderId="2" xfId="1" applyNumberFormat="1" applyFont="1" applyFill="1" applyBorder="1" applyAlignment="1">
      <alignment horizontal="right" vertical="center"/>
    </xf>
    <xf numFmtId="168" fontId="39" fillId="0" borderId="18" xfId="1" applyNumberFormat="1" applyFont="1" applyFill="1" applyBorder="1" applyAlignment="1">
      <alignment horizontal="right" vertical="center"/>
    </xf>
    <xf numFmtId="164" fontId="37" fillId="4" borderId="0" xfId="2" applyFont="1" applyFill="1" applyAlignment="1">
      <alignment horizontal="right" vertical="center"/>
    </xf>
    <xf numFmtId="164" fontId="37" fillId="0" borderId="0" xfId="2" applyFont="1" applyFill="1" applyAlignment="1">
      <alignment horizontal="right" vertical="center"/>
    </xf>
    <xf numFmtId="164" fontId="37" fillId="0" borderId="2" xfId="2" applyFont="1" applyFill="1" applyBorder="1" applyAlignment="1">
      <alignment horizontal="right" vertical="center"/>
    </xf>
    <xf numFmtId="173" fontId="20" fillId="0" borderId="0" xfId="0" applyNumberFormat="1" applyFont="1" applyAlignment="1">
      <alignment horizontal="right" vertical="center"/>
    </xf>
    <xf numFmtId="173" fontId="20" fillId="0" borderId="2" xfId="0" applyNumberFormat="1" applyFont="1" applyBorder="1" applyAlignment="1">
      <alignment horizontal="right" vertical="center"/>
    </xf>
    <xf numFmtId="164" fontId="20" fillId="0" borderId="2" xfId="2" applyFont="1" applyFill="1" applyBorder="1" applyAlignment="1">
      <alignment horizontal="right" vertical="center"/>
    </xf>
    <xf numFmtId="173" fontId="20" fillId="0" borderId="14" xfId="0" applyNumberFormat="1" applyFont="1" applyBorder="1" applyAlignment="1">
      <alignment horizontal="right" vertical="center"/>
    </xf>
    <xf numFmtId="173" fontId="20" fillId="0" borderId="15" xfId="0" applyNumberFormat="1" applyFont="1" applyBorder="1" applyAlignment="1">
      <alignment horizontal="right" vertical="center"/>
    </xf>
    <xf numFmtId="0" fontId="20" fillId="0" borderId="14" xfId="0" applyFont="1" applyBorder="1" applyAlignment="1">
      <alignment horizontal="left" vertical="center" indent="1"/>
    </xf>
    <xf numFmtId="167" fontId="20" fillId="0" borderId="14" xfId="2" applyNumberFormat="1" applyFont="1" applyFill="1" applyBorder="1" applyAlignment="1">
      <alignment horizontal="right" vertical="center"/>
    </xf>
    <xf numFmtId="167" fontId="20" fillId="0" borderId="15" xfId="2" applyNumberFormat="1" applyFont="1" applyFill="1" applyBorder="1" applyAlignment="1">
      <alignment horizontal="right" vertical="center"/>
    </xf>
    <xf numFmtId="167" fontId="20" fillId="0" borderId="14" xfId="4" applyNumberFormat="1" applyFont="1" applyFill="1" applyBorder="1" applyAlignment="1">
      <alignment horizontal="right" vertical="center"/>
    </xf>
    <xf numFmtId="167" fontId="20" fillId="0" borderId="15" xfId="4" applyNumberFormat="1" applyFont="1" applyFill="1" applyBorder="1" applyAlignment="1">
      <alignment horizontal="right" vertical="center"/>
    </xf>
    <xf numFmtId="167" fontId="20" fillId="0" borderId="5" xfId="4" applyNumberFormat="1" applyFont="1" applyFill="1" applyBorder="1" applyAlignment="1">
      <alignment horizontal="right" vertical="center"/>
    </xf>
    <xf numFmtId="167" fontId="20" fillId="0" borderId="6" xfId="4" applyNumberFormat="1" applyFont="1" applyFill="1" applyBorder="1" applyAlignment="1">
      <alignment horizontal="right" vertical="center"/>
    </xf>
    <xf numFmtId="0" fontId="20" fillId="0" borderId="5" xfId="0" applyFont="1" applyBorder="1" applyAlignment="1">
      <alignment horizontal="left" vertical="center" indent="1"/>
    </xf>
    <xf numFmtId="164" fontId="37" fillId="0" borderId="0" xfId="0" applyNumberFormat="1" applyFont="1" applyAlignment="1">
      <alignment horizontal="right" vertical="center"/>
    </xf>
    <xf numFmtId="164" fontId="37" fillId="0" borderId="2" xfId="0" applyNumberFormat="1" applyFont="1" applyBorder="1" applyAlignment="1">
      <alignment horizontal="right" vertical="center"/>
    </xf>
    <xf numFmtId="168" fontId="37" fillId="0" borderId="0" xfId="0" applyNumberFormat="1" applyFont="1" applyAlignment="1">
      <alignment horizontal="right" vertical="center"/>
    </xf>
    <xf numFmtId="167" fontId="39" fillId="0" borderId="14" xfId="0" applyNumberFormat="1" applyFont="1" applyBorder="1" applyAlignment="1">
      <alignment horizontal="right" vertical="center"/>
    </xf>
    <xf numFmtId="167" fontId="39" fillId="0" borderId="15" xfId="4" applyNumberFormat="1" applyFont="1" applyBorder="1" applyAlignment="1">
      <alignment horizontal="right" vertical="center"/>
    </xf>
    <xf numFmtId="166" fontId="37" fillId="0" borderId="0" xfId="0" applyNumberFormat="1" applyFont="1" applyAlignment="1">
      <alignment horizontal="right" vertical="center"/>
    </xf>
    <xf numFmtId="174" fontId="37" fillId="0" borderId="2" xfId="2" applyNumberFormat="1" applyFont="1" applyFill="1" applyBorder="1" applyAlignment="1">
      <alignment horizontal="right" vertical="center"/>
    </xf>
    <xf numFmtId="167" fontId="37" fillId="0" borderId="0" xfId="0" applyNumberFormat="1" applyFont="1" applyAlignment="1">
      <alignment horizontal="right" vertical="center"/>
    </xf>
    <xf numFmtId="167" fontId="37" fillId="0" borderId="2" xfId="4" applyNumberFormat="1" applyFont="1" applyBorder="1" applyAlignment="1">
      <alignment horizontal="right" vertical="center"/>
    </xf>
    <xf numFmtId="175" fontId="37" fillId="0" borderId="0" xfId="0" applyNumberFormat="1" applyFont="1" applyAlignment="1">
      <alignment horizontal="right" vertical="center"/>
    </xf>
    <xf numFmtId="175" fontId="37" fillId="0" borderId="2" xfId="4" applyNumberFormat="1" applyFont="1" applyFill="1" applyBorder="1" applyAlignment="1">
      <alignment horizontal="right" vertical="center"/>
    </xf>
    <xf numFmtId="168" fontId="34" fillId="0" borderId="5" xfId="0" applyNumberFormat="1" applyFont="1" applyBorder="1" applyAlignment="1">
      <alignment horizontal="right" vertical="center"/>
    </xf>
    <xf numFmtId="174" fontId="39" fillId="0" borderId="0" xfId="0" applyNumberFormat="1" applyFont="1" applyAlignment="1">
      <alignment horizontal="right" vertical="center"/>
    </xf>
    <xf numFmtId="174" fontId="39" fillId="0" borderId="2" xfId="2" applyNumberFormat="1" applyFont="1" applyFill="1" applyBorder="1" applyAlignment="1">
      <alignment horizontal="right" vertical="center"/>
    </xf>
    <xf numFmtId="168" fontId="37" fillId="0" borderId="2" xfId="0" applyNumberFormat="1" applyFont="1" applyBorder="1" applyAlignment="1">
      <alignment horizontal="right" vertical="center"/>
    </xf>
    <xf numFmtId="168" fontId="39" fillId="0" borderId="0" xfId="0" applyNumberFormat="1" applyFont="1" applyAlignment="1">
      <alignment horizontal="right" vertical="center"/>
    </xf>
    <xf numFmtId="168" fontId="39" fillId="0" borderId="2" xfId="0" applyNumberFormat="1" applyFont="1" applyBorder="1" applyAlignment="1">
      <alignment horizontal="right" vertical="center"/>
    </xf>
    <xf numFmtId="168" fontId="35" fillId="0" borderId="0" xfId="4" applyNumberFormat="1" applyFont="1" applyFill="1" applyBorder="1" applyAlignment="1">
      <alignment horizontal="right" vertical="center"/>
    </xf>
    <xf numFmtId="168" fontId="34" fillId="0" borderId="0" xfId="4" applyNumberFormat="1" applyFont="1" applyFill="1" applyBorder="1" applyAlignment="1">
      <alignment horizontal="right" vertical="center"/>
    </xf>
    <xf numFmtId="167" fontId="40" fillId="0" borderId="0" xfId="4" applyNumberFormat="1" applyFont="1" applyFill="1" applyBorder="1" applyAlignment="1">
      <alignment horizontal="right" vertical="center"/>
    </xf>
    <xf numFmtId="168" fontId="37" fillId="0" borderId="0" xfId="4" applyNumberFormat="1" applyFont="1" applyFill="1" applyBorder="1" applyAlignment="1">
      <alignment horizontal="right" vertical="center"/>
    </xf>
    <xf numFmtId="167" fontId="36" fillId="0" borderId="0" xfId="4" applyNumberFormat="1" applyFont="1" applyAlignment="1">
      <alignment horizontal="right" vertical="center"/>
    </xf>
    <xf numFmtId="164" fontId="35" fillId="0" borderId="0" xfId="2" applyFont="1" applyFill="1" applyAlignment="1">
      <alignment horizontal="right" vertical="center"/>
    </xf>
    <xf numFmtId="168" fontId="20" fillId="0" borderId="0" xfId="0" applyNumberFormat="1" applyFont="1" applyAlignment="1">
      <alignment horizontal="right" vertical="center"/>
    </xf>
    <xf numFmtId="164" fontId="38" fillId="0" borderId="0" xfId="2" applyFont="1" applyFill="1" applyAlignment="1">
      <alignment horizontal="right" vertical="center"/>
    </xf>
    <xf numFmtId="164" fontId="40" fillId="0" borderId="0" xfId="2" applyFont="1" applyFill="1" applyAlignment="1">
      <alignment horizontal="right" vertical="center"/>
    </xf>
    <xf numFmtId="168" fontId="37" fillId="5" borderId="0" xfId="0" applyNumberFormat="1" applyFont="1" applyFill="1" applyAlignment="1">
      <alignment horizontal="right" vertical="center"/>
    </xf>
    <xf numFmtId="168" fontId="37" fillId="5" borderId="2" xfId="1" applyNumberFormat="1" applyFont="1" applyFill="1" applyBorder="1" applyAlignment="1">
      <alignment horizontal="right" vertical="center"/>
    </xf>
    <xf numFmtId="167" fontId="41" fillId="0" borderId="5" xfId="4" applyNumberFormat="1" applyFont="1" applyFill="1" applyBorder="1" applyAlignment="1">
      <alignment horizontal="right" vertical="center"/>
    </xf>
    <xf numFmtId="168" fontId="37" fillId="0" borderId="17" xfId="1" applyNumberFormat="1" applyFont="1" applyFill="1" applyBorder="1" applyAlignment="1">
      <alignment horizontal="right" vertical="center"/>
    </xf>
    <xf numFmtId="167" fontId="13" fillId="0" borderId="20" xfId="4" applyNumberFormat="1" applyFont="1" applyFill="1" applyBorder="1" applyAlignment="1">
      <alignment horizontal="right" vertical="center"/>
    </xf>
    <xf numFmtId="167" fontId="13" fillId="0" borderId="23" xfId="4" applyNumberFormat="1" applyFont="1" applyFill="1" applyBorder="1" applyAlignment="1">
      <alignment horizontal="right" vertical="center"/>
    </xf>
    <xf numFmtId="168" fontId="39" fillId="5" borderId="0" xfId="1" applyNumberFormat="1" applyFont="1" applyFill="1" applyAlignment="1">
      <alignment horizontal="right" vertical="center"/>
    </xf>
    <xf numFmtId="168" fontId="37" fillId="5" borderId="0" xfId="1" applyNumberFormat="1" applyFont="1" applyFill="1" applyAlignment="1">
      <alignment horizontal="right" vertical="center"/>
    </xf>
    <xf numFmtId="164" fontId="39" fillId="5" borderId="0" xfId="2" applyFont="1" applyFill="1" applyAlignment="1">
      <alignment horizontal="right" vertical="center"/>
    </xf>
    <xf numFmtId="3" fontId="13" fillId="0" borderId="28" xfId="4" applyNumberFormat="1" applyFont="1" applyFill="1" applyBorder="1" applyAlignment="1">
      <alignment horizontal="right" vertical="center"/>
    </xf>
    <xf numFmtId="168" fontId="35" fillId="0" borderId="0" xfId="0" applyNumberFormat="1" applyFont="1" applyAlignment="1">
      <alignment horizontal="right" vertical="center"/>
    </xf>
    <xf numFmtId="168" fontId="35" fillId="0" borderId="20" xfId="0" applyNumberFormat="1" applyFont="1" applyBorder="1" applyAlignment="1">
      <alignment horizontal="right" vertical="center"/>
    </xf>
    <xf numFmtId="168" fontId="34" fillId="0" borderId="20" xfId="0" applyNumberFormat="1" applyFont="1" applyBorder="1" applyAlignment="1">
      <alignment horizontal="right" vertical="center"/>
    </xf>
    <xf numFmtId="168" fontId="41" fillId="0" borderId="0" xfId="0" applyNumberFormat="1" applyFont="1" applyAlignment="1">
      <alignment horizontal="right" vertical="center"/>
    </xf>
    <xf numFmtId="168" fontId="41" fillId="0" borderId="20" xfId="0" applyNumberFormat="1" applyFont="1" applyBorder="1" applyAlignment="1">
      <alignment horizontal="right" vertical="center"/>
    </xf>
    <xf numFmtId="168" fontId="41" fillId="0" borderId="0" xfId="1" applyNumberFormat="1" applyFont="1" applyFill="1" applyBorder="1" applyAlignment="1">
      <alignment horizontal="right" vertical="center"/>
    </xf>
    <xf numFmtId="168" fontId="41" fillId="0" borderId="20" xfId="1" applyNumberFormat="1" applyFont="1" applyFill="1" applyBorder="1" applyAlignment="1">
      <alignment horizontal="right" vertical="center"/>
    </xf>
    <xf numFmtId="3" fontId="35" fillId="0" borderId="0" xfId="4" applyNumberFormat="1" applyFont="1" applyFill="1" applyBorder="1" applyAlignment="1">
      <alignment horizontal="right" vertical="center"/>
    </xf>
    <xf numFmtId="3" fontId="35" fillId="0" borderId="17" xfId="4" applyNumberFormat="1" applyFont="1" applyFill="1" applyBorder="1" applyAlignment="1">
      <alignment horizontal="right" vertical="center"/>
    </xf>
    <xf numFmtId="3" fontId="35" fillId="0" borderId="28" xfId="4" applyNumberFormat="1" applyFont="1" applyFill="1" applyBorder="1" applyAlignment="1">
      <alignment horizontal="right" vertical="center"/>
    </xf>
    <xf numFmtId="168" fontId="11" fillId="0" borderId="0" xfId="0" applyNumberFormat="1" applyFont="1"/>
    <xf numFmtId="168" fontId="26" fillId="0" borderId="0" xfId="1" applyNumberFormat="1" applyFont="1" applyFill="1" applyBorder="1" applyAlignment="1">
      <alignment horizontal="right" vertical="center"/>
    </xf>
    <xf numFmtId="167" fontId="28" fillId="0" borderId="0" xfId="4" applyNumberFormat="1" applyFont="1" applyFill="1" applyAlignment="1">
      <alignment horizontal="right" vertical="center"/>
    </xf>
    <xf numFmtId="168" fontId="39" fillId="0" borderId="0" xfId="1" applyNumberFormat="1" applyFont="1" applyFill="1" applyAlignment="1">
      <alignment horizontal="right" vertical="center"/>
    </xf>
    <xf numFmtId="180" fontId="26" fillId="0" borderId="14" xfId="0" applyNumberFormat="1" applyFont="1" applyBorder="1" applyAlignment="1">
      <alignment horizontal="right" vertical="center"/>
    </xf>
    <xf numFmtId="167" fontId="26" fillId="0" borderId="5" xfId="4" applyNumberFormat="1" applyFont="1" applyFill="1" applyBorder="1" applyAlignment="1">
      <alignment horizontal="right" vertical="center"/>
    </xf>
    <xf numFmtId="168" fontId="37" fillId="0" borderId="14" xfId="0" applyNumberFormat="1" applyFont="1" applyBorder="1" applyAlignment="1">
      <alignment horizontal="right" vertical="center"/>
    </xf>
    <xf numFmtId="167" fontId="26" fillId="4" borderId="5" xfId="4" applyNumberFormat="1" applyFont="1" applyFill="1" applyBorder="1" applyAlignment="1">
      <alignment horizontal="right" vertical="center"/>
    </xf>
    <xf numFmtId="168" fontId="36" fillId="0" borderId="0" xfId="1" applyNumberFormat="1" applyFont="1" applyFill="1" applyAlignment="1">
      <alignment horizontal="right" vertical="center"/>
    </xf>
    <xf numFmtId="168" fontId="26" fillId="0" borderId="14" xfId="1" applyNumberFormat="1" applyFont="1" applyFill="1" applyBorder="1" applyAlignment="1">
      <alignment horizontal="right" vertical="center"/>
    </xf>
    <xf numFmtId="173" fontId="28" fillId="0" borderId="14" xfId="0" applyNumberFormat="1" applyFont="1" applyBorder="1" applyAlignment="1">
      <alignment horizontal="right" vertical="center"/>
    </xf>
    <xf numFmtId="167" fontId="28" fillId="0" borderId="0" xfId="4" applyNumberFormat="1" applyFont="1" applyFill="1" applyBorder="1" applyAlignment="1">
      <alignment horizontal="right" vertical="center"/>
    </xf>
    <xf numFmtId="168" fontId="43" fillId="0" borderId="0" xfId="0" applyNumberFormat="1" applyFont="1" applyAlignment="1">
      <alignment horizontal="right" vertical="center"/>
    </xf>
    <xf numFmtId="168" fontId="26" fillId="0" borderId="5" xfId="0" applyNumberFormat="1" applyFont="1" applyBorder="1" applyAlignment="1">
      <alignment horizontal="right" vertical="center"/>
    </xf>
    <xf numFmtId="164" fontId="12" fillId="0" borderId="5" xfId="2" applyFont="1" applyFill="1" applyBorder="1" applyAlignment="1">
      <alignment horizontal="right" vertical="center"/>
    </xf>
    <xf numFmtId="168" fontId="39" fillId="0" borderId="0" xfId="4" applyNumberFormat="1" applyFont="1" applyFill="1" applyBorder="1" applyAlignment="1">
      <alignment horizontal="right" vertical="center"/>
    </xf>
    <xf numFmtId="168" fontId="37" fillId="0" borderId="5" xfId="4" applyNumberFormat="1" applyFont="1" applyFill="1" applyBorder="1" applyAlignment="1">
      <alignment horizontal="right" vertical="center"/>
    </xf>
    <xf numFmtId="167" fontId="28" fillId="4" borderId="0" xfId="4" applyNumberFormat="1" applyFont="1" applyFill="1" applyAlignment="1">
      <alignment horizontal="right" vertical="center"/>
    </xf>
    <xf numFmtId="164" fontId="28" fillId="0" borderId="0" xfId="2" applyFont="1" applyFill="1" applyAlignment="1">
      <alignment horizontal="right" vertical="center"/>
    </xf>
    <xf numFmtId="167" fontId="26" fillId="4" borderId="0" xfId="4" applyNumberFormat="1" applyFont="1" applyFill="1" applyBorder="1" applyAlignment="1">
      <alignment horizontal="right" vertical="center"/>
    </xf>
    <xf numFmtId="170" fontId="26" fillId="0" borderId="5" xfId="0" applyNumberFormat="1" applyFont="1" applyBorder="1" applyAlignment="1">
      <alignment horizontal="right" vertical="center"/>
    </xf>
    <xf numFmtId="167" fontId="13" fillId="5" borderId="6" xfId="4" applyNumberFormat="1" applyFont="1" applyFill="1" applyBorder="1" applyAlignment="1">
      <alignment horizontal="right" vertical="center"/>
    </xf>
    <xf numFmtId="168" fontId="37" fillId="5" borderId="0" xfId="2" applyNumberFormat="1" applyFont="1" applyFill="1" applyAlignment="1">
      <alignment horizontal="right" vertical="center"/>
    </xf>
    <xf numFmtId="18" fontId="20" fillId="0" borderId="14" xfId="0" applyNumberFormat="1" applyFont="1" applyBorder="1" applyAlignment="1">
      <alignment horizontal="left" vertical="center"/>
    </xf>
    <xf numFmtId="168" fontId="38" fillId="0" borderId="14" xfId="1" applyNumberFormat="1" applyFont="1" applyFill="1" applyBorder="1" applyAlignment="1">
      <alignment horizontal="right" vertical="center"/>
    </xf>
    <xf numFmtId="167" fontId="38" fillId="0" borderId="14" xfId="4" applyNumberFormat="1" applyFont="1" applyFill="1" applyBorder="1" applyAlignment="1">
      <alignment horizontal="right" vertical="center"/>
    </xf>
    <xf numFmtId="168" fontId="34" fillId="0" borderId="2" xfId="1" applyNumberFormat="1" applyFont="1" applyFill="1" applyBorder="1" applyAlignment="1">
      <alignment horizontal="right" vertical="center"/>
    </xf>
    <xf numFmtId="168" fontId="34" fillId="6" borderId="2" xfId="1" applyNumberFormat="1" applyFont="1" applyFill="1" applyBorder="1" applyAlignment="1">
      <alignment horizontal="right" vertical="center"/>
    </xf>
    <xf numFmtId="168" fontId="34" fillId="6" borderId="0" xfId="1" applyNumberFormat="1" applyFont="1" applyFill="1" applyAlignment="1">
      <alignment horizontal="right" vertical="center"/>
    </xf>
    <xf numFmtId="168" fontId="34" fillId="6" borderId="0" xfId="1" applyNumberFormat="1" applyFont="1" applyFill="1" applyBorder="1" applyAlignment="1">
      <alignment horizontal="right" vertical="center"/>
    </xf>
    <xf numFmtId="18" fontId="20" fillId="0" borderId="0" xfId="0" applyNumberFormat="1" applyFont="1" applyAlignment="1">
      <alignment horizontal="left" vertical="center"/>
    </xf>
    <xf numFmtId="0" fontId="12" fillId="0" borderId="29" xfId="0" applyFont="1" applyBorder="1" applyAlignment="1">
      <alignment horizontal="right" vertical="center"/>
    </xf>
    <xf numFmtId="168" fontId="34" fillId="5" borderId="0" xfId="0" applyNumberFormat="1" applyFont="1" applyFill="1" applyAlignment="1">
      <alignment horizontal="right" vertical="center"/>
    </xf>
    <xf numFmtId="164" fontId="35" fillId="5" borderId="0" xfId="2" applyFont="1" applyFill="1" applyAlignment="1">
      <alignment horizontal="right" vertical="center"/>
    </xf>
    <xf numFmtId="167" fontId="13" fillId="0" borderId="20" xfId="4" applyNumberFormat="1" applyFont="1" applyBorder="1" applyAlignment="1">
      <alignment horizontal="right" vertical="center"/>
    </xf>
    <xf numFmtId="167" fontId="26" fillId="0" borderId="0" xfId="4" applyNumberFormat="1" applyFont="1" applyFill="1" applyBorder="1" applyAlignment="1">
      <alignment horizontal="right" vertical="center"/>
    </xf>
    <xf numFmtId="167" fontId="26" fillId="5" borderId="0" xfId="1" applyNumberFormat="1" applyFont="1" applyFill="1" applyAlignment="1">
      <alignment horizontal="right" vertical="center"/>
    </xf>
    <xf numFmtId="168" fontId="13" fillId="0" borderId="0" xfId="4" applyNumberFormat="1" applyFont="1" applyFill="1" applyBorder="1" applyAlignment="1">
      <alignment horizontal="right" vertical="center"/>
    </xf>
    <xf numFmtId="168" fontId="35" fillId="5" borderId="0" xfId="1" applyNumberFormat="1" applyFont="1" applyFill="1" applyAlignment="1">
      <alignment horizontal="right" vertical="center"/>
    </xf>
    <xf numFmtId="168" fontId="26" fillId="0" borderId="0" xfId="0" applyNumberFormat="1" applyFont="1" applyAlignment="1">
      <alignment horizontal="right" vertical="center"/>
    </xf>
    <xf numFmtId="168" fontId="26" fillId="0" borderId="20" xfId="0" applyNumberFormat="1" applyFont="1" applyBorder="1" applyAlignment="1">
      <alignment horizontal="right" vertical="center"/>
    </xf>
    <xf numFmtId="167" fontId="12" fillId="0" borderId="0" xfId="2" applyNumberFormat="1" applyFont="1" applyFill="1" applyAlignment="1">
      <alignment horizontal="right" vertical="center"/>
    </xf>
    <xf numFmtId="167" fontId="12" fillId="0" borderId="23" xfId="4" applyNumberFormat="1" applyFont="1" applyFill="1" applyBorder="1" applyAlignment="1">
      <alignment horizontal="right" vertical="center"/>
    </xf>
    <xf numFmtId="167" fontId="26" fillId="0" borderId="23" xfId="4" applyNumberFormat="1" applyFont="1" applyFill="1" applyBorder="1" applyAlignment="1">
      <alignment horizontal="right" vertical="center"/>
    </xf>
    <xf numFmtId="167" fontId="12" fillId="0" borderId="20" xfId="4" applyNumberFormat="1" applyFont="1" applyFill="1" applyBorder="1" applyAlignment="1">
      <alignment horizontal="right" vertical="center"/>
    </xf>
    <xf numFmtId="3" fontId="12" fillId="0" borderId="0" xfId="4" applyNumberFormat="1" applyFont="1" applyFill="1" applyBorder="1" applyAlignment="1">
      <alignment horizontal="right" vertical="center"/>
    </xf>
    <xf numFmtId="3" fontId="12" fillId="0" borderId="28" xfId="4" applyNumberFormat="1" applyFont="1" applyFill="1" applyBorder="1" applyAlignment="1">
      <alignment horizontal="right" vertical="center"/>
    </xf>
    <xf numFmtId="3" fontId="12" fillId="0" borderId="18" xfId="4" applyNumberFormat="1" applyFont="1" applyFill="1" applyBorder="1" applyAlignment="1">
      <alignment horizontal="right" vertical="center"/>
    </xf>
    <xf numFmtId="168" fontId="13" fillId="5" borderId="22" xfId="0" applyNumberFormat="1" applyFont="1" applyFill="1" applyBorder="1" applyAlignment="1">
      <alignment horizontal="right" vertical="center"/>
    </xf>
    <xf numFmtId="168" fontId="42" fillId="5" borderId="0" xfId="0" applyNumberFormat="1" applyFont="1" applyFill="1" applyAlignment="1">
      <alignment horizontal="right" vertical="center"/>
    </xf>
    <xf numFmtId="168" fontId="42" fillId="5" borderId="22" xfId="0" applyNumberFormat="1" applyFont="1" applyFill="1" applyBorder="1" applyAlignment="1">
      <alignment horizontal="right" vertical="center"/>
    </xf>
    <xf numFmtId="168" fontId="39" fillId="5" borderId="0" xfId="0" applyNumberFormat="1" applyFont="1" applyFill="1" applyAlignment="1">
      <alignment horizontal="right" vertical="center"/>
    </xf>
    <xf numFmtId="9" fontId="11" fillId="0" borderId="0" xfId="0" applyNumberFormat="1" applyFont="1"/>
    <xf numFmtId="3" fontId="12" fillId="0" borderId="20" xfId="0" applyNumberFormat="1" applyFont="1" applyBorder="1" applyAlignment="1">
      <alignment vertical="center"/>
    </xf>
    <xf numFmtId="168" fontId="37" fillId="0" borderId="0" xfId="1" applyNumberFormat="1" applyFont="1" applyFill="1" applyAlignment="1">
      <alignment horizontal="right" vertical="center"/>
    </xf>
    <xf numFmtId="168" fontId="38" fillId="0" borderId="0" xfId="1" applyNumberFormat="1" applyFont="1" applyFill="1" applyBorder="1" applyAlignment="1">
      <alignment horizontal="right" vertical="center"/>
    </xf>
    <xf numFmtId="167" fontId="38" fillId="0" borderId="0" xfId="4" applyNumberFormat="1" applyFont="1" applyFill="1" applyBorder="1" applyAlignment="1">
      <alignment horizontal="right" vertical="center"/>
    </xf>
    <xf numFmtId="18" fontId="29" fillId="0" borderId="0" xfId="0" applyNumberFormat="1" applyFont="1" applyAlignment="1">
      <alignment horizontal="left" vertical="center"/>
    </xf>
    <xf numFmtId="3" fontId="20" fillId="0" borderId="0" xfId="4" applyNumberFormat="1" applyFont="1" applyFill="1" applyBorder="1" applyAlignment="1">
      <alignment horizontal="right" vertical="center"/>
    </xf>
    <xf numFmtId="3" fontId="20" fillId="0" borderId="14" xfId="4" applyNumberFormat="1" applyFont="1" applyFill="1" applyBorder="1" applyAlignment="1">
      <alignment horizontal="right" vertical="center"/>
    </xf>
    <xf numFmtId="3" fontId="20" fillId="0" borderId="2" xfId="4" applyNumberFormat="1" applyFont="1" applyFill="1" applyBorder="1" applyAlignment="1">
      <alignment horizontal="right" vertical="center"/>
    </xf>
    <xf numFmtId="3" fontId="20" fillId="0" borderId="15" xfId="4" applyNumberFormat="1" applyFont="1" applyFill="1" applyBorder="1" applyAlignment="1">
      <alignment horizontal="right" vertical="center"/>
    </xf>
    <xf numFmtId="168" fontId="17" fillId="5" borderId="15" xfId="1" applyNumberFormat="1" applyFont="1" applyFill="1" applyBorder="1" applyAlignment="1">
      <alignment horizontal="right" vertical="center"/>
    </xf>
    <xf numFmtId="168" fontId="37" fillId="5" borderId="14" xfId="1" applyNumberFormat="1" applyFont="1" applyFill="1" applyBorder="1" applyAlignment="1">
      <alignment horizontal="right" vertical="center"/>
    </xf>
    <xf numFmtId="167" fontId="20" fillId="4" borderId="2" xfId="4" applyNumberFormat="1" applyFont="1" applyFill="1" applyBorder="1" applyAlignment="1">
      <alignment horizontal="right" vertical="center"/>
    </xf>
    <xf numFmtId="18" fontId="13" fillId="5" borderId="0" xfId="0" applyNumberFormat="1" applyFont="1" applyFill="1" applyAlignment="1">
      <alignment horizontal="left" vertical="center"/>
    </xf>
    <xf numFmtId="168" fontId="34" fillId="5" borderId="0" xfId="1" applyNumberFormat="1" applyFont="1" applyFill="1" applyAlignment="1">
      <alignment horizontal="right" vertical="center"/>
    </xf>
    <xf numFmtId="168" fontId="37" fillId="5" borderId="0" xfId="1" applyNumberFormat="1" applyFont="1" applyFill="1" applyBorder="1" applyAlignment="1">
      <alignment horizontal="right" vertical="center"/>
    </xf>
    <xf numFmtId="168" fontId="37" fillId="5" borderId="0" xfId="0" applyNumberFormat="1" applyFont="1" applyFill="1" applyAlignment="1">
      <alignment vertical="center"/>
    </xf>
    <xf numFmtId="0" fontId="20" fillId="5" borderId="0" xfId="0" applyFont="1" applyFill="1" applyAlignment="1">
      <alignment horizontal="left" vertical="center"/>
    </xf>
    <xf numFmtId="164" fontId="36" fillId="5" borderId="0" xfId="2" applyFont="1" applyFill="1" applyAlignment="1">
      <alignment horizontal="right" vertical="center"/>
    </xf>
    <xf numFmtId="168" fontId="20" fillId="5" borderId="2" xfId="1" applyNumberFormat="1" applyFont="1" applyFill="1" applyBorder="1" applyAlignment="1">
      <alignment horizontal="right" vertical="center"/>
    </xf>
    <xf numFmtId="182" fontId="32" fillId="5" borderId="0" xfId="2" applyNumberFormat="1" applyFont="1" applyFill="1" applyAlignment="1">
      <alignment horizontal="right" vertical="center"/>
    </xf>
    <xf numFmtId="170" fontId="20" fillId="5" borderId="2" xfId="1" applyNumberFormat="1" applyFont="1" applyFill="1" applyBorder="1" applyAlignment="1">
      <alignment horizontal="right" vertical="center"/>
    </xf>
    <xf numFmtId="167" fontId="11" fillId="0" borderId="0" xfId="0" applyNumberFormat="1" applyFont="1"/>
    <xf numFmtId="168" fontId="17" fillId="4" borderId="0" xfId="1" applyNumberFormat="1" applyFont="1" applyFill="1" applyBorder="1" applyAlignment="1">
      <alignment horizontal="right" vertical="center"/>
    </xf>
    <xf numFmtId="168" fontId="17" fillId="4" borderId="20" xfId="1" applyNumberFormat="1" applyFont="1" applyFill="1" applyBorder="1" applyAlignment="1">
      <alignment horizontal="right" vertical="center"/>
    </xf>
    <xf numFmtId="167" fontId="43" fillId="0" borderId="0" xfId="4" applyNumberFormat="1" applyFont="1" applyFill="1" applyBorder="1" applyAlignment="1">
      <alignment horizontal="right" vertical="center"/>
    </xf>
    <xf numFmtId="167" fontId="43" fillId="0" borderId="20" xfId="4" applyNumberFormat="1" applyFont="1" applyFill="1" applyBorder="1" applyAlignment="1">
      <alignment horizontal="right" vertical="center"/>
    </xf>
    <xf numFmtId="167" fontId="43" fillId="0" borderId="28" xfId="4" applyNumberFormat="1" applyFont="1" applyFill="1" applyBorder="1" applyAlignment="1">
      <alignment horizontal="right" vertical="center"/>
    </xf>
    <xf numFmtId="167" fontId="43" fillId="0" borderId="17" xfId="4" applyNumberFormat="1" applyFont="1" applyFill="1" applyBorder="1" applyAlignment="1">
      <alignment horizontal="right" vertical="center"/>
    </xf>
    <xf numFmtId="167" fontId="43" fillId="0" borderId="23" xfId="4" applyNumberFormat="1" applyFont="1" applyFill="1" applyBorder="1" applyAlignment="1">
      <alignment horizontal="right" vertical="center"/>
    </xf>
    <xf numFmtId="168" fontId="34" fillId="5" borderId="0" xfId="1" applyNumberFormat="1" applyFont="1" applyFill="1" applyBorder="1" applyAlignment="1">
      <alignment horizontal="right" vertical="center"/>
    </xf>
    <xf numFmtId="3" fontId="13" fillId="0" borderId="0" xfId="4" applyNumberFormat="1" applyFont="1" applyFill="1" applyBorder="1" applyAlignment="1">
      <alignment horizontal="right" vertical="center"/>
    </xf>
    <xf numFmtId="3" fontId="39" fillId="0" borderId="0" xfId="4" applyNumberFormat="1" applyFont="1" applyFill="1" applyBorder="1" applyAlignment="1">
      <alignment horizontal="right" vertical="center"/>
    </xf>
    <xf numFmtId="167" fontId="43" fillId="0" borderId="5" xfId="4" applyNumberFormat="1" applyFont="1" applyFill="1" applyBorder="1" applyAlignment="1">
      <alignment horizontal="right" vertical="center"/>
    </xf>
    <xf numFmtId="168" fontId="37" fillId="0" borderId="20" xfId="0" applyNumberFormat="1" applyFont="1" applyBorder="1" applyAlignment="1">
      <alignment horizontal="right" vertical="center"/>
    </xf>
    <xf numFmtId="168" fontId="26" fillId="0" borderId="20" xfId="1" applyNumberFormat="1" applyFont="1" applyFill="1" applyBorder="1" applyAlignment="1">
      <alignment horizontal="right" vertical="center"/>
    </xf>
    <xf numFmtId="3" fontId="39" fillId="0" borderId="28" xfId="4" applyNumberFormat="1" applyFont="1" applyFill="1" applyBorder="1" applyAlignment="1">
      <alignment horizontal="right" vertical="center"/>
    </xf>
    <xf numFmtId="3" fontId="36" fillId="0" borderId="2" xfId="4" applyNumberFormat="1" applyFont="1" applyFill="1" applyBorder="1" applyAlignment="1">
      <alignment horizontal="right" vertical="center"/>
    </xf>
    <xf numFmtId="3" fontId="36" fillId="0" borderId="0" xfId="4" applyNumberFormat="1" applyFont="1" applyFill="1" applyBorder="1" applyAlignment="1">
      <alignment horizontal="right" vertical="center"/>
    </xf>
    <xf numFmtId="3" fontId="36" fillId="0" borderId="14" xfId="4" applyNumberFormat="1" applyFont="1" applyFill="1" applyBorder="1" applyAlignment="1">
      <alignment horizontal="right" vertical="center"/>
    </xf>
    <xf numFmtId="168" fontId="16" fillId="7" borderId="15" xfId="1" applyNumberFormat="1" applyFont="1" applyFill="1" applyBorder="1" applyAlignment="1">
      <alignment horizontal="right" vertical="center"/>
    </xf>
    <xf numFmtId="168" fontId="16" fillId="7" borderId="14" xfId="1" applyNumberFormat="1" applyFont="1" applyFill="1" applyBorder="1" applyAlignment="1">
      <alignment horizontal="right" vertical="center"/>
    </xf>
    <xf numFmtId="168" fontId="16" fillId="7" borderId="2" xfId="1" applyNumberFormat="1" applyFont="1" applyFill="1" applyBorder="1" applyAlignment="1">
      <alignment horizontal="right" vertical="center"/>
    </xf>
    <xf numFmtId="168" fontId="16" fillId="7" borderId="0" xfId="1" applyNumberFormat="1" applyFont="1" applyFill="1" applyBorder="1" applyAlignment="1">
      <alignment horizontal="right" vertical="center"/>
    </xf>
    <xf numFmtId="168" fontId="16" fillId="7" borderId="0" xfId="1" applyNumberFormat="1" applyFont="1" applyFill="1" applyAlignment="1">
      <alignment horizontal="right" vertical="center"/>
    </xf>
    <xf numFmtId="168" fontId="13" fillId="7" borderId="6" xfId="0" applyNumberFormat="1" applyFont="1" applyFill="1" applyBorder="1" applyAlignment="1">
      <alignment horizontal="right" vertical="center"/>
    </xf>
    <xf numFmtId="168" fontId="13" fillId="7" borderId="5" xfId="0" applyNumberFormat="1" applyFont="1" applyFill="1" applyBorder="1" applyAlignment="1">
      <alignment horizontal="right" vertical="center"/>
    </xf>
    <xf numFmtId="164" fontId="26" fillId="0" borderId="0" xfId="0" applyNumberFormat="1" applyFont="1" applyAlignment="1">
      <alignment horizontal="right" vertical="center"/>
    </xf>
    <xf numFmtId="172" fontId="12" fillId="4" borderId="0" xfId="0" applyNumberFormat="1" applyFont="1" applyFill="1" applyAlignment="1">
      <alignment vertical="center"/>
    </xf>
    <xf numFmtId="168" fontId="12" fillId="0" borderId="2" xfId="0" applyNumberFormat="1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168" fontId="34" fillId="0" borderId="30" xfId="0" applyNumberFormat="1" applyFont="1" applyBorder="1" applyAlignment="1">
      <alignment horizontal="right" vertical="center"/>
    </xf>
    <xf numFmtId="168" fontId="37" fillId="0" borderId="30" xfId="0" applyNumberFormat="1" applyFont="1" applyBorder="1" applyAlignment="1">
      <alignment horizontal="right" vertical="center"/>
    </xf>
    <xf numFmtId="9" fontId="12" fillId="0" borderId="2" xfId="4" applyFont="1" applyBorder="1" applyAlignment="1">
      <alignment vertical="center"/>
    </xf>
    <xf numFmtId="167" fontId="12" fillId="0" borderId="12" xfId="4" applyNumberFormat="1" applyFont="1" applyFill="1" applyBorder="1" applyAlignment="1">
      <alignment vertical="center"/>
    </xf>
    <xf numFmtId="167" fontId="12" fillId="0" borderId="12" xfId="4" applyNumberFormat="1" applyFont="1" applyFill="1" applyBorder="1" applyAlignment="1">
      <alignment horizontal="right" vertical="center"/>
    </xf>
    <xf numFmtId="167" fontId="12" fillId="0" borderId="13" xfId="4" applyNumberFormat="1" applyFont="1" applyFill="1" applyBorder="1" applyAlignment="1">
      <alignment horizontal="right" vertical="center"/>
    </xf>
    <xf numFmtId="167" fontId="26" fillId="0" borderId="12" xfId="4" applyNumberFormat="1" applyFont="1" applyFill="1" applyBorder="1" applyAlignment="1">
      <alignment horizontal="right" vertical="center"/>
    </xf>
    <xf numFmtId="168" fontId="16" fillId="5" borderId="2" xfId="1" applyNumberFormat="1" applyFont="1" applyFill="1" applyBorder="1" applyAlignment="1">
      <alignment horizontal="right" vertical="center"/>
    </xf>
    <xf numFmtId="168" fontId="16" fillId="5" borderId="0" xfId="1" applyNumberFormat="1" applyFont="1" applyFill="1" applyAlignment="1">
      <alignment horizontal="right" vertical="center"/>
    </xf>
    <xf numFmtId="168" fontId="43" fillId="5" borderId="0" xfId="1" applyNumberFormat="1" applyFont="1" applyFill="1" applyAlignment="1">
      <alignment horizontal="right" vertical="center"/>
    </xf>
    <xf numFmtId="3" fontId="12" fillId="0" borderId="2" xfId="4" applyNumberFormat="1" applyFont="1" applyFill="1" applyBorder="1" applyAlignment="1">
      <alignment horizontal="right" vertical="center"/>
    </xf>
    <xf numFmtId="3" fontId="12" fillId="0" borderId="0" xfId="4" applyNumberFormat="1" applyFont="1" applyFill="1" applyAlignment="1">
      <alignment horizontal="right" vertical="center"/>
    </xf>
    <xf numFmtId="167" fontId="12" fillId="2" borderId="0" xfId="4" applyNumberFormat="1" applyFont="1" applyFill="1" applyAlignment="1">
      <alignment horizontal="center"/>
    </xf>
    <xf numFmtId="167" fontId="12" fillId="0" borderId="2" xfId="4" applyNumberFormat="1" applyFont="1" applyBorder="1" applyAlignment="1">
      <alignment horizontal="center"/>
    </xf>
    <xf numFmtId="167" fontId="12" fillId="2" borderId="5" xfId="4" applyNumberFormat="1" applyFont="1" applyFill="1" applyBorder="1" applyAlignment="1">
      <alignment horizontal="center"/>
    </xf>
    <xf numFmtId="167" fontId="12" fillId="0" borderId="6" xfId="4" applyNumberFormat="1" applyFont="1" applyBorder="1" applyAlignment="1">
      <alignment horizontal="center"/>
    </xf>
    <xf numFmtId="168" fontId="39" fillId="5" borderId="0" xfId="4" applyNumberFormat="1" applyFont="1" applyFill="1" applyBorder="1" applyAlignment="1">
      <alignment horizontal="right" vertical="center"/>
    </xf>
    <xf numFmtId="168" fontId="13" fillId="5" borderId="0" xfId="4" applyNumberFormat="1" applyFont="1" applyFill="1" applyBorder="1" applyAlignment="1">
      <alignment horizontal="right" vertical="center"/>
    </xf>
    <xf numFmtId="167" fontId="28" fillId="4" borderId="0" xfId="4" applyNumberFormat="1" applyFont="1" applyFill="1" applyBorder="1" applyAlignment="1">
      <alignment horizontal="right" vertical="center"/>
    </xf>
    <xf numFmtId="0" fontId="12" fillId="5" borderId="19" xfId="0" applyFont="1" applyFill="1" applyBorder="1" applyAlignment="1">
      <alignment vertical="center"/>
    </xf>
    <xf numFmtId="0" fontId="14" fillId="8" borderId="10" xfId="0" applyFont="1" applyFill="1" applyBorder="1" applyAlignment="1">
      <alignment horizontal="left" vertical="center"/>
    </xf>
    <xf numFmtId="0" fontId="14" fillId="8" borderId="10" xfId="0" applyFont="1" applyFill="1" applyBorder="1" applyAlignment="1">
      <alignment horizontal="center" vertical="center" wrapText="1"/>
    </xf>
    <xf numFmtId="3" fontId="31" fillId="5" borderId="0" xfId="0" applyNumberFormat="1" applyFont="1" applyFill="1" applyAlignment="1">
      <alignment horizontal="center" vertical="center"/>
    </xf>
    <xf numFmtId="9" fontId="26" fillId="5" borderId="0" xfId="0" applyNumberFormat="1" applyFont="1" applyFill="1" applyAlignment="1">
      <alignment horizontal="center" vertical="center"/>
    </xf>
    <xf numFmtId="176" fontId="11" fillId="5" borderId="14" xfId="0" applyNumberFormat="1" applyFont="1" applyFill="1" applyBorder="1" applyAlignment="1">
      <alignment horizontal="center" vertical="center"/>
    </xf>
    <xf numFmtId="176" fontId="31" fillId="5" borderId="14" xfId="0" applyNumberFormat="1" applyFont="1" applyFill="1" applyBorder="1" applyAlignment="1">
      <alignment horizontal="center" vertical="center"/>
    </xf>
    <xf numFmtId="0" fontId="31" fillId="5" borderId="14" xfId="0" applyFont="1" applyFill="1" applyBorder="1" applyAlignment="1">
      <alignment horizontal="left" vertical="center"/>
    </xf>
    <xf numFmtId="0" fontId="44" fillId="0" borderId="0" xfId="0" applyFont="1"/>
    <xf numFmtId="0" fontId="45" fillId="3" borderId="10" xfId="0" applyFont="1" applyFill="1" applyBorder="1" applyAlignment="1">
      <alignment horizontal="left" vertical="center"/>
    </xf>
    <xf numFmtId="1" fontId="45" fillId="3" borderId="10" xfId="0" applyNumberFormat="1" applyFont="1" applyFill="1" applyBorder="1" applyAlignment="1">
      <alignment horizontal="right" vertical="center"/>
    </xf>
    <xf numFmtId="166" fontId="45" fillId="3" borderId="10" xfId="0" applyNumberFormat="1" applyFont="1" applyFill="1" applyBorder="1" applyAlignment="1">
      <alignment horizontal="right" vertical="center"/>
    </xf>
    <xf numFmtId="0" fontId="44" fillId="0" borderId="0" xfId="0" applyFont="1" applyAlignment="1">
      <alignment vertical="center"/>
    </xf>
    <xf numFmtId="4" fontId="46" fillId="5" borderId="0" xfId="1" applyNumberFormat="1" applyFont="1" applyFill="1" applyAlignment="1">
      <alignment vertical="center"/>
    </xf>
    <xf numFmtId="168" fontId="46" fillId="5" borderId="0" xfId="0" applyNumberFormat="1" applyFont="1" applyFill="1" applyAlignment="1">
      <alignment horizontal="right" vertical="center"/>
    </xf>
    <xf numFmtId="4" fontId="46" fillId="5" borderId="12" xfId="1" applyNumberFormat="1" applyFont="1" applyFill="1" applyBorder="1" applyAlignment="1">
      <alignment vertical="center"/>
    </xf>
    <xf numFmtId="168" fontId="46" fillId="5" borderId="12" xfId="0" applyNumberFormat="1" applyFont="1" applyFill="1" applyBorder="1" applyAlignment="1">
      <alignment horizontal="right" vertical="center"/>
    </xf>
    <xf numFmtId="4" fontId="47" fillId="0" borderId="0" xfId="1" applyNumberFormat="1" applyFont="1" applyFill="1" applyAlignment="1">
      <alignment horizontal="left" vertical="center" indent="1"/>
    </xf>
    <xf numFmtId="168" fontId="47" fillId="0" borderId="0" xfId="0" applyNumberFormat="1" applyFont="1" applyAlignment="1">
      <alignment horizontal="right" vertical="center"/>
    </xf>
    <xf numFmtId="4" fontId="46" fillId="0" borderId="0" xfId="1" applyNumberFormat="1" applyFont="1" applyFill="1" applyAlignment="1">
      <alignment horizontal="left" vertical="center"/>
    </xf>
    <xf numFmtId="168" fontId="46" fillId="0" borderId="0" xfId="0" applyNumberFormat="1" applyFont="1" applyAlignment="1">
      <alignment horizontal="right" vertical="center"/>
    </xf>
    <xf numFmtId="4" fontId="46" fillId="0" borderId="12" xfId="1" applyNumberFormat="1" applyFont="1" applyFill="1" applyBorder="1" applyAlignment="1">
      <alignment vertical="center"/>
    </xf>
    <xf numFmtId="168" fontId="46" fillId="0" borderId="12" xfId="0" applyNumberFormat="1" applyFont="1" applyBorder="1" applyAlignment="1">
      <alignment horizontal="right" vertical="center"/>
    </xf>
    <xf numFmtId="4" fontId="48" fillId="5" borderId="0" xfId="1" applyNumberFormat="1" applyFont="1" applyFill="1" applyAlignment="1">
      <alignment vertical="center"/>
    </xf>
    <xf numFmtId="167" fontId="48" fillId="0" borderId="0" xfId="4" applyNumberFormat="1" applyFont="1" applyFill="1" applyAlignment="1">
      <alignment horizontal="right" vertical="center"/>
    </xf>
    <xf numFmtId="4" fontId="48" fillId="0" borderId="12" xfId="1" applyNumberFormat="1" applyFont="1" applyFill="1" applyBorder="1" applyAlignment="1">
      <alignment vertical="center"/>
    </xf>
    <xf numFmtId="167" fontId="48" fillId="0" borderId="12" xfId="4" applyNumberFormat="1" applyFont="1" applyFill="1" applyBorder="1" applyAlignment="1">
      <alignment horizontal="right" vertical="center"/>
    </xf>
    <xf numFmtId="0" fontId="49" fillId="0" borderId="0" xfId="0" applyFont="1" applyAlignment="1">
      <alignment vertical="center"/>
    </xf>
    <xf numFmtId="167" fontId="49" fillId="0" borderId="0" xfId="4" applyNumberFormat="1" applyFont="1" applyBorder="1" applyAlignment="1">
      <alignment vertical="center"/>
    </xf>
    <xf numFmtId="0" fontId="50" fillId="0" borderId="5" xfId="0" applyFont="1" applyBorder="1" applyAlignment="1">
      <alignment vertical="center"/>
    </xf>
    <xf numFmtId="167" fontId="50" fillId="0" borderId="5" xfId="4" applyNumberFormat="1" applyFont="1" applyBorder="1" applyAlignment="1">
      <alignment vertical="center"/>
    </xf>
    <xf numFmtId="167" fontId="12" fillId="5" borderId="0" xfId="0" applyNumberFormat="1" applyFont="1" applyFill="1" applyAlignment="1">
      <alignment horizontal="center" vertical="center"/>
    </xf>
    <xf numFmtId="167" fontId="48" fillId="9" borderId="0" xfId="4" applyNumberFormat="1" applyFont="1" applyFill="1" applyAlignment="1">
      <alignment horizontal="right" vertical="center"/>
    </xf>
    <xf numFmtId="167" fontId="49" fillId="9" borderId="0" xfId="4" applyNumberFormat="1" applyFont="1" applyFill="1" applyBorder="1" applyAlignment="1">
      <alignment vertical="center"/>
    </xf>
    <xf numFmtId="167" fontId="50" fillId="9" borderId="5" xfId="4" applyNumberFormat="1" applyFont="1" applyFill="1" applyBorder="1" applyAlignment="1">
      <alignment vertical="center"/>
    </xf>
    <xf numFmtId="167" fontId="38" fillId="0" borderId="15" xfId="4" applyNumberFormat="1" applyFont="1" applyFill="1" applyBorder="1" applyAlignment="1">
      <alignment horizontal="right" vertical="center"/>
    </xf>
    <xf numFmtId="168" fontId="34" fillId="4" borderId="0" xfId="1" applyNumberFormat="1" applyFont="1" applyFill="1" applyBorder="1" applyAlignment="1">
      <alignment horizontal="right" vertical="center"/>
    </xf>
    <xf numFmtId="9" fontId="12" fillId="0" borderId="2" xfId="0" applyNumberFormat="1" applyFont="1" applyBorder="1" applyAlignment="1">
      <alignment horizontal="right" vertical="center"/>
    </xf>
    <xf numFmtId="167" fontId="28" fillId="0" borderId="14" xfId="2" applyNumberFormat="1" applyFont="1" applyFill="1" applyBorder="1" applyAlignment="1">
      <alignment horizontal="right" vertical="center"/>
    </xf>
    <xf numFmtId="3" fontId="39" fillId="4" borderId="0" xfId="4" applyNumberFormat="1" applyFont="1" applyFill="1" applyBorder="1" applyAlignment="1">
      <alignment horizontal="right" vertical="center"/>
    </xf>
    <xf numFmtId="4" fontId="11" fillId="0" borderId="0" xfId="0" applyNumberFormat="1" applyFont="1"/>
    <xf numFmtId="171" fontId="11" fillId="0" borderId="0" xfId="0" applyNumberFormat="1" applyFont="1"/>
    <xf numFmtId="184" fontId="12" fillId="0" borderId="0" xfId="4" applyNumberFormat="1" applyFont="1" applyFill="1" applyAlignment="1">
      <alignment horizontal="right" vertical="center"/>
    </xf>
    <xf numFmtId="0" fontId="51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quotePrefix="1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0" fontId="0" fillId="11" borderId="0" xfId="0" applyNumberFormat="1" applyFill="1" applyAlignment="1">
      <alignment horizontal="center" vertical="center"/>
    </xf>
    <xf numFmtId="9" fontId="0" fillId="11" borderId="0" xfId="0" applyNumberFormat="1" applyFill="1" applyAlignment="1">
      <alignment horizontal="center" vertical="center"/>
    </xf>
    <xf numFmtId="3" fontId="0" fillId="11" borderId="0" xfId="11" applyNumberFormat="1" applyFont="1" applyFill="1" applyAlignment="1">
      <alignment horizontal="center" vertical="center"/>
    </xf>
    <xf numFmtId="0" fontId="52" fillId="10" borderId="0" xfId="0" applyFont="1" applyFill="1" applyAlignment="1">
      <alignment horizontal="center" vertical="center"/>
    </xf>
    <xf numFmtId="168" fontId="53" fillId="12" borderId="31" xfId="12" applyNumberFormat="1" applyFont="1" applyFill="1" applyBorder="1" applyAlignment="1" applyProtection="1">
      <alignment horizontal="center" vertical="center"/>
      <protection locked="0"/>
    </xf>
    <xf numFmtId="168" fontId="53" fillId="13" borderId="31" xfId="12" applyNumberFormat="1" applyFont="1" applyFill="1" applyBorder="1" applyAlignment="1" applyProtection="1">
      <alignment horizontal="center" vertical="center"/>
      <protection locked="0"/>
    </xf>
    <xf numFmtId="0" fontId="54" fillId="0" borderId="5" xfId="0" applyFont="1" applyBorder="1"/>
    <xf numFmtId="0" fontId="0" fillId="14" borderId="0" xfId="0" applyFill="1" applyAlignment="1">
      <alignment horizontal="center" vertical="center"/>
    </xf>
    <xf numFmtId="0" fontId="0" fillId="14" borderId="32" xfId="0" applyFill="1" applyBorder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3" fillId="0" borderId="0" xfId="13" applyNumberFormat="1" applyFont="1" applyAlignment="1" applyProtection="1">
      <alignment horizontal="center"/>
      <protection locked="0"/>
    </xf>
    <xf numFmtId="3" fontId="0" fillId="0" borderId="0" xfId="0" applyNumberFormat="1" applyAlignment="1">
      <alignment horizontal="center" vertical="center"/>
    </xf>
    <xf numFmtId="167" fontId="0" fillId="0" borderId="0" xfId="4" applyNumberFormat="1" applyFont="1" applyAlignment="1">
      <alignment horizontal="center" vertical="center"/>
    </xf>
    <xf numFmtId="3" fontId="12" fillId="0" borderId="0" xfId="4" applyNumberFormat="1" applyFont="1" applyBorder="1" applyAlignment="1">
      <alignment horizontal="right" vertical="center"/>
    </xf>
    <xf numFmtId="185" fontId="11" fillId="0" borderId="0" xfId="0" applyNumberFormat="1" applyFont="1"/>
    <xf numFmtId="167" fontId="11" fillId="0" borderId="0" xfId="4" applyNumberFormat="1" applyFont="1"/>
    <xf numFmtId="43" fontId="12" fillId="0" borderId="0" xfId="0" applyNumberFormat="1" applyFont="1" applyAlignment="1">
      <alignment horizontal="right" vertical="center"/>
    </xf>
    <xf numFmtId="168" fontId="46" fillId="9" borderId="0" xfId="0" applyNumberFormat="1" applyFont="1" applyFill="1" applyAlignment="1">
      <alignment horizontal="right" vertical="center"/>
    </xf>
    <xf numFmtId="167" fontId="48" fillId="5" borderId="0" xfId="4" applyNumberFormat="1" applyFont="1" applyFill="1" applyAlignment="1">
      <alignment horizontal="right" vertical="center"/>
    </xf>
    <xf numFmtId="167" fontId="48" fillId="5" borderId="12" xfId="4" applyNumberFormat="1" applyFont="1" applyFill="1" applyBorder="1" applyAlignment="1">
      <alignment horizontal="right" vertical="center"/>
    </xf>
    <xf numFmtId="168" fontId="47" fillId="9" borderId="0" xfId="0" applyNumberFormat="1" applyFont="1" applyFill="1" applyAlignment="1">
      <alignment horizontal="right" vertical="center"/>
    </xf>
    <xf numFmtId="167" fontId="48" fillId="0" borderId="0" xfId="4" applyNumberFormat="1" applyFont="1" applyAlignment="1">
      <alignment horizontal="right" vertical="center"/>
    </xf>
    <xf numFmtId="167" fontId="48" fillId="0" borderId="12" xfId="4" applyNumberFormat="1" applyFont="1" applyBorder="1" applyAlignment="1">
      <alignment horizontal="right" vertical="center"/>
    </xf>
    <xf numFmtId="186" fontId="48" fillId="0" borderId="0" xfId="4" applyNumberFormat="1" applyFont="1" applyFill="1" applyAlignment="1">
      <alignment horizontal="right" vertical="center"/>
    </xf>
    <xf numFmtId="167" fontId="48" fillId="9" borderId="12" xfId="4" applyNumberFormat="1" applyFont="1" applyFill="1" applyBorder="1" applyAlignment="1">
      <alignment horizontal="right" vertical="center"/>
    </xf>
    <xf numFmtId="186" fontId="48" fillId="0" borderId="12" xfId="4" applyNumberFormat="1" applyFont="1" applyFill="1" applyBorder="1" applyAlignment="1">
      <alignment horizontal="right" vertical="center"/>
    </xf>
    <xf numFmtId="4" fontId="46" fillId="5" borderId="0" xfId="1" applyNumberFormat="1" applyFont="1" applyFill="1" applyBorder="1" applyAlignment="1">
      <alignment vertical="center"/>
    </xf>
    <xf numFmtId="167" fontId="48" fillId="5" borderId="0" xfId="4" applyNumberFormat="1" applyFont="1" applyFill="1" applyBorder="1" applyAlignment="1">
      <alignment horizontal="right" vertical="center"/>
    </xf>
    <xf numFmtId="4" fontId="47" fillId="5" borderId="0" xfId="1" applyNumberFormat="1" applyFont="1" applyFill="1" applyAlignment="1">
      <alignment vertical="center"/>
    </xf>
    <xf numFmtId="168" fontId="47" fillId="5" borderId="0" xfId="0" applyNumberFormat="1" applyFont="1" applyFill="1" applyAlignment="1">
      <alignment horizontal="right" vertical="center"/>
    </xf>
    <xf numFmtId="4" fontId="47" fillId="5" borderId="12" xfId="1" applyNumberFormat="1" applyFont="1" applyFill="1" applyBorder="1" applyAlignment="1">
      <alignment vertical="center"/>
    </xf>
    <xf numFmtId="168" fontId="47" fillId="9" borderId="12" xfId="0" applyNumberFormat="1" applyFont="1" applyFill="1" applyBorder="1" applyAlignment="1">
      <alignment horizontal="right" vertical="center"/>
    </xf>
    <xf numFmtId="168" fontId="47" fillId="5" borderId="12" xfId="0" applyNumberFormat="1" applyFont="1" applyFill="1" applyBorder="1" applyAlignment="1">
      <alignment horizontal="right" vertical="center"/>
    </xf>
    <xf numFmtId="4" fontId="46" fillId="0" borderId="0" xfId="1" applyNumberFormat="1" applyFont="1" applyFill="1" applyBorder="1" applyAlignment="1">
      <alignment vertical="center"/>
    </xf>
    <xf numFmtId="167" fontId="48" fillId="0" borderId="0" xfId="4" applyNumberFormat="1" applyFont="1" applyBorder="1" applyAlignment="1">
      <alignment horizontal="right" vertical="center"/>
    </xf>
    <xf numFmtId="4" fontId="47" fillId="0" borderId="12" xfId="1" applyNumberFormat="1" applyFont="1" applyFill="1" applyBorder="1" applyAlignment="1">
      <alignment vertical="center"/>
    </xf>
    <xf numFmtId="170" fontId="47" fillId="9" borderId="12" xfId="0" applyNumberFormat="1" applyFont="1" applyFill="1" applyBorder="1" applyAlignment="1">
      <alignment horizontal="right" vertical="center"/>
    </xf>
    <xf numFmtId="170" fontId="47" fillId="0" borderId="12" xfId="0" applyNumberFormat="1" applyFont="1" applyBorder="1" applyAlignment="1">
      <alignment horizontal="right" vertical="center"/>
    </xf>
    <xf numFmtId="167" fontId="36" fillId="4" borderId="0" xfId="4" applyNumberFormat="1" applyFont="1" applyFill="1" applyBorder="1" applyAlignment="1">
      <alignment horizontal="right" vertical="center"/>
    </xf>
    <xf numFmtId="168" fontId="26" fillId="0" borderId="5" xfId="4" applyNumberFormat="1" applyFont="1" applyFill="1" applyBorder="1" applyAlignment="1">
      <alignment horizontal="right" vertical="center"/>
    </xf>
    <xf numFmtId="186" fontId="49" fillId="0" borderId="5" xfId="4" applyNumberFormat="1" applyFont="1" applyBorder="1" applyAlignment="1">
      <alignment vertical="center"/>
    </xf>
    <xf numFmtId="167" fontId="12" fillId="0" borderId="20" xfId="0" applyNumberFormat="1" applyFont="1" applyBorder="1" applyAlignment="1">
      <alignment vertical="center"/>
    </xf>
    <xf numFmtId="9" fontId="12" fillId="0" borderId="2" xfId="1" applyNumberFormat="1" applyFont="1" applyFill="1" applyBorder="1" applyAlignment="1">
      <alignment horizontal="right" vertical="center"/>
    </xf>
    <xf numFmtId="175" fontId="13" fillId="0" borderId="23" xfId="7" applyNumberFormat="1" applyFont="1" applyBorder="1" applyAlignment="1">
      <alignment vertical="center"/>
    </xf>
    <xf numFmtId="175" fontId="13" fillId="0" borderId="5" xfId="7" applyNumberFormat="1" applyFont="1" applyBorder="1" applyAlignment="1">
      <alignment vertical="center"/>
    </xf>
    <xf numFmtId="175" fontId="30" fillId="4" borderId="0" xfId="1" applyNumberFormat="1" applyFont="1" applyFill="1" applyBorder="1" applyAlignment="1">
      <alignment horizontal="right" vertical="center"/>
    </xf>
    <xf numFmtId="1" fontId="45" fillId="3" borderId="10" xfId="0" applyNumberFormat="1" applyFont="1" applyFill="1" applyBorder="1" applyAlignment="1">
      <alignment horizontal="center" vertical="center"/>
    </xf>
    <xf numFmtId="166" fontId="45" fillId="3" borderId="10" xfId="0" applyNumberFormat="1" applyFont="1" applyFill="1" applyBorder="1" applyAlignment="1">
      <alignment horizontal="center" vertical="center"/>
    </xf>
    <xf numFmtId="4" fontId="46" fillId="5" borderId="33" xfId="1" applyNumberFormat="1" applyFont="1" applyFill="1" applyBorder="1" applyAlignment="1">
      <alignment vertical="center"/>
    </xf>
    <xf numFmtId="9" fontId="46" fillId="5" borderId="33" xfId="4" applyFont="1" applyFill="1" applyBorder="1" applyAlignment="1">
      <alignment horizontal="right" vertical="center"/>
    </xf>
    <xf numFmtId="4" fontId="47" fillId="0" borderId="34" xfId="1" applyNumberFormat="1" applyFont="1" applyFill="1" applyBorder="1" applyAlignment="1">
      <alignment horizontal="left" vertical="center"/>
    </xf>
    <xf numFmtId="9" fontId="47" fillId="0" borderId="34" xfId="4" applyFont="1" applyBorder="1" applyAlignment="1">
      <alignment horizontal="right" vertical="center"/>
    </xf>
    <xf numFmtId="4" fontId="46" fillId="0" borderId="34" xfId="1" applyNumberFormat="1" applyFont="1" applyFill="1" applyBorder="1" applyAlignment="1">
      <alignment horizontal="left" vertical="center"/>
    </xf>
    <xf numFmtId="9" fontId="46" fillId="0" borderId="34" xfId="4" applyFont="1" applyBorder="1" applyAlignment="1">
      <alignment horizontal="right" vertical="center"/>
    </xf>
    <xf numFmtId="4" fontId="47" fillId="5" borderId="35" xfId="1" applyNumberFormat="1" applyFont="1" applyFill="1" applyBorder="1" applyAlignment="1">
      <alignment vertical="center"/>
    </xf>
    <xf numFmtId="9" fontId="47" fillId="5" borderId="35" xfId="4" applyFont="1" applyFill="1" applyBorder="1" applyAlignment="1">
      <alignment horizontal="right" vertical="center"/>
    </xf>
    <xf numFmtId="4" fontId="46" fillId="5" borderId="36" xfId="1" applyNumberFormat="1" applyFont="1" applyFill="1" applyBorder="1" applyAlignment="1">
      <alignment vertical="center"/>
    </xf>
    <xf numFmtId="9" fontId="46" fillId="5" borderId="34" xfId="4" applyFont="1" applyFill="1" applyBorder="1" applyAlignment="1">
      <alignment horizontal="right" vertical="center"/>
    </xf>
    <xf numFmtId="4" fontId="47" fillId="0" borderId="34" xfId="1" applyNumberFormat="1" applyFont="1" applyFill="1" applyBorder="1" applyAlignment="1">
      <alignment horizontal="left" vertical="center" indent="1"/>
    </xf>
    <xf numFmtId="4" fontId="46" fillId="0" borderId="35" xfId="1" applyNumberFormat="1" applyFont="1" applyFill="1" applyBorder="1" applyAlignment="1">
      <alignment vertical="center"/>
    </xf>
    <xf numFmtId="9" fontId="46" fillId="0" borderId="35" xfId="4" applyFont="1" applyBorder="1" applyAlignment="1">
      <alignment horizontal="right" vertical="center"/>
    </xf>
    <xf numFmtId="4" fontId="47" fillId="5" borderId="36" xfId="1" applyNumberFormat="1" applyFont="1" applyFill="1" applyBorder="1" applyAlignment="1">
      <alignment horizontal="left" vertical="center" indent="1"/>
    </xf>
    <xf numFmtId="4" fontId="47" fillId="5" borderId="34" xfId="1" applyNumberFormat="1" applyFont="1" applyFill="1" applyBorder="1" applyAlignment="1">
      <alignment horizontal="left" vertical="center" indent="1"/>
    </xf>
    <xf numFmtId="4" fontId="47" fillId="0" borderId="37" xfId="1" applyNumberFormat="1" applyFont="1" applyFill="1" applyBorder="1" applyAlignment="1">
      <alignment vertical="center"/>
    </xf>
    <xf numFmtId="170" fontId="47" fillId="0" borderId="5" xfId="0" applyNumberFormat="1" applyFont="1" applyBorder="1" applyAlignment="1">
      <alignment horizontal="right" vertical="center"/>
    </xf>
    <xf numFmtId="9" fontId="47" fillId="0" borderId="37" xfId="4" applyFont="1" applyBorder="1" applyAlignment="1">
      <alignment horizontal="right" vertical="center"/>
    </xf>
    <xf numFmtId="0" fontId="44" fillId="0" borderId="34" xfId="0" applyFont="1" applyBorder="1" applyAlignment="1">
      <alignment vertical="center"/>
    </xf>
    <xf numFmtId="187" fontId="49" fillId="0" borderId="34" xfId="4" applyNumberFormat="1" applyFont="1" applyBorder="1" applyAlignment="1">
      <alignment horizontal="right" vertical="center"/>
    </xf>
    <xf numFmtId="0" fontId="49" fillId="0" borderId="34" xfId="0" applyFont="1" applyBorder="1" applyAlignment="1">
      <alignment vertical="center"/>
    </xf>
    <xf numFmtId="0" fontId="50" fillId="0" borderId="37" xfId="0" applyFont="1" applyBorder="1" applyAlignment="1">
      <alignment vertical="center"/>
    </xf>
    <xf numFmtId="187" fontId="50" fillId="0" borderId="37" xfId="4" applyNumberFormat="1" applyFont="1" applyBorder="1" applyAlignment="1">
      <alignment horizontal="right" vertical="center"/>
    </xf>
    <xf numFmtId="188" fontId="44" fillId="0" borderId="0" xfId="0" applyNumberFormat="1" applyFont="1"/>
    <xf numFmtId="188" fontId="47" fillId="0" borderId="34" xfId="4" applyNumberFormat="1" applyFont="1" applyBorder="1" applyAlignment="1">
      <alignment horizontal="right" vertical="center"/>
    </xf>
    <xf numFmtId="188" fontId="49" fillId="0" borderId="34" xfId="4" applyNumberFormat="1" applyFont="1" applyBorder="1" applyAlignment="1">
      <alignment horizontal="right" vertical="center"/>
    </xf>
    <xf numFmtId="0" fontId="44" fillId="0" borderId="37" xfId="0" applyFont="1" applyBorder="1" applyAlignment="1">
      <alignment vertical="center"/>
    </xf>
    <xf numFmtId="188" fontId="44" fillId="0" borderId="5" xfId="0" applyNumberFormat="1" applyFont="1" applyBorder="1"/>
    <xf numFmtId="188" fontId="50" fillId="0" borderId="37" xfId="4" applyNumberFormat="1" applyFont="1" applyBorder="1" applyAlignment="1">
      <alignment horizontal="right" vertical="center"/>
    </xf>
    <xf numFmtId="0" fontId="44" fillId="0" borderId="17" xfId="0" applyFont="1" applyBorder="1"/>
    <xf numFmtId="2" fontId="44" fillId="0" borderId="17" xfId="0" applyNumberFormat="1" applyFont="1" applyBorder="1"/>
    <xf numFmtId="9" fontId="46" fillId="0" borderId="37" xfId="4" applyFont="1" applyBorder="1" applyAlignment="1">
      <alignment horizontal="right" vertical="center"/>
    </xf>
    <xf numFmtId="0" fontId="44" fillId="0" borderId="5" xfId="0" applyFont="1" applyBorder="1"/>
    <xf numFmtId="4" fontId="44" fillId="0" borderId="5" xfId="0" applyNumberFormat="1" applyFont="1" applyBorder="1"/>
    <xf numFmtId="2" fontId="44" fillId="0" borderId="5" xfId="0" applyNumberFormat="1" applyFont="1" applyBorder="1"/>
    <xf numFmtId="168" fontId="35" fillId="4" borderId="0" xfId="1" applyNumberFormat="1" applyFont="1" applyFill="1" applyAlignment="1">
      <alignment horizontal="right" vertical="center"/>
    </xf>
    <xf numFmtId="168" fontId="17" fillId="4" borderId="5" xfId="1" applyNumberFormat="1" applyFont="1" applyFill="1" applyBorder="1" applyAlignment="1">
      <alignment horizontal="right" vertical="center"/>
    </xf>
    <xf numFmtId="0" fontId="55" fillId="0" borderId="0" xfId="0" applyFont="1" applyAlignment="1">
      <alignment horizontal="left" vertical="center"/>
    </xf>
    <xf numFmtId="168" fontId="55" fillId="0" borderId="0" xfId="1" applyNumberFormat="1" applyFont="1" applyFill="1" applyBorder="1" applyAlignment="1">
      <alignment horizontal="right" vertical="center"/>
    </xf>
    <xf numFmtId="168" fontId="55" fillId="0" borderId="2" xfId="1" applyNumberFormat="1" applyFont="1" applyFill="1" applyBorder="1" applyAlignment="1">
      <alignment horizontal="right" vertical="center"/>
    </xf>
    <xf numFmtId="168" fontId="12" fillId="5" borderId="0" xfId="1" applyNumberFormat="1" applyFont="1" applyFill="1" applyBorder="1" applyAlignment="1">
      <alignment horizontal="right" vertical="center"/>
    </xf>
    <xf numFmtId="168" fontId="13" fillId="5" borderId="0" xfId="1" applyNumberFormat="1" applyFont="1" applyFill="1" applyBorder="1" applyAlignment="1">
      <alignment horizontal="right" vertical="center"/>
    </xf>
    <xf numFmtId="164" fontId="12" fillId="5" borderId="0" xfId="2" applyFont="1" applyFill="1" applyAlignment="1">
      <alignment horizontal="right" vertical="center"/>
    </xf>
    <xf numFmtId="167" fontId="28" fillId="0" borderId="5" xfId="4" applyNumberFormat="1" applyFont="1" applyFill="1" applyBorder="1" applyAlignment="1">
      <alignment horizontal="right" vertical="center"/>
    </xf>
    <xf numFmtId="168" fontId="44" fillId="0" borderId="0" xfId="0" applyNumberFormat="1" applyFont="1"/>
    <xf numFmtId="9" fontId="44" fillId="0" borderId="0" xfId="0" applyNumberFormat="1" applyFont="1"/>
    <xf numFmtId="168" fontId="47" fillId="0" borderId="12" xfId="0" applyNumberFormat="1" applyFont="1" applyBorder="1" applyAlignment="1">
      <alignment horizontal="right" vertical="center"/>
    </xf>
    <xf numFmtId="167" fontId="49" fillId="0" borderId="0" xfId="4" applyNumberFormat="1" applyFont="1" applyFill="1" applyBorder="1" applyAlignment="1">
      <alignment vertical="center"/>
    </xf>
    <xf numFmtId="167" fontId="50" fillId="0" borderId="5" xfId="4" applyNumberFormat="1" applyFont="1" applyFill="1" applyBorder="1" applyAlignment="1">
      <alignment vertical="center"/>
    </xf>
    <xf numFmtId="173" fontId="28" fillId="4" borderId="14" xfId="0" applyNumberFormat="1" applyFont="1" applyFill="1" applyBorder="1" applyAlignment="1">
      <alignment horizontal="right" vertical="center"/>
    </xf>
    <xf numFmtId="3" fontId="28" fillId="4" borderId="14" xfId="4" applyNumberFormat="1" applyFont="1" applyFill="1" applyBorder="1" applyAlignment="1">
      <alignment horizontal="right" vertical="center"/>
    </xf>
    <xf numFmtId="171" fontId="12" fillId="0" borderId="0" xfId="4" applyNumberFormat="1" applyFont="1" applyFill="1" applyAlignment="1">
      <alignment vertical="center"/>
    </xf>
    <xf numFmtId="9" fontId="12" fillId="5" borderId="0" xfId="0" applyNumberFormat="1" applyFont="1" applyFill="1" applyAlignment="1">
      <alignment horizontal="center" vertical="center"/>
    </xf>
    <xf numFmtId="0" fontId="31" fillId="5" borderId="5" xfId="0" applyFont="1" applyFill="1" applyBorder="1" applyAlignment="1">
      <alignment horizontal="left" vertical="center"/>
    </xf>
    <xf numFmtId="176" fontId="31" fillId="5" borderId="5" xfId="0" applyNumberFormat="1" applyFont="1" applyFill="1" applyBorder="1" applyAlignment="1">
      <alignment horizontal="center" vertical="center"/>
    </xf>
    <xf numFmtId="43" fontId="12" fillId="0" borderId="0" xfId="0" applyNumberFormat="1" applyFont="1" applyAlignment="1">
      <alignment vertical="center"/>
    </xf>
    <xf numFmtId="2" fontId="26" fillId="5" borderId="0" xfId="0" applyNumberFormat="1" applyFont="1" applyFill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9" fontId="11" fillId="0" borderId="20" xfId="0" applyNumberFormat="1" applyFont="1" applyBorder="1" applyAlignment="1">
      <alignment horizontal="right" vertical="center"/>
    </xf>
    <xf numFmtId="3" fontId="11" fillId="0" borderId="20" xfId="0" applyNumberFormat="1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0" fontId="11" fillId="0" borderId="39" xfId="0" applyFont="1" applyBorder="1" applyAlignment="1">
      <alignment horizontal="left" vertical="center"/>
    </xf>
    <xf numFmtId="3" fontId="11" fillId="0" borderId="23" xfId="0" applyNumberFormat="1" applyFont="1" applyBorder="1" applyAlignment="1">
      <alignment horizontal="right" vertical="center"/>
    </xf>
    <xf numFmtId="2" fontId="26" fillId="5" borderId="22" xfId="0" applyNumberFormat="1" applyFont="1" applyFill="1" applyBorder="1" applyAlignment="1">
      <alignment horizontal="center" vertical="center"/>
    </xf>
    <xf numFmtId="171" fontId="12" fillId="5" borderId="20" xfId="0" applyNumberFormat="1" applyFont="1" applyFill="1" applyBorder="1" applyAlignment="1">
      <alignment horizontal="center" vertical="center"/>
    </xf>
    <xf numFmtId="3" fontId="11" fillId="5" borderId="20" xfId="0" applyNumberFormat="1" applyFont="1" applyFill="1" applyBorder="1" applyAlignment="1">
      <alignment horizontal="center" vertical="center"/>
    </xf>
    <xf numFmtId="176" fontId="31" fillId="5" borderId="26" xfId="0" applyNumberFormat="1" applyFont="1" applyFill="1" applyBorder="1" applyAlignment="1">
      <alignment horizontal="center" vertical="center"/>
    </xf>
    <xf numFmtId="171" fontId="12" fillId="5" borderId="40" xfId="0" applyNumberFormat="1" applyFont="1" applyFill="1" applyBorder="1" applyAlignment="1">
      <alignment horizontal="center" vertical="center"/>
    </xf>
    <xf numFmtId="171" fontId="12" fillId="5" borderId="41" xfId="0" applyNumberFormat="1" applyFont="1" applyFill="1" applyBorder="1" applyAlignment="1">
      <alignment horizontal="center" vertical="center"/>
    </xf>
    <xf numFmtId="3" fontId="11" fillId="5" borderId="41" xfId="0" applyNumberFormat="1" applyFont="1" applyFill="1" applyBorder="1" applyAlignment="1">
      <alignment horizontal="center" vertical="center"/>
    </xf>
    <xf numFmtId="176" fontId="31" fillId="5" borderId="42" xfId="0" applyNumberFormat="1" applyFont="1" applyFill="1" applyBorder="1" applyAlignment="1">
      <alignment horizontal="center" vertical="center"/>
    </xf>
    <xf numFmtId="2" fontId="26" fillId="5" borderId="40" xfId="0" applyNumberFormat="1" applyFont="1" applyFill="1" applyBorder="1" applyAlignment="1">
      <alignment horizontal="center" vertical="center"/>
    </xf>
    <xf numFmtId="3" fontId="12" fillId="5" borderId="41" xfId="0" applyNumberFormat="1" applyFont="1" applyFill="1" applyBorder="1" applyAlignment="1">
      <alignment horizontal="center" vertical="center"/>
    </xf>
    <xf numFmtId="3" fontId="12" fillId="5" borderId="0" xfId="0" applyNumberFormat="1" applyFont="1" applyFill="1" applyAlignment="1">
      <alignment horizontal="center" vertical="center"/>
    </xf>
    <xf numFmtId="3" fontId="12" fillId="5" borderId="20" xfId="0" applyNumberFormat="1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left" vertical="center"/>
    </xf>
    <xf numFmtId="176" fontId="31" fillId="15" borderId="43" xfId="0" applyNumberFormat="1" applyFont="1" applyFill="1" applyBorder="1" applyAlignment="1">
      <alignment horizontal="center" vertical="center"/>
    </xf>
    <xf numFmtId="176" fontId="31" fillId="15" borderId="5" xfId="0" applyNumberFormat="1" applyFont="1" applyFill="1" applyBorder="1" applyAlignment="1">
      <alignment horizontal="center" vertical="center"/>
    </xf>
    <xf numFmtId="176" fontId="31" fillId="15" borderId="23" xfId="0" applyNumberFormat="1" applyFont="1" applyFill="1" applyBorder="1" applyAlignment="1">
      <alignment horizontal="center" vertical="center"/>
    </xf>
    <xf numFmtId="183" fontId="31" fillId="15" borderId="43" xfId="0" applyNumberFormat="1" applyFont="1" applyFill="1" applyBorder="1" applyAlignment="1">
      <alignment horizontal="center" vertical="center"/>
    </xf>
    <xf numFmtId="183" fontId="31" fillId="15" borderId="5" xfId="0" applyNumberFormat="1" applyFont="1" applyFill="1" applyBorder="1" applyAlignment="1">
      <alignment horizontal="center" vertical="center"/>
    </xf>
    <xf numFmtId="183" fontId="31" fillId="15" borderId="23" xfId="0" applyNumberFormat="1" applyFont="1" applyFill="1" applyBorder="1" applyAlignment="1">
      <alignment horizontal="center" vertical="center"/>
    </xf>
    <xf numFmtId="183" fontId="13" fillId="15" borderId="5" xfId="0" applyNumberFormat="1" applyFont="1" applyFill="1" applyBorder="1" applyAlignment="1">
      <alignment horizontal="center" vertical="center"/>
    </xf>
    <xf numFmtId="167" fontId="31" fillId="15" borderId="43" xfId="0" applyNumberFormat="1" applyFont="1" applyFill="1" applyBorder="1" applyAlignment="1">
      <alignment horizontal="center" vertical="center"/>
    </xf>
    <xf numFmtId="167" fontId="31" fillId="15" borderId="5" xfId="0" applyNumberFormat="1" applyFont="1" applyFill="1" applyBorder="1" applyAlignment="1">
      <alignment horizontal="center" vertical="center"/>
    </xf>
    <xf numFmtId="167" fontId="31" fillId="15" borderId="23" xfId="0" applyNumberFormat="1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left" vertical="center"/>
    </xf>
    <xf numFmtId="3" fontId="13" fillId="15" borderId="43" xfId="0" applyNumberFormat="1" applyFont="1" applyFill="1" applyBorder="1" applyAlignment="1">
      <alignment horizontal="center" vertical="center"/>
    </xf>
    <xf numFmtId="3" fontId="13" fillId="15" borderId="5" xfId="0" applyNumberFormat="1" applyFont="1" applyFill="1" applyBorder="1" applyAlignment="1">
      <alignment horizontal="center" vertical="center"/>
    </xf>
    <xf numFmtId="3" fontId="13" fillId="15" borderId="23" xfId="0" applyNumberFormat="1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167" fontId="12" fillId="5" borderId="4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3" fontId="13" fillId="5" borderId="41" xfId="0" applyNumberFormat="1" applyFont="1" applyFill="1" applyBorder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3" fontId="13" fillId="5" borderId="20" xfId="0" applyNumberFormat="1" applyFont="1" applyFill="1" applyBorder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1" fontId="13" fillId="5" borderId="20" xfId="0" applyNumberFormat="1" applyFont="1" applyFill="1" applyBorder="1" applyAlignment="1">
      <alignment horizontal="center" vertical="center"/>
    </xf>
    <xf numFmtId="43" fontId="11" fillId="0" borderId="0" xfId="0" applyNumberFormat="1" applyFont="1"/>
    <xf numFmtId="172" fontId="47" fillId="0" borderId="0" xfId="0" applyNumberFormat="1" applyFont="1" applyAlignment="1">
      <alignment horizontal="right" vertical="center"/>
    </xf>
    <xf numFmtId="0" fontId="49" fillId="0" borderId="0" xfId="0" applyFont="1"/>
    <xf numFmtId="172" fontId="47" fillId="0" borderId="5" xfId="0" applyNumberFormat="1" applyFont="1" applyBorder="1" applyAlignment="1">
      <alignment horizontal="right" vertical="center"/>
    </xf>
    <xf numFmtId="172" fontId="44" fillId="0" borderId="5" xfId="0" applyNumberFormat="1" applyFont="1" applyBorder="1"/>
    <xf numFmtId="0" fontId="12" fillId="0" borderId="2" xfId="1" applyNumberFormat="1" applyFont="1" applyFill="1" applyBorder="1" applyAlignment="1">
      <alignment horizontal="right" vertical="center"/>
    </xf>
    <xf numFmtId="9" fontId="11" fillId="5" borderId="0" xfId="0" applyNumberFormat="1" applyFont="1" applyFill="1" applyAlignment="1">
      <alignment horizontal="center" vertical="center"/>
    </xf>
    <xf numFmtId="3" fontId="11" fillId="4" borderId="41" xfId="0" applyNumberFormat="1" applyFont="1" applyFill="1" applyBorder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3" fontId="11" fillId="4" borderId="20" xfId="0" applyNumberFormat="1" applyFont="1" applyFill="1" applyBorder="1" applyAlignment="1">
      <alignment horizontal="center" vertical="center"/>
    </xf>
    <xf numFmtId="9" fontId="12" fillId="0" borderId="0" xfId="1" applyNumberFormat="1" applyFont="1" applyFill="1" applyBorder="1" applyAlignment="1">
      <alignment horizontal="right" vertical="center"/>
    </xf>
    <xf numFmtId="3" fontId="13" fillId="4" borderId="14" xfId="7" applyNumberFormat="1" applyFont="1" applyFill="1" applyBorder="1" applyAlignment="1">
      <alignment vertical="center"/>
    </xf>
    <xf numFmtId="168" fontId="12" fillId="16" borderId="0" xfId="0" applyNumberFormat="1" applyFont="1" applyFill="1" applyAlignment="1">
      <alignment horizontal="right" vertical="center"/>
    </xf>
    <xf numFmtId="170" fontId="26" fillId="16" borderId="5" xfId="0" applyNumberFormat="1" applyFont="1" applyFill="1" applyBorder="1" applyAlignment="1">
      <alignment horizontal="right" vertical="center"/>
    </xf>
    <xf numFmtId="168" fontId="12" fillId="16" borderId="5" xfId="0" applyNumberFormat="1" applyFont="1" applyFill="1" applyBorder="1" applyAlignment="1">
      <alignment horizontal="right" vertical="center"/>
    </xf>
    <xf numFmtId="0" fontId="11" fillId="9" borderId="28" xfId="0" applyFont="1" applyFill="1" applyBorder="1" applyAlignment="1">
      <alignment horizontal="center" vertical="center"/>
    </xf>
    <xf numFmtId="0" fontId="31" fillId="0" borderId="24" xfId="0" applyFont="1" applyBorder="1" applyAlignment="1">
      <alignment horizontal="left" vertical="center"/>
    </xf>
    <xf numFmtId="10" fontId="31" fillId="5" borderId="20" xfId="0" applyNumberFormat="1" applyFont="1" applyFill="1" applyBorder="1" applyAlignment="1">
      <alignment horizontal="right" vertical="center"/>
    </xf>
    <xf numFmtId="3" fontId="31" fillId="5" borderId="20" xfId="0" applyNumberFormat="1" applyFont="1" applyFill="1" applyBorder="1" applyAlignment="1">
      <alignment horizontal="right" vertical="center"/>
    </xf>
    <xf numFmtId="9" fontId="11" fillId="0" borderId="23" xfId="0" applyNumberFormat="1" applyFont="1" applyBorder="1" applyAlignment="1">
      <alignment horizontal="right" vertical="center"/>
    </xf>
    <xf numFmtId="0" fontId="31" fillId="9" borderId="38" xfId="0" applyFont="1" applyFill="1" applyBorder="1" applyAlignment="1">
      <alignment horizontal="left" vertical="center"/>
    </xf>
    <xf numFmtId="0" fontId="11" fillId="0" borderId="24" xfId="0" quotePrefix="1" applyFont="1" applyBorder="1" applyAlignment="1">
      <alignment horizontal="left" vertical="center"/>
    </xf>
    <xf numFmtId="3" fontId="11" fillId="0" borderId="20" xfId="1" applyNumberFormat="1" applyFont="1" applyBorder="1" applyAlignment="1">
      <alignment horizontal="right" vertical="center"/>
    </xf>
    <xf numFmtId="0" fontId="56" fillId="0" borderId="24" xfId="0" applyFont="1" applyBorder="1" applyAlignment="1">
      <alignment horizontal="left" vertical="center"/>
    </xf>
    <xf numFmtId="167" fontId="11" fillId="0" borderId="20" xfId="0" applyNumberFormat="1" applyFont="1" applyBorder="1" applyAlignment="1">
      <alignment horizontal="right" vertical="center"/>
    </xf>
    <xf numFmtId="189" fontId="11" fillId="0" borderId="20" xfId="0" applyNumberFormat="1" applyFont="1" applyBorder="1" applyAlignment="1">
      <alignment horizontal="right" vertical="center"/>
    </xf>
    <xf numFmtId="167" fontId="11" fillId="0" borderId="23" xfId="0" applyNumberFormat="1" applyFont="1" applyBorder="1" applyAlignment="1">
      <alignment horizontal="right" vertical="center"/>
    </xf>
    <xf numFmtId="168" fontId="12" fillId="0" borderId="2" xfId="4" applyNumberFormat="1" applyFont="1" applyFill="1" applyBorder="1" applyAlignment="1">
      <alignment horizontal="right" vertical="center"/>
    </xf>
    <xf numFmtId="4" fontId="11" fillId="0" borderId="0" xfId="0" applyNumberFormat="1" applyFont="1" applyAlignment="1">
      <alignment horizontal="center" vertical="center"/>
    </xf>
    <xf numFmtId="0" fontId="11" fillId="17" borderId="0" xfId="0" applyFont="1" applyFill="1" applyAlignment="1">
      <alignment vertical="center"/>
    </xf>
    <xf numFmtId="1" fontId="45" fillId="3" borderId="10" xfId="0" applyNumberFormat="1" applyFont="1" applyFill="1" applyBorder="1" applyAlignment="1">
      <alignment horizontal="center" vertical="center"/>
    </xf>
    <xf numFmtId="167" fontId="26" fillId="0" borderId="0" xfId="4" applyNumberFormat="1" applyFont="1" applyFill="1" applyAlignment="1">
      <alignment horizontal="right" vertical="center"/>
    </xf>
    <xf numFmtId="167" fontId="31" fillId="0" borderId="0" xfId="4" applyNumberFormat="1" applyFont="1" applyFill="1" applyBorder="1" applyAlignment="1">
      <alignment horizontal="right" vertical="center"/>
    </xf>
    <xf numFmtId="167" fontId="31" fillId="0" borderId="17" xfId="4" applyNumberFormat="1" applyFont="1" applyFill="1" applyBorder="1" applyAlignment="1">
      <alignment horizontal="right" vertical="center"/>
    </xf>
    <xf numFmtId="167" fontId="31" fillId="0" borderId="28" xfId="4" applyNumberFormat="1" applyFont="1" applyFill="1" applyBorder="1" applyAlignment="1">
      <alignment horizontal="right" vertical="center"/>
    </xf>
  </cellXfs>
  <cellStyles count="15">
    <cellStyle name="Comma" xfId="1" builtinId="3"/>
    <cellStyle name="Comma [0]" xfId="2" builtinId="6"/>
    <cellStyle name="Comma 2" xfId="11" xr:uid="{8F7D815E-066E-44AB-8DE4-A3E0ED42C3D0}"/>
    <cellStyle name="Comma 2 4" xfId="13" xr:uid="{0FDE06CB-4B68-41E6-8A6B-B67E083A27F1}"/>
    <cellStyle name="Currency" xfId="3" builtinId="4"/>
    <cellStyle name="Heading 1 2 2 2" xfId="10" xr:uid="{86E81662-B735-4281-8697-79D37EC9FC7B}"/>
    <cellStyle name="Millares 2 2" xfId="12" xr:uid="{81708A46-E6C5-447C-B588-A38B8D307A35}"/>
    <cellStyle name="Normal" xfId="0" builtinId="0"/>
    <cellStyle name="Normal 2" xfId="7" xr:uid="{FBD525DF-4AA9-47FE-8798-B754EA4809C3}"/>
    <cellStyle name="Normal 2 11 2" xfId="9" xr:uid="{1F01CCCB-3058-46FD-A61C-DBC762BD60F8}"/>
    <cellStyle name="Normal 88" xfId="8" xr:uid="{3894D4C3-332F-481C-B196-281C74F8229C}"/>
    <cellStyle name="Normal_GFSA3 Model 2T06" xfId="5" xr:uid="{5A197704-A381-41BE-A43B-8D17DB0EF006}"/>
    <cellStyle name="Normal_Perdigão-valuation (2T06 after)" xfId="6" xr:uid="{2C260F8F-26F0-4FCA-BC03-BE23255217A0}"/>
    <cellStyle name="Percent" xfId="4" builtinId="5"/>
    <cellStyle name="Separador de milhares 2" xfId="14" xr:uid="{CFE7FC4C-49C4-4E8F-AEA8-D8714F5D40CF}"/>
  </cellStyles>
  <dxfs count="0"/>
  <tableStyles count="0" defaultTableStyle="TableStyleMedium2" defaultPivotStyle="PivotStyleLight16"/>
  <colors>
    <mruColors>
      <color rgb="FFFFFF99"/>
      <color rgb="FF008000"/>
      <color rgb="FFE7EDEA"/>
      <color rgb="FFD7E2DC"/>
      <color rgb="FF384E42"/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1</xdr:row>
      <xdr:rowOff>0</xdr:rowOff>
    </xdr:from>
    <xdr:to>
      <xdr:col>3</xdr:col>
      <xdr:colOff>381000</xdr:colOff>
      <xdr:row>5</xdr:row>
      <xdr:rowOff>154782</xdr:rowOff>
    </xdr:to>
    <xdr:pic>
      <xdr:nvPicPr>
        <xdr:cNvPr id="4" name="Picture 3" descr="Itaú BBA apresenta novo logo e identidade visual - GKPB ...">
          <a:extLst>
            <a:ext uri="{FF2B5EF4-FFF2-40B4-BE49-F238E27FC236}">
              <a16:creationId xmlns:a16="http://schemas.microsoft.com/office/drawing/2014/main" id="{D5B69ACD-3DC3-4EA6-A742-DD18C6513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183173"/>
          <a:ext cx="1569428" cy="887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1035050</xdr:colOff>
      <xdr:row>0</xdr:row>
      <xdr:rowOff>564753</xdr:rowOff>
    </xdr:to>
    <xdr:pic>
      <xdr:nvPicPr>
        <xdr:cNvPr id="4" name="Picture 3" descr="Itaú BBA apresenta novo logo e identidade visual - GKPB ...">
          <a:extLst>
            <a:ext uri="{FF2B5EF4-FFF2-40B4-BE49-F238E27FC236}">
              <a16:creationId xmlns:a16="http://schemas.microsoft.com/office/drawing/2014/main" id="{AF64419E-F1B6-42F6-8FCE-897D37221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009650" cy="56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1038225</xdr:colOff>
      <xdr:row>0</xdr:row>
      <xdr:rowOff>561578</xdr:rowOff>
    </xdr:to>
    <xdr:pic>
      <xdr:nvPicPr>
        <xdr:cNvPr id="6" name="Picture 5" descr="Itaú BBA apresenta novo logo e identidade visual - GKPB ...">
          <a:extLst>
            <a:ext uri="{FF2B5EF4-FFF2-40B4-BE49-F238E27FC236}">
              <a16:creationId xmlns:a16="http://schemas.microsoft.com/office/drawing/2014/main" id="{3886B7D8-C23C-4F59-A314-BBBFA03D7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009650" cy="56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1038225</xdr:colOff>
      <xdr:row>0</xdr:row>
      <xdr:rowOff>561578</xdr:rowOff>
    </xdr:to>
    <xdr:pic>
      <xdr:nvPicPr>
        <xdr:cNvPr id="5" name="Picture 4" descr="Itaú BBA apresenta novo logo e identidade visual - GKPB ...">
          <a:extLst>
            <a:ext uri="{FF2B5EF4-FFF2-40B4-BE49-F238E27FC236}">
              <a16:creationId xmlns:a16="http://schemas.microsoft.com/office/drawing/2014/main" id="{41143B64-9704-4DE4-A4E8-BAC51C283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009650" cy="56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1038225</xdr:colOff>
      <xdr:row>0</xdr:row>
      <xdr:rowOff>561578</xdr:rowOff>
    </xdr:to>
    <xdr:pic>
      <xdr:nvPicPr>
        <xdr:cNvPr id="3" name="Picture 2" descr="Itaú BBA apresenta novo logo e identidade visual - GKPB ...">
          <a:extLst>
            <a:ext uri="{FF2B5EF4-FFF2-40B4-BE49-F238E27FC236}">
              <a16:creationId xmlns:a16="http://schemas.microsoft.com/office/drawing/2014/main" id="{C8C8D972-E21E-4A6D-821F-9DF98F2DA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009650" cy="56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1038860</xdr:colOff>
      <xdr:row>0</xdr:row>
      <xdr:rowOff>561578</xdr:rowOff>
    </xdr:to>
    <xdr:pic>
      <xdr:nvPicPr>
        <xdr:cNvPr id="3" name="Picture 2" descr="Itaú BBA apresenta novo logo e identidade visual - GKPB ...">
          <a:extLst>
            <a:ext uri="{FF2B5EF4-FFF2-40B4-BE49-F238E27FC236}">
              <a16:creationId xmlns:a16="http://schemas.microsoft.com/office/drawing/2014/main" id="{2FC8D978-01B5-4062-9553-70DECCC59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003935" cy="56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1035685</xdr:colOff>
      <xdr:row>0</xdr:row>
      <xdr:rowOff>564753</xdr:rowOff>
    </xdr:to>
    <xdr:pic>
      <xdr:nvPicPr>
        <xdr:cNvPr id="2" name="Picture 1" descr="Itaú BBA apresenta novo logo e identidade visual - GKPB ...">
          <a:extLst>
            <a:ext uri="{FF2B5EF4-FFF2-40B4-BE49-F238E27FC236}">
              <a16:creationId xmlns:a16="http://schemas.microsoft.com/office/drawing/2014/main" id="{0DF1FB8A-924A-4864-8102-F0848027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0"/>
          <a:ext cx="1010285" cy="564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1039495</xdr:colOff>
      <xdr:row>0</xdr:row>
      <xdr:rowOff>564753</xdr:rowOff>
    </xdr:to>
    <xdr:pic>
      <xdr:nvPicPr>
        <xdr:cNvPr id="2" name="Picture 1" descr="Itaú BBA apresenta novo logo e identidade visual - GKPB ...">
          <a:extLst>
            <a:ext uri="{FF2B5EF4-FFF2-40B4-BE49-F238E27FC236}">
              <a16:creationId xmlns:a16="http://schemas.microsoft.com/office/drawing/2014/main" id="{73F13E46-43EE-4757-B35A-2A7990080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0"/>
          <a:ext cx="1010920" cy="561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URY/Model/CURY_Model_2Q26_IBBA_BBG_client.xlsx" TargetMode="External"/><Relationship Id="rId2" Type="http://schemas.openxmlformats.org/officeDocument/2006/relationships/externalLinkPath" Target="file:///Z:\Real%20Estate\0.%20Housing\CURY\Model\CURY_Model_2Q26_IBBA_BBG_client.xlsx" TargetMode="External"/><Relationship Id="rId1" Type="http://schemas.openxmlformats.org/officeDocument/2006/relationships/externalLinkPath" Target="/Real%20Estate/0.%20Housing/CURY/Model/CURY_Model_2Q26_IBBA_BBG_clien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PLPL/Model/PLPL_Model_2Q26_IBBA_BBG_client.xlsx" TargetMode="External"/><Relationship Id="rId2" Type="http://schemas.openxmlformats.org/officeDocument/2006/relationships/externalLinkPath" Target="file:///Z:\Real%20Estate\0.%20Housing\PLPL\Model\PLPL_Model_2Q26_IBBA_BBG_client.xlsx" TargetMode="External"/><Relationship Id="rId1" Type="http://schemas.openxmlformats.org/officeDocument/2006/relationships/externalLinkPath" Target="/Real%20Estate/0.%20Housing/PLPL/Model/PLPL_Model_2Q26_IBBA_BBG_clien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VV/Model/LAVV_Model_2Q26_wip.xlsx" TargetMode="External"/><Relationship Id="rId2" Type="http://schemas.openxmlformats.org/officeDocument/2006/relationships/externalLinkPath" Target="file:///Z:\Real%20Estate\0.%20Housing\LAVV\Model\LAVV_Model_2Q26_wip.xlsx" TargetMode="External"/><Relationship Id="rId1" Type="http://schemas.openxmlformats.org/officeDocument/2006/relationships/externalLinkPath" Target="/Real%20Estate/0.%20Housing/LAVV/Model/LAVV_Model_2Q26_wip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_Macro/Macro_Model_RE%20vNova.xlsx" TargetMode="External"/><Relationship Id="rId2" Type="http://schemas.openxmlformats.org/officeDocument/2006/relationships/externalLinkPath" Target="file:///Z:\Real%20Estate\_Macro\Macro_Model_RE%20vNova.xlsx" TargetMode="External"/><Relationship Id="rId1" Type="http://schemas.openxmlformats.org/officeDocument/2006/relationships/externalLinkPath" Target="/Real%20Estate/_Macro/Macro_Model_RE%20vNo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Macro"/>
      <sheetName val="IS"/>
      <sheetName val="BS &amp; FCF"/>
      <sheetName val="Operating"/>
      <sheetName val="Valuation"/>
      <sheetName val="Report Tables"/>
      <sheetName val="Mask-UploadModel"/>
    </sheetNames>
    <sheetDataSet>
      <sheetData sheetId="0"/>
      <sheetData sheetId="1"/>
      <sheetData sheetId="2">
        <row r="45">
          <cell r="CF45">
            <v>295898.58430732467</v>
          </cell>
          <cell r="CG45">
            <v>336418.86768100265</v>
          </cell>
          <cell r="CH45">
            <v>1204576.0361562467</v>
          </cell>
          <cell r="CI45">
            <v>319682.22547405446</v>
          </cell>
          <cell r="CJ45">
            <v>371730.69240052823</v>
          </cell>
          <cell r="CK45">
            <v>409335.25218070956</v>
          </cell>
          <cell r="CL45">
            <v>400997.63358849526</v>
          </cell>
          <cell r="CM45">
            <v>1501745.8036437875</v>
          </cell>
          <cell r="CN45">
            <v>426898.78625433135</v>
          </cell>
          <cell r="CO45">
            <v>438990.05987903185</v>
          </cell>
          <cell r="CP45">
            <v>482889.85869584634</v>
          </cell>
          <cell r="CQ45">
            <v>482994.13021968066</v>
          </cell>
          <cell r="CR45">
            <v>1831772.8350488902</v>
          </cell>
          <cell r="CS45">
            <v>454436.75995854218</v>
          </cell>
          <cell r="CT45">
            <v>462284.73291807587</v>
          </cell>
          <cell r="CU45">
            <v>504031.41401927063</v>
          </cell>
          <cell r="CV45">
            <v>502952.81758489821</v>
          </cell>
          <cell r="CW45">
            <v>1923705.7244807868</v>
          </cell>
          <cell r="CX45">
            <v>482420.104693359</v>
          </cell>
          <cell r="CY45">
            <v>489342.54905761516</v>
          </cell>
          <cell r="CZ45">
            <v>531398.31235893315</v>
          </cell>
          <cell r="DA45">
            <v>529420.99707731861</v>
          </cell>
          <cell r="DB45">
            <v>2032581.9631872259</v>
          </cell>
        </row>
        <row r="48">
          <cell r="CE48">
            <v>308047.59399999998</v>
          </cell>
        </row>
      </sheetData>
      <sheetData sheetId="3">
        <row r="43">
          <cell r="CF43">
            <v>1761289.0595577005</v>
          </cell>
          <cell r="CG43">
            <v>1890578.9182235759</v>
          </cell>
          <cell r="CH43">
            <v>1890578.9182235759</v>
          </cell>
          <cell r="CI43">
            <v>1957946.9929368785</v>
          </cell>
          <cell r="CJ43">
            <v>2089916.0162318656</v>
          </cell>
          <cell r="CK43">
            <v>2220453.249112179</v>
          </cell>
          <cell r="CL43">
            <v>2314449.4435651423</v>
          </cell>
          <cell r="CM43">
            <v>2314449.4435651423</v>
          </cell>
          <cell r="CN43">
            <v>2380450.3595898277</v>
          </cell>
          <cell r="CO43">
            <v>2435231.5118399616</v>
          </cell>
          <cell r="CP43">
            <v>2523030.3166446788</v>
          </cell>
          <cell r="CQ43">
            <v>2571423.5740380981</v>
          </cell>
          <cell r="CR43">
            <v>2571423.5740380981</v>
          </cell>
          <cell r="CS43">
            <v>2591165.6167989275</v>
          </cell>
          <cell r="CT43">
            <v>2644457.2657543151</v>
          </cell>
          <cell r="CU43">
            <v>2732432.4201473175</v>
          </cell>
          <cell r="CV43">
            <v>2781756.965114872</v>
          </cell>
          <cell r="CW43">
            <v>2781756.965114872</v>
          </cell>
          <cell r="CX43">
            <v>2811519.5339818229</v>
          </cell>
          <cell r="CY43">
            <v>2866683.9888154147</v>
          </cell>
          <cell r="CZ43">
            <v>2957674.007022494</v>
          </cell>
          <cell r="DA43">
            <v>3008836.5229767724</v>
          </cell>
          <cell r="DB43">
            <v>3008836.5229767724</v>
          </cell>
        </row>
        <row r="134">
          <cell r="CE134">
            <v>1653964.5841679194</v>
          </cell>
        </row>
        <row r="146">
          <cell r="CE146">
            <v>1655235.3691679193</v>
          </cell>
          <cell r="CF146">
            <v>1763289.3865374548</v>
          </cell>
          <cell r="CG146">
            <v>1893050.2170731109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Macro"/>
      <sheetName val="IS"/>
      <sheetName val="BS &amp; FCF"/>
      <sheetName val="Operating"/>
      <sheetName val="Valuation"/>
      <sheetName val="Report Tables"/>
      <sheetName val="Mask-UploadModel"/>
    </sheetNames>
    <sheetDataSet>
      <sheetData sheetId="0"/>
      <sheetData sheetId="1"/>
      <sheetData sheetId="2">
        <row r="45">
          <cell r="CF45">
            <v>86614.726424213251</v>
          </cell>
          <cell r="CG45">
            <v>142116.51343584561</v>
          </cell>
          <cell r="CH45">
            <v>323439.12548095011</v>
          </cell>
          <cell r="CI45">
            <v>107323.24003022733</v>
          </cell>
          <cell r="CJ45">
            <v>115981.16066193517</v>
          </cell>
          <cell r="CK45">
            <v>125163.6374707542</v>
          </cell>
          <cell r="CL45">
            <v>140995.96681658854</v>
          </cell>
          <cell r="CM45">
            <v>489464.00497950526</v>
          </cell>
          <cell r="CN45">
            <v>116829.73113306964</v>
          </cell>
          <cell r="CO45">
            <v>126572.30505683571</v>
          </cell>
          <cell r="CP45">
            <v>131963.99726591483</v>
          </cell>
          <cell r="CQ45">
            <v>138497.6054265803</v>
          </cell>
          <cell r="CR45">
            <v>513863.63888240047</v>
          </cell>
          <cell r="CS45">
            <v>150478.3195007357</v>
          </cell>
          <cell r="CT45">
            <v>139147.89960116334</v>
          </cell>
          <cell r="CU45">
            <v>142957.54991079727</v>
          </cell>
          <cell r="CV45">
            <v>148958.92905297957</v>
          </cell>
          <cell r="CW45">
            <v>581542.69806567591</v>
          </cell>
          <cell r="CX45">
            <v>161023.28994962366</v>
          </cell>
          <cell r="CY45">
            <v>149313.44694749822</v>
          </cell>
          <cell r="CZ45">
            <v>152730.04995606933</v>
          </cell>
          <cell r="DA45">
            <v>158921.28843552034</v>
          </cell>
          <cell r="DB45">
            <v>621988.07528871158</v>
          </cell>
        </row>
        <row r="48">
          <cell r="CE48">
            <v>202909.78</v>
          </cell>
        </row>
      </sheetData>
      <sheetData sheetId="3">
        <row r="43">
          <cell r="CF43">
            <v>1204784.6120451046</v>
          </cell>
          <cell r="CG43">
            <v>1346901.1254809501</v>
          </cell>
          <cell r="CH43">
            <v>1346901.1254809501</v>
          </cell>
          <cell r="CI43">
            <v>1341020.6715928449</v>
          </cell>
          <cell r="CJ43">
            <v>1457001.83225478</v>
          </cell>
          <cell r="CK43">
            <v>1582165.4697255341</v>
          </cell>
          <cell r="CL43">
            <v>1723161.4365421226</v>
          </cell>
          <cell r="CM43">
            <v>1723161.4365421226</v>
          </cell>
          <cell r="CN43">
            <v>1595259.1651854396</v>
          </cell>
          <cell r="CO43">
            <v>1721831.4702422754</v>
          </cell>
          <cell r="CP43">
            <v>1853795.4675081903</v>
          </cell>
          <cell r="CQ43">
            <v>1992293.0729347705</v>
          </cell>
          <cell r="CR43">
            <v>1992293.0729347705</v>
          </cell>
          <cell r="CS43">
            <v>1783066.8452178258</v>
          </cell>
          <cell r="CT43">
            <v>1922214.7448189892</v>
          </cell>
          <cell r="CU43">
            <v>2065172.2947297865</v>
          </cell>
          <cell r="CV43">
            <v>2214131.2237827661</v>
          </cell>
          <cell r="CW43">
            <v>2214131.2237827661</v>
          </cell>
          <cell r="CX43">
            <v>1968074.625086417</v>
          </cell>
          <cell r="CY43">
            <v>2117388.0720339152</v>
          </cell>
          <cell r="CZ43">
            <v>2270118.1219899845</v>
          </cell>
          <cell r="DA43">
            <v>2429039.4104255047</v>
          </cell>
          <cell r="DB43">
            <v>2429039.4104255047</v>
          </cell>
        </row>
        <row r="134">
          <cell r="CE134">
            <v>1118169.8856208911</v>
          </cell>
        </row>
        <row r="146">
          <cell r="CE146">
            <v>1126504.1498983272</v>
          </cell>
          <cell r="CF146">
            <v>1221377.6441123746</v>
          </cell>
          <cell r="CG146">
            <v>1361778.5426832964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Macro"/>
      <sheetName val="IS"/>
      <sheetName val="BS &amp; FCF"/>
      <sheetName val="Operating"/>
      <sheetName val="Valuation"/>
      <sheetName val="Report Tables"/>
      <sheetName val="Mask-UploadModel"/>
    </sheetNames>
    <sheetDataSet>
      <sheetData sheetId="0"/>
      <sheetData sheetId="1"/>
      <sheetData sheetId="2">
        <row r="45">
          <cell r="CF45">
            <v>129088.17486576726</v>
          </cell>
          <cell r="CG45">
            <v>137619.67361114474</v>
          </cell>
          <cell r="CH45">
            <v>419198.84847691201</v>
          </cell>
          <cell r="CI45">
            <v>136154.39308414084</v>
          </cell>
          <cell r="CJ45">
            <v>150125.74964713483</v>
          </cell>
          <cell r="CK45">
            <v>159724.16570303438</v>
          </cell>
          <cell r="CL45">
            <v>164616.85496998802</v>
          </cell>
          <cell r="CM45">
            <v>610621.16340429801</v>
          </cell>
          <cell r="CN45">
            <v>170821.24183233239</v>
          </cell>
          <cell r="CO45">
            <v>178487.94356487485</v>
          </cell>
          <cell r="CP45">
            <v>187213.00331107291</v>
          </cell>
          <cell r="CQ45">
            <v>196595.78355287237</v>
          </cell>
          <cell r="CR45">
            <v>733117.97226115258</v>
          </cell>
          <cell r="CS45">
            <v>191115.32324312272</v>
          </cell>
          <cell r="CT45">
            <v>200793.35745167622</v>
          </cell>
          <cell r="CU45">
            <v>209069.89959137852</v>
          </cell>
          <cell r="CV45">
            <v>209596.291392338</v>
          </cell>
          <cell r="CW45">
            <v>810574.87167851545</v>
          </cell>
          <cell r="CX45">
            <v>200925.8340027676</v>
          </cell>
          <cell r="CY45">
            <v>203707.06469835993</v>
          </cell>
          <cell r="CZ45">
            <v>223917.02914552999</v>
          </cell>
          <cell r="DA45">
            <v>226531.07469373048</v>
          </cell>
          <cell r="DB45">
            <v>855081.00254038791</v>
          </cell>
        </row>
        <row r="48">
          <cell r="CE48">
            <v>195434.35200000001</v>
          </cell>
        </row>
      </sheetData>
      <sheetData sheetId="3">
        <row r="43">
          <cell r="CF43">
            <v>1579165.1748657674</v>
          </cell>
          <cell r="CG43">
            <v>1716784.8484769119</v>
          </cell>
          <cell r="CH43">
            <v>1716784.8484769119</v>
          </cell>
          <cell r="CI43">
            <v>1748139.5294418249</v>
          </cell>
          <cell r="CJ43">
            <v>1864226.6808179244</v>
          </cell>
          <cell r="CK43">
            <v>1986419.4091091752</v>
          </cell>
          <cell r="CL43">
            <v>2111105.2226534043</v>
          </cell>
          <cell r="CM43">
            <v>2111105.2226534043</v>
          </cell>
          <cell r="CN43">
            <v>2007146.9409538028</v>
          </cell>
          <cell r="CO43">
            <v>2185634.8845186774</v>
          </cell>
          <cell r="CP43">
            <v>2372847.8878297508</v>
          </cell>
          <cell r="CQ43">
            <v>2569443.6713826228</v>
          </cell>
          <cell r="CR43">
            <v>2569443.6713826228</v>
          </cell>
          <cell r="CS43">
            <v>2320688.2112690541</v>
          </cell>
          <cell r="CT43">
            <v>2521481.56872073</v>
          </cell>
          <cell r="CU43">
            <v>2730551.4683121089</v>
          </cell>
          <cell r="CV43">
            <v>2940147.7597044469</v>
          </cell>
          <cell r="CW43">
            <v>2940147.7597044469</v>
          </cell>
          <cell r="CX43">
            <v>2654728.6707001054</v>
          </cell>
          <cell r="CY43">
            <v>2858435.7353984653</v>
          </cell>
          <cell r="CZ43">
            <v>3082352.7645439953</v>
          </cell>
          <cell r="DA43">
            <v>3308883.8392377258</v>
          </cell>
          <cell r="DB43">
            <v>3308883.8392377258</v>
          </cell>
        </row>
        <row r="134">
          <cell r="CE134">
            <v>1450077</v>
          </cell>
        </row>
        <row r="146">
          <cell r="CE146">
            <v>1438406</v>
          </cell>
          <cell r="CF146">
            <v>1562819.1850782577</v>
          </cell>
          <cell r="CG146">
            <v>1696707.1369192055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cro_Model"/>
      <sheetName val="Brazil_Quarterly"/>
      <sheetName val="Brazil"/>
      <sheetName val="Brazil - Monthly"/>
    </sheetNames>
    <sheetDataSet>
      <sheetData sheetId="0">
        <row r="4">
          <cell r="B4">
            <v>2010</v>
          </cell>
        </row>
        <row r="7">
          <cell r="B7">
            <v>9.1174883676948829E-2</v>
          </cell>
          <cell r="C7">
            <v>8.507593725123952E-2</v>
          </cell>
          <cell r="D7">
            <v>6.9623229981486512E-2</v>
          </cell>
          <cell r="E7">
            <v>5.7675173030071747E-2</v>
          </cell>
          <cell r="F7">
            <v>7.5282491203301882E-2</v>
          </cell>
          <cell r="G7">
            <v>5.0185202059174205E-2</v>
          </cell>
          <cell r="H7">
            <v>4.7444346153023398E-2</v>
          </cell>
          <cell r="I7">
            <v>3.5981126250167694E-2</v>
          </cell>
          <cell r="J7">
            <v>3.0892069299472746E-2</v>
          </cell>
          <cell r="K7">
            <v>3.9744026619628059E-2</v>
          </cell>
          <cell r="L7">
            <v>1.7071814802719132E-2</v>
          </cell>
          <cell r="M7">
            <v>9.8647148864128287E-3</v>
          </cell>
          <cell r="N7">
            <v>2.4854366410510531E-2</v>
          </cell>
          <cell r="O7">
            <v>2.4828180691497836E-2</v>
          </cell>
          <cell r="P7">
            <v>1.9211814943874916E-2</v>
          </cell>
          <cell r="Q7">
            <v>2.721109278219136E-2</v>
          </cell>
          <cell r="R7">
            <v>4.0218251960159712E-2</v>
          </cell>
          <cell r="S7">
            <v>2.7589825463526063E-2</v>
          </cell>
          <cell r="T7">
            <v>2.5287673240891539E-2</v>
          </cell>
          <cell r="U7">
            <v>3.0048269457775278E-2</v>
          </cell>
          <cell r="V7">
            <v>3.469338083437834E-2</v>
          </cell>
          <cell r="W7">
            <v>-4.3525166474460697E-3</v>
          </cell>
          <cell r="X7">
            <v>-6.3884440792552066E-3</v>
          </cell>
          <cell r="Y7">
            <v>-2.2852461490368015E-3</v>
          </cell>
          <cell r="Z7">
            <v>5.0393459495359227E-3</v>
          </cell>
          <cell r="AA7">
            <v>-1.6193986523845183E-2</v>
          </cell>
          <cell r="AB7">
            <v>-2.740363059448403E-2</v>
          </cell>
          <cell r="AC7">
            <v>-4.2628419736219447E-2</v>
          </cell>
          <cell r="AD7">
            <v>-5.5195575073795237E-2</v>
          </cell>
          <cell r="AE7">
            <v>-3.5457552842598106E-2</v>
          </cell>
          <cell r="AF7">
            <v>-5.13823684366288E-2</v>
          </cell>
          <cell r="AG7">
            <v>-3.2185235465757245E-2</v>
          </cell>
          <cell r="AH7">
            <v>-2.4541728067141499E-2</v>
          </cell>
          <cell r="AI7">
            <v>-2.2611264284385868E-2</v>
          </cell>
          <cell r="AJ7">
            <v>-3.2759130499899647E-2</v>
          </cell>
          <cell r="AK7">
            <v>2.8201556182256837E-3</v>
          </cell>
          <cell r="AL7">
            <v>7.8746648916356854E-3</v>
          </cell>
          <cell r="AM7">
            <v>1.6407345281506336E-2</v>
          </cell>
          <cell r="AN7">
            <v>2.5761908632542241E-2</v>
          </cell>
          <cell r="AO7">
            <v>1.3228683839367816E-2</v>
          </cell>
          <cell r="AP7">
            <v>1.9049819192124451E-2</v>
          </cell>
          <cell r="AQ7">
            <v>1.6170986261114573E-2</v>
          </cell>
          <cell r="AR7">
            <v>2.0568110099114412E-2</v>
          </cell>
          <cell r="AS7">
            <v>1.5545833073195681E-2</v>
          </cell>
          <cell r="AT7">
            <v>1.7836721768855313E-2</v>
          </cell>
          <cell r="AU7">
            <v>9.0128540019212E-3</v>
          </cell>
          <cell r="AV7">
            <v>1.1725499876573675E-2</v>
          </cell>
          <cell r="AW7">
            <v>1.1095246524801539E-2</v>
          </cell>
          <cell r="AX7">
            <v>1.693878274851035E-2</v>
          </cell>
          <cell r="AY7">
            <v>1.2207618682791299E-2</v>
          </cell>
          <cell r="AZ7">
            <v>4.1399507040313921E-3</v>
          </cell>
          <cell r="BA7">
            <v>-0.10137678507336556</v>
          </cell>
          <cell r="BB7">
            <v>-3.0357079095075568E-2</v>
          </cell>
          <cell r="BC7">
            <v>-3.3388845777130305E-3</v>
          </cell>
          <cell r="BD7">
            <v>-3.2767506495341547E-2</v>
          </cell>
          <cell r="BE7">
            <v>1.7497488084810886E-2</v>
          </cell>
          <cell r="BF7">
            <v>0.12396533236269193</v>
          </cell>
          <cell r="BG7">
            <v>4.2129771241733005E-2</v>
          </cell>
          <cell r="BH7">
            <v>1.4585985812359814E-2</v>
          </cell>
          <cell r="BI7">
            <v>4.7625989483594866E-2</v>
          </cell>
          <cell r="BJ7">
            <v>1.4734322462760963E-2</v>
          </cell>
          <cell r="BK7">
            <v>3.5438559024100424E-2</v>
          </cell>
          <cell r="BL7">
            <v>4.3218147632462678E-2</v>
          </cell>
          <cell r="BM7">
            <v>2.6939526327891317E-2</v>
          </cell>
          <cell r="BN7">
            <v>3.0167179011841849E-2</v>
          </cell>
          <cell r="BO7">
            <v>4.4442967641645348E-2</v>
          </cell>
          <cell r="BP7">
            <v>3.850287148559306E-2</v>
          </cell>
          <cell r="BQ7">
            <v>2.3550371308832974E-2</v>
          </cell>
          <cell r="BR7">
            <v>2.3805685421032896E-2</v>
          </cell>
          <cell r="BS7">
            <v>3.2416517981320281E-2</v>
          </cell>
          <cell r="BT7">
            <v>2.4603678711410781E-2</v>
          </cell>
          <cell r="BU7">
            <v>3.4711079252089716E-2</v>
          </cell>
          <cell r="BV7">
            <v>4.1365896567110871E-2</v>
          </cell>
          <cell r="BW7">
            <v>3.580004723913488E-2</v>
          </cell>
          <cell r="BX7">
            <v>3.4193154677671478E-2</v>
          </cell>
          <cell r="BY7">
            <v>3.1489221531017852E-2</v>
          </cell>
          <cell r="BZ7">
            <v>2.3598075946817954E-2</v>
          </cell>
          <cell r="CA7">
            <v>1.8236577305046131E-2</v>
          </cell>
          <cell r="CB7">
            <v>1.6999999999999904E-2</v>
          </cell>
          <cell r="CC7">
            <v>2.250036756283591E-2</v>
          </cell>
          <cell r="CD7">
            <v>1.8399999999999972E-2</v>
          </cell>
          <cell r="CE7">
            <v>1.9400000000000084E-2</v>
          </cell>
          <cell r="CF7">
            <v>1.8699999999999939E-2</v>
          </cell>
          <cell r="CG7">
            <v>1.7500000000000071E-2</v>
          </cell>
          <cell r="CH7">
            <v>1.8504662752451884E-2</v>
          </cell>
          <cell r="CI7">
            <v>9.5000000000000639E-3</v>
          </cell>
          <cell r="CJ7">
            <v>1.9500000000000073E-2</v>
          </cell>
          <cell r="CK7">
            <v>1.8000000000000016E-2</v>
          </cell>
          <cell r="CL7">
            <v>2.0000000000000018E-2</v>
          </cell>
          <cell r="CM7">
            <v>1.6783985790142841E-2</v>
          </cell>
          <cell r="CN7">
            <v>1.6783985790142841E-2</v>
          </cell>
          <cell r="CO7">
            <v>1.6783985790142841E-2</v>
          </cell>
          <cell r="CP7">
            <v>1.6783985790142841E-2</v>
          </cell>
          <cell r="CQ7">
            <v>1.6783985790142841E-2</v>
          </cell>
          <cell r="CR7">
            <v>1.7999999999999999E-2</v>
          </cell>
          <cell r="CS7">
            <v>1.7999999999999999E-2</v>
          </cell>
          <cell r="CT7">
            <v>1.7999999999999999E-2</v>
          </cell>
          <cell r="CU7">
            <v>1.7999999999999999E-2</v>
          </cell>
          <cell r="CV7">
            <v>1.7999999999999999E-2</v>
          </cell>
          <cell r="CW7">
            <v>1.7999999999999999E-2</v>
          </cell>
          <cell r="CX7">
            <v>1.7999999999999999E-2</v>
          </cell>
          <cell r="CY7">
            <v>1.7999999999999999E-2</v>
          </cell>
          <cell r="CZ7">
            <v>1.7999999999999999E-2</v>
          </cell>
          <cell r="DA7">
            <v>1.7999999999999999E-2</v>
          </cell>
          <cell r="DB7">
            <v>1.7999999999999999E-2</v>
          </cell>
        </row>
        <row r="8">
          <cell r="B8">
            <v>2.7775099567613148E-2</v>
          </cell>
          <cell r="C8">
            <v>2.8275291412297232E-2</v>
          </cell>
          <cell r="D8">
            <v>2.0898783360507656E-2</v>
          </cell>
          <cell r="E8">
            <v>3.1799423953366324E-2</v>
          </cell>
          <cell r="F8">
            <v>0.11323142949673537</v>
          </cell>
          <cell r="G8">
            <v>2.4312626443201424E-2</v>
          </cell>
          <cell r="H8">
            <v>6.9680367870716964E-3</v>
          </cell>
          <cell r="I8">
            <v>9.7144444229142479E-3</v>
          </cell>
          <cell r="J8">
            <v>9.1198891198891463E-3</v>
          </cell>
          <cell r="K8">
            <v>5.0968130206239914E-2</v>
          </cell>
          <cell r="L8">
            <v>6.1573960596046362E-3</v>
          </cell>
          <cell r="M8">
            <v>2.5570914344997364E-2</v>
          </cell>
          <cell r="N8">
            <v>3.7805472394346618E-2</v>
          </cell>
          <cell r="O8">
            <v>6.8034190732513267E-3</v>
          </cell>
          <cell r="P8">
            <v>7.818244825167131E-2</v>
          </cell>
          <cell r="Q8">
            <v>8.376253302289749E-3</v>
          </cell>
          <cell r="R8">
            <v>8.9927428351532779E-3</v>
          </cell>
          <cell r="S8">
            <v>1.9131161719184941E-2</v>
          </cell>
          <cell r="T8">
            <v>1.7549165067994643E-2</v>
          </cell>
          <cell r="U8">
            <v>5.5106104434671455E-2</v>
          </cell>
          <cell r="V8">
            <v>2.5478759960621877E-2</v>
          </cell>
          <cell r="W8">
            <v>-9.654275503679921E-4</v>
          </cell>
          <cell r="X8">
            <v>-6.7355145643036574E-3</v>
          </cell>
          <cell r="Y8">
            <v>1.8936220312901986E-2</v>
          </cell>
          <cell r="Z8">
            <v>3.6857551498040264E-2</v>
          </cell>
          <cell r="AA8">
            <v>2.0284371736236873E-2</v>
          </cell>
          <cell r="AB8">
            <v>2.2588563321721544E-2</v>
          </cell>
          <cell r="AC8">
            <v>1.9239321361055328E-2</v>
          </cell>
          <cell r="AD8">
            <v>3.9484102249640385E-2</v>
          </cell>
          <cell r="AE8">
            <v>0.10539166948817025</v>
          </cell>
          <cell r="AF8">
            <v>2.9665631624325117E-2</v>
          </cell>
          <cell r="AG8">
            <v>2.8562254760769124E-2</v>
          </cell>
          <cell r="AH8">
            <v>5.1997257825602272E-3</v>
          </cell>
          <cell r="AI8">
            <v>6.7134119051170948E-3</v>
          </cell>
          <cell r="AJ8">
            <v>7.1729082528960708E-2</v>
          </cell>
          <cell r="AK8">
            <v>7.3990176983655953E-3</v>
          </cell>
          <cell r="AL8">
            <v>-2.6700810721153045E-2</v>
          </cell>
          <cell r="AM8">
            <v>-1.5561165869073523E-3</v>
          </cell>
          <cell r="AN8">
            <v>1.6155390793945124E-2</v>
          </cell>
          <cell r="AO8">
            <v>-5.2094044493907754E-3</v>
          </cell>
          <cell r="AP8">
            <v>1.4691598047605892E-2</v>
          </cell>
          <cell r="AQ8">
            <v>3.8594867001036759E-2</v>
          </cell>
          <cell r="AR8">
            <v>2.7529724342155504E-2</v>
          </cell>
          <cell r="AS8">
            <v>-6.9233393180258007E-3</v>
          </cell>
          <cell r="AT8">
            <v>7.5368734029632511E-2</v>
          </cell>
          <cell r="AU8">
            <v>2.1579184695260656E-2</v>
          </cell>
          <cell r="AV8">
            <v>2.1743251414473752E-2</v>
          </cell>
          <cell r="AW8">
            <v>-2.7883822372333222E-3</v>
          </cell>
          <cell r="AX8">
            <v>3.089513038424041E-2</v>
          </cell>
          <cell r="AY8">
            <v>7.3039306458065001E-2</v>
          </cell>
          <cell r="AZ8">
            <v>1.6856537638714864E-2</v>
          </cell>
          <cell r="BA8">
            <v>2.6584774351347429E-2</v>
          </cell>
          <cell r="BB8">
            <v>9.5924051239921759E-2</v>
          </cell>
          <cell r="BC8">
            <v>7.6362036842990033E-2</v>
          </cell>
          <cell r="BD8">
            <v>0.23138351126052559</v>
          </cell>
          <cell r="BE8">
            <v>8.2577522738505493E-2</v>
          </cell>
          <cell r="BF8">
            <v>6.3031894919501674E-2</v>
          </cell>
          <cell r="BG8">
            <v>7.9750272604819372E-3</v>
          </cell>
          <cell r="BH8">
            <v>1.5379337312507957E-2</v>
          </cell>
          <cell r="BI8">
            <v>0.17783212339450416</v>
          </cell>
          <cell r="BJ8">
            <v>5.4887065072461994E-2</v>
          </cell>
          <cell r="BK8">
            <v>2.5391621005032228E-2</v>
          </cell>
          <cell r="BL8">
            <v>-1.4343383597002601E-2</v>
          </cell>
          <cell r="BM8">
            <v>-1.0922082505191E-2</v>
          </cell>
          <cell r="BN8">
            <v>5.4512855725947995E-2</v>
          </cell>
          <cell r="BO8">
            <v>2.0327371154338358E-3</v>
          </cell>
          <cell r="BP8">
            <v>-4.6495917552655704E-2</v>
          </cell>
          <cell r="BQ8">
            <v>-4.9568201928403832E-3</v>
          </cell>
          <cell r="BR8">
            <v>1.8444570622774492E-2</v>
          </cell>
          <cell r="BS8">
            <v>-3.1758279716232463E-2</v>
          </cell>
          <cell r="BT8">
            <v>-9.068266890332799E-3</v>
          </cell>
          <cell r="BU8">
            <v>2.0276451582577515E-2</v>
          </cell>
          <cell r="BV8">
            <v>1.5188780535460467E-2</v>
          </cell>
          <cell r="BW8">
            <v>3.7974263919180906E-2</v>
          </cell>
          <cell r="BX8">
            <v>6.5356584277505458E-2</v>
          </cell>
          <cell r="BY8">
            <v>9.8249116984672202E-3</v>
          </cell>
          <cell r="BZ8">
            <v>-1.9195406475376542E-2</v>
          </cell>
          <cell r="CA8">
            <v>1.8872437299366496E-5</v>
          </cell>
          <cell r="CB8">
            <v>-1.07840366278944E-3</v>
          </cell>
          <cell r="CC8">
            <v>-1.0608511181423363E-2</v>
          </cell>
          <cell r="CD8">
            <v>-2.4975467369767745E-3</v>
          </cell>
          <cell r="CE8">
            <v>1.1595610632817666E-2</v>
          </cell>
          <cell r="CF8">
            <v>9.7223696911656887E-3</v>
          </cell>
          <cell r="CG8">
            <v>1.1277675009180754E-2</v>
          </cell>
          <cell r="CH8">
            <v>3.0370239705833857E-2</v>
          </cell>
          <cell r="CI8">
            <v>6.654118433819356E-3</v>
          </cell>
          <cell r="CJ8">
            <v>9.3708135508703272E-3</v>
          </cell>
          <cell r="CK8">
            <v>6.5319574061259988E-3</v>
          </cell>
          <cell r="CL8">
            <v>1.4312812410561149E-2</v>
          </cell>
          <cell r="CM8">
            <v>3.7362386780777967E-2</v>
          </cell>
          <cell r="CN8">
            <v>8.6374459977134332E-3</v>
          </cell>
          <cell r="CO8">
            <v>8.6374459977134332E-3</v>
          </cell>
          <cell r="CP8">
            <v>8.6374459977134332E-3</v>
          </cell>
          <cell r="CQ8">
            <v>8.6374459977134332E-3</v>
          </cell>
          <cell r="CR8">
            <v>3.5000000000000003E-2</v>
          </cell>
          <cell r="CS8">
            <v>8.6374459977134332E-3</v>
          </cell>
          <cell r="CT8">
            <v>8.6374459977134332E-3</v>
          </cell>
          <cell r="CU8">
            <v>8.6374459977134332E-3</v>
          </cell>
          <cell r="CV8">
            <v>8.6374459977134332E-3</v>
          </cell>
          <cell r="CW8">
            <v>3.5000000000000003E-2</v>
          </cell>
          <cell r="CX8">
            <v>8.6374459977134332E-3</v>
          </cell>
          <cell r="CY8">
            <v>8.6374459977134332E-3</v>
          </cell>
          <cell r="CZ8">
            <v>8.6374459977134332E-3</v>
          </cell>
          <cell r="DA8">
            <v>8.6374459977134332E-3</v>
          </cell>
          <cell r="DB8">
            <v>3.5000000000000003E-2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0.11323142949673537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5.0968130206239914E-2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7.818244825167131E-2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5.5106104434671455E-2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3.6857551498040264E-2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0.10539166948817025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7.1729082528960708E-2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-5.2094044493907754E-3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7.5368734029632511E-2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7.3039306458065001E-2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0.23138351126052559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0.17783212339450416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5.4512855725947995E-2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-3.1758279716232463E-2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6.5356584277505458E-2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-8.9999999999999993E-3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3.1E-2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3.6999999999999998E-2</v>
          </cell>
          <cell r="CN9">
            <v>3.6999999999999998E-2</v>
          </cell>
          <cell r="CO9">
            <v>3.6999999999999998E-2</v>
          </cell>
          <cell r="CP9">
            <v>3.6999999999999998E-2</v>
          </cell>
          <cell r="CQ9">
            <v>3.6999999999999998E-2</v>
          </cell>
          <cell r="CR9">
            <v>3.5000000000000003E-2</v>
          </cell>
          <cell r="CS9">
            <v>3.5000000000000003E-2</v>
          </cell>
          <cell r="CT9">
            <v>3.5000000000000003E-2</v>
          </cell>
          <cell r="CU9">
            <v>3.5000000000000003E-2</v>
          </cell>
          <cell r="CV9">
            <v>3.5000000000000003E-2</v>
          </cell>
          <cell r="CW9">
            <v>3.5000000000000003E-2</v>
          </cell>
          <cell r="CX9">
            <v>3.5000000000000003E-2</v>
          </cell>
          <cell r="CY9">
            <v>3.5000000000000003E-2</v>
          </cell>
          <cell r="CZ9">
            <v>3.5000000000000003E-2</v>
          </cell>
          <cell r="DA9">
            <v>3.5000000000000003E-2</v>
          </cell>
          <cell r="DB9">
            <v>3.5000000000000003E-2</v>
          </cell>
        </row>
        <row r="10">
          <cell r="B10">
            <v>2.0635672838258401E-2</v>
          </cell>
          <cell r="C10">
            <v>1.0026429772781675E-2</v>
          </cell>
          <cell r="D10">
            <v>4.9988105724041443E-3</v>
          </cell>
          <cell r="E10">
            <v>2.2262809912068304E-2</v>
          </cell>
          <cell r="F10">
            <v>5.9086887217945305E-2</v>
          </cell>
          <cell r="G10">
            <v>2.4396959845301325E-2</v>
          </cell>
          <cell r="H10">
            <v>1.3956003005626494E-2</v>
          </cell>
          <cell r="I10">
            <v>1.0633971472036707E-2</v>
          </cell>
          <cell r="J10">
            <v>1.4569950966511147E-2</v>
          </cell>
          <cell r="K10">
            <v>6.5033527436801686E-2</v>
          </cell>
          <cell r="L10">
            <v>1.2245389616685198E-2</v>
          </cell>
          <cell r="M10">
            <v>1.0828899898705835E-2</v>
          </cell>
          <cell r="N10">
            <v>1.4167087793448774E-2</v>
          </cell>
          <cell r="O10">
            <v>1.993171123933335E-2</v>
          </cell>
          <cell r="P10">
            <v>5.8385947181474496E-2</v>
          </cell>
          <cell r="Q10">
            <v>1.94200629569794E-2</v>
          </cell>
          <cell r="R10">
            <v>1.1845050402731649E-2</v>
          </cell>
          <cell r="S10">
            <v>6.2084221404119511E-3</v>
          </cell>
          <cell r="T10">
            <v>2.043332557722799E-2</v>
          </cell>
          <cell r="U10">
            <v>5.910683255331084E-2</v>
          </cell>
          <cell r="V10">
            <v>2.1751380592809788E-2</v>
          </cell>
          <cell r="W10">
            <v>1.5375617564219013E-2</v>
          </cell>
          <cell r="X10">
            <v>8.3166595929584641E-3</v>
          </cell>
          <cell r="Y10">
            <v>1.7192651907677936E-2</v>
          </cell>
          <cell r="Z10">
            <v>6.4074707959081545E-2</v>
          </cell>
          <cell r="AA10">
            <v>3.8277181971792196E-2</v>
          </cell>
          <cell r="AB10">
            <v>2.2568002922714214E-2</v>
          </cell>
          <cell r="AC10">
            <v>1.3857214776389126E-2</v>
          </cell>
          <cell r="AD10">
            <v>2.8157121543573194E-2</v>
          </cell>
          <cell r="AE10">
            <v>0.10673028133975059</v>
          </cell>
          <cell r="AF10">
            <v>2.6206442222306281E-2</v>
          </cell>
          <cell r="AG10">
            <v>1.749542390672576E-2</v>
          </cell>
          <cell r="AH10">
            <v>1.0431431561581439E-2</v>
          </cell>
          <cell r="AI10">
            <v>7.4190016728088448E-3</v>
          </cell>
          <cell r="AJ10">
            <v>6.2879882132213849E-2</v>
          </cell>
          <cell r="AK10">
            <v>9.6300018845405511E-3</v>
          </cell>
          <cell r="AL10">
            <v>2.1942513931838548E-3</v>
          </cell>
          <cell r="AM10">
            <v>5.9102657757119648E-3</v>
          </cell>
          <cell r="AN10">
            <v>1.1444547536120453E-2</v>
          </cell>
          <cell r="AO10">
            <v>2.9474213204347066E-2</v>
          </cell>
          <cell r="AP10">
            <v>7.0152101308664783E-3</v>
          </cell>
          <cell r="AQ10">
            <v>1.8887284258576775E-2</v>
          </cell>
          <cell r="AR10">
            <v>7.2098896611332286E-3</v>
          </cell>
          <cell r="AS10">
            <v>3.8930647158041953E-3</v>
          </cell>
          <cell r="AT10">
            <v>3.7455811701915476E-2</v>
          </cell>
          <cell r="AU10">
            <v>1.5068785890315128E-2</v>
          </cell>
          <cell r="AV10">
            <v>7.1077186347772159E-3</v>
          </cell>
          <cell r="AW10">
            <v>2.6024735964957912E-3</v>
          </cell>
          <cell r="AX10">
            <v>1.7676516496296646E-2</v>
          </cell>
          <cell r="AY10">
            <v>4.306151617159526E-2</v>
          </cell>
          <cell r="AZ10">
            <v>5.3080212396032778E-3</v>
          </cell>
          <cell r="BA10">
            <v>-4.3058882039602731E-3</v>
          </cell>
          <cell r="BB10">
            <v>1.2447750992402584E-2</v>
          </cell>
          <cell r="BC10">
            <v>3.1314508276533592E-2</v>
          </cell>
          <cell r="BD10">
            <v>4.517456886424509E-2</v>
          </cell>
          <cell r="BE10">
            <v>2.0524800425854028E-2</v>
          </cell>
          <cell r="BF10">
            <v>1.6786731327713023E-2</v>
          </cell>
          <cell r="BG10">
            <v>3.0195945219914089E-2</v>
          </cell>
          <cell r="BH10">
            <v>2.9580045119536491E-2</v>
          </cell>
          <cell r="BI10">
            <v>0.10060982737443336</v>
          </cell>
          <cell r="BJ10">
            <v>3.2007960732282958E-2</v>
          </cell>
          <cell r="BK10">
            <v>2.2153507084467394E-2</v>
          </cell>
          <cell r="BL10">
            <v>-1.3245351115654835E-2</v>
          </cell>
          <cell r="BM10">
            <v>1.6286414853838194E-2</v>
          </cell>
          <cell r="BN10">
            <v>5.7850929078894886E-2</v>
          </cell>
          <cell r="BO10">
            <v>2.0941939330469506E-2</v>
          </cell>
          <cell r="BP10">
            <v>7.6070363573370603E-3</v>
          </cell>
          <cell r="BQ10">
            <v>6.1126585034421144E-3</v>
          </cell>
          <cell r="BR10">
            <v>1.0836245981739268E-2</v>
          </cell>
          <cell r="BS10">
            <v>4.62119000508181E-2</v>
          </cell>
          <cell r="BT10">
            <v>1.4154167780112026E-2</v>
          </cell>
          <cell r="BU10">
            <v>1.0535525553417191E-2</v>
          </cell>
          <cell r="BV10">
            <v>8.0155470495610892E-3</v>
          </cell>
          <cell r="BW10">
            <v>1.4770299336158255E-2</v>
          </cell>
          <cell r="BX10">
            <v>4.8311967483947837E-2</v>
          </cell>
          <cell r="BY10">
            <v>2.0404196887543247E-2</v>
          </cell>
          <cell r="BZ10">
            <v>9.3287032564199901E-3</v>
          </cell>
          <cell r="CA10">
            <v>6.3025008990875708E-3</v>
          </cell>
          <cell r="CB10">
            <v>6.0102784866544745E-3</v>
          </cell>
          <cell r="CC10">
            <v>4.2643475811562581E-2</v>
          </cell>
          <cell r="CD10">
            <v>1.0639864168498159E-2</v>
          </cell>
          <cell r="CE10">
            <v>9.9384394137442822E-3</v>
          </cell>
          <cell r="CF10">
            <v>8.6985636055167959E-3</v>
          </cell>
          <cell r="CG10">
            <v>8.3480382831615518E-3</v>
          </cell>
          <cell r="CH10">
            <v>3.8157359768427268E-2</v>
          </cell>
          <cell r="CI10">
            <v>1.1893392733073327E-2</v>
          </cell>
          <cell r="CJ10">
            <v>1.055779786786748E-2</v>
          </cell>
          <cell r="CK10">
            <v>4.9139236318755941E-3</v>
          </cell>
          <cell r="CL10">
            <v>1.1266257444998207E-2</v>
          </cell>
          <cell r="CM10">
            <v>3.9178847169708098E-2</v>
          </cell>
          <cell r="CN10">
            <v>8.6374459977134332E-3</v>
          </cell>
          <cell r="CO10">
            <v>8.6374459977134332E-3</v>
          </cell>
          <cell r="CP10">
            <v>8.6374459977134332E-3</v>
          </cell>
          <cell r="CQ10">
            <v>8.6374459977134332E-3</v>
          </cell>
          <cell r="CR10">
            <v>3.5000000000000003E-2</v>
          </cell>
          <cell r="CS10">
            <v>8.6374459977134332E-3</v>
          </cell>
          <cell r="CT10">
            <v>8.6374459977134332E-3</v>
          </cell>
          <cell r="CU10">
            <v>8.6374459977134332E-3</v>
          </cell>
          <cell r="CV10">
            <v>8.6374459977134332E-3</v>
          </cell>
          <cell r="CW10">
            <v>3.5000000000000003E-2</v>
          </cell>
          <cell r="CX10">
            <v>8.6374459977134332E-3</v>
          </cell>
          <cell r="CY10">
            <v>8.6374459977134332E-3</v>
          </cell>
          <cell r="CZ10">
            <v>8.6374459977134332E-3</v>
          </cell>
          <cell r="DA10">
            <v>8.6374459977134332E-3</v>
          </cell>
          <cell r="DB10">
            <v>3.5000000000000003E-2</v>
          </cell>
        </row>
        <row r="11">
          <cell r="B11">
            <v>4.8630627301752272E-2</v>
          </cell>
          <cell r="C11">
            <v>5.1065846989048223E-2</v>
          </cell>
          <cell r="D11">
            <v>4.5967658169804228E-2</v>
          </cell>
          <cell r="E11">
            <v>5.5795324452200333E-2</v>
          </cell>
          <cell r="F11">
            <v>5.9086887217945305E-2</v>
          </cell>
          <cell r="G11">
            <v>6.1020487693181615E-2</v>
          </cell>
          <cell r="H11">
            <v>6.5918630960501545E-2</v>
          </cell>
          <cell r="I11">
            <v>7.1362425946035854E-2</v>
          </cell>
          <cell r="J11">
            <v>6.7049202428489441E-2</v>
          </cell>
          <cell r="K11">
            <v>6.5033527436801686E-2</v>
          </cell>
          <cell r="L11">
            <v>5.7690250791656426E-2</v>
          </cell>
          <cell r="M11">
            <v>5.0028194569295893E-2</v>
          </cell>
          <cell r="N11">
            <v>5.2403339285500262E-2</v>
          </cell>
          <cell r="O11">
            <v>5.6074203374144226E-2</v>
          </cell>
          <cell r="P11">
            <v>5.8385947181474496E-2</v>
          </cell>
          <cell r="Q11">
            <v>6.3520055499846004E-2</v>
          </cell>
          <cell r="R11">
            <v>6.5645216496549086E-2</v>
          </cell>
          <cell r="S11">
            <v>6.0733583271950144E-2</v>
          </cell>
          <cell r="T11">
            <v>5.8408582835164223E-2</v>
          </cell>
          <cell r="U11">
            <v>5.910683255331084E-2</v>
          </cell>
          <cell r="V11">
            <v>5.8058246752625532E-2</v>
          </cell>
          <cell r="W11">
            <v>6.3925638132187546E-2</v>
          </cell>
          <cell r="X11">
            <v>6.5872261575330437E-2</v>
          </cell>
          <cell r="Y11">
            <v>6.5166675058461632E-2</v>
          </cell>
          <cell r="Z11">
            <v>6.4074707959081545E-2</v>
          </cell>
          <cell r="AA11">
            <v>7.6559775400213262E-2</v>
          </cell>
          <cell r="AB11">
            <v>8.5129531374798395E-2</v>
          </cell>
          <cell r="AC11">
            <v>9.5255530633623284E-2</v>
          </cell>
          <cell r="AD11">
            <v>0.10359229214693255</v>
          </cell>
          <cell r="AE11">
            <v>0.1067302813397506</v>
          </cell>
          <cell r="AF11">
            <v>0.10149318571118759</v>
          </cell>
          <cell r="AG11">
            <v>9.1475771485275345E-2</v>
          </cell>
          <cell r="AH11">
            <v>8.7287457599358451E-2</v>
          </cell>
          <cell r="AI11">
            <v>7.0496807810095971E-2</v>
          </cell>
          <cell r="AJ11">
            <v>6.2879882132213849E-2</v>
          </cell>
          <cell r="AK11">
            <v>4.8946758278703394E-2</v>
          </cell>
          <cell r="AL11">
            <v>3.5594433549331006E-2</v>
          </cell>
          <cell r="AM11">
            <v>2.568408398041977E-2</v>
          </cell>
          <cell r="AN11">
            <v>2.8175092115624672E-2</v>
          </cell>
          <cell r="AO11">
            <v>2.9474213204347066E-2</v>
          </cell>
          <cell r="AP11">
            <v>2.7936043216225375E-2</v>
          </cell>
          <cell r="AQ11">
            <v>3.3363047915115462E-2</v>
          </cell>
          <cell r="AR11">
            <v>4.4012785713257507E-2</v>
          </cell>
          <cell r="AS11">
            <v>4.1162140051432594E-2</v>
          </cell>
          <cell r="AT11">
            <v>3.7455811701915476E-2</v>
          </cell>
          <cell r="AU11">
            <v>4.0806788364349179E-2</v>
          </cell>
          <cell r="AV11">
            <v>4.3216772122027201E-2</v>
          </cell>
          <cell r="AW11">
            <v>3.1813536201635705E-2</v>
          </cell>
          <cell r="AX11">
            <v>3.3720288616986137E-2</v>
          </cell>
          <cell r="AY11">
            <v>4.306151617159526E-2</v>
          </cell>
          <cell r="AZ11">
            <v>3.8333476209189886E-2</v>
          </cell>
          <cell r="BA11">
            <v>2.1364746592946442E-2</v>
          </cell>
          <cell r="BB11">
            <v>2.6264730236671124E-2</v>
          </cell>
          <cell r="BC11">
            <v>4.2490100812764796E-2</v>
          </cell>
          <cell r="BD11">
            <v>4.517456886424509E-2</v>
          </cell>
          <cell r="BE11">
            <v>5.2846850997758731E-2</v>
          </cell>
          <cell r="BF11">
            <v>7.7208138986213148E-2</v>
          </cell>
          <cell r="BG11">
            <v>9.6403304733980136E-2</v>
          </cell>
          <cell r="BH11">
            <v>0.10490701933769613</v>
          </cell>
          <cell r="BI11">
            <v>0.10060982737443336</v>
          </cell>
          <cell r="BJ11">
            <v>0.10740832900055504</v>
          </cell>
          <cell r="BK11">
            <v>0.11916570895896224</v>
          </cell>
          <cell r="BL11">
            <v>8.6551731328851592E-2</v>
          </cell>
          <cell r="BM11">
            <v>6.0520647045263797E-2</v>
          </cell>
          <cell r="BN11">
            <v>5.7850929078894664E-2</v>
          </cell>
          <cell r="BO11">
            <v>5.340560620221213E-2</v>
          </cell>
          <cell r="BP11">
            <v>3.7606969680164637E-2</v>
          </cell>
          <cell r="BQ11">
            <v>4.5952799637139385E-2</v>
          </cell>
          <cell r="BR11">
            <v>4.7079803093927973E-2</v>
          </cell>
          <cell r="BS11">
            <v>4.6211900050818322E-2</v>
          </cell>
          <cell r="BT11">
            <v>4.3095915354687486E-2</v>
          </cell>
          <cell r="BU11">
            <v>3.9472171496356921E-2</v>
          </cell>
          <cell r="BV11">
            <v>4.3869727887824249E-2</v>
          </cell>
          <cell r="BW11">
            <v>4.8207529373757753E-2</v>
          </cell>
          <cell r="BX11">
            <v>4.8311967483947837E-2</v>
          </cell>
          <cell r="BY11">
            <v>5.0315322826843221E-2</v>
          </cell>
          <cell r="BZ11">
            <v>5.400326996954178E-2</v>
          </cell>
          <cell r="CA11">
            <v>5.1759710745839703E-2</v>
          </cell>
          <cell r="CB11">
            <v>4.4689454836435903E-2</v>
          </cell>
          <cell r="CC11">
            <v>4.3999999999999997E-2</v>
          </cell>
          <cell r="CD11">
            <v>3.7486768977158226E-2</v>
          </cell>
          <cell r="CE11">
            <v>3.2174004769257358E-2</v>
          </cell>
          <cell r="CF11">
            <v>3.5489287349365517E-2</v>
          </cell>
          <cell r="CG11">
            <v>3.6132465164369743E-2</v>
          </cell>
          <cell r="CH11">
            <v>0.04</v>
          </cell>
          <cell r="CI11">
            <v>3.9296703739944615E-2</v>
          </cell>
          <cell r="CJ11">
            <v>4.0578496247045313E-2</v>
          </cell>
          <cell r="CK11">
            <v>3.7756371356573316E-2</v>
          </cell>
          <cell r="CL11">
            <v>3.940225660119475E-2</v>
          </cell>
          <cell r="CM11">
            <v>0.04</v>
          </cell>
          <cell r="CN11">
            <v>0.04</v>
          </cell>
          <cell r="CO11">
            <v>0.04</v>
          </cell>
          <cell r="CP11">
            <v>0.04</v>
          </cell>
          <cell r="CQ11">
            <v>0.04</v>
          </cell>
          <cell r="CR11">
            <v>3.5000000000000003E-2</v>
          </cell>
          <cell r="CS11">
            <v>3.5000000000000003E-2</v>
          </cell>
          <cell r="CT11">
            <v>3.5000000000000003E-2</v>
          </cell>
          <cell r="CU11">
            <v>3.5000000000000003E-2</v>
          </cell>
          <cell r="CV11">
            <v>3.5000000000000003E-2</v>
          </cell>
          <cell r="CW11">
            <v>3.5000000000000003E-2</v>
          </cell>
          <cell r="CX11">
            <v>3.5000000000000003E-2</v>
          </cell>
          <cell r="CY11">
            <v>3.5000000000000003E-2</v>
          </cell>
          <cell r="CZ11">
            <v>3.5000000000000003E-2</v>
          </cell>
          <cell r="DA11">
            <v>3.5000000000000003E-2</v>
          </cell>
          <cell r="DB11">
            <v>3.5000000000000003E-2</v>
          </cell>
        </row>
        <row r="12">
          <cell r="B12">
            <v>8.7499999999999994E-2</v>
          </cell>
          <cell r="C12">
            <v>9.7500000000000003E-2</v>
          </cell>
          <cell r="D12">
            <v>0.1075</v>
          </cell>
          <cell r="E12">
            <v>0.1075</v>
          </cell>
          <cell r="F12">
            <v>0.1</v>
          </cell>
          <cell r="G12">
            <v>0.11416666666666667</v>
          </cell>
          <cell r="H12">
            <v>0.12083333333333333</v>
          </cell>
          <cell r="I12">
            <v>0.12166666666666666</v>
          </cell>
          <cell r="J12">
            <v>0.11166666666666666</v>
          </cell>
          <cell r="K12">
            <v>0.11708333333333334</v>
          </cell>
          <cell r="L12">
            <v>0.10249999999999999</v>
          </cell>
          <cell r="M12">
            <v>8.6666666666666656E-2</v>
          </cell>
          <cell r="N12">
            <v>7.6666666666666675E-2</v>
          </cell>
          <cell r="O12">
            <v>7.2499999999999995E-2</v>
          </cell>
          <cell r="P12">
            <v>8.4583333333333344E-2</v>
          </cell>
          <cell r="Q12">
            <v>7.2499999999999995E-2</v>
          </cell>
          <cell r="R12">
            <v>7.8333333333333324E-2</v>
          </cell>
          <cell r="S12">
            <v>8.8333333333333333E-2</v>
          </cell>
          <cell r="T12">
            <v>9.8333333333333342E-2</v>
          </cell>
          <cell r="U12">
            <v>8.4375000000000006E-2</v>
          </cell>
          <cell r="V12">
            <v>0.10666666666666666</v>
          </cell>
          <cell r="W12">
            <v>0.11</v>
          </cell>
          <cell r="X12">
            <v>0.11</v>
          </cell>
          <cell r="Y12">
            <v>0.11416666666666667</v>
          </cell>
          <cell r="Z12">
            <v>0.11020833333333334</v>
          </cell>
          <cell r="AA12">
            <v>0.12416666666666666</v>
          </cell>
          <cell r="AB12">
            <v>0.13416666666666666</v>
          </cell>
          <cell r="AC12">
            <v>0.14249999999999999</v>
          </cell>
          <cell r="AD12">
            <v>0.14249999999999999</v>
          </cell>
          <cell r="AE12">
            <v>0.13583333333333333</v>
          </cell>
          <cell r="AF12">
            <v>0.14249999999999999</v>
          </cell>
          <cell r="AG12">
            <v>0.14249999999999999</v>
          </cell>
          <cell r="AH12">
            <v>0.14249999999999999</v>
          </cell>
          <cell r="AI12">
            <v>0.13916666666666666</v>
          </cell>
          <cell r="AJ12">
            <v>0.14166666666666666</v>
          </cell>
          <cell r="AK12">
            <v>0.125</v>
          </cell>
          <cell r="AL12">
            <v>0.10916666666666666</v>
          </cell>
          <cell r="AM12">
            <v>8.9166666666666658E-2</v>
          </cell>
          <cell r="AN12">
            <v>7.3333333333333334E-2</v>
          </cell>
          <cell r="AO12">
            <v>9.9166666666666667E-2</v>
          </cell>
          <cell r="AP12">
            <v>6.7500000000000004E-2</v>
          </cell>
          <cell r="AQ12">
            <v>6.5000000000000002E-2</v>
          </cell>
          <cell r="AR12">
            <v>6.5000000000000002E-2</v>
          </cell>
          <cell r="AS12">
            <v>6.5000000000000002E-2</v>
          </cell>
          <cell r="AT12">
            <v>6.5625000000000003E-2</v>
          </cell>
          <cell r="AU12">
            <v>6.5000000000000002E-2</v>
          </cell>
          <cell r="AV12">
            <v>6.5000000000000002E-2</v>
          </cell>
          <cell r="AW12">
            <v>0.06</v>
          </cell>
          <cell r="AX12">
            <v>4.8333333333333332E-2</v>
          </cell>
          <cell r="AY12">
            <v>5.9583333333333328E-2</v>
          </cell>
          <cell r="AZ12">
            <v>4.1666666666666671E-2</v>
          </cell>
          <cell r="BA12">
            <v>0.03</v>
          </cell>
          <cell r="BB12">
            <v>2.0833333333333336E-2</v>
          </cell>
          <cell r="BC12">
            <v>0.02</v>
          </cell>
          <cell r="BD12">
            <v>2.8125000000000001E-2</v>
          </cell>
          <cell r="BE12">
            <v>2.2499999999999999E-2</v>
          </cell>
          <cell r="BF12">
            <v>3.5000000000000003E-2</v>
          </cell>
          <cell r="BG12">
            <v>5.2499999999999998E-2</v>
          </cell>
          <cell r="BH12">
            <v>8.2500000000000004E-2</v>
          </cell>
          <cell r="BI12">
            <v>4.8125000000000001E-2</v>
          </cell>
          <cell r="BJ12">
            <v>0.10583333333333333</v>
          </cell>
          <cell r="BK12">
            <v>0.12583333333333335</v>
          </cell>
          <cell r="BL12">
            <v>0.13583333333333333</v>
          </cell>
          <cell r="BM12">
            <v>0.13750000000000001</v>
          </cell>
          <cell r="BN12">
            <v>0.12625</v>
          </cell>
          <cell r="BO12">
            <v>0.13750000000000001</v>
          </cell>
          <cell r="BP12">
            <v>0.13750000000000001</v>
          </cell>
          <cell r="BQ12">
            <v>0.13250000000000001</v>
          </cell>
          <cell r="BR12">
            <v>0.1225</v>
          </cell>
          <cell r="BS12">
            <v>0.13250000000000001</v>
          </cell>
          <cell r="BT12">
            <v>0.11083333333333334</v>
          </cell>
          <cell r="BU12">
            <v>0.10583333333333333</v>
          </cell>
          <cell r="BV12">
            <v>0.10583333333333333</v>
          </cell>
          <cell r="BW12">
            <v>0.11416666666666667</v>
          </cell>
          <cell r="BX12">
            <v>0.10916666666666666</v>
          </cell>
          <cell r="BY12">
            <v>0.13583333333333333</v>
          </cell>
          <cell r="BZ12">
            <v>0.14666666666666667</v>
          </cell>
          <cell r="CA12">
            <v>0.15</v>
          </cell>
          <cell r="CB12">
            <v>0.15</v>
          </cell>
          <cell r="CC12">
            <v>0.145625</v>
          </cell>
          <cell r="CD12">
            <v>0.14833333333333334</v>
          </cell>
          <cell r="CE12">
            <v>0.13833333333333334</v>
          </cell>
          <cell r="CF12">
            <v>0.13</v>
          </cell>
          <cell r="CG12">
            <v>0.12333333333333334</v>
          </cell>
          <cell r="CH12">
            <v>0.12333333333333334</v>
          </cell>
          <cell r="CI12">
            <v>0.14833333333333334</v>
          </cell>
          <cell r="CJ12">
            <v>0.13833333333333334</v>
          </cell>
          <cell r="CK12">
            <v>0.13</v>
          </cell>
          <cell r="CL12">
            <v>0.12333333333333334</v>
          </cell>
          <cell r="CM12">
            <v>0.12333333333333334</v>
          </cell>
          <cell r="CN12">
            <v>0.12333333333333334</v>
          </cell>
          <cell r="CO12">
            <v>0.12333333333333334</v>
          </cell>
          <cell r="CP12">
            <v>0.12333333333333334</v>
          </cell>
          <cell r="CQ12">
            <v>0.12333333333333334</v>
          </cell>
          <cell r="CR12">
            <v>0.106</v>
          </cell>
          <cell r="CS12">
            <v>0.106</v>
          </cell>
          <cell r="CT12">
            <v>0.106</v>
          </cell>
          <cell r="CU12">
            <v>0.106</v>
          </cell>
          <cell r="CV12">
            <v>0.106</v>
          </cell>
          <cell r="CW12">
            <v>0.106</v>
          </cell>
          <cell r="CX12">
            <v>0.106</v>
          </cell>
          <cell r="CY12">
            <v>0.106</v>
          </cell>
          <cell r="CZ12">
            <v>0.106</v>
          </cell>
          <cell r="DA12">
            <v>0.106</v>
          </cell>
          <cell r="DB12">
            <v>0.106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8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00000"/>
      </a:accent1>
      <a:accent2>
        <a:srgbClr val="FF6200"/>
      </a:accent2>
      <a:accent3>
        <a:srgbClr val="FFB600"/>
      </a:accent3>
      <a:accent4>
        <a:srgbClr val="57B49A"/>
      </a:accent4>
      <a:accent5>
        <a:srgbClr val="A6CF2D"/>
      </a:accent5>
      <a:accent6>
        <a:srgbClr val="BFBFBF"/>
      </a:accent6>
      <a:hlink>
        <a:srgbClr val="0070C0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62CA-F819-40BB-8504-41B1A7E96F31}">
  <sheetPr>
    <tabColor theme="2" tint="-0.89999084444715716"/>
  </sheetPr>
  <dimension ref="A5:P21"/>
  <sheetViews>
    <sheetView showGridLines="0" zoomScaleNormal="100" workbookViewId="0">
      <selection activeCell="L16" sqref="L16"/>
    </sheetView>
  </sheetViews>
  <sheetFormatPr defaultColWidth="8.81640625" defaultRowHeight="14" x14ac:dyDescent="0.3"/>
  <cols>
    <col min="1" max="1" width="3.7265625" style="5" customWidth="1"/>
    <col min="2" max="7" width="8.81640625" style="5"/>
    <col min="8" max="8" width="9.1796875" style="5" customWidth="1"/>
    <col min="9" max="9" width="7.7265625" style="5" hidden="1" customWidth="1"/>
    <col min="10" max="10" width="20.81640625" style="5" bestFit="1" customWidth="1"/>
    <col min="11" max="16384" width="8.81640625" style="5"/>
  </cols>
  <sheetData>
    <row r="5" spans="1:16" s="3" customForma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</row>
    <row r="6" spans="1:16" s="3" customFormat="1" ht="36" customHeight="1" x14ac:dyDescent="0.6">
      <c r="A6" s="1"/>
      <c r="B6" s="108" t="str">
        <f ca="1">Valuation!B5&amp;" -"&amp;" "&amp;Valuation!B18&amp;" Rating - TP R$"&amp;Valuation!B16&amp;"/sh"</f>
        <v>CYRE3 - Outperform Rating - TP R$35/sh</v>
      </c>
      <c r="C6" s="1"/>
      <c r="D6" s="1"/>
      <c r="E6" s="1"/>
      <c r="F6" s="1"/>
      <c r="G6" s="1"/>
      <c r="H6" s="1"/>
      <c r="I6" s="1"/>
      <c r="J6" s="4"/>
      <c r="K6" s="1"/>
      <c r="L6" s="1"/>
    </row>
    <row r="7" spans="1:16" ht="7.5" customHeight="1" x14ac:dyDescent="0.3">
      <c r="B7" s="6"/>
      <c r="C7" s="6"/>
      <c r="D7" s="6"/>
    </row>
    <row r="8" spans="1:16" s="3" customFormat="1" ht="14.5" thickBot="1" x14ac:dyDescent="0.3">
      <c r="A8" s="1"/>
      <c r="B8" s="109" t="s">
        <v>48</v>
      </c>
      <c r="C8" s="110"/>
      <c r="D8" s="110"/>
      <c r="E8" s="110"/>
      <c r="F8" s="110"/>
      <c r="G8" s="110"/>
      <c r="H8" s="110"/>
      <c r="I8" s="110"/>
      <c r="J8" s="110"/>
      <c r="K8" s="110"/>
      <c r="L8" s="1"/>
    </row>
    <row r="9" spans="1:16" ht="7.5" customHeight="1" thickTop="1" x14ac:dyDescent="0.3">
      <c r="B9" s="6"/>
      <c r="C9" s="6"/>
      <c r="D9" s="6"/>
    </row>
    <row r="10" spans="1:16" x14ac:dyDescent="0.3">
      <c r="B10" s="64" t="s">
        <v>50</v>
      </c>
      <c r="C10" s="6"/>
      <c r="D10" s="6"/>
    </row>
    <row r="11" spans="1:16" x14ac:dyDescent="0.3">
      <c r="B11" s="62" t="s">
        <v>52</v>
      </c>
      <c r="C11" s="6"/>
      <c r="D11" s="6"/>
    </row>
    <row r="12" spans="1:16" x14ac:dyDescent="0.3">
      <c r="B12" s="63" t="s">
        <v>385</v>
      </c>
      <c r="C12" s="6"/>
      <c r="D12" s="6"/>
    </row>
    <row r="13" spans="1:16" ht="7.5" customHeight="1" x14ac:dyDescent="0.3">
      <c r="B13" s="6"/>
      <c r="C13" s="6"/>
      <c r="D13" s="6"/>
    </row>
    <row r="14" spans="1:16" x14ac:dyDescent="0.3">
      <c r="B14" s="62" t="s">
        <v>49</v>
      </c>
      <c r="C14" s="6"/>
      <c r="D14" s="6"/>
    </row>
    <row r="15" spans="1:16" x14ac:dyDescent="0.3">
      <c r="B15" s="63" t="s">
        <v>386</v>
      </c>
      <c r="C15" s="6"/>
      <c r="D15" s="6"/>
    </row>
    <row r="16" spans="1:16" ht="7.5" customHeight="1" x14ac:dyDescent="0.3">
      <c r="B16" s="6"/>
      <c r="C16" s="6"/>
      <c r="D16" s="6"/>
    </row>
    <row r="17" spans="2:4" x14ac:dyDescent="0.3">
      <c r="B17" s="62" t="s">
        <v>51</v>
      </c>
      <c r="C17" s="6"/>
      <c r="D17" s="6"/>
    </row>
    <row r="18" spans="2:4" x14ac:dyDescent="0.3">
      <c r="B18" s="63" t="s">
        <v>387</v>
      </c>
      <c r="C18" s="6"/>
      <c r="D18" s="6"/>
    </row>
    <row r="19" spans="2:4" ht="7.5" customHeight="1" x14ac:dyDescent="0.3">
      <c r="B19" s="6"/>
      <c r="C19" s="6"/>
      <c r="D19" s="6"/>
    </row>
    <row r="20" spans="2:4" x14ac:dyDescent="0.3">
      <c r="B20" s="62" t="s">
        <v>388</v>
      </c>
      <c r="C20" s="6"/>
    </row>
    <row r="21" spans="2:4" x14ac:dyDescent="0.3">
      <c r="B21" s="63" t="s">
        <v>389</v>
      </c>
      <c r="C21" s="6"/>
    </row>
  </sheetData>
  <pageMargins left="0.7" right="0.7" top="0.75" bottom="0.75" header="0.3" footer="0.3"/>
  <pageSetup orientation="portrait" r:id="rId1"/>
  <headerFooter>
    <oddFooter>&amp;L_x000D_&amp;1#&amp;"Calibri"&amp;9&amp;K000000 Corporativo |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92CB-BBC0-4226-936E-FE77B3E49D83}">
  <sheetPr>
    <tabColor theme="2" tint="-0.89999084444715716"/>
  </sheetPr>
  <dimension ref="A1:DD45"/>
  <sheetViews>
    <sheetView showGridLines="0" workbookViewId="0">
      <pane xSplit="1" ySplit="3" topLeftCell="BZ4" activePane="bottomRight" state="frozen"/>
      <selection pane="topRight" activeCell="B1" sqref="B1"/>
      <selection pane="bottomLeft" activeCell="A4" sqref="A4"/>
      <selection pane="bottomRight" activeCell="CG24" sqref="CG24"/>
    </sheetView>
  </sheetViews>
  <sheetFormatPr defaultColWidth="11" defaultRowHeight="11.15" customHeight="1" outlineLevelCol="1" x14ac:dyDescent="0.2"/>
  <cols>
    <col min="1" max="1" width="30.7265625" style="286" customWidth="1"/>
    <col min="2" max="5" width="11" style="286" customWidth="1" outlineLevel="1"/>
    <col min="6" max="6" width="11" style="286"/>
    <col min="7" max="10" width="0" style="286" hidden="1" customWidth="1" outlineLevel="1"/>
    <col min="11" max="11" width="11" style="286" collapsed="1"/>
    <col min="12" max="15" width="0" style="286" hidden="1" customWidth="1" outlineLevel="1"/>
    <col min="16" max="16" width="11" style="286" collapsed="1"/>
    <col min="17" max="20" width="0" style="286" hidden="1" customWidth="1" outlineLevel="1"/>
    <col min="21" max="21" width="11" style="286" collapsed="1"/>
    <col min="22" max="25" width="0" style="286" hidden="1" customWidth="1" outlineLevel="1"/>
    <col min="26" max="26" width="11" style="286" collapsed="1"/>
    <col min="27" max="30" width="0" style="286" hidden="1" customWidth="1" outlineLevel="1"/>
    <col min="31" max="31" width="11" style="286" collapsed="1"/>
    <col min="32" max="35" width="0" style="286" hidden="1" customWidth="1" outlineLevel="1"/>
    <col min="36" max="36" width="11" style="286" collapsed="1"/>
    <col min="37" max="40" width="0" style="286" hidden="1" customWidth="1" outlineLevel="1"/>
    <col min="41" max="41" width="11" style="286" collapsed="1"/>
    <col min="42" max="45" width="0" style="286" hidden="1" customWidth="1" outlineLevel="1"/>
    <col min="46" max="46" width="11" style="286" collapsed="1"/>
    <col min="47" max="50" width="0" style="286" hidden="1" customWidth="1" outlineLevel="1"/>
    <col min="51" max="51" width="11" style="286" collapsed="1"/>
    <col min="52" max="55" width="0" style="286" hidden="1" customWidth="1" outlineLevel="1"/>
    <col min="56" max="56" width="11" style="286" collapsed="1"/>
    <col min="57" max="60" width="0" style="286" hidden="1" customWidth="1" outlineLevel="1"/>
    <col min="61" max="61" width="11" style="286" collapsed="1"/>
    <col min="62" max="65" width="0" style="286" hidden="1" customWidth="1" outlineLevel="1"/>
    <col min="66" max="66" width="11" style="286" collapsed="1"/>
    <col min="67" max="70" width="0" style="286" hidden="1" customWidth="1" outlineLevel="1"/>
    <col min="71" max="71" width="11" style="286" collapsed="1"/>
    <col min="72" max="75" width="11" style="286" customWidth="1" outlineLevel="1"/>
    <col min="76" max="76" width="11" style="286"/>
    <col min="77" max="80" width="11" style="286" customWidth="1" outlineLevel="1"/>
    <col min="81" max="81" width="11" style="286"/>
    <col min="82" max="85" width="11" style="286" customWidth="1" outlineLevel="1"/>
    <col min="86" max="86" width="11" style="286"/>
    <col min="87" max="90" width="11" style="286" customWidth="1" outlineLevel="1"/>
    <col min="91" max="91" width="11" style="286"/>
    <col min="92" max="95" width="11" style="286" customWidth="1" outlineLevel="1"/>
    <col min="96" max="96" width="11" style="286"/>
    <col min="97" max="100" width="0" style="286" hidden="1" customWidth="1" outlineLevel="1"/>
    <col min="101" max="101" width="11" style="286" collapsed="1"/>
    <col min="102" max="105" width="0" style="286" hidden="1" customWidth="1" outlineLevel="1"/>
    <col min="106" max="106" width="11" style="286" collapsed="1"/>
    <col min="107" max="16384" width="11" style="286"/>
  </cols>
  <sheetData>
    <row r="1" spans="1:108" s="7" customFormat="1" ht="45.75" customHeight="1" x14ac:dyDescent="0.35">
      <c r="F1" s="8"/>
      <c r="K1" s="8"/>
      <c r="P1" s="8"/>
      <c r="U1" s="8"/>
      <c r="Z1" s="8"/>
      <c r="AE1" s="8"/>
      <c r="AJ1" s="8"/>
      <c r="AO1" s="8"/>
      <c r="AT1" s="8"/>
      <c r="AY1" s="8"/>
      <c r="BD1" s="8"/>
      <c r="BI1" s="8"/>
      <c r="BN1" s="8"/>
      <c r="BS1" s="8"/>
      <c r="BX1" s="8"/>
      <c r="CC1" s="8"/>
      <c r="CH1" s="8"/>
      <c r="CM1" s="8"/>
      <c r="CR1" s="8"/>
      <c r="CW1" s="8"/>
      <c r="DB1" s="8"/>
    </row>
    <row r="2" spans="1:108" s="7" customFormat="1" ht="11.15" customHeight="1" x14ac:dyDescent="0.35">
      <c r="A2" s="11" t="str">
        <f ca="1">Valuation!$A$2</f>
        <v>CYRE3 | TP R$35/sh</v>
      </c>
      <c r="B2" s="12"/>
      <c r="C2" s="12"/>
      <c r="D2" s="12"/>
      <c r="E2" s="12"/>
      <c r="F2" s="40"/>
      <c r="G2" s="12"/>
      <c r="H2" s="12"/>
      <c r="I2" s="12"/>
      <c r="J2" s="12"/>
      <c r="K2" s="40"/>
      <c r="L2" s="12"/>
      <c r="M2" s="12"/>
      <c r="N2" s="12"/>
      <c r="O2" s="12"/>
      <c r="P2" s="40"/>
      <c r="Q2" s="12"/>
      <c r="R2" s="12"/>
      <c r="S2" s="12"/>
      <c r="T2" s="12"/>
      <c r="U2" s="40"/>
      <c r="V2" s="12"/>
      <c r="W2" s="12"/>
      <c r="X2" s="12"/>
      <c r="Y2" s="12"/>
      <c r="Z2" s="40"/>
      <c r="AA2" s="12"/>
      <c r="AB2" s="12"/>
      <c r="AC2" s="12"/>
      <c r="AD2" s="12"/>
      <c r="AE2" s="40"/>
      <c r="AF2" s="12"/>
      <c r="AG2" s="12"/>
      <c r="AH2" s="12"/>
      <c r="AI2" s="12"/>
      <c r="AJ2" s="40"/>
      <c r="AK2" s="12"/>
      <c r="AL2" s="12"/>
      <c r="AM2" s="12"/>
      <c r="AN2" s="12"/>
      <c r="AO2" s="40"/>
      <c r="AP2" s="12"/>
      <c r="AQ2" s="12"/>
      <c r="AR2" s="12"/>
      <c r="AS2" s="12"/>
      <c r="AT2" s="40"/>
      <c r="AU2" s="12"/>
      <c r="AV2" s="12"/>
      <c r="AW2" s="12"/>
      <c r="AX2" s="12"/>
      <c r="AY2" s="40"/>
      <c r="AZ2" s="12"/>
      <c r="BA2" s="12"/>
      <c r="BB2" s="12"/>
      <c r="BC2" s="12"/>
      <c r="BD2" s="40"/>
      <c r="BE2" s="12"/>
      <c r="BF2" s="12"/>
      <c r="BG2" s="12"/>
      <c r="BH2" s="12"/>
      <c r="BI2" s="40"/>
      <c r="BJ2" s="12"/>
      <c r="BK2" s="12"/>
      <c r="BL2" s="12"/>
      <c r="BM2" s="12"/>
      <c r="BN2" s="40"/>
      <c r="BO2" s="12"/>
      <c r="BP2" s="12"/>
      <c r="BQ2" s="12"/>
      <c r="BR2" s="12"/>
      <c r="BS2" s="40"/>
      <c r="BT2" s="12"/>
      <c r="BU2" s="12"/>
      <c r="BV2" s="12"/>
      <c r="BW2" s="12"/>
      <c r="BX2" s="40"/>
      <c r="BY2" s="12"/>
      <c r="BZ2" s="12"/>
      <c r="CA2" s="12"/>
      <c r="CB2" s="12"/>
      <c r="CC2" s="40"/>
      <c r="CD2" s="12"/>
      <c r="CE2" s="12"/>
      <c r="CF2" s="12"/>
      <c r="CG2" s="12"/>
      <c r="CH2" s="40"/>
      <c r="CI2" s="12"/>
      <c r="CJ2" s="12"/>
      <c r="CK2" s="12"/>
      <c r="CL2" s="12"/>
      <c r="CM2" s="40"/>
      <c r="CN2" s="12"/>
      <c r="CO2" s="12"/>
      <c r="CP2" s="12"/>
      <c r="CQ2" s="12"/>
      <c r="CR2" s="40"/>
      <c r="CS2" s="12"/>
      <c r="CT2" s="12"/>
      <c r="CU2" s="12"/>
      <c r="CV2" s="12"/>
      <c r="CW2" s="40"/>
      <c r="CX2" s="12"/>
      <c r="CY2" s="12"/>
      <c r="CZ2" s="12"/>
      <c r="DA2" s="12"/>
      <c r="DB2" s="40"/>
    </row>
    <row r="3" spans="1:108" s="301" customFormat="1" ht="11.5" customHeight="1" thickBot="1" x14ac:dyDescent="0.3">
      <c r="A3" s="295" t="s">
        <v>7</v>
      </c>
      <c r="B3" s="296" t="str">
        <f>B5&amp;RIGHT(B4,2)&amp;B6</f>
        <v>1Q10</v>
      </c>
      <c r="C3" s="296" t="str">
        <f>C5&amp;RIGHT(C4,2)&amp;C6</f>
        <v>2Q10</v>
      </c>
      <c r="D3" s="296" t="str">
        <f>D5&amp;RIGHT(D4,2)&amp;D6</f>
        <v>3Q10</v>
      </c>
      <c r="E3" s="296" t="str">
        <f>E5&amp;RIGHT(E4,2)&amp;E6</f>
        <v>4Q10</v>
      </c>
      <c r="F3" s="297" t="str">
        <f>F4&amp;F6</f>
        <v>2010</v>
      </c>
      <c r="G3" s="296" t="str">
        <f>G5&amp;RIGHT(G4,2)&amp;G6</f>
        <v>1Q11</v>
      </c>
      <c r="H3" s="296" t="str">
        <f>H5&amp;RIGHT(H4,2)&amp;H6</f>
        <v>2Q11</v>
      </c>
      <c r="I3" s="296" t="str">
        <f>I5&amp;RIGHT(I4,2)&amp;I6</f>
        <v>3Q11</v>
      </c>
      <c r="J3" s="296" t="str">
        <f>J5&amp;RIGHT(J4,2)&amp;J6</f>
        <v>4Q11</v>
      </c>
      <c r="K3" s="297" t="str">
        <f>K4&amp;K6</f>
        <v>2011</v>
      </c>
      <c r="L3" s="296" t="str">
        <f t="shared" ref="L3:O3" si="0">L5&amp;RIGHT(L4,2)&amp;L6</f>
        <v>1Q12</v>
      </c>
      <c r="M3" s="296" t="str">
        <f t="shared" si="0"/>
        <v>2Q12</v>
      </c>
      <c r="N3" s="296" t="str">
        <f t="shared" si="0"/>
        <v>3Q12</v>
      </c>
      <c r="O3" s="296" t="str">
        <f t="shared" si="0"/>
        <v>4Q12</v>
      </c>
      <c r="P3" s="297" t="str">
        <f t="shared" ref="P3" si="1">P4&amp;P6</f>
        <v>2012</v>
      </c>
      <c r="Q3" s="296" t="str">
        <f t="shared" ref="Q3:T3" si="2">Q5&amp;RIGHT(Q4,2)&amp;Q6</f>
        <v>1Q13</v>
      </c>
      <c r="R3" s="296" t="str">
        <f t="shared" si="2"/>
        <v>2Q13</v>
      </c>
      <c r="S3" s="296" t="str">
        <f t="shared" si="2"/>
        <v>3Q13</v>
      </c>
      <c r="T3" s="296" t="str">
        <f t="shared" si="2"/>
        <v>4Q13</v>
      </c>
      <c r="U3" s="297" t="str">
        <f t="shared" ref="U3" si="3">U4&amp;U6</f>
        <v>2013</v>
      </c>
      <c r="V3" s="296" t="str">
        <f t="shared" ref="V3:Y3" si="4">V5&amp;RIGHT(V4,2)&amp;V6</f>
        <v>1Q14</v>
      </c>
      <c r="W3" s="296" t="str">
        <f t="shared" si="4"/>
        <v>2Q14</v>
      </c>
      <c r="X3" s="296" t="str">
        <f t="shared" si="4"/>
        <v>3Q14</v>
      </c>
      <c r="Y3" s="296" t="str">
        <f t="shared" si="4"/>
        <v>4Q14</v>
      </c>
      <c r="Z3" s="297" t="str">
        <f t="shared" ref="Z3" si="5">Z4&amp;Z6</f>
        <v>2014</v>
      </c>
      <c r="AA3" s="296" t="str">
        <f t="shared" ref="AA3:AD3" si="6">AA5&amp;RIGHT(AA4,2)&amp;AA6</f>
        <v>1Q15</v>
      </c>
      <c r="AB3" s="296" t="str">
        <f t="shared" si="6"/>
        <v>2Q15</v>
      </c>
      <c r="AC3" s="296" t="str">
        <f t="shared" si="6"/>
        <v>3Q15</v>
      </c>
      <c r="AD3" s="296" t="str">
        <f t="shared" si="6"/>
        <v>4Q15</v>
      </c>
      <c r="AE3" s="297" t="str">
        <f t="shared" ref="AE3" si="7">AE4&amp;AE6</f>
        <v>2015</v>
      </c>
      <c r="AF3" s="296" t="str">
        <f t="shared" ref="AF3:AI3" si="8">AF5&amp;RIGHT(AF4,2)&amp;AF6</f>
        <v>1Q16</v>
      </c>
      <c r="AG3" s="296" t="str">
        <f t="shared" si="8"/>
        <v>2Q16</v>
      </c>
      <c r="AH3" s="296" t="str">
        <f t="shared" si="8"/>
        <v>3Q16</v>
      </c>
      <c r="AI3" s="296" t="str">
        <f t="shared" si="8"/>
        <v>4Q16</v>
      </c>
      <c r="AJ3" s="297" t="str">
        <f t="shared" ref="AJ3" si="9">AJ4&amp;AJ6</f>
        <v>2016</v>
      </c>
      <c r="AK3" s="296" t="str">
        <f t="shared" ref="AK3:AN3" si="10">AK5&amp;RIGHT(AK4,2)&amp;AK6</f>
        <v>1Q17</v>
      </c>
      <c r="AL3" s="296" t="str">
        <f t="shared" si="10"/>
        <v>2Q17</v>
      </c>
      <c r="AM3" s="296" t="str">
        <f t="shared" si="10"/>
        <v>3Q17</v>
      </c>
      <c r="AN3" s="296" t="str">
        <f t="shared" si="10"/>
        <v>4Q17</v>
      </c>
      <c r="AO3" s="297" t="str">
        <f t="shared" ref="AO3" si="11">AO4&amp;AO6</f>
        <v>2017</v>
      </c>
      <c r="AP3" s="296" t="str">
        <f t="shared" ref="AP3:AS3" si="12">AP5&amp;RIGHT(AP4,2)&amp;AP6</f>
        <v>1Q18</v>
      </c>
      <c r="AQ3" s="296" t="str">
        <f t="shared" si="12"/>
        <v>2Q18</v>
      </c>
      <c r="AR3" s="296" t="str">
        <f t="shared" si="12"/>
        <v>3Q18</v>
      </c>
      <c r="AS3" s="296" t="str">
        <f t="shared" si="12"/>
        <v>4Q18</v>
      </c>
      <c r="AT3" s="297" t="str">
        <f t="shared" ref="AT3" si="13">AT4&amp;AT6</f>
        <v>2018</v>
      </c>
      <c r="AU3" s="296" t="str">
        <f t="shared" ref="AU3:AX3" si="14">AU5&amp;RIGHT(AU4,2)&amp;AU6</f>
        <v>1Q19</v>
      </c>
      <c r="AV3" s="296" t="str">
        <f t="shared" si="14"/>
        <v>2Q19</v>
      </c>
      <c r="AW3" s="296" t="str">
        <f t="shared" si="14"/>
        <v>3Q19</v>
      </c>
      <c r="AX3" s="296" t="str">
        <f t="shared" si="14"/>
        <v>4Q19</v>
      </c>
      <c r="AY3" s="297" t="str">
        <f t="shared" ref="AY3" si="15">AY4&amp;AY6</f>
        <v>2019</v>
      </c>
      <c r="AZ3" s="296" t="str">
        <f t="shared" ref="AZ3:BC3" si="16">AZ5&amp;RIGHT(AZ4,2)&amp;AZ6</f>
        <v>1Q20</v>
      </c>
      <c r="BA3" s="296" t="str">
        <f t="shared" si="16"/>
        <v>2Q20</v>
      </c>
      <c r="BB3" s="296" t="str">
        <f t="shared" si="16"/>
        <v>3Q20</v>
      </c>
      <c r="BC3" s="296" t="str">
        <f t="shared" si="16"/>
        <v>4Q20</v>
      </c>
      <c r="BD3" s="297" t="str">
        <f t="shared" ref="BD3" si="17">BD4&amp;BD6</f>
        <v>2020</v>
      </c>
      <c r="BE3" s="296" t="str">
        <f t="shared" ref="BE3:BH3" si="18">BE5&amp;RIGHT(BE4,2)&amp;BE6</f>
        <v>1Q21</v>
      </c>
      <c r="BF3" s="296" t="str">
        <f t="shared" si="18"/>
        <v>2Q21</v>
      </c>
      <c r="BG3" s="296" t="str">
        <f t="shared" si="18"/>
        <v>3Q21</v>
      </c>
      <c r="BH3" s="296" t="str">
        <f t="shared" si="18"/>
        <v>4Q21</v>
      </c>
      <c r="BI3" s="297" t="str">
        <f t="shared" ref="BI3" si="19">BI4&amp;BI6</f>
        <v>2021</v>
      </c>
      <c r="BJ3" s="296" t="str">
        <f t="shared" ref="BJ3:BM3" si="20">BJ5&amp;RIGHT(BJ4,2)&amp;BJ6</f>
        <v>1Q22</v>
      </c>
      <c r="BK3" s="296" t="str">
        <f t="shared" si="20"/>
        <v>2Q22</v>
      </c>
      <c r="BL3" s="296" t="str">
        <f t="shared" si="20"/>
        <v>3Q22</v>
      </c>
      <c r="BM3" s="296" t="str">
        <f t="shared" si="20"/>
        <v>4Q22</v>
      </c>
      <c r="BN3" s="297" t="str">
        <f t="shared" ref="BN3" si="21">BN4&amp;BN6</f>
        <v>2022</v>
      </c>
      <c r="BO3" s="296" t="str">
        <f t="shared" ref="BO3:BR3" si="22">BO5&amp;RIGHT(BO4,2)&amp;BO6</f>
        <v>1Q23</v>
      </c>
      <c r="BP3" s="296" t="str">
        <f t="shared" si="22"/>
        <v>2Q23</v>
      </c>
      <c r="BQ3" s="296" t="str">
        <f t="shared" si="22"/>
        <v>3Q23</v>
      </c>
      <c r="BR3" s="296" t="str">
        <f t="shared" si="22"/>
        <v>4Q23</v>
      </c>
      <c r="BS3" s="297" t="str">
        <f t="shared" ref="BS3" si="23">BS4&amp;BS6</f>
        <v>2023</v>
      </c>
      <c r="BT3" s="296" t="str">
        <f t="shared" ref="BT3:BW3" si="24">BT5&amp;RIGHT(BT4,2)&amp;BT6</f>
        <v>1Q24</v>
      </c>
      <c r="BU3" s="296" t="str">
        <f t="shared" si="24"/>
        <v>2Q24</v>
      </c>
      <c r="BV3" s="296" t="str">
        <f t="shared" si="24"/>
        <v>3Q24</v>
      </c>
      <c r="BW3" s="296" t="str">
        <f t="shared" si="24"/>
        <v>4Q24</v>
      </c>
      <c r="BX3" s="297" t="str">
        <f t="shared" ref="BX3" si="25">BX4&amp;BX6</f>
        <v>2024</v>
      </c>
      <c r="BY3" s="296" t="str">
        <f>BY5&amp;RIGHT(BY4,2)&amp;BY6</f>
        <v>1Q25</v>
      </c>
      <c r="BZ3" s="296" t="str">
        <f>BZ5&amp;RIGHT(BZ4,2)&amp;BZ6</f>
        <v>2Q25</v>
      </c>
      <c r="CA3" s="296" t="str">
        <f>CA5&amp;RIGHT(CA4,2)&amp;CA6</f>
        <v>3Q25</v>
      </c>
      <c r="CB3" s="296" t="str">
        <f>CB5&amp;RIGHT(CB4,2)&amp;CB6</f>
        <v>4Q25</v>
      </c>
      <c r="CC3" s="297" t="str">
        <f t="shared" ref="CC3" si="26">CC4&amp;CC6</f>
        <v>2025</v>
      </c>
      <c r="CD3" s="296" t="str">
        <f>CD5&amp;RIGHT(CD4,2)&amp;CD6</f>
        <v>1Q26</v>
      </c>
      <c r="CE3" s="296" t="str">
        <f>CE5&amp;RIGHT(CE4,2)&amp;CE6</f>
        <v>2Q26</v>
      </c>
      <c r="CF3" s="296" t="str">
        <f>CF5&amp;RIGHT(CF4,2)&amp;CF6</f>
        <v>3Q26E</v>
      </c>
      <c r="CG3" s="296" t="str">
        <f>CG5&amp;RIGHT(CG4,2)&amp;CG6</f>
        <v>4Q26E</v>
      </c>
      <c r="CH3" s="297" t="str">
        <f t="shared" ref="CH3" si="27">CH4&amp;CH6</f>
        <v>2026E</v>
      </c>
      <c r="CI3" s="296" t="str">
        <f t="shared" ref="CI3:CL3" si="28">CI5&amp;RIGHT(CI4,2)&amp;CI6</f>
        <v>1Q27E</v>
      </c>
      <c r="CJ3" s="296" t="str">
        <f t="shared" si="28"/>
        <v>2Q27E</v>
      </c>
      <c r="CK3" s="296" t="str">
        <f t="shared" si="28"/>
        <v>3Q27E</v>
      </c>
      <c r="CL3" s="296" t="str">
        <f t="shared" si="28"/>
        <v>4Q27E</v>
      </c>
      <c r="CM3" s="297" t="str">
        <f t="shared" ref="CM3" si="29">CM4&amp;CM6</f>
        <v>2027E</v>
      </c>
      <c r="CN3" s="296" t="str">
        <f t="shared" ref="CN3:CQ3" si="30">CN5&amp;RIGHT(CN4,2)&amp;CN6</f>
        <v>1Q28E</v>
      </c>
      <c r="CO3" s="296" t="str">
        <f t="shared" si="30"/>
        <v>2Q28E</v>
      </c>
      <c r="CP3" s="296" t="str">
        <f t="shared" si="30"/>
        <v>3Q28E</v>
      </c>
      <c r="CQ3" s="296" t="str">
        <f t="shared" si="30"/>
        <v>4Q28E</v>
      </c>
      <c r="CR3" s="297" t="str">
        <f t="shared" ref="CR3" si="31">CR4&amp;CR6</f>
        <v>2028E</v>
      </c>
      <c r="CS3" s="296" t="str">
        <f t="shared" ref="CS3:CV3" si="32">CS5&amp;RIGHT(CS4,2)&amp;CS6</f>
        <v>1Q29E</v>
      </c>
      <c r="CT3" s="296" t="str">
        <f t="shared" si="32"/>
        <v>2Q29E</v>
      </c>
      <c r="CU3" s="296" t="str">
        <f t="shared" si="32"/>
        <v>3Q29E</v>
      </c>
      <c r="CV3" s="296" t="str">
        <f t="shared" si="32"/>
        <v>4Q29E</v>
      </c>
      <c r="CW3" s="297" t="str">
        <f t="shared" ref="CW3" si="33">CW4&amp;CW6</f>
        <v>2029E</v>
      </c>
      <c r="CX3" s="296" t="str">
        <f t="shared" ref="CX3:DA3" si="34">CX5&amp;RIGHT(CX4,2)&amp;CX6</f>
        <v>1Q30E</v>
      </c>
      <c r="CY3" s="296" t="str">
        <f t="shared" si="34"/>
        <v>2Q30E</v>
      </c>
      <c r="CZ3" s="296" t="str">
        <f t="shared" si="34"/>
        <v>3Q30E</v>
      </c>
      <c r="DA3" s="296" t="str">
        <f t="shared" si="34"/>
        <v>4Q30E</v>
      </c>
      <c r="DB3" s="297" t="str">
        <f t="shared" ref="DB3" si="35">DB4&amp;DB6</f>
        <v>2030E</v>
      </c>
    </row>
    <row r="4" spans="1:108" s="287" customFormat="1" ht="11.5" customHeight="1" thickTop="1" x14ac:dyDescent="0.2">
      <c r="A4" s="298" t="s">
        <v>5</v>
      </c>
      <c r="B4" s="293">
        <v>2010</v>
      </c>
      <c r="C4" s="293">
        <v>2010</v>
      </c>
      <c r="D4" s="293">
        <v>2010</v>
      </c>
      <c r="E4" s="293">
        <v>2010</v>
      </c>
      <c r="F4" s="299">
        <f>E4</f>
        <v>2010</v>
      </c>
      <c r="G4" s="293">
        <f>B4+1</f>
        <v>2011</v>
      </c>
      <c r="H4" s="293">
        <f>C4+1</f>
        <v>2011</v>
      </c>
      <c r="I4" s="293">
        <f>D4+1</f>
        <v>2011</v>
      </c>
      <c r="J4" s="293">
        <f>E4+1</f>
        <v>2011</v>
      </c>
      <c r="K4" s="299">
        <f>J4</f>
        <v>2011</v>
      </c>
      <c r="L4" s="293">
        <f t="shared" ref="L4:O4" si="36">G4+1</f>
        <v>2012</v>
      </c>
      <c r="M4" s="293">
        <f t="shared" si="36"/>
        <v>2012</v>
      </c>
      <c r="N4" s="293">
        <f t="shared" si="36"/>
        <v>2012</v>
      </c>
      <c r="O4" s="293">
        <f t="shared" si="36"/>
        <v>2012</v>
      </c>
      <c r="P4" s="299">
        <f t="shared" ref="P4" si="37">O4</f>
        <v>2012</v>
      </c>
      <c r="Q4" s="293">
        <f t="shared" ref="Q4:T4" si="38">L4+1</f>
        <v>2013</v>
      </c>
      <c r="R4" s="293">
        <f t="shared" si="38"/>
        <v>2013</v>
      </c>
      <c r="S4" s="293">
        <f t="shared" si="38"/>
        <v>2013</v>
      </c>
      <c r="T4" s="293">
        <f t="shared" si="38"/>
        <v>2013</v>
      </c>
      <c r="U4" s="299">
        <f t="shared" ref="U4" si="39">T4</f>
        <v>2013</v>
      </c>
      <c r="V4" s="293">
        <f t="shared" ref="V4:Y4" si="40">Q4+1</f>
        <v>2014</v>
      </c>
      <c r="W4" s="293">
        <f t="shared" si="40"/>
        <v>2014</v>
      </c>
      <c r="X4" s="293">
        <f t="shared" si="40"/>
        <v>2014</v>
      </c>
      <c r="Y4" s="293">
        <f t="shared" si="40"/>
        <v>2014</v>
      </c>
      <c r="Z4" s="299">
        <f t="shared" ref="Z4" si="41">Y4</f>
        <v>2014</v>
      </c>
      <c r="AA4" s="293">
        <f t="shared" ref="AA4:AD4" si="42">V4+1</f>
        <v>2015</v>
      </c>
      <c r="AB4" s="293">
        <f t="shared" si="42"/>
        <v>2015</v>
      </c>
      <c r="AC4" s="293">
        <f t="shared" si="42"/>
        <v>2015</v>
      </c>
      <c r="AD4" s="293">
        <f t="shared" si="42"/>
        <v>2015</v>
      </c>
      <c r="AE4" s="299">
        <f t="shared" ref="AE4" si="43">AD4</f>
        <v>2015</v>
      </c>
      <c r="AF4" s="293">
        <f t="shared" ref="AF4:AI4" si="44">AA4+1</f>
        <v>2016</v>
      </c>
      <c r="AG4" s="293">
        <f t="shared" si="44"/>
        <v>2016</v>
      </c>
      <c r="AH4" s="293">
        <f t="shared" si="44"/>
        <v>2016</v>
      </c>
      <c r="AI4" s="293">
        <f t="shared" si="44"/>
        <v>2016</v>
      </c>
      <c r="AJ4" s="299">
        <f t="shared" ref="AJ4" si="45">AI4</f>
        <v>2016</v>
      </c>
      <c r="AK4" s="293">
        <f t="shared" ref="AK4:AN4" si="46">AF4+1</f>
        <v>2017</v>
      </c>
      <c r="AL4" s="293">
        <f t="shared" si="46"/>
        <v>2017</v>
      </c>
      <c r="AM4" s="293">
        <f t="shared" si="46"/>
        <v>2017</v>
      </c>
      <c r="AN4" s="293">
        <f t="shared" si="46"/>
        <v>2017</v>
      </c>
      <c r="AO4" s="299">
        <f t="shared" ref="AO4" si="47">AN4</f>
        <v>2017</v>
      </c>
      <c r="AP4" s="293">
        <f t="shared" ref="AP4:AS4" si="48">AK4+1</f>
        <v>2018</v>
      </c>
      <c r="AQ4" s="293">
        <f t="shared" si="48"/>
        <v>2018</v>
      </c>
      <c r="AR4" s="293">
        <f t="shared" si="48"/>
        <v>2018</v>
      </c>
      <c r="AS4" s="293">
        <f t="shared" si="48"/>
        <v>2018</v>
      </c>
      <c r="AT4" s="299">
        <f t="shared" ref="AT4" si="49">AS4</f>
        <v>2018</v>
      </c>
      <c r="AU4" s="293">
        <f t="shared" ref="AU4:AX4" si="50">AP4+1</f>
        <v>2019</v>
      </c>
      <c r="AV4" s="293">
        <f t="shared" si="50"/>
        <v>2019</v>
      </c>
      <c r="AW4" s="293">
        <f t="shared" si="50"/>
        <v>2019</v>
      </c>
      <c r="AX4" s="293">
        <f t="shared" si="50"/>
        <v>2019</v>
      </c>
      <c r="AY4" s="299">
        <f t="shared" ref="AY4" si="51">AX4</f>
        <v>2019</v>
      </c>
      <c r="AZ4" s="293">
        <f t="shared" ref="AZ4:BC4" si="52">AU4+1</f>
        <v>2020</v>
      </c>
      <c r="BA4" s="293">
        <f t="shared" si="52"/>
        <v>2020</v>
      </c>
      <c r="BB4" s="293">
        <f t="shared" si="52"/>
        <v>2020</v>
      </c>
      <c r="BC4" s="293">
        <f t="shared" si="52"/>
        <v>2020</v>
      </c>
      <c r="BD4" s="299">
        <f t="shared" ref="BD4" si="53">BC4</f>
        <v>2020</v>
      </c>
      <c r="BE4" s="293">
        <f t="shared" ref="BE4:BH4" si="54">AZ4+1</f>
        <v>2021</v>
      </c>
      <c r="BF4" s="293">
        <f t="shared" si="54"/>
        <v>2021</v>
      </c>
      <c r="BG4" s="293">
        <f t="shared" si="54"/>
        <v>2021</v>
      </c>
      <c r="BH4" s="293">
        <f t="shared" si="54"/>
        <v>2021</v>
      </c>
      <c r="BI4" s="299">
        <f t="shared" ref="BI4" si="55">BH4</f>
        <v>2021</v>
      </c>
      <c r="BJ4" s="293">
        <f t="shared" ref="BJ4:BM4" si="56">BE4+1</f>
        <v>2022</v>
      </c>
      <c r="BK4" s="293">
        <f t="shared" si="56"/>
        <v>2022</v>
      </c>
      <c r="BL4" s="293">
        <f t="shared" si="56"/>
        <v>2022</v>
      </c>
      <c r="BM4" s="293">
        <f t="shared" si="56"/>
        <v>2022</v>
      </c>
      <c r="BN4" s="299">
        <f t="shared" ref="BN4" si="57">BM4</f>
        <v>2022</v>
      </c>
      <c r="BO4" s="293">
        <f t="shared" ref="BO4:BR4" si="58">BJ4+1</f>
        <v>2023</v>
      </c>
      <c r="BP4" s="293">
        <f t="shared" si="58"/>
        <v>2023</v>
      </c>
      <c r="BQ4" s="293">
        <f t="shared" si="58"/>
        <v>2023</v>
      </c>
      <c r="BR4" s="293">
        <f t="shared" si="58"/>
        <v>2023</v>
      </c>
      <c r="BS4" s="299">
        <f t="shared" ref="BS4" si="59">BR4</f>
        <v>2023</v>
      </c>
      <c r="BT4" s="293">
        <f t="shared" ref="BT4:BW4" si="60">BO4+1</f>
        <v>2024</v>
      </c>
      <c r="BU4" s="293">
        <f t="shared" si="60"/>
        <v>2024</v>
      </c>
      <c r="BV4" s="293">
        <f t="shared" si="60"/>
        <v>2024</v>
      </c>
      <c r="BW4" s="293">
        <f t="shared" si="60"/>
        <v>2024</v>
      </c>
      <c r="BX4" s="299">
        <f t="shared" ref="BX4" si="61">BW4</f>
        <v>2024</v>
      </c>
      <c r="BY4" s="293">
        <f t="shared" ref="BY4:CG4" si="62">BT4+1</f>
        <v>2025</v>
      </c>
      <c r="BZ4" s="293">
        <f t="shared" si="62"/>
        <v>2025</v>
      </c>
      <c r="CA4" s="293">
        <f t="shared" si="62"/>
        <v>2025</v>
      </c>
      <c r="CB4" s="293">
        <f t="shared" si="62"/>
        <v>2025</v>
      </c>
      <c r="CC4" s="299">
        <f t="shared" ref="CC4" si="63">CB4</f>
        <v>2025</v>
      </c>
      <c r="CD4" s="293">
        <f t="shared" si="62"/>
        <v>2026</v>
      </c>
      <c r="CE4" s="293">
        <f t="shared" si="62"/>
        <v>2026</v>
      </c>
      <c r="CF4" s="293">
        <f t="shared" si="62"/>
        <v>2026</v>
      </c>
      <c r="CG4" s="293">
        <f t="shared" si="62"/>
        <v>2026</v>
      </c>
      <c r="CH4" s="299">
        <f t="shared" ref="CH4" si="64">CG4</f>
        <v>2026</v>
      </c>
      <c r="CI4" s="293">
        <f t="shared" ref="CI4:CL4" si="65">CD4+1</f>
        <v>2027</v>
      </c>
      <c r="CJ4" s="293">
        <f t="shared" si="65"/>
        <v>2027</v>
      </c>
      <c r="CK4" s="293">
        <f t="shared" si="65"/>
        <v>2027</v>
      </c>
      <c r="CL4" s="293">
        <f t="shared" si="65"/>
        <v>2027</v>
      </c>
      <c r="CM4" s="299">
        <f t="shared" ref="CM4:DB4" si="66">CL4</f>
        <v>2027</v>
      </c>
      <c r="CN4" s="293">
        <f t="shared" ref="CN4:CQ4" si="67">CI4+1</f>
        <v>2028</v>
      </c>
      <c r="CO4" s="293">
        <f t="shared" si="67"/>
        <v>2028</v>
      </c>
      <c r="CP4" s="293">
        <f t="shared" si="67"/>
        <v>2028</v>
      </c>
      <c r="CQ4" s="293">
        <f t="shared" si="67"/>
        <v>2028</v>
      </c>
      <c r="CR4" s="299">
        <f t="shared" si="66"/>
        <v>2028</v>
      </c>
      <c r="CS4" s="293">
        <f t="shared" ref="CS4:CV4" si="68">CN4+1</f>
        <v>2029</v>
      </c>
      <c r="CT4" s="293">
        <f t="shared" si="68"/>
        <v>2029</v>
      </c>
      <c r="CU4" s="293">
        <f t="shared" si="68"/>
        <v>2029</v>
      </c>
      <c r="CV4" s="293">
        <f t="shared" si="68"/>
        <v>2029</v>
      </c>
      <c r="CW4" s="299">
        <f t="shared" si="66"/>
        <v>2029</v>
      </c>
      <c r="CX4" s="293">
        <f t="shared" ref="CX4:DA4" si="69">CS4+1</f>
        <v>2030</v>
      </c>
      <c r="CY4" s="293">
        <f t="shared" si="69"/>
        <v>2030</v>
      </c>
      <c r="CZ4" s="293">
        <f t="shared" si="69"/>
        <v>2030</v>
      </c>
      <c r="DA4" s="293">
        <f t="shared" si="69"/>
        <v>2030</v>
      </c>
      <c r="DB4" s="299">
        <f t="shared" si="66"/>
        <v>2030</v>
      </c>
    </row>
    <row r="5" spans="1:108" s="287" customFormat="1" ht="11.5" customHeight="1" x14ac:dyDescent="0.2">
      <c r="A5" s="298" t="s">
        <v>0</v>
      </c>
      <c r="B5" s="294" t="s">
        <v>1</v>
      </c>
      <c r="C5" s="294" t="s">
        <v>2</v>
      </c>
      <c r="D5" s="294" t="s">
        <v>3</v>
      </c>
      <c r="E5" s="294" t="s">
        <v>4</v>
      </c>
      <c r="F5" s="300"/>
      <c r="G5" s="294" t="s">
        <v>1</v>
      </c>
      <c r="H5" s="294" t="s">
        <v>2</v>
      </c>
      <c r="I5" s="294" t="s">
        <v>3</v>
      </c>
      <c r="J5" s="294" t="s">
        <v>4</v>
      </c>
      <c r="K5" s="300">
        <v>20</v>
      </c>
      <c r="L5" s="294" t="s">
        <v>1</v>
      </c>
      <c r="M5" s="294" t="s">
        <v>2</v>
      </c>
      <c r="N5" s="294" t="s">
        <v>3</v>
      </c>
      <c r="O5" s="294" t="s">
        <v>4</v>
      </c>
      <c r="P5" s="300">
        <v>20</v>
      </c>
      <c r="Q5" s="294" t="s">
        <v>1</v>
      </c>
      <c r="R5" s="294" t="s">
        <v>2</v>
      </c>
      <c r="S5" s="294" t="s">
        <v>3</v>
      </c>
      <c r="T5" s="294" t="s">
        <v>4</v>
      </c>
      <c r="U5" s="300">
        <v>20</v>
      </c>
      <c r="V5" s="294" t="s">
        <v>1</v>
      </c>
      <c r="W5" s="294" t="s">
        <v>2</v>
      </c>
      <c r="X5" s="294" t="s">
        <v>3</v>
      </c>
      <c r="Y5" s="294" t="s">
        <v>4</v>
      </c>
      <c r="Z5" s="300">
        <v>20</v>
      </c>
      <c r="AA5" s="294" t="s">
        <v>1</v>
      </c>
      <c r="AB5" s="294" t="s">
        <v>2</v>
      </c>
      <c r="AC5" s="294" t="s">
        <v>3</v>
      </c>
      <c r="AD5" s="294" t="s">
        <v>4</v>
      </c>
      <c r="AE5" s="300">
        <v>20</v>
      </c>
      <c r="AF5" s="294" t="s">
        <v>1</v>
      </c>
      <c r="AG5" s="294" t="s">
        <v>2</v>
      </c>
      <c r="AH5" s="294" t="s">
        <v>3</v>
      </c>
      <c r="AI5" s="294" t="s">
        <v>4</v>
      </c>
      <c r="AJ5" s="300">
        <v>20</v>
      </c>
      <c r="AK5" s="294" t="s">
        <v>1</v>
      </c>
      <c r="AL5" s="294" t="s">
        <v>2</v>
      </c>
      <c r="AM5" s="294" t="s">
        <v>3</v>
      </c>
      <c r="AN5" s="294" t="s">
        <v>4</v>
      </c>
      <c r="AO5" s="300">
        <v>20</v>
      </c>
      <c r="AP5" s="294" t="s">
        <v>1</v>
      </c>
      <c r="AQ5" s="294" t="s">
        <v>2</v>
      </c>
      <c r="AR5" s="294" t="s">
        <v>3</v>
      </c>
      <c r="AS5" s="294" t="s">
        <v>4</v>
      </c>
      <c r="AT5" s="300">
        <v>20</v>
      </c>
      <c r="AU5" s="294" t="s">
        <v>1</v>
      </c>
      <c r="AV5" s="294" t="s">
        <v>2</v>
      </c>
      <c r="AW5" s="294" t="s">
        <v>3</v>
      </c>
      <c r="AX5" s="294" t="s">
        <v>4</v>
      </c>
      <c r="AY5" s="300">
        <v>20</v>
      </c>
      <c r="AZ5" s="294" t="s">
        <v>1</v>
      </c>
      <c r="BA5" s="294" t="s">
        <v>2</v>
      </c>
      <c r="BB5" s="294" t="s">
        <v>3</v>
      </c>
      <c r="BC5" s="294" t="s">
        <v>4</v>
      </c>
      <c r="BD5" s="300">
        <v>20</v>
      </c>
      <c r="BE5" s="294" t="s">
        <v>1</v>
      </c>
      <c r="BF5" s="294" t="s">
        <v>2</v>
      </c>
      <c r="BG5" s="294" t="s">
        <v>3</v>
      </c>
      <c r="BH5" s="294" t="s">
        <v>4</v>
      </c>
      <c r="BI5" s="300">
        <v>20</v>
      </c>
      <c r="BJ5" s="294" t="s">
        <v>1</v>
      </c>
      <c r="BK5" s="294" t="s">
        <v>2</v>
      </c>
      <c r="BL5" s="294" t="s">
        <v>3</v>
      </c>
      <c r="BM5" s="294" t="s">
        <v>4</v>
      </c>
      <c r="BN5" s="300">
        <v>20</v>
      </c>
      <c r="BO5" s="294" t="s">
        <v>1</v>
      </c>
      <c r="BP5" s="294" t="s">
        <v>2</v>
      </c>
      <c r="BQ5" s="294" t="s">
        <v>3</v>
      </c>
      <c r="BR5" s="294" t="s">
        <v>4</v>
      </c>
      <c r="BS5" s="300">
        <v>20</v>
      </c>
      <c r="BT5" s="294" t="s">
        <v>1</v>
      </c>
      <c r="BU5" s="294" t="s">
        <v>2</v>
      </c>
      <c r="BV5" s="294" t="s">
        <v>3</v>
      </c>
      <c r="BW5" s="294" t="s">
        <v>4</v>
      </c>
      <c r="BX5" s="300">
        <v>20</v>
      </c>
      <c r="BY5" s="294" t="s">
        <v>1</v>
      </c>
      <c r="BZ5" s="294" t="s">
        <v>2</v>
      </c>
      <c r="CA5" s="294" t="s">
        <v>3</v>
      </c>
      <c r="CB5" s="294" t="s">
        <v>4</v>
      </c>
      <c r="CC5" s="300">
        <v>20</v>
      </c>
      <c r="CD5" s="294" t="s">
        <v>1</v>
      </c>
      <c r="CE5" s="294" t="s">
        <v>2</v>
      </c>
      <c r="CF5" s="294" t="s">
        <v>3</v>
      </c>
      <c r="CG5" s="294" t="s">
        <v>4</v>
      </c>
      <c r="CH5" s="300">
        <v>20</v>
      </c>
      <c r="CI5" s="294" t="s">
        <v>1</v>
      </c>
      <c r="CJ5" s="294" t="s">
        <v>2</v>
      </c>
      <c r="CK5" s="294" t="s">
        <v>3</v>
      </c>
      <c r="CL5" s="294" t="s">
        <v>4</v>
      </c>
      <c r="CM5" s="300">
        <v>20</v>
      </c>
      <c r="CN5" s="294" t="s">
        <v>1</v>
      </c>
      <c r="CO5" s="294" t="s">
        <v>2</v>
      </c>
      <c r="CP5" s="294" t="s">
        <v>3</v>
      </c>
      <c r="CQ5" s="294" t="s">
        <v>4</v>
      </c>
      <c r="CR5" s="300">
        <v>20</v>
      </c>
      <c r="CS5" s="294" t="s">
        <v>1</v>
      </c>
      <c r="CT5" s="294" t="s">
        <v>2</v>
      </c>
      <c r="CU5" s="294" t="s">
        <v>3</v>
      </c>
      <c r="CV5" s="294" t="s">
        <v>4</v>
      </c>
      <c r="CW5" s="300">
        <v>20</v>
      </c>
      <c r="CX5" s="294" t="s">
        <v>1</v>
      </c>
      <c r="CY5" s="294" t="s">
        <v>2</v>
      </c>
      <c r="CZ5" s="294" t="s">
        <v>3</v>
      </c>
      <c r="DA5" s="294" t="s">
        <v>4</v>
      </c>
      <c r="DB5" s="300">
        <v>20</v>
      </c>
    </row>
    <row r="6" spans="1:108" s="287" customFormat="1" ht="11.5" customHeight="1" x14ac:dyDescent="0.2">
      <c r="A6" s="302" t="s">
        <v>335</v>
      </c>
      <c r="B6" s="303"/>
      <c r="C6" s="303"/>
      <c r="D6" s="303"/>
      <c r="E6" s="303"/>
      <c r="F6" s="304"/>
      <c r="G6" s="303"/>
      <c r="H6" s="303"/>
      <c r="I6" s="303"/>
      <c r="J6" s="303"/>
      <c r="K6" s="304"/>
      <c r="L6" s="303"/>
      <c r="M6" s="303"/>
      <c r="N6" s="303"/>
      <c r="O6" s="303"/>
      <c r="P6" s="304"/>
      <c r="Q6" s="303"/>
      <c r="R6" s="303"/>
      <c r="S6" s="303"/>
      <c r="T6" s="303"/>
      <c r="U6" s="304"/>
      <c r="V6" s="303"/>
      <c r="W6" s="303"/>
      <c r="X6" s="303"/>
      <c r="Y6" s="303"/>
      <c r="Z6" s="304"/>
      <c r="AA6" s="303"/>
      <c r="AB6" s="303"/>
      <c r="AC6" s="303"/>
      <c r="AD6" s="303"/>
      <c r="AE6" s="304"/>
      <c r="AF6" s="303"/>
      <c r="AG6" s="303"/>
      <c r="AH6" s="303"/>
      <c r="AI6" s="303"/>
      <c r="AJ6" s="304"/>
      <c r="AK6" s="303"/>
      <c r="AL6" s="303"/>
      <c r="AM6" s="303"/>
      <c r="AN6" s="303"/>
      <c r="AO6" s="304"/>
      <c r="AP6" s="303"/>
      <c r="AQ6" s="303"/>
      <c r="AR6" s="303"/>
      <c r="AS6" s="303"/>
      <c r="AT6" s="304"/>
      <c r="AU6" s="303"/>
      <c r="AV6" s="303"/>
      <c r="AW6" s="303"/>
      <c r="AX6" s="303"/>
      <c r="AY6" s="304"/>
      <c r="AZ6" s="303"/>
      <c r="BA6" s="303"/>
      <c r="BB6" s="303"/>
      <c r="BC6" s="303"/>
      <c r="BD6" s="304"/>
      <c r="BE6" s="303"/>
      <c r="BF6" s="303"/>
      <c r="BG6" s="303"/>
      <c r="BH6" s="303"/>
      <c r="BI6" s="304"/>
      <c r="BJ6" s="303"/>
      <c r="BK6" s="303"/>
      <c r="BL6" s="303"/>
      <c r="BM6" s="303"/>
      <c r="BN6" s="304"/>
      <c r="BO6" s="303"/>
      <c r="BP6" s="303"/>
      <c r="BQ6" s="303"/>
      <c r="BR6" s="303"/>
      <c r="BS6" s="304"/>
      <c r="BT6" s="303"/>
      <c r="BU6" s="303"/>
      <c r="BV6" s="303"/>
      <c r="BW6" s="303"/>
      <c r="BX6" s="304"/>
      <c r="BY6" s="303"/>
      <c r="BZ6" s="303"/>
      <c r="CA6" s="303"/>
      <c r="CB6" s="303"/>
      <c r="CC6" s="304"/>
      <c r="CD6" s="303"/>
      <c r="CE6" s="303"/>
      <c r="CF6" s="303" t="s">
        <v>6</v>
      </c>
      <c r="CG6" s="303" t="s">
        <v>6</v>
      </c>
      <c r="CH6" s="304" t="s">
        <v>6</v>
      </c>
      <c r="CI6" s="303" t="s">
        <v>6</v>
      </c>
      <c r="CJ6" s="303" t="s">
        <v>6</v>
      </c>
      <c r="CK6" s="303" t="s">
        <v>6</v>
      </c>
      <c r="CL6" s="303" t="s">
        <v>6</v>
      </c>
      <c r="CM6" s="304" t="s">
        <v>6</v>
      </c>
      <c r="CN6" s="303" t="s">
        <v>6</v>
      </c>
      <c r="CO6" s="303" t="s">
        <v>6</v>
      </c>
      <c r="CP6" s="303" t="s">
        <v>6</v>
      </c>
      <c r="CQ6" s="303" t="s">
        <v>6</v>
      </c>
      <c r="CR6" s="304" t="s">
        <v>6</v>
      </c>
      <c r="CS6" s="303" t="s">
        <v>6</v>
      </c>
      <c r="CT6" s="303" t="s">
        <v>6</v>
      </c>
      <c r="CU6" s="303" t="s">
        <v>6</v>
      </c>
      <c r="CV6" s="303" t="s">
        <v>6</v>
      </c>
      <c r="CW6" s="304" t="s">
        <v>6</v>
      </c>
      <c r="CX6" s="303" t="s">
        <v>6</v>
      </c>
      <c r="CY6" s="303" t="s">
        <v>6</v>
      </c>
      <c r="CZ6" s="303" t="s">
        <v>6</v>
      </c>
      <c r="DA6" s="303" t="s">
        <v>6</v>
      </c>
      <c r="DB6" s="304" t="s">
        <v>6</v>
      </c>
    </row>
    <row r="7" spans="1:108" ht="11.5" customHeight="1" x14ac:dyDescent="0.2">
      <c r="A7" s="288" t="s">
        <v>347</v>
      </c>
      <c r="B7" s="607">
        <f>[4]Macro_Model!B7</f>
        <v>9.1174883676948829E-2</v>
      </c>
      <c r="C7" s="607">
        <f>[4]Macro_Model!C7</f>
        <v>8.507593725123952E-2</v>
      </c>
      <c r="D7" s="607">
        <f>[4]Macro_Model!D7</f>
        <v>6.9623229981486512E-2</v>
      </c>
      <c r="E7" s="607">
        <f>[4]Macro_Model!E7</f>
        <v>5.7675173030071747E-2</v>
      </c>
      <c r="F7" s="608">
        <f>[4]Macro_Model!F7</f>
        <v>7.5282491203301882E-2</v>
      </c>
      <c r="G7" s="607">
        <f>[4]Macro_Model!G7</f>
        <v>5.0185202059174205E-2</v>
      </c>
      <c r="H7" s="607">
        <f>[4]Macro_Model!H7</f>
        <v>4.7444346153023398E-2</v>
      </c>
      <c r="I7" s="607">
        <f>[4]Macro_Model!I7</f>
        <v>3.5981126250167694E-2</v>
      </c>
      <c r="J7" s="607">
        <f>[4]Macro_Model!J7</f>
        <v>3.0892069299472746E-2</v>
      </c>
      <c r="K7" s="608">
        <f>[4]Macro_Model!K7</f>
        <v>3.9744026619628059E-2</v>
      </c>
      <c r="L7" s="607">
        <f>[4]Macro_Model!L7</f>
        <v>1.7071814802719132E-2</v>
      </c>
      <c r="M7" s="607">
        <f>[4]Macro_Model!M7</f>
        <v>9.8647148864128287E-3</v>
      </c>
      <c r="N7" s="607">
        <f>[4]Macro_Model!N7</f>
        <v>2.4854366410510531E-2</v>
      </c>
      <c r="O7" s="607">
        <f>[4]Macro_Model!O7</f>
        <v>2.4828180691497836E-2</v>
      </c>
      <c r="P7" s="608">
        <f>[4]Macro_Model!P7</f>
        <v>1.9211814943874916E-2</v>
      </c>
      <c r="Q7" s="607">
        <f>[4]Macro_Model!Q7</f>
        <v>2.721109278219136E-2</v>
      </c>
      <c r="R7" s="607">
        <f>[4]Macro_Model!R7</f>
        <v>4.0218251960159712E-2</v>
      </c>
      <c r="S7" s="607">
        <f>[4]Macro_Model!S7</f>
        <v>2.7589825463526063E-2</v>
      </c>
      <c r="T7" s="607">
        <f>[4]Macro_Model!T7</f>
        <v>2.5287673240891539E-2</v>
      </c>
      <c r="U7" s="608">
        <f>[4]Macro_Model!U7</f>
        <v>3.0048269457775278E-2</v>
      </c>
      <c r="V7" s="607">
        <f>[4]Macro_Model!V7</f>
        <v>3.469338083437834E-2</v>
      </c>
      <c r="W7" s="607">
        <f>[4]Macro_Model!W7</f>
        <v>-4.3525166474460697E-3</v>
      </c>
      <c r="X7" s="607">
        <f>[4]Macro_Model!X7</f>
        <v>-6.3884440792552066E-3</v>
      </c>
      <c r="Y7" s="607">
        <f>[4]Macro_Model!Y7</f>
        <v>-2.2852461490368015E-3</v>
      </c>
      <c r="Z7" s="608">
        <f>[4]Macro_Model!Z7</f>
        <v>5.0393459495359227E-3</v>
      </c>
      <c r="AA7" s="607">
        <f>[4]Macro_Model!AA7</f>
        <v>-1.6193986523845183E-2</v>
      </c>
      <c r="AB7" s="607">
        <f>[4]Macro_Model!AB7</f>
        <v>-2.740363059448403E-2</v>
      </c>
      <c r="AC7" s="607">
        <f>[4]Macro_Model!AC7</f>
        <v>-4.2628419736219447E-2</v>
      </c>
      <c r="AD7" s="607">
        <f>[4]Macro_Model!AD7</f>
        <v>-5.5195575073795237E-2</v>
      </c>
      <c r="AE7" s="608">
        <f>[4]Macro_Model!AE7</f>
        <v>-3.5457552842598106E-2</v>
      </c>
      <c r="AF7" s="607">
        <f>[4]Macro_Model!AF7</f>
        <v>-5.13823684366288E-2</v>
      </c>
      <c r="AG7" s="607">
        <f>[4]Macro_Model!AG7</f>
        <v>-3.2185235465757245E-2</v>
      </c>
      <c r="AH7" s="607">
        <f>[4]Macro_Model!AH7</f>
        <v>-2.4541728067141499E-2</v>
      </c>
      <c r="AI7" s="607">
        <f>[4]Macro_Model!AI7</f>
        <v>-2.2611264284385868E-2</v>
      </c>
      <c r="AJ7" s="608">
        <f>[4]Macro_Model!AJ7</f>
        <v>-3.2759130499899647E-2</v>
      </c>
      <c r="AK7" s="607">
        <f>[4]Macro_Model!AK7</f>
        <v>2.8201556182256837E-3</v>
      </c>
      <c r="AL7" s="607">
        <f>[4]Macro_Model!AL7</f>
        <v>7.8746648916356854E-3</v>
      </c>
      <c r="AM7" s="607">
        <f>[4]Macro_Model!AM7</f>
        <v>1.6407345281506336E-2</v>
      </c>
      <c r="AN7" s="607">
        <f>[4]Macro_Model!AN7</f>
        <v>2.5761908632542241E-2</v>
      </c>
      <c r="AO7" s="608">
        <f>[4]Macro_Model!AO7</f>
        <v>1.3228683839367816E-2</v>
      </c>
      <c r="AP7" s="607">
        <f>[4]Macro_Model!AP7</f>
        <v>1.9049819192124451E-2</v>
      </c>
      <c r="AQ7" s="607">
        <f>[4]Macro_Model!AQ7</f>
        <v>1.6170986261114573E-2</v>
      </c>
      <c r="AR7" s="607">
        <f>[4]Macro_Model!AR7</f>
        <v>2.0568110099114412E-2</v>
      </c>
      <c r="AS7" s="607">
        <f>[4]Macro_Model!AS7</f>
        <v>1.5545833073195681E-2</v>
      </c>
      <c r="AT7" s="608">
        <f>[4]Macro_Model!AT7</f>
        <v>1.7836721768855313E-2</v>
      </c>
      <c r="AU7" s="607">
        <f>[4]Macro_Model!AU7</f>
        <v>9.0128540019212E-3</v>
      </c>
      <c r="AV7" s="607">
        <f>[4]Macro_Model!AV7</f>
        <v>1.1725499876573675E-2</v>
      </c>
      <c r="AW7" s="607">
        <f>[4]Macro_Model!AW7</f>
        <v>1.1095246524801539E-2</v>
      </c>
      <c r="AX7" s="607">
        <f>[4]Macro_Model!AX7</f>
        <v>1.693878274851035E-2</v>
      </c>
      <c r="AY7" s="608">
        <f>[4]Macro_Model!AY7</f>
        <v>1.2207618682791299E-2</v>
      </c>
      <c r="AZ7" s="607">
        <f>[4]Macro_Model!AZ7</f>
        <v>4.1399507040313921E-3</v>
      </c>
      <c r="BA7" s="607">
        <f>[4]Macro_Model!BA7</f>
        <v>-0.10137678507336556</v>
      </c>
      <c r="BB7" s="607">
        <f>[4]Macro_Model!BB7</f>
        <v>-3.0357079095075568E-2</v>
      </c>
      <c r="BC7" s="607">
        <f>[4]Macro_Model!BC7</f>
        <v>-3.3388845777130305E-3</v>
      </c>
      <c r="BD7" s="608">
        <f>[4]Macro_Model!BD7</f>
        <v>-3.2767506495341547E-2</v>
      </c>
      <c r="BE7" s="607">
        <f>[4]Macro_Model!BE7</f>
        <v>1.7497488084810886E-2</v>
      </c>
      <c r="BF7" s="607">
        <f>[4]Macro_Model!BF7</f>
        <v>0.12396533236269193</v>
      </c>
      <c r="BG7" s="607">
        <f>[4]Macro_Model!BG7</f>
        <v>4.2129771241733005E-2</v>
      </c>
      <c r="BH7" s="607">
        <f>[4]Macro_Model!BH7</f>
        <v>1.4585985812359814E-2</v>
      </c>
      <c r="BI7" s="608">
        <f>[4]Macro_Model!BI7</f>
        <v>4.7625989483594866E-2</v>
      </c>
      <c r="BJ7" s="607">
        <f>[4]Macro_Model!BJ7</f>
        <v>1.4734322462760963E-2</v>
      </c>
      <c r="BK7" s="607">
        <f>[4]Macro_Model!BK7</f>
        <v>3.5438559024100424E-2</v>
      </c>
      <c r="BL7" s="607">
        <f>[4]Macro_Model!BL7</f>
        <v>4.3218147632462678E-2</v>
      </c>
      <c r="BM7" s="607">
        <f>[4]Macro_Model!BM7</f>
        <v>2.6939526327891317E-2</v>
      </c>
      <c r="BN7" s="608">
        <f>[4]Macro_Model!BN7</f>
        <v>3.0167179011841849E-2</v>
      </c>
      <c r="BO7" s="607">
        <f>[4]Macro_Model!BO7</f>
        <v>4.4442967641645348E-2</v>
      </c>
      <c r="BP7" s="607">
        <f>[4]Macro_Model!BP7</f>
        <v>3.850287148559306E-2</v>
      </c>
      <c r="BQ7" s="607">
        <f>[4]Macro_Model!BQ7</f>
        <v>2.3550371308832974E-2</v>
      </c>
      <c r="BR7" s="607">
        <f>[4]Macro_Model!BR7</f>
        <v>2.3805685421032896E-2</v>
      </c>
      <c r="BS7" s="608">
        <f>[4]Macro_Model!BS7</f>
        <v>3.2416517981320281E-2</v>
      </c>
      <c r="BT7" s="607">
        <f>[4]Macro_Model!BT7</f>
        <v>2.4603678711410781E-2</v>
      </c>
      <c r="BU7" s="607">
        <f>[4]Macro_Model!BU7</f>
        <v>3.4711079252089716E-2</v>
      </c>
      <c r="BV7" s="607">
        <f>[4]Macro_Model!BV7</f>
        <v>4.1365896567110871E-2</v>
      </c>
      <c r="BW7" s="607">
        <f>[4]Macro_Model!BW7</f>
        <v>3.580004723913488E-2</v>
      </c>
      <c r="BX7" s="608">
        <f>[4]Macro_Model!BX7</f>
        <v>3.4193154677671478E-2</v>
      </c>
      <c r="BY7" s="607">
        <f>[4]Macro_Model!BY7</f>
        <v>3.1489221531017852E-2</v>
      </c>
      <c r="BZ7" s="607">
        <f>[4]Macro_Model!BZ7</f>
        <v>2.3598075946817954E-2</v>
      </c>
      <c r="CA7" s="607">
        <f>[4]Macro_Model!CA7</f>
        <v>1.8236577305046131E-2</v>
      </c>
      <c r="CB7" s="607">
        <f>[4]Macro_Model!CB7</f>
        <v>1.6999999999999904E-2</v>
      </c>
      <c r="CC7" s="608">
        <f>[4]Macro_Model!CC7</f>
        <v>2.250036756283591E-2</v>
      </c>
      <c r="CD7" s="607">
        <f>[4]Macro_Model!CD7</f>
        <v>1.8399999999999972E-2</v>
      </c>
      <c r="CE7" s="607">
        <f>[4]Macro_Model!CE7</f>
        <v>1.9400000000000084E-2</v>
      </c>
      <c r="CF7" s="607">
        <f>[4]Macro_Model!CF7</f>
        <v>1.8699999999999939E-2</v>
      </c>
      <c r="CG7" s="607">
        <f>[4]Macro_Model!CG7</f>
        <v>1.7500000000000071E-2</v>
      </c>
      <c r="CH7" s="608">
        <f>[4]Macro_Model!CH7</f>
        <v>1.8504662752451884E-2</v>
      </c>
      <c r="CI7" s="607">
        <f>[4]Macro_Model!CI7</f>
        <v>9.5000000000000639E-3</v>
      </c>
      <c r="CJ7" s="607">
        <f>[4]Macro_Model!CJ7</f>
        <v>1.9500000000000073E-2</v>
      </c>
      <c r="CK7" s="607">
        <f>[4]Macro_Model!CK7</f>
        <v>1.8000000000000016E-2</v>
      </c>
      <c r="CL7" s="607">
        <f>[4]Macro_Model!CL7</f>
        <v>2.0000000000000018E-2</v>
      </c>
      <c r="CM7" s="608">
        <f>[4]Macro_Model!CM7</f>
        <v>1.6783985790142841E-2</v>
      </c>
      <c r="CN7" s="607">
        <f>[4]Macro_Model!CN7</f>
        <v>1.6783985790142841E-2</v>
      </c>
      <c r="CO7" s="607">
        <f>[4]Macro_Model!CO7</f>
        <v>1.6783985790142841E-2</v>
      </c>
      <c r="CP7" s="607">
        <f>[4]Macro_Model!CP7</f>
        <v>1.6783985790142841E-2</v>
      </c>
      <c r="CQ7" s="607">
        <f>[4]Macro_Model!CQ7</f>
        <v>1.6783985790142841E-2</v>
      </c>
      <c r="CR7" s="608">
        <f>[4]Macro_Model!CR7</f>
        <v>1.7999999999999999E-2</v>
      </c>
      <c r="CS7" s="607">
        <f>[4]Macro_Model!CS7</f>
        <v>1.7999999999999999E-2</v>
      </c>
      <c r="CT7" s="607">
        <f>[4]Macro_Model!CT7</f>
        <v>1.7999999999999999E-2</v>
      </c>
      <c r="CU7" s="607">
        <f>[4]Macro_Model!CU7</f>
        <v>1.7999999999999999E-2</v>
      </c>
      <c r="CV7" s="607">
        <f>[4]Macro_Model!CV7</f>
        <v>1.7999999999999999E-2</v>
      </c>
      <c r="CW7" s="608">
        <f>[4]Macro_Model!CW7</f>
        <v>1.7999999999999999E-2</v>
      </c>
      <c r="CX7" s="607">
        <f>[4]Macro_Model!CX7</f>
        <v>1.7999999999999999E-2</v>
      </c>
      <c r="CY7" s="607">
        <f>[4]Macro_Model!CY7</f>
        <v>1.7999999999999999E-2</v>
      </c>
      <c r="CZ7" s="607">
        <f>[4]Macro_Model!CZ7</f>
        <v>1.7999999999999999E-2</v>
      </c>
      <c r="DA7" s="607">
        <f>[4]Macro_Model!DA7</f>
        <v>1.7999999999999999E-2</v>
      </c>
      <c r="DB7" s="608">
        <f>[4]Macro_Model!DB7</f>
        <v>1.7999999999999999E-2</v>
      </c>
    </row>
    <row r="8" spans="1:108" ht="11.5" customHeight="1" x14ac:dyDescent="0.2">
      <c r="A8" s="288" t="s">
        <v>8</v>
      </c>
      <c r="B8" s="607">
        <f>[4]Macro_Model!B8</f>
        <v>2.7775099567613148E-2</v>
      </c>
      <c r="C8" s="607">
        <f>[4]Macro_Model!C8</f>
        <v>2.8275291412297232E-2</v>
      </c>
      <c r="D8" s="607">
        <f>[4]Macro_Model!D8</f>
        <v>2.0898783360507656E-2</v>
      </c>
      <c r="E8" s="607">
        <f>[4]Macro_Model!E8</f>
        <v>3.1799423953366324E-2</v>
      </c>
      <c r="F8" s="608">
        <f>[4]Macro_Model!F8</f>
        <v>0.11323142949673537</v>
      </c>
      <c r="G8" s="607">
        <f>[4]Macro_Model!G8</f>
        <v>2.4312626443201424E-2</v>
      </c>
      <c r="H8" s="607">
        <f>[4]Macro_Model!H8</f>
        <v>6.9680367870716964E-3</v>
      </c>
      <c r="I8" s="607">
        <f>[4]Macro_Model!I8</f>
        <v>9.7144444229142479E-3</v>
      </c>
      <c r="J8" s="607">
        <f>[4]Macro_Model!J8</f>
        <v>9.1198891198891463E-3</v>
      </c>
      <c r="K8" s="608">
        <f>[4]Macro_Model!K8</f>
        <v>5.0968130206239914E-2</v>
      </c>
      <c r="L8" s="607">
        <f>[4]Macro_Model!L8</f>
        <v>6.1573960596046362E-3</v>
      </c>
      <c r="M8" s="607">
        <f>[4]Macro_Model!M8</f>
        <v>2.5570914344997364E-2</v>
      </c>
      <c r="N8" s="607">
        <f>[4]Macro_Model!N8</f>
        <v>3.7805472394346618E-2</v>
      </c>
      <c r="O8" s="607">
        <f>[4]Macro_Model!O8</f>
        <v>6.8034190732513267E-3</v>
      </c>
      <c r="P8" s="608">
        <f>[4]Macro_Model!P8</f>
        <v>7.818244825167131E-2</v>
      </c>
      <c r="Q8" s="607">
        <f>[4]Macro_Model!Q8</f>
        <v>8.376253302289749E-3</v>
      </c>
      <c r="R8" s="607">
        <f>[4]Macro_Model!R8</f>
        <v>8.9927428351532779E-3</v>
      </c>
      <c r="S8" s="607">
        <f>[4]Macro_Model!S8</f>
        <v>1.9131161719184941E-2</v>
      </c>
      <c r="T8" s="607">
        <f>[4]Macro_Model!T8</f>
        <v>1.7549165067994643E-2</v>
      </c>
      <c r="U8" s="608">
        <f>[4]Macro_Model!U8</f>
        <v>5.5106104434671455E-2</v>
      </c>
      <c r="V8" s="607">
        <f>[4]Macro_Model!V8</f>
        <v>2.5478759960621877E-2</v>
      </c>
      <c r="W8" s="607">
        <f>[4]Macro_Model!W8</f>
        <v>-9.654275503679921E-4</v>
      </c>
      <c r="X8" s="607">
        <f>[4]Macro_Model!X8</f>
        <v>-6.7355145643036574E-3</v>
      </c>
      <c r="Y8" s="607">
        <f>[4]Macro_Model!Y8</f>
        <v>1.8936220312901986E-2</v>
      </c>
      <c r="Z8" s="608">
        <f>[4]Macro_Model!Z8</f>
        <v>3.6857551498040264E-2</v>
      </c>
      <c r="AA8" s="607">
        <f>[4]Macro_Model!AA8</f>
        <v>2.0284371736236873E-2</v>
      </c>
      <c r="AB8" s="607">
        <f>[4]Macro_Model!AB8</f>
        <v>2.2588563321721544E-2</v>
      </c>
      <c r="AC8" s="607">
        <f>[4]Macro_Model!AC8</f>
        <v>1.9239321361055328E-2</v>
      </c>
      <c r="AD8" s="607">
        <f>[4]Macro_Model!AD8</f>
        <v>3.9484102249640385E-2</v>
      </c>
      <c r="AE8" s="608">
        <f>[4]Macro_Model!AE8</f>
        <v>0.10539166948817025</v>
      </c>
      <c r="AF8" s="607">
        <f>[4]Macro_Model!AF8</f>
        <v>2.9665631624325117E-2</v>
      </c>
      <c r="AG8" s="607">
        <f>[4]Macro_Model!AG8</f>
        <v>2.8562254760769124E-2</v>
      </c>
      <c r="AH8" s="607">
        <f>[4]Macro_Model!AH8</f>
        <v>5.1997257825602272E-3</v>
      </c>
      <c r="AI8" s="607">
        <f>[4]Macro_Model!AI8</f>
        <v>6.7134119051170948E-3</v>
      </c>
      <c r="AJ8" s="608">
        <f>[4]Macro_Model!AJ8</f>
        <v>7.1729082528960708E-2</v>
      </c>
      <c r="AK8" s="607">
        <f>[4]Macro_Model!AK8</f>
        <v>7.3990176983655953E-3</v>
      </c>
      <c r="AL8" s="607">
        <f>[4]Macro_Model!AL8</f>
        <v>-2.6700810721153045E-2</v>
      </c>
      <c r="AM8" s="607">
        <f>[4]Macro_Model!AM8</f>
        <v>-1.5561165869073523E-3</v>
      </c>
      <c r="AN8" s="607">
        <f>[4]Macro_Model!AN8</f>
        <v>1.6155390793945124E-2</v>
      </c>
      <c r="AO8" s="608">
        <f>[4]Macro_Model!AO8</f>
        <v>-5.2094044493907754E-3</v>
      </c>
      <c r="AP8" s="607">
        <f>[4]Macro_Model!AP8</f>
        <v>1.4691598047605892E-2</v>
      </c>
      <c r="AQ8" s="607">
        <f>[4]Macro_Model!AQ8</f>
        <v>3.8594867001036759E-2</v>
      </c>
      <c r="AR8" s="607">
        <f>[4]Macro_Model!AR8</f>
        <v>2.7529724342155504E-2</v>
      </c>
      <c r="AS8" s="607">
        <f>[4]Macro_Model!AS8</f>
        <v>-6.9233393180258007E-3</v>
      </c>
      <c r="AT8" s="608">
        <f>[4]Macro_Model!AT8</f>
        <v>7.5368734029632511E-2</v>
      </c>
      <c r="AU8" s="607">
        <f>[4]Macro_Model!AU8</f>
        <v>2.1579184695260656E-2</v>
      </c>
      <c r="AV8" s="607">
        <f>[4]Macro_Model!AV8</f>
        <v>2.1743251414473752E-2</v>
      </c>
      <c r="AW8" s="607">
        <f>[4]Macro_Model!AW8</f>
        <v>-2.7883822372333222E-3</v>
      </c>
      <c r="AX8" s="607">
        <f>[4]Macro_Model!AX8</f>
        <v>3.089513038424041E-2</v>
      </c>
      <c r="AY8" s="608">
        <f>[4]Macro_Model!AY8</f>
        <v>7.3039306458065001E-2</v>
      </c>
      <c r="AZ8" s="607">
        <f>[4]Macro_Model!AZ8</f>
        <v>1.6856537638714864E-2</v>
      </c>
      <c r="BA8" s="607">
        <f>[4]Macro_Model!BA8</f>
        <v>2.6584774351347429E-2</v>
      </c>
      <c r="BB8" s="607">
        <f>[4]Macro_Model!BB8</f>
        <v>9.5924051239921759E-2</v>
      </c>
      <c r="BC8" s="607">
        <f>[4]Macro_Model!BC8</f>
        <v>7.6362036842990033E-2</v>
      </c>
      <c r="BD8" s="608">
        <f>[4]Macro_Model!BD8</f>
        <v>0.23138351126052559</v>
      </c>
      <c r="BE8" s="607">
        <f>[4]Macro_Model!BE8</f>
        <v>8.2577522738505493E-2</v>
      </c>
      <c r="BF8" s="607">
        <f>[4]Macro_Model!BF8</f>
        <v>6.3031894919501674E-2</v>
      </c>
      <c r="BG8" s="607">
        <f>[4]Macro_Model!BG8</f>
        <v>7.9750272604819372E-3</v>
      </c>
      <c r="BH8" s="607">
        <f>[4]Macro_Model!BH8</f>
        <v>1.5379337312507957E-2</v>
      </c>
      <c r="BI8" s="608">
        <f>[4]Macro_Model!BI8</f>
        <v>0.17783212339450416</v>
      </c>
      <c r="BJ8" s="607">
        <f>[4]Macro_Model!BJ8</f>
        <v>5.4887065072461994E-2</v>
      </c>
      <c r="BK8" s="607">
        <f>[4]Macro_Model!BK8</f>
        <v>2.5391621005032228E-2</v>
      </c>
      <c r="BL8" s="607">
        <f>[4]Macro_Model!BL8</f>
        <v>-1.4343383597002601E-2</v>
      </c>
      <c r="BM8" s="607">
        <f>[4]Macro_Model!BM8</f>
        <v>-1.0922082505191E-2</v>
      </c>
      <c r="BN8" s="608">
        <f>[4]Macro_Model!BN8</f>
        <v>5.4512855725947995E-2</v>
      </c>
      <c r="BO8" s="607">
        <f>[4]Macro_Model!BO8</f>
        <v>2.0327371154338358E-3</v>
      </c>
      <c r="BP8" s="607">
        <f>[4]Macro_Model!BP8</f>
        <v>-4.6495917552655704E-2</v>
      </c>
      <c r="BQ8" s="607">
        <f>[4]Macro_Model!BQ8</f>
        <v>-4.9568201928403832E-3</v>
      </c>
      <c r="BR8" s="607">
        <f>[4]Macro_Model!BR8</f>
        <v>1.8444570622774492E-2</v>
      </c>
      <c r="BS8" s="608">
        <f>[4]Macro_Model!BS8</f>
        <v>-3.1758279716232463E-2</v>
      </c>
      <c r="BT8" s="607">
        <f>[4]Macro_Model!BT8</f>
        <v>-9.068266890332799E-3</v>
      </c>
      <c r="BU8" s="607">
        <f>[4]Macro_Model!BU8</f>
        <v>2.0276451582577515E-2</v>
      </c>
      <c r="BV8" s="607">
        <f>[4]Macro_Model!BV8</f>
        <v>1.5188780535460467E-2</v>
      </c>
      <c r="BW8" s="607">
        <f>[4]Macro_Model!BW8</f>
        <v>3.7974263919180906E-2</v>
      </c>
      <c r="BX8" s="608">
        <f>[4]Macro_Model!BX8</f>
        <v>6.5356584277505458E-2</v>
      </c>
      <c r="BY8" s="607">
        <f>[4]Macro_Model!BY8</f>
        <v>9.8249116984672202E-3</v>
      </c>
      <c r="BZ8" s="607">
        <f>[4]Macro_Model!BZ8</f>
        <v>-1.9195406475376542E-2</v>
      </c>
      <c r="CA8" s="607">
        <f>[4]Macro_Model!CA8</f>
        <v>1.8872437299366496E-5</v>
      </c>
      <c r="CB8" s="607">
        <f>[4]Macro_Model!CB8</f>
        <v>-1.07840366278944E-3</v>
      </c>
      <c r="CC8" s="608">
        <f>[4]Macro_Model!CC8</f>
        <v>-1.0608511181423363E-2</v>
      </c>
      <c r="CD8" s="607">
        <f>[4]Macro_Model!CD8</f>
        <v>-2.4975467369767745E-3</v>
      </c>
      <c r="CE8" s="607">
        <f>[4]Macro_Model!CE8</f>
        <v>1.1595610632817666E-2</v>
      </c>
      <c r="CF8" s="607">
        <f>[4]Macro_Model!CF8</f>
        <v>9.7223696911656887E-3</v>
      </c>
      <c r="CG8" s="607">
        <f>[4]Macro_Model!CG8</f>
        <v>1.1277675009180754E-2</v>
      </c>
      <c r="CH8" s="608">
        <f>[4]Macro_Model!CH8</f>
        <v>3.0370239705833857E-2</v>
      </c>
      <c r="CI8" s="607">
        <f>[4]Macro_Model!CI8</f>
        <v>6.654118433819356E-3</v>
      </c>
      <c r="CJ8" s="607">
        <f>[4]Macro_Model!CJ8</f>
        <v>9.3708135508703272E-3</v>
      </c>
      <c r="CK8" s="607">
        <f>[4]Macro_Model!CK8</f>
        <v>6.5319574061259988E-3</v>
      </c>
      <c r="CL8" s="607">
        <f>[4]Macro_Model!CL8</f>
        <v>1.4312812410561149E-2</v>
      </c>
      <c r="CM8" s="608">
        <f>[4]Macro_Model!CM8</f>
        <v>3.7362386780777967E-2</v>
      </c>
      <c r="CN8" s="607">
        <f>[4]Macro_Model!CN8</f>
        <v>8.6374459977134332E-3</v>
      </c>
      <c r="CO8" s="607">
        <f>[4]Macro_Model!CO8</f>
        <v>8.6374459977134332E-3</v>
      </c>
      <c r="CP8" s="607">
        <f>[4]Macro_Model!CP8</f>
        <v>8.6374459977134332E-3</v>
      </c>
      <c r="CQ8" s="607">
        <f>[4]Macro_Model!CQ8</f>
        <v>8.6374459977134332E-3</v>
      </c>
      <c r="CR8" s="608">
        <f>[4]Macro_Model!CR8</f>
        <v>3.5000000000000003E-2</v>
      </c>
      <c r="CS8" s="607">
        <f>[4]Macro_Model!CS8</f>
        <v>8.6374459977134332E-3</v>
      </c>
      <c r="CT8" s="607">
        <f>[4]Macro_Model!CT8</f>
        <v>8.6374459977134332E-3</v>
      </c>
      <c r="CU8" s="607">
        <f>[4]Macro_Model!CU8</f>
        <v>8.6374459977134332E-3</v>
      </c>
      <c r="CV8" s="607">
        <f>[4]Macro_Model!CV8</f>
        <v>8.6374459977134332E-3</v>
      </c>
      <c r="CW8" s="608">
        <f>[4]Macro_Model!CW8</f>
        <v>3.5000000000000003E-2</v>
      </c>
      <c r="CX8" s="607">
        <f>[4]Macro_Model!CX8</f>
        <v>8.6374459977134332E-3</v>
      </c>
      <c r="CY8" s="607">
        <f>[4]Macro_Model!CY8</f>
        <v>8.6374459977134332E-3</v>
      </c>
      <c r="CZ8" s="607">
        <f>[4]Macro_Model!CZ8</f>
        <v>8.6374459977134332E-3</v>
      </c>
      <c r="DA8" s="607">
        <f>[4]Macro_Model!DA8</f>
        <v>8.6374459977134332E-3</v>
      </c>
      <c r="DB8" s="608">
        <f>[4]Macro_Model!DB8</f>
        <v>3.5000000000000003E-2</v>
      </c>
    </row>
    <row r="9" spans="1:108" ht="11.5" customHeight="1" x14ac:dyDescent="0.2">
      <c r="A9" s="288" t="s">
        <v>349</v>
      </c>
      <c r="B9" s="607">
        <f>[4]Macro_Model!B9</f>
        <v>0</v>
      </c>
      <c r="C9" s="607">
        <f>[4]Macro_Model!C9</f>
        <v>0</v>
      </c>
      <c r="D9" s="607">
        <f>[4]Macro_Model!D9</f>
        <v>0</v>
      </c>
      <c r="E9" s="607">
        <f>[4]Macro_Model!E9</f>
        <v>0</v>
      </c>
      <c r="F9" s="608">
        <f>[4]Macro_Model!F9</f>
        <v>0.11323142949673537</v>
      </c>
      <c r="G9" s="607">
        <f>[4]Macro_Model!G9</f>
        <v>0</v>
      </c>
      <c r="H9" s="607">
        <f>[4]Macro_Model!H9</f>
        <v>0</v>
      </c>
      <c r="I9" s="607">
        <f>[4]Macro_Model!I9</f>
        <v>0</v>
      </c>
      <c r="J9" s="607">
        <f>[4]Macro_Model!J9</f>
        <v>0</v>
      </c>
      <c r="K9" s="608">
        <f>[4]Macro_Model!K9</f>
        <v>5.0968130206239914E-2</v>
      </c>
      <c r="L9" s="607">
        <f>[4]Macro_Model!L9</f>
        <v>0</v>
      </c>
      <c r="M9" s="607">
        <f>[4]Macro_Model!M9</f>
        <v>0</v>
      </c>
      <c r="N9" s="607">
        <f>[4]Macro_Model!N9</f>
        <v>0</v>
      </c>
      <c r="O9" s="607">
        <f>[4]Macro_Model!O9</f>
        <v>0</v>
      </c>
      <c r="P9" s="608">
        <f>[4]Macro_Model!P9</f>
        <v>7.818244825167131E-2</v>
      </c>
      <c r="Q9" s="607">
        <f>[4]Macro_Model!Q9</f>
        <v>0</v>
      </c>
      <c r="R9" s="607">
        <f>[4]Macro_Model!R9</f>
        <v>0</v>
      </c>
      <c r="S9" s="607">
        <f>[4]Macro_Model!S9</f>
        <v>0</v>
      </c>
      <c r="T9" s="607">
        <f>[4]Macro_Model!T9</f>
        <v>0</v>
      </c>
      <c r="U9" s="608">
        <f>[4]Macro_Model!U9</f>
        <v>5.5106104434671455E-2</v>
      </c>
      <c r="V9" s="607">
        <f>[4]Macro_Model!V9</f>
        <v>0</v>
      </c>
      <c r="W9" s="607">
        <f>[4]Macro_Model!W9</f>
        <v>0</v>
      </c>
      <c r="X9" s="607">
        <f>[4]Macro_Model!X9</f>
        <v>0</v>
      </c>
      <c r="Y9" s="607">
        <f>[4]Macro_Model!Y9</f>
        <v>0</v>
      </c>
      <c r="Z9" s="608">
        <f>[4]Macro_Model!Z9</f>
        <v>3.6857551498040264E-2</v>
      </c>
      <c r="AA9" s="607">
        <f>[4]Macro_Model!AA9</f>
        <v>0</v>
      </c>
      <c r="AB9" s="607">
        <f>[4]Macro_Model!AB9</f>
        <v>0</v>
      </c>
      <c r="AC9" s="607">
        <f>[4]Macro_Model!AC9</f>
        <v>0</v>
      </c>
      <c r="AD9" s="607">
        <f>[4]Macro_Model!AD9</f>
        <v>0</v>
      </c>
      <c r="AE9" s="608">
        <f>[4]Macro_Model!AE9</f>
        <v>0.10539166948817025</v>
      </c>
      <c r="AF9" s="607">
        <f>[4]Macro_Model!AF9</f>
        <v>0</v>
      </c>
      <c r="AG9" s="607">
        <f>[4]Macro_Model!AG9</f>
        <v>0</v>
      </c>
      <c r="AH9" s="607">
        <f>[4]Macro_Model!AH9</f>
        <v>0</v>
      </c>
      <c r="AI9" s="607">
        <f>[4]Macro_Model!AI9</f>
        <v>0</v>
      </c>
      <c r="AJ9" s="608">
        <f>[4]Macro_Model!AJ9</f>
        <v>7.1729082528960708E-2</v>
      </c>
      <c r="AK9" s="607">
        <f>[4]Macro_Model!AK9</f>
        <v>0</v>
      </c>
      <c r="AL9" s="607">
        <f>[4]Macro_Model!AL9</f>
        <v>0</v>
      </c>
      <c r="AM9" s="607">
        <f>[4]Macro_Model!AM9</f>
        <v>0</v>
      </c>
      <c r="AN9" s="607">
        <f>[4]Macro_Model!AN9</f>
        <v>0</v>
      </c>
      <c r="AO9" s="608">
        <f>[4]Macro_Model!AO9</f>
        <v>-5.2094044493907754E-3</v>
      </c>
      <c r="AP9" s="607">
        <f>[4]Macro_Model!AP9</f>
        <v>0</v>
      </c>
      <c r="AQ9" s="607">
        <f>[4]Macro_Model!AQ9</f>
        <v>0</v>
      </c>
      <c r="AR9" s="607">
        <f>[4]Macro_Model!AR9</f>
        <v>0</v>
      </c>
      <c r="AS9" s="607">
        <f>[4]Macro_Model!AS9</f>
        <v>0</v>
      </c>
      <c r="AT9" s="608">
        <f>[4]Macro_Model!AT9</f>
        <v>7.5368734029632511E-2</v>
      </c>
      <c r="AU9" s="607">
        <f>[4]Macro_Model!AU9</f>
        <v>0</v>
      </c>
      <c r="AV9" s="607">
        <f>[4]Macro_Model!AV9</f>
        <v>0</v>
      </c>
      <c r="AW9" s="607">
        <f>[4]Macro_Model!AW9</f>
        <v>0</v>
      </c>
      <c r="AX9" s="607">
        <f>[4]Macro_Model!AX9</f>
        <v>0</v>
      </c>
      <c r="AY9" s="608">
        <f>[4]Macro_Model!AY9</f>
        <v>7.3039306458065001E-2</v>
      </c>
      <c r="AZ9" s="607">
        <f>[4]Macro_Model!AZ9</f>
        <v>0</v>
      </c>
      <c r="BA9" s="607">
        <f>[4]Macro_Model!BA9</f>
        <v>0</v>
      </c>
      <c r="BB9" s="607">
        <f>[4]Macro_Model!BB9</f>
        <v>0</v>
      </c>
      <c r="BC9" s="607">
        <f>[4]Macro_Model!BC9</f>
        <v>0</v>
      </c>
      <c r="BD9" s="608">
        <f>[4]Macro_Model!BD9</f>
        <v>0.23138351126052559</v>
      </c>
      <c r="BE9" s="607">
        <f>[4]Macro_Model!BE9</f>
        <v>0</v>
      </c>
      <c r="BF9" s="607">
        <f>[4]Macro_Model!BF9</f>
        <v>0</v>
      </c>
      <c r="BG9" s="607">
        <f>[4]Macro_Model!BG9</f>
        <v>0</v>
      </c>
      <c r="BH9" s="607">
        <f>[4]Macro_Model!BH9</f>
        <v>0</v>
      </c>
      <c r="BI9" s="608">
        <f>[4]Macro_Model!BI9</f>
        <v>0.17783212339450416</v>
      </c>
      <c r="BJ9" s="607">
        <f>[4]Macro_Model!BJ9</f>
        <v>0</v>
      </c>
      <c r="BK9" s="607">
        <f>[4]Macro_Model!BK9</f>
        <v>0</v>
      </c>
      <c r="BL9" s="607">
        <f>[4]Macro_Model!BL9</f>
        <v>0</v>
      </c>
      <c r="BM9" s="607">
        <f>[4]Macro_Model!BM9</f>
        <v>0</v>
      </c>
      <c r="BN9" s="608">
        <f>[4]Macro_Model!BN9</f>
        <v>5.4512855725947995E-2</v>
      </c>
      <c r="BO9" s="607">
        <f>[4]Macro_Model!BO9</f>
        <v>0</v>
      </c>
      <c r="BP9" s="607">
        <f>[4]Macro_Model!BP9</f>
        <v>0</v>
      </c>
      <c r="BQ9" s="607">
        <f>[4]Macro_Model!BQ9</f>
        <v>0</v>
      </c>
      <c r="BR9" s="607">
        <f>[4]Macro_Model!BR9</f>
        <v>0</v>
      </c>
      <c r="BS9" s="608">
        <f>[4]Macro_Model!BS9</f>
        <v>-3.1758279716232463E-2</v>
      </c>
      <c r="BT9" s="607">
        <f>[4]Macro_Model!BT9</f>
        <v>0</v>
      </c>
      <c r="BU9" s="607">
        <f>[4]Macro_Model!BU9</f>
        <v>0</v>
      </c>
      <c r="BV9" s="607">
        <f>[4]Macro_Model!BV9</f>
        <v>0</v>
      </c>
      <c r="BW9" s="607">
        <f>[4]Macro_Model!BW9</f>
        <v>0</v>
      </c>
      <c r="BX9" s="608">
        <f>[4]Macro_Model!BX9</f>
        <v>6.5356584277505458E-2</v>
      </c>
      <c r="BY9" s="607">
        <f>[4]Macro_Model!BY9</f>
        <v>0</v>
      </c>
      <c r="BZ9" s="607">
        <f>[4]Macro_Model!BZ9</f>
        <v>0</v>
      </c>
      <c r="CA9" s="607">
        <f>[4]Macro_Model!CA9</f>
        <v>0</v>
      </c>
      <c r="CB9" s="607">
        <f>[4]Macro_Model!CB9</f>
        <v>0</v>
      </c>
      <c r="CC9" s="608">
        <f>[4]Macro_Model!CC9</f>
        <v>-8.9999999999999993E-3</v>
      </c>
      <c r="CD9" s="607">
        <f>[4]Macro_Model!CD9</f>
        <v>0</v>
      </c>
      <c r="CE9" s="607">
        <f>[4]Macro_Model!CE9</f>
        <v>0</v>
      </c>
      <c r="CF9" s="607">
        <f>[4]Macro_Model!CF9</f>
        <v>0</v>
      </c>
      <c r="CG9" s="607">
        <f>[4]Macro_Model!CG9</f>
        <v>0</v>
      </c>
      <c r="CH9" s="608">
        <f>[4]Macro_Model!CH9</f>
        <v>3.1E-2</v>
      </c>
      <c r="CI9" s="607">
        <f>[4]Macro_Model!CI9</f>
        <v>0</v>
      </c>
      <c r="CJ9" s="607">
        <f>[4]Macro_Model!CJ9</f>
        <v>0</v>
      </c>
      <c r="CK9" s="607">
        <f>[4]Macro_Model!CK9</f>
        <v>0</v>
      </c>
      <c r="CL9" s="607">
        <f>[4]Macro_Model!CL9</f>
        <v>0</v>
      </c>
      <c r="CM9" s="608">
        <f>[4]Macro_Model!CM9</f>
        <v>3.6999999999999998E-2</v>
      </c>
      <c r="CN9" s="607">
        <f>[4]Macro_Model!CN9</f>
        <v>3.6999999999999998E-2</v>
      </c>
      <c r="CO9" s="607">
        <f>[4]Macro_Model!CO9</f>
        <v>3.6999999999999998E-2</v>
      </c>
      <c r="CP9" s="607">
        <f>[4]Macro_Model!CP9</f>
        <v>3.6999999999999998E-2</v>
      </c>
      <c r="CQ9" s="607">
        <f>[4]Macro_Model!CQ9</f>
        <v>3.6999999999999998E-2</v>
      </c>
      <c r="CR9" s="608">
        <f>[4]Macro_Model!CR9</f>
        <v>3.5000000000000003E-2</v>
      </c>
      <c r="CS9" s="607">
        <f>[4]Macro_Model!CS9</f>
        <v>3.5000000000000003E-2</v>
      </c>
      <c r="CT9" s="607">
        <f>[4]Macro_Model!CT9</f>
        <v>3.5000000000000003E-2</v>
      </c>
      <c r="CU9" s="607">
        <f>[4]Macro_Model!CU9</f>
        <v>3.5000000000000003E-2</v>
      </c>
      <c r="CV9" s="607">
        <f>[4]Macro_Model!CV9</f>
        <v>3.5000000000000003E-2</v>
      </c>
      <c r="CW9" s="608">
        <f>[4]Macro_Model!CW9</f>
        <v>3.5000000000000003E-2</v>
      </c>
      <c r="CX9" s="607">
        <f>[4]Macro_Model!CX9</f>
        <v>3.5000000000000003E-2</v>
      </c>
      <c r="CY9" s="607">
        <f>[4]Macro_Model!CY9</f>
        <v>3.5000000000000003E-2</v>
      </c>
      <c r="CZ9" s="607">
        <f>[4]Macro_Model!CZ9</f>
        <v>3.5000000000000003E-2</v>
      </c>
      <c r="DA9" s="607">
        <f>[4]Macro_Model!DA9</f>
        <v>3.5000000000000003E-2</v>
      </c>
      <c r="DB9" s="608">
        <f>[4]Macro_Model!DB9</f>
        <v>3.5000000000000003E-2</v>
      </c>
    </row>
    <row r="10" spans="1:108" ht="11.5" customHeight="1" x14ac:dyDescent="0.2">
      <c r="A10" s="288" t="s">
        <v>345</v>
      </c>
      <c r="B10" s="607">
        <f>[4]Macro_Model!B10</f>
        <v>2.0635672838258401E-2</v>
      </c>
      <c r="C10" s="607">
        <f>[4]Macro_Model!C10</f>
        <v>1.0026429772781675E-2</v>
      </c>
      <c r="D10" s="607">
        <f>[4]Macro_Model!D10</f>
        <v>4.9988105724041443E-3</v>
      </c>
      <c r="E10" s="607">
        <f>[4]Macro_Model!E10</f>
        <v>2.2262809912068304E-2</v>
      </c>
      <c r="F10" s="608">
        <f>[4]Macro_Model!F10</f>
        <v>5.9086887217945305E-2</v>
      </c>
      <c r="G10" s="607">
        <f>[4]Macro_Model!G10</f>
        <v>2.4396959845301325E-2</v>
      </c>
      <c r="H10" s="607">
        <f>[4]Macro_Model!H10</f>
        <v>1.3956003005626494E-2</v>
      </c>
      <c r="I10" s="607">
        <f>[4]Macro_Model!I10</f>
        <v>1.0633971472036707E-2</v>
      </c>
      <c r="J10" s="607">
        <f>[4]Macro_Model!J10</f>
        <v>1.4569950966511147E-2</v>
      </c>
      <c r="K10" s="608">
        <f>[4]Macro_Model!K10</f>
        <v>6.5033527436801686E-2</v>
      </c>
      <c r="L10" s="607">
        <f>[4]Macro_Model!L10</f>
        <v>1.2245389616685198E-2</v>
      </c>
      <c r="M10" s="607">
        <f>[4]Macro_Model!M10</f>
        <v>1.0828899898705835E-2</v>
      </c>
      <c r="N10" s="607">
        <f>[4]Macro_Model!N10</f>
        <v>1.4167087793448774E-2</v>
      </c>
      <c r="O10" s="607">
        <f>[4]Macro_Model!O10</f>
        <v>1.993171123933335E-2</v>
      </c>
      <c r="P10" s="608">
        <f>[4]Macro_Model!P10</f>
        <v>5.8385947181474496E-2</v>
      </c>
      <c r="Q10" s="607">
        <f>[4]Macro_Model!Q10</f>
        <v>1.94200629569794E-2</v>
      </c>
      <c r="R10" s="607">
        <f>[4]Macro_Model!R10</f>
        <v>1.1845050402731649E-2</v>
      </c>
      <c r="S10" s="607">
        <f>[4]Macro_Model!S10</f>
        <v>6.2084221404119511E-3</v>
      </c>
      <c r="T10" s="607">
        <f>[4]Macro_Model!T10</f>
        <v>2.043332557722799E-2</v>
      </c>
      <c r="U10" s="608">
        <f>[4]Macro_Model!U10</f>
        <v>5.910683255331084E-2</v>
      </c>
      <c r="V10" s="607">
        <f>[4]Macro_Model!V10</f>
        <v>2.1751380592809788E-2</v>
      </c>
      <c r="W10" s="607">
        <f>[4]Macro_Model!W10</f>
        <v>1.5375617564219013E-2</v>
      </c>
      <c r="X10" s="607">
        <f>[4]Macro_Model!X10</f>
        <v>8.3166595929584641E-3</v>
      </c>
      <c r="Y10" s="607">
        <f>[4]Macro_Model!Y10</f>
        <v>1.7192651907677936E-2</v>
      </c>
      <c r="Z10" s="608">
        <f>[4]Macro_Model!Z10</f>
        <v>6.4074707959081545E-2</v>
      </c>
      <c r="AA10" s="607">
        <f>[4]Macro_Model!AA10</f>
        <v>3.8277181971792196E-2</v>
      </c>
      <c r="AB10" s="607">
        <f>[4]Macro_Model!AB10</f>
        <v>2.2568002922714214E-2</v>
      </c>
      <c r="AC10" s="607">
        <f>[4]Macro_Model!AC10</f>
        <v>1.3857214776389126E-2</v>
      </c>
      <c r="AD10" s="607">
        <f>[4]Macro_Model!AD10</f>
        <v>2.8157121543573194E-2</v>
      </c>
      <c r="AE10" s="608">
        <f>[4]Macro_Model!AE10</f>
        <v>0.10673028133975059</v>
      </c>
      <c r="AF10" s="607">
        <f>[4]Macro_Model!AF10</f>
        <v>2.6206442222306281E-2</v>
      </c>
      <c r="AG10" s="607">
        <f>[4]Macro_Model!AG10</f>
        <v>1.749542390672576E-2</v>
      </c>
      <c r="AH10" s="607">
        <f>[4]Macro_Model!AH10</f>
        <v>1.0431431561581439E-2</v>
      </c>
      <c r="AI10" s="607">
        <f>[4]Macro_Model!AI10</f>
        <v>7.4190016728088448E-3</v>
      </c>
      <c r="AJ10" s="608">
        <f>[4]Macro_Model!AJ10</f>
        <v>6.2879882132213849E-2</v>
      </c>
      <c r="AK10" s="607">
        <f>[4]Macro_Model!AK10</f>
        <v>9.6300018845405511E-3</v>
      </c>
      <c r="AL10" s="607">
        <f>[4]Macro_Model!AL10</f>
        <v>2.1942513931838548E-3</v>
      </c>
      <c r="AM10" s="607">
        <f>[4]Macro_Model!AM10</f>
        <v>5.9102657757119648E-3</v>
      </c>
      <c r="AN10" s="607">
        <f>[4]Macro_Model!AN10</f>
        <v>1.1444547536120453E-2</v>
      </c>
      <c r="AO10" s="608">
        <f>[4]Macro_Model!AO10</f>
        <v>2.9474213204347066E-2</v>
      </c>
      <c r="AP10" s="607">
        <f>[4]Macro_Model!AP10</f>
        <v>7.0152101308664783E-3</v>
      </c>
      <c r="AQ10" s="607">
        <f>[4]Macro_Model!AQ10</f>
        <v>1.8887284258576775E-2</v>
      </c>
      <c r="AR10" s="607">
        <f>[4]Macro_Model!AR10</f>
        <v>7.2098896611332286E-3</v>
      </c>
      <c r="AS10" s="607">
        <f>[4]Macro_Model!AS10</f>
        <v>3.8930647158041953E-3</v>
      </c>
      <c r="AT10" s="608">
        <f>[4]Macro_Model!AT10</f>
        <v>3.7455811701915476E-2</v>
      </c>
      <c r="AU10" s="607">
        <f>[4]Macro_Model!AU10</f>
        <v>1.5068785890315128E-2</v>
      </c>
      <c r="AV10" s="607">
        <f>[4]Macro_Model!AV10</f>
        <v>7.1077186347772159E-3</v>
      </c>
      <c r="AW10" s="607">
        <f>[4]Macro_Model!AW10</f>
        <v>2.6024735964957912E-3</v>
      </c>
      <c r="AX10" s="607">
        <f>[4]Macro_Model!AX10</f>
        <v>1.7676516496296646E-2</v>
      </c>
      <c r="AY10" s="608">
        <f>[4]Macro_Model!AY10</f>
        <v>4.306151617159526E-2</v>
      </c>
      <c r="AZ10" s="607">
        <f>[4]Macro_Model!AZ10</f>
        <v>5.3080212396032778E-3</v>
      </c>
      <c r="BA10" s="607">
        <f>[4]Macro_Model!BA10</f>
        <v>-4.3058882039602731E-3</v>
      </c>
      <c r="BB10" s="607">
        <f>[4]Macro_Model!BB10</f>
        <v>1.2447750992402584E-2</v>
      </c>
      <c r="BC10" s="607">
        <f>[4]Macro_Model!BC10</f>
        <v>3.1314508276533592E-2</v>
      </c>
      <c r="BD10" s="608">
        <f>[4]Macro_Model!BD10</f>
        <v>4.517456886424509E-2</v>
      </c>
      <c r="BE10" s="607">
        <f>[4]Macro_Model!BE10</f>
        <v>2.0524800425854028E-2</v>
      </c>
      <c r="BF10" s="607">
        <f>[4]Macro_Model!BF10</f>
        <v>1.6786731327713023E-2</v>
      </c>
      <c r="BG10" s="607">
        <f>[4]Macro_Model!BG10</f>
        <v>3.0195945219914089E-2</v>
      </c>
      <c r="BH10" s="607">
        <f>[4]Macro_Model!BH10</f>
        <v>2.9580045119536491E-2</v>
      </c>
      <c r="BI10" s="608">
        <f>[4]Macro_Model!BI10</f>
        <v>0.10060982737443336</v>
      </c>
      <c r="BJ10" s="607">
        <f>[4]Macro_Model!BJ10</f>
        <v>3.2007960732282958E-2</v>
      </c>
      <c r="BK10" s="607">
        <f>[4]Macro_Model!BK10</f>
        <v>2.2153507084467394E-2</v>
      </c>
      <c r="BL10" s="607">
        <f>[4]Macro_Model!BL10</f>
        <v>-1.3245351115654835E-2</v>
      </c>
      <c r="BM10" s="607">
        <f>[4]Macro_Model!BM10</f>
        <v>1.6286414853838194E-2</v>
      </c>
      <c r="BN10" s="608">
        <f>[4]Macro_Model!BN10</f>
        <v>5.7850929078894886E-2</v>
      </c>
      <c r="BO10" s="607">
        <f>[4]Macro_Model!BO10</f>
        <v>2.0941939330469506E-2</v>
      </c>
      <c r="BP10" s="607">
        <f>[4]Macro_Model!BP10</f>
        <v>7.6070363573370603E-3</v>
      </c>
      <c r="BQ10" s="607">
        <f>[4]Macro_Model!BQ10</f>
        <v>6.1126585034421144E-3</v>
      </c>
      <c r="BR10" s="607">
        <f>[4]Macro_Model!BR10</f>
        <v>1.0836245981739268E-2</v>
      </c>
      <c r="BS10" s="608">
        <f>[4]Macro_Model!BS10</f>
        <v>4.62119000508181E-2</v>
      </c>
      <c r="BT10" s="607">
        <f>[4]Macro_Model!BT10</f>
        <v>1.4154167780112026E-2</v>
      </c>
      <c r="BU10" s="607">
        <f>[4]Macro_Model!BU10</f>
        <v>1.0535525553417191E-2</v>
      </c>
      <c r="BV10" s="607">
        <f>[4]Macro_Model!BV10</f>
        <v>8.0155470495610892E-3</v>
      </c>
      <c r="BW10" s="607">
        <f>[4]Macro_Model!BW10</f>
        <v>1.4770299336158255E-2</v>
      </c>
      <c r="BX10" s="608">
        <f>[4]Macro_Model!BX10</f>
        <v>4.8311967483947837E-2</v>
      </c>
      <c r="BY10" s="607">
        <f>[4]Macro_Model!BY10</f>
        <v>2.0404196887543247E-2</v>
      </c>
      <c r="BZ10" s="607">
        <f>[4]Macro_Model!BZ10</f>
        <v>9.3287032564199901E-3</v>
      </c>
      <c r="CA10" s="607">
        <f>[4]Macro_Model!CA10</f>
        <v>6.3025008990875708E-3</v>
      </c>
      <c r="CB10" s="607">
        <f>[4]Macro_Model!CB10</f>
        <v>6.0102784866544745E-3</v>
      </c>
      <c r="CC10" s="608">
        <f>[4]Macro_Model!CC10</f>
        <v>4.2643475811562581E-2</v>
      </c>
      <c r="CD10" s="607">
        <f>[4]Macro_Model!CD10</f>
        <v>1.0639864168498159E-2</v>
      </c>
      <c r="CE10" s="607">
        <f>[4]Macro_Model!CE10</f>
        <v>9.9384394137442822E-3</v>
      </c>
      <c r="CF10" s="607">
        <f>[4]Macro_Model!CF10</f>
        <v>8.6985636055167959E-3</v>
      </c>
      <c r="CG10" s="607">
        <f>[4]Macro_Model!CG10</f>
        <v>8.3480382831615518E-3</v>
      </c>
      <c r="CH10" s="608">
        <f>[4]Macro_Model!CH10</f>
        <v>3.8157359768427268E-2</v>
      </c>
      <c r="CI10" s="607">
        <f>[4]Macro_Model!CI10</f>
        <v>1.1893392733073327E-2</v>
      </c>
      <c r="CJ10" s="607">
        <f>[4]Macro_Model!CJ10</f>
        <v>1.055779786786748E-2</v>
      </c>
      <c r="CK10" s="607">
        <f>[4]Macro_Model!CK10</f>
        <v>4.9139236318755941E-3</v>
      </c>
      <c r="CL10" s="607">
        <f>[4]Macro_Model!CL10</f>
        <v>1.1266257444998207E-2</v>
      </c>
      <c r="CM10" s="608">
        <f>[4]Macro_Model!CM10</f>
        <v>3.9178847169708098E-2</v>
      </c>
      <c r="CN10" s="607">
        <f>[4]Macro_Model!CN10</f>
        <v>8.6374459977134332E-3</v>
      </c>
      <c r="CO10" s="607">
        <f>[4]Macro_Model!CO10</f>
        <v>8.6374459977134332E-3</v>
      </c>
      <c r="CP10" s="607">
        <f>[4]Macro_Model!CP10</f>
        <v>8.6374459977134332E-3</v>
      </c>
      <c r="CQ10" s="607">
        <f>[4]Macro_Model!CQ10</f>
        <v>8.6374459977134332E-3</v>
      </c>
      <c r="CR10" s="608">
        <f>[4]Macro_Model!CR10</f>
        <v>3.5000000000000003E-2</v>
      </c>
      <c r="CS10" s="607">
        <f>[4]Macro_Model!CS10</f>
        <v>8.6374459977134332E-3</v>
      </c>
      <c r="CT10" s="607">
        <f>[4]Macro_Model!CT10</f>
        <v>8.6374459977134332E-3</v>
      </c>
      <c r="CU10" s="607">
        <f>[4]Macro_Model!CU10</f>
        <v>8.6374459977134332E-3</v>
      </c>
      <c r="CV10" s="607">
        <f>[4]Macro_Model!CV10</f>
        <v>8.6374459977134332E-3</v>
      </c>
      <c r="CW10" s="608">
        <f>[4]Macro_Model!CW10</f>
        <v>3.5000000000000003E-2</v>
      </c>
      <c r="CX10" s="607">
        <f>[4]Macro_Model!CX10</f>
        <v>8.6374459977134332E-3</v>
      </c>
      <c r="CY10" s="607">
        <f>[4]Macro_Model!CY10</f>
        <v>8.6374459977134332E-3</v>
      </c>
      <c r="CZ10" s="607">
        <f>[4]Macro_Model!CZ10</f>
        <v>8.6374459977134332E-3</v>
      </c>
      <c r="DA10" s="607">
        <f>[4]Macro_Model!DA10</f>
        <v>8.6374459977134332E-3</v>
      </c>
      <c r="DB10" s="608">
        <f>[4]Macro_Model!DB10</f>
        <v>3.5000000000000003E-2</v>
      </c>
    </row>
    <row r="11" spans="1:108" ht="11.5" customHeight="1" x14ac:dyDescent="0.2">
      <c r="A11" s="288" t="s">
        <v>346</v>
      </c>
      <c r="B11" s="607">
        <f>[4]Macro_Model!B11</f>
        <v>4.8630627301752272E-2</v>
      </c>
      <c r="C11" s="607">
        <f>[4]Macro_Model!C11</f>
        <v>5.1065846989048223E-2</v>
      </c>
      <c r="D11" s="607">
        <f>[4]Macro_Model!D11</f>
        <v>4.5967658169804228E-2</v>
      </c>
      <c r="E11" s="607">
        <f>[4]Macro_Model!E11</f>
        <v>5.5795324452200333E-2</v>
      </c>
      <c r="F11" s="608">
        <f>[4]Macro_Model!F11</f>
        <v>5.9086887217945305E-2</v>
      </c>
      <c r="G11" s="607">
        <f>[4]Macro_Model!G11</f>
        <v>6.1020487693181615E-2</v>
      </c>
      <c r="H11" s="607">
        <f>[4]Macro_Model!H11</f>
        <v>6.5918630960501545E-2</v>
      </c>
      <c r="I11" s="607">
        <f>[4]Macro_Model!I11</f>
        <v>7.1362425946035854E-2</v>
      </c>
      <c r="J11" s="607">
        <f>[4]Macro_Model!J11</f>
        <v>6.7049202428489441E-2</v>
      </c>
      <c r="K11" s="608">
        <f>[4]Macro_Model!K11</f>
        <v>6.5033527436801686E-2</v>
      </c>
      <c r="L11" s="607">
        <f>[4]Macro_Model!L11</f>
        <v>5.7690250791656426E-2</v>
      </c>
      <c r="M11" s="607">
        <f>[4]Macro_Model!M11</f>
        <v>5.0028194569295893E-2</v>
      </c>
      <c r="N11" s="607">
        <f>[4]Macro_Model!N11</f>
        <v>5.2403339285500262E-2</v>
      </c>
      <c r="O11" s="607">
        <f>[4]Macro_Model!O11</f>
        <v>5.6074203374144226E-2</v>
      </c>
      <c r="P11" s="608">
        <f>[4]Macro_Model!P11</f>
        <v>5.8385947181474496E-2</v>
      </c>
      <c r="Q11" s="607">
        <f>[4]Macro_Model!Q11</f>
        <v>6.3520055499846004E-2</v>
      </c>
      <c r="R11" s="607">
        <f>[4]Macro_Model!R11</f>
        <v>6.5645216496549086E-2</v>
      </c>
      <c r="S11" s="607">
        <f>[4]Macro_Model!S11</f>
        <v>6.0733583271950144E-2</v>
      </c>
      <c r="T11" s="607">
        <f>[4]Macro_Model!T11</f>
        <v>5.8408582835164223E-2</v>
      </c>
      <c r="U11" s="608">
        <f>[4]Macro_Model!U11</f>
        <v>5.910683255331084E-2</v>
      </c>
      <c r="V11" s="607">
        <f>[4]Macro_Model!V11</f>
        <v>5.8058246752625532E-2</v>
      </c>
      <c r="W11" s="607">
        <f>[4]Macro_Model!W11</f>
        <v>6.3925638132187546E-2</v>
      </c>
      <c r="X11" s="607">
        <f>[4]Macro_Model!X11</f>
        <v>6.5872261575330437E-2</v>
      </c>
      <c r="Y11" s="607">
        <f>[4]Macro_Model!Y11</f>
        <v>6.5166675058461632E-2</v>
      </c>
      <c r="Z11" s="608">
        <f>[4]Macro_Model!Z11</f>
        <v>6.4074707959081545E-2</v>
      </c>
      <c r="AA11" s="607">
        <f>[4]Macro_Model!AA11</f>
        <v>7.6559775400213262E-2</v>
      </c>
      <c r="AB11" s="607">
        <f>[4]Macro_Model!AB11</f>
        <v>8.5129531374798395E-2</v>
      </c>
      <c r="AC11" s="607">
        <f>[4]Macro_Model!AC11</f>
        <v>9.5255530633623284E-2</v>
      </c>
      <c r="AD11" s="607">
        <f>[4]Macro_Model!AD11</f>
        <v>0.10359229214693255</v>
      </c>
      <c r="AE11" s="608">
        <f>[4]Macro_Model!AE11</f>
        <v>0.1067302813397506</v>
      </c>
      <c r="AF11" s="607">
        <f>[4]Macro_Model!AF11</f>
        <v>0.10149318571118759</v>
      </c>
      <c r="AG11" s="607">
        <f>[4]Macro_Model!AG11</f>
        <v>9.1475771485275345E-2</v>
      </c>
      <c r="AH11" s="607">
        <f>[4]Macro_Model!AH11</f>
        <v>8.7287457599358451E-2</v>
      </c>
      <c r="AI11" s="607">
        <f>[4]Macro_Model!AI11</f>
        <v>7.0496807810095971E-2</v>
      </c>
      <c r="AJ11" s="608">
        <f>[4]Macro_Model!AJ11</f>
        <v>6.2879882132213849E-2</v>
      </c>
      <c r="AK11" s="607">
        <f>[4]Macro_Model!AK11</f>
        <v>4.8946758278703394E-2</v>
      </c>
      <c r="AL11" s="607">
        <f>[4]Macro_Model!AL11</f>
        <v>3.5594433549331006E-2</v>
      </c>
      <c r="AM11" s="607">
        <f>[4]Macro_Model!AM11</f>
        <v>2.568408398041977E-2</v>
      </c>
      <c r="AN11" s="607">
        <f>[4]Macro_Model!AN11</f>
        <v>2.8175092115624672E-2</v>
      </c>
      <c r="AO11" s="608">
        <f>[4]Macro_Model!AO11</f>
        <v>2.9474213204347066E-2</v>
      </c>
      <c r="AP11" s="607">
        <f>[4]Macro_Model!AP11</f>
        <v>2.7936043216225375E-2</v>
      </c>
      <c r="AQ11" s="607">
        <f>[4]Macro_Model!AQ11</f>
        <v>3.3363047915115462E-2</v>
      </c>
      <c r="AR11" s="607">
        <f>[4]Macro_Model!AR11</f>
        <v>4.4012785713257507E-2</v>
      </c>
      <c r="AS11" s="607">
        <f>[4]Macro_Model!AS11</f>
        <v>4.1162140051432594E-2</v>
      </c>
      <c r="AT11" s="608">
        <f>[4]Macro_Model!AT11</f>
        <v>3.7455811701915476E-2</v>
      </c>
      <c r="AU11" s="607">
        <f>[4]Macro_Model!AU11</f>
        <v>4.0806788364349179E-2</v>
      </c>
      <c r="AV11" s="607">
        <f>[4]Macro_Model!AV11</f>
        <v>4.3216772122027201E-2</v>
      </c>
      <c r="AW11" s="607">
        <f>[4]Macro_Model!AW11</f>
        <v>3.1813536201635705E-2</v>
      </c>
      <c r="AX11" s="607">
        <f>[4]Macro_Model!AX11</f>
        <v>3.3720288616986137E-2</v>
      </c>
      <c r="AY11" s="608">
        <f>[4]Macro_Model!AY11</f>
        <v>4.306151617159526E-2</v>
      </c>
      <c r="AZ11" s="607">
        <f>[4]Macro_Model!AZ11</f>
        <v>3.8333476209189886E-2</v>
      </c>
      <c r="BA11" s="607">
        <f>[4]Macro_Model!BA11</f>
        <v>2.1364746592946442E-2</v>
      </c>
      <c r="BB11" s="607">
        <f>[4]Macro_Model!BB11</f>
        <v>2.6264730236671124E-2</v>
      </c>
      <c r="BC11" s="607">
        <f>[4]Macro_Model!BC11</f>
        <v>4.2490100812764796E-2</v>
      </c>
      <c r="BD11" s="608">
        <f>[4]Macro_Model!BD11</f>
        <v>4.517456886424509E-2</v>
      </c>
      <c r="BE11" s="607">
        <f>[4]Macro_Model!BE11</f>
        <v>5.2846850997758731E-2</v>
      </c>
      <c r="BF11" s="607">
        <f>[4]Macro_Model!BF11</f>
        <v>7.7208138986213148E-2</v>
      </c>
      <c r="BG11" s="607">
        <f>[4]Macro_Model!BG11</f>
        <v>9.6403304733980136E-2</v>
      </c>
      <c r="BH11" s="607">
        <f>[4]Macro_Model!BH11</f>
        <v>0.10490701933769613</v>
      </c>
      <c r="BI11" s="608">
        <f>[4]Macro_Model!BI11</f>
        <v>0.10060982737443336</v>
      </c>
      <c r="BJ11" s="607">
        <f>[4]Macro_Model!BJ11</f>
        <v>0.10740832900055504</v>
      </c>
      <c r="BK11" s="607">
        <f>[4]Macro_Model!BK11</f>
        <v>0.11916570895896224</v>
      </c>
      <c r="BL11" s="607">
        <f>[4]Macro_Model!BL11</f>
        <v>8.6551731328851592E-2</v>
      </c>
      <c r="BM11" s="607">
        <f>[4]Macro_Model!BM11</f>
        <v>6.0520647045263797E-2</v>
      </c>
      <c r="BN11" s="608">
        <f>[4]Macro_Model!BN11</f>
        <v>5.7850929078894664E-2</v>
      </c>
      <c r="BO11" s="607">
        <f>[4]Macro_Model!BO11</f>
        <v>5.340560620221213E-2</v>
      </c>
      <c r="BP11" s="607">
        <f>[4]Macro_Model!BP11</f>
        <v>3.7606969680164637E-2</v>
      </c>
      <c r="BQ11" s="607">
        <f>[4]Macro_Model!BQ11</f>
        <v>4.5952799637139385E-2</v>
      </c>
      <c r="BR11" s="607">
        <f>[4]Macro_Model!BR11</f>
        <v>4.7079803093927973E-2</v>
      </c>
      <c r="BS11" s="608">
        <f>[4]Macro_Model!BS11</f>
        <v>4.6211900050818322E-2</v>
      </c>
      <c r="BT11" s="607">
        <f>[4]Macro_Model!BT11</f>
        <v>4.3095915354687486E-2</v>
      </c>
      <c r="BU11" s="607">
        <f>[4]Macro_Model!BU11</f>
        <v>3.9472171496356921E-2</v>
      </c>
      <c r="BV11" s="607">
        <f>[4]Macro_Model!BV11</f>
        <v>4.3869727887824249E-2</v>
      </c>
      <c r="BW11" s="607">
        <f>[4]Macro_Model!BW11</f>
        <v>4.8207529373757753E-2</v>
      </c>
      <c r="BX11" s="608">
        <f>[4]Macro_Model!BX11</f>
        <v>4.8311967483947837E-2</v>
      </c>
      <c r="BY11" s="607">
        <f>[4]Macro_Model!BY11</f>
        <v>5.0315322826843221E-2</v>
      </c>
      <c r="BZ11" s="607">
        <f>[4]Macro_Model!BZ11</f>
        <v>5.400326996954178E-2</v>
      </c>
      <c r="CA11" s="607">
        <f>[4]Macro_Model!CA11</f>
        <v>5.1759710745839703E-2</v>
      </c>
      <c r="CB11" s="607">
        <f>[4]Macro_Model!CB11</f>
        <v>4.4689454836435903E-2</v>
      </c>
      <c r="CC11" s="608">
        <f>[4]Macro_Model!CC11</f>
        <v>4.3999999999999997E-2</v>
      </c>
      <c r="CD11" s="607">
        <f>[4]Macro_Model!CD11</f>
        <v>3.7486768977158226E-2</v>
      </c>
      <c r="CE11" s="607">
        <f>[4]Macro_Model!CE11</f>
        <v>3.2174004769257358E-2</v>
      </c>
      <c r="CF11" s="607">
        <f>[4]Macro_Model!CF11</f>
        <v>3.5489287349365517E-2</v>
      </c>
      <c r="CG11" s="607">
        <f>[4]Macro_Model!CG11</f>
        <v>3.6132465164369743E-2</v>
      </c>
      <c r="CH11" s="608">
        <f>[4]Macro_Model!CH11</f>
        <v>0.04</v>
      </c>
      <c r="CI11" s="607">
        <f>[4]Macro_Model!CI11</f>
        <v>3.9296703739944615E-2</v>
      </c>
      <c r="CJ11" s="607">
        <f>[4]Macro_Model!CJ11</f>
        <v>4.0578496247045313E-2</v>
      </c>
      <c r="CK11" s="607">
        <f>[4]Macro_Model!CK11</f>
        <v>3.7756371356573316E-2</v>
      </c>
      <c r="CL11" s="607">
        <f>[4]Macro_Model!CL11</f>
        <v>3.940225660119475E-2</v>
      </c>
      <c r="CM11" s="608">
        <f>[4]Macro_Model!CM11</f>
        <v>0.04</v>
      </c>
      <c r="CN11" s="607">
        <f>[4]Macro_Model!CN11</f>
        <v>0.04</v>
      </c>
      <c r="CO11" s="607">
        <f>[4]Macro_Model!CO11</f>
        <v>0.04</v>
      </c>
      <c r="CP11" s="607">
        <f>[4]Macro_Model!CP11</f>
        <v>0.04</v>
      </c>
      <c r="CQ11" s="607">
        <f>[4]Macro_Model!CQ11</f>
        <v>0.04</v>
      </c>
      <c r="CR11" s="608">
        <f>[4]Macro_Model!CR11</f>
        <v>3.5000000000000003E-2</v>
      </c>
      <c r="CS11" s="607">
        <f>[4]Macro_Model!CS11</f>
        <v>3.5000000000000003E-2</v>
      </c>
      <c r="CT11" s="607">
        <f>[4]Macro_Model!CT11</f>
        <v>3.5000000000000003E-2</v>
      </c>
      <c r="CU11" s="607">
        <f>[4]Macro_Model!CU11</f>
        <v>3.5000000000000003E-2</v>
      </c>
      <c r="CV11" s="607">
        <f>[4]Macro_Model!CV11</f>
        <v>3.5000000000000003E-2</v>
      </c>
      <c r="CW11" s="608">
        <f>[4]Macro_Model!CW11</f>
        <v>3.5000000000000003E-2</v>
      </c>
      <c r="CX11" s="607">
        <f>[4]Macro_Model!CX11</f>
        <v>3.5000000000000003E-2</v>
      </c>
      <c r="CY11" s="607">
        <f>[4]Macro_Model!CY11</f>
        <v>3.5000000000000003E-2</v>
      </c>
      <c r="CZ11" s="607">
        <f>[4]Macro_Model!CZ11</f>
        <v>3.5000000000000003E-2</v>
      </c>
      <c r="DA11" s="607">
        <f>[4]Macro_Model!DA11</f>
        <v>3.5000000000000003E-2</v>
      </c>
      <c r="DB11" s="608">
        <f>[4]Macro_Model!DB11</f>
        <v>3.5000000000000003E-2</v>
      </c>
    </row>
    <row r="12" spans="1:108" ht="11.5" customHeight="1" x14ac:dyDescent="0.2">
      <c r="A12" s="305" t="s">
        <v>348</v>
      </c>
      <c r="B12" s="609">
        <f>[4]Macro_Model!B12</f>
        <v>8.7499999999999994E-2</v>
      </c>
      <c r="C12" s="609">
        <f>[4]Macro_Model!C12</f>
        <v>9.7500000000000003E-2</v>
      </c>
      <c r="D12" s="609">
        <f>[4]Macro_Model!D12</f>
        <v>0.1075</v>
      </c>
      <c r="E12" s="609">
        <f>[4]Macro_Model!E12</f>
        <v>0.1075</v>
      </c>
      <c r="F12" s="610">
        <f>[4]Macro_Model!F12</f>
        <v>0.1</v>
      </c>
      <c r="G12" s="609">
        <f>[4]Macro_Model!G12</f>
        <v>0.11416666666666667</v>
      </c>
      <c r="H12" s="609">
        <f>[4]Macro_Model!H12</f>
        <v>0.12083333333333333</v>
      </c>
      <c r="I12" s="609">
        <f>[4]Macro_Model!I12</f>
        <v>0.12166666666666666</v>
      </c>
      <c r="J12" s="609">
        <f>[4]Macro_Model!J12</f>
        <v>0.11166666666666666</v>
      </c>
      <c r="K12" s="610">
        <f>[4]Macro_Model!K12</f>
        <v>0.11708333333333334</v>
      </c>
      <c r="L12" s="609">
        <f>[4]Macro_Model!L12</f>
        <v>0.10249999999999999</v>
      </c>
      <c r="M12" s="609">
        <f>[4]Macro_Model!M12</f>
        <v>8.6666666666666656E-2</v>
      </c>
      <c r="N12" s="609">
        <f>[4]Macro_Model!N12</f>
        <v>7.6666666666666675E-2</v>
      </c>
      <c r="O12" s="609">
        <f>[4]Macro_Model!O12</f>
        <v>7.2499999999999995E-2</v>
      </c>
      <c r="P12" s="610">
        <f>[4]Macro_Model!P12</f>
        <v>8.4583333333333344E-2</v>
      </c>
      <c r="Q12" s="609">
        <f>[4]Macro_Model!Q12</f>
        <v>7.2499999999999995E-2</v>
      </c>
      <c r="R12" s="609">
        <f>[4]Macro_Model!R12</f>
        <v>7.8333333333333324E-2</v>
      </c>
      <c r="S12" s="609">
        <f>[4]Macro_Model!S12</f>
        <v>8.8333333333333333E-2</v>
      </c>
      <c r="T12" s="609">
        <f>[4]Macro_Model!T12</f>
        <v>9.8333333333333342E-2</v>
      </c>
      <c r="U12" s="610">
        <f>[4]Macro_Model!U12</f>
        <v>8.4375000000000006E-2</v>
      </c>
      <c r="V12" s="609">
        <f>[4]Macro_Model!V12</f>
        <v>0.10666666666666666</v>
      </c>
      <c r="W12" s="609">
        <f>[4]Macro_Model!W12</f>
        <v>0.11</v>
      </c>
      <c r="X12" s="609">
        <f>[4]Macro_Model!X12</f>
        <v>0.11</v>
      </c>
      <c r="Y12" s="609">
        <f>[4]Macro_Model!Y12</f>
        <v>0.11416666666666667</v>
      </c>
      <c r="Z12" s="610">
        <f>[4]Macro_Model!Z12</f>
        <v>0.11020833333333334</v>
      </c>
      <c r="AA12" s="609">
        <f>[4]Macro_Model!AA12</f>
        <v>0.12416666666666666</v>
      </c>
      <c r="AB12" s="609">
        <f>[4]Macro_Model!AB12</f>
        <v>0.13416666666666666</v>
      </c>
      <c r="AC12" s="609">
        <f>[4]Macro_Model!AC12</f>
        <v>0.14249999999999999</v>
      </c>
      <c r="AD12" s="609">
        <f>[4]Macro_Model!AD12</f>
        <v>0.14249999999999999</v>
      </c>
      <c r="AE12" s="610">
        <f>[4]Macro_Model!AE12</f>
        <v>0.13583333333333333</v>
      </c>
      <c r="AF12" s="609">
        <f>[4]Macro_Model!AF12</f>
        <v>0.14249999999999999</v>
      </c>
      <c r="AG12" s="609">
        <f>[4]Macro_Model!AG12</f>
        <v>0.14249999999999999</v>
      </c>
      <c r="AH12" s="609">
        <f>[4]Macro_Model!AH12</f>
        <v>0.14249999999999999</v>
      </c>
      <c r="AI12" s="609">
        <f>[4]Macro_Model!AI12</f>
        <v>0.13916666666666666</v>
      </c>
      <c r="AJ12" s="610">
        <f>[4]Macro_Model!AJ12</f>
        <v>0.14166666666666666</v>
      </c>
      <c r="AK12" s="609">
        <f>[4]Macro_Model!AK12</f>
        <v>0.125</v>
      </c>
      <c r="AL12" s="609">
        <f>[4]Macro_Model!AL12</f>
        <v>0.10916666666666666</v>
      </c>
      <c r="AM12" s="609">
        <f>[4]Macro_Model!AM12</f>
        <v>8.9166666666666658E-2</v>
      </c>
      <c r="AN12" s="609">
        <f>[4]Macro_Model!AN12</f>
        <v>7.3333333333333334E-2</v>
      </c>
      <c r="AO12" s="610">
        <f>[4]Macro_Model!AO12</f>
        <v>9.9166666666666667E-2</v>
      </c>
      <c r="AP12" s="609">
        <f>[4]Macro_Model!AP12</f>
        <v>6.7500000000000004E-2</v>
      </c>
      <c r="AQ12" s="609">
        <f>[4]Macro_Model!AQ12</f>
        <v>6.5000000000000002E-2</v>
      </c>
      <c r="AR12" s="609">
        <f>[4]Macro_Model!AR12</f>
        <v>6.5000000000000002E-2</v>
      </c>
      <c r="AS12" s="609">
        <f>[4]Macro_Model!AS12</f>
        <v>6.5000000000000002E-2</v>
      </c>
      <c r="AT12" s="610">
        <f>[4]Macro_Model!AT12</f>
        <v>6.5625000000000003E-2</v>
      </c>
      <c r="AU12" s="609">
        <f>[4]Macro_Model!AU12</f>
        <v>6.5000000000000002E-2</v>
      </c>
      <c r="AV12" s="609">
        <f>[4]Macro_Model!AV12</f>
        <v>6.5000000000000002E-2</v>
      </c>
      <c r="AW12" s="609">
        <f>[4]Macro_Model!AW12</f>
        <v>0.06</v>
      </c>
      <c r="AX12" s="609">
        <f>[4]Macro_Model!AX12</f>
        <v>4.8333333333333332E-2</v>
      </c>
      <c r="AY12" s="610">
        <f>[4]Macro_Model!AY12</f>
        <v>5.9583333333333328E-2</v>
      </c>
      <c r="AZ12" s="609">
        <f>[4]Macro_Model!AZ12</f>
        <v>4.1666666666666671E-2</v>
      </c>
      <c r="BA12" s="609">
        <f>[4]Macro_Model!BA12</f>
        <v>0.03</v>
      </c>
      <c r="BB12" s="609">
        <f>[4]Macro_Model!BB12</f>
        <v>2.0833333333333336E-2</v>
      </c>
      <c r="BC12" s="609">
        <f>[4]Macro_Model!BC12</f>
        <v>0.02</v>
      </c>
      <c r="BD12" s="610">
        <f>[4]Macro_Model!BD12</f>
        <v>2.8125000000000001E-2</v>
      </c>
      <c r="BE12" s="609">
        <f>[4]Macro_Model!BE12</f>
        <v>2.2499999999999999E-2</v>
      </c>
      <c r="BF12" s="609">
        <f>[4]Macro_Model!BF12</f>
        <v>3.5000000000000003E-2</v>
      </c>
      <c r="BG12" s="609">
        <f>[4]Macro_Model!BG12</f>
        <v>5.2499999999999998E-2</v>
      </c>
      <c r="BH12" s="609">
        <f>[4]Macro_Model!BH12</f>
        <v>8.2500000000000004E-2</v>
      </c>
      <c r="BI12" s="610">
        <f>[4]Macro_Model!BI12</f>
        <v>4.8125000000000001E-2</v>
      </c>
      <c r="BJ12" s="609">
        <f>[4]Macro_Model!BJ12</f>
        <v>0.10583333333333333</v>
      </c>
      <c r="BK12" s="609">
        <f>[4]Macro_Model!BK12</f>
        <v>0.12583333333333335</v>
      </c>
      <c r="BL12" s="609">
        <f>[4]Macro_Model!BL12</f>
        <v>0.13583333333333333</v>
      </c>
      <c r="BM12" s="609">
        <f>[4]Macro_Model!BM12</f>
        <v>0.13750000000000001</v>
      </c>
      <c r="BN12" s="610">
        <f>[4]Macro_Model!BN12</f>
        <v>0.12625</v>
      </c>
      <c r="BO12" s="609">
        <f>[4]Macro_Model!BO12</f>
        <v>0.13750000000000001</v>
      </c>
      <c r="BP12" s="609">
        <f>[4]Macro_Model!BP12</f>
        <v>0.13750000000000001</v>
      </c>
      <c r="BQ12" s="609">
        <f>[4]Macro_Model!BQ12</f>
        <v>0.13250000000000001</v>
      </c>
      <c r="BR12" s="609">
        <f>[4]Macro_Model!BR12</f>
        <v>0.1225</v>
      </c>
      <c r="BS12" s="610">
        <f>[4]Macro_Model!BS12</f>
        <v>0.13250000000000001</v>
      </c>
      <c r="BT12" s="609">
        <f>[4]Macro_Model!BT12</f>
        <v>0.11083333333333334</v>
      </c>
      <c r="BU12" s="609">
        <f>[4]Macro_Model!BU12</f>
        <v>0.10583333333333333</v>
      </c>
      <c r="BV12" s="609">
        <f>[4]Macro_Model!BV12</f>
        <v>0.10583333333333333</v>
      </c>
      <c r="BW12" s="609">
        <f>[4]Macro_Model!BW12</f>
        <v>0.11416666666666667</v>
      </c>
      <c r="BX12" s="610">
        <f>[4]Macro_Model!BX12</f>
        <v>0.10916666666666666</v>
      </c>
      <c r="BY12" s="609">
        <f>[4]Macro_Model!BY12</f>
        <v>0.13583333333333333</v>
      </c>
      <c r="BZ12" s="609">
        <f>[4]Macro_Model!BZ12</f>
        <v>0.14666666666666667</v>
      </c>
      <c r="CA12" s="609">
        <f>[4]Macro_Model!CA12</f>
        <v>0.15</v>
      </c>
      <c r="CB12" s="609">
        <f>[4]Macro_Model!CB12</f>
        <v>0.15</v>
      </c>
      <c r="CC12" s="610">
        <f>[4]Macro_Model!CC12</f>
        <v>0.145625</v>
      </c>
      <c r="CD12" s="609">
        <f>[4]Macro_Model!CD12</f>
        <v>0.14833333333333334</v>
      </c>
      <c r="CE12" s="609">
        <f>[4]Macro_Model!CE12</f>
        <v>0.13833333333333334</v>
      </c>
      <c r="CF12" s="609">
        <f>[4]Macro_Model!CF12</f>
        <v>0.13</v>
      </c>
      <c r="CG12" s="609">
        <f>[4]Macro_Model!CG12</f>
        <v>0.12333333333333334</v>
      </c>
      <c r="CH12" s="610">
        <f>[4]Macro_Model!CH12</f>
        <v>0.12333333333333334</v>
      </c>
      <c r="CI12" s="609">
        <f>[4]Macro_Model!CI12</f>
        <v>0.14833333333333334</v>
      </c>
      <c r="CJ12" s="609">
        <f>[4]Macro_Model!CJ12</f>
        <v>0.13833333333333334</v>
      </c>
      <c r="CK12" s="609">
        <f>[4]Macro_Model!CK12</f>
        <v>0.13</v>
      </c>
      <c r="CL12" s="609">
        <f>[4]Macro_Model!CL12</f>
        <v>0.12333333333333334</v>
      </c>
      <c r="CM12" s="610">
        <f>[4]Macro_Model!CM12</f>
        <v>0.12333333333333334</v>
      </c>
      <c r="CN12" s="609">
        <f>[4]Macro_Model!CN12</f>
        <v>0.12333333333333334</v>
      </c>
      <c r="CO12" s="609">
        <f>[4]Macro_Model!CO12</f>
        <v>0.12333333333333334</v>
      </c>
      <c r="CP12" s="609">
        <f>[4]Macro_Model!CP12</f>
        <v>0.12333333333333334</v>
      </c>
      <c r="CQ12" s="609">
        <f>[4]Macro_Model!CQ12</f>
        <v>0.12333333333333334</v>
      </c>
      <c r="CR12" s="610">
        <f>[4]Macro_Model!CR12</f>
        <v>0.106</v>
      </c>
      <c r="CS12" s="609">
        <f>[4]Macro_Model!CS12</f>
        <v>0.106</v>
      </c>
      <c r="CT12" s="609">
        <f>[4]Macro_Model!CT12</f>
        <v>0.106</v>
      </c>
      <c r="CU12" s="609">
        <f>[4]Macro_Model!CU12</f>
        <v>0.106</v>
      </c>
      <c r="CV12" s="609">
        <f>[4]Macro_Model!CV12</f>
        <v>0.106</v>
      </c>
      <c r="CW12" s="610">
        <f>[4]Macro_Model!CW12</f>
        <v>0.106</v>
      </c>
      <c r="CX12" s="609">
        <f>[4]Macro_Model!CX12</f>
        <v>0.106</v>
      </c>
      <c r="CY12" s="609">
        <f>[4]Macro_Model!CY12</f>
        <v>0.106</v>
      </c>
      <c r="CZ12" s="609">
        <f>[4]Macro_Model!CZ12</f>
        <v>0.106</v>
      </c>
      <c r="DA12" s="609">
        <f>[4]Macro_Model!DA12</f>
        <v>0.106</v>
      </c>
      <c r="DB12" s="610">
        <f>[4]Macro_Model!DB12</f>
        <v>0.106</v>
      </c>
    </row>
    <row r="13" spans="1:108" ht="11.15" customHeight="1" x14ac:dyDescent="0.2">
      <c r="A13" s="290"/>
      <c r="B13" s="289"/>
      <c r="C13" s="289"/>
      <c r="D13" s="289"/>
      <c r="E13" s="289"/>
      <c r="F13" s="306"/>
      <c r="G13" s="289"/>
      <c r="H13" s="289"/>
      <c r="I13" s="289"/>
      <c r="J13" s="289"/>
      <c r="K13" s="306"/>
      <c r="L13" s="289"/>
      <c r="M13" s="289"/>
      <c r="N13" s="289"/>
      <c r="O13" s="289"/>
      <c r="P13" s="306"/>
      <c r="Q13" s="289"/>
      <c r="R13" s="289"/>
      <c r="S13" s="289"/>
      <c r="T13" s="289"/>
      <c r="U13" s="306"/>
      <c r="V13" s="289"/>
      <c r="W13" s="289"/>
      <c r="X13" s="289"/>
      <c r="Y13" s="289"/>
      <c r="Z13" s="306"/>
      <c r="AA13" s="289"/>
      <c r="AB13" s="289"/>
      <c r="AC13" s="289"/>
      <c r="AD13" s="289"/>
      <c r="AE13" s="306"/>
      <c r="AF13" s="289"/>
      <c r="AG13" s="289"/>
      <c r="AH13" s="289"/>
      <c r="AI13" s="289"/>
      <c r="AJ13" s="306"/>
      <c r="AK13" s="289"/>
      <c r="AL13" s="289"/>
      <c r="AM13" s="289"/>
      <c r="AN13" s="289"/>
      <c r="AO13" s="306"/>
      <c r="AP13" s="289"/>
      <c r="AQ13" s="289"/>
      <c r="AR13" s="289"/>
      <c r="AS13" s="289"/>
      <c r="AT13" s="306"/>
      <c r="AU13" s="289"/>
      <c r="AV13" s="289"/>
      <c r="AW13" s="289"/>
      <c r="AX13" s="289"/>
      <c r="AY13" s="306"/>
      <c r="AZ13" s="289"/>
      <c r="BA13" s="289"/>
      <c r="BB13" s="289"/>
      <c r="BC13" s="289"/>
      <c r="BD13" s="306"/>
      <c r="BE13" s="289"/>
      <c r="BF13" s="289"/>
      <c r="BG13" s="289"/>
      <c r="BH13" s="289"/>
      <c r="BI13" s="306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  <c r="BX13" s="289"/>
      <c r="BY13" s="289"/>
      <c r="BZ13" s="289"/>
      <c r="CA13" s="289"/>
      <c r="CB13" s="289"/>
      <c r="CC13" s="289"/>
      <c r="CD13" s="289"/>
      <c r="CE13" s="289"/>
      <c r="CF13" s="289"/>
      <c r="CG13" s="289"/>
      <c r="CH13" s="289"/>
      <c r="CI13" s="289"/>
      <c r="CJ13" s="289"/>
      <c r="CK13" s="289"/>
      <c r="CL13" s="289"/>
      <c r="CM13" s="289"/>
      <c r="CN13" s="289"/>
      <c r="CO13" s="289"/>
      <c r="CP13" s="289"/>
      <c r="CQ13" s="289"/>
      <c r="CR13" s="289"/>
      <c r="CS13" s="289"/>
      <c r="CT13" s="289"/>
      <c r="CU13" s="289"/>
      <c r="CV13" s="289"/>
      <c r="CW13" s="289"/>
      <c r="CX13" s="289"/>
      <c r="CY13" s="289"/>
      <c r="CZ13" s="289"/>
      <c r="DA13" s="289"/>
      <c r="DB13" s="289"/>
      <c r="DC13" s="289"/>
      <c r="DD13" s="289"/>
    </row>
    <row r="14" spans="1:108" ht="11.15" customHeight="1" collapsed="1" x14ac:dyDescent="0.2">
      <c r="A14" s="290"/>
      <c r="B14" s="289"/>
      <c r="C14" s="289"/>
      <c r="D14" s="289"/>
      <c r="E14" s="289"/>
      <c r="F14" s="306"/>
      <c r="G14" s="289"/>
      <c r="H14" s="289"/>
      <c r="I14" s="289"/>
      <c r="J14" s="289"/>
      <c r="K14" s="306"/>
      <c r="L14" s="289"/>
      <c r="M14" s="289"/>
      <c r="N14" s="289"/>
      <c r="O14" s="289"/>
      <c r="P14" s="306"/>
      <c r="Q14" s="289"/>
      <c r="R14" s="289"/>
      <c r="S14" s="289"/>
      <c r="T14" s="289"/>
      <c r="U14" s="306"/>
      <c r="V14" s="289"/>
      <c r="W14" s="289"/>
      <c r="X14" s="289"/>
      <c r="Y14" s="289"/>
      <c r="Z14" s="306"/>
      <c r="AA14" s="289"/>
      <c r="AB14" s="289"/>
      <c r="AC14" s="289"/>
      <c r="AD14" s="289"/>
      <c r="AE14" s="306"/>
      <c r="AF14" s="289"/>
      <c r="AG14" s="289"/>
      <c r="AH14" s="289"/>
      <c r="AI14" s="289"/>
      <c r="AJ14" s="306"/>
      <c r="AK14" s="289"/>
      <c r="AL14" s="289"/>
      <c r="AM14" s="289"/>
      <c r="AN14" s="289"/>
      <c r="AO14" s="306"/>
      <c r="AP14" s="289"/>
      <c r="AQ14" s="289"/>
      <c r="AR14" s="289"/>
      <c r="AS14" s="289"/>
      <c r="AT14" s="306"/>
      <c r="AU14" s="289"/>
      <c r="AV14" s="289"/>
      <c r="AW14" s="289"/>
      <c r="AX14" s="289"/>
      <c r="AY14" s="306"/>
      <c r="AZ14" s="289"/>
      <c r="BA14" s="289"/>
      <c r="BB14" s="289"/>
      <c r="BC14" s="289"/>
      <c r="BD14" s="306"/>
      <c r="BE14" s="289"/>
      <c r="BF14" s="289"/>
      <c r="BG14" s="289"/>
      <c r="BH14" s="289"/>
      <c r="BI14" s="306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  <c r="BX14" s="289"/>
      <c r="BY14" s="289"/>
      <c r="BZ14" s="289"/>
      <c r="CA14" s="289"/>
      <c r="CB14" s="289"/>
      <c r="CC14" s="289"/>
      <c r="CD14" s="289"/>
      <c r="CE14" s="289"/>
      <c r="CF14" s="289"/>
      <c r="CG14" s="289"/>
      <c r="CH14" s="289"/>
      <c r="CI14" s="289"/>
      <c r="CJ14" s="289"/>
      <c r="CK14" s="289"/>
      <c r="CL14" s="289"/>
      <c r="CM14" s="289"/>
      <c r="CN14" s="289"/>
      <c r="CO14" s="289"/>
      <c r="CP14" s="289"/>
      <c r="CQ14" s="289"/>
      <c r="CR14" s="289"/>
      <c r="CS14" s="289"/>
      <c r="CT14" s="289"/>
      <c r="CU14" s="289"/>
      <c r="CV14" s="289"/>
      <c r="CW14" s="289"/>
      <c r="CX14" s="289"/>
      <c r="CY14" s="289"/>
      <c r="CZ14" s="289"/>
      <c r="DA14" s="289"/>
      <c r="DB14" s="289"/>
      <c r="DC14" s="289"/>
      <c r="DD14" s="289"/>
    </row>
    <row r="15" spans="1:108" ht="11.15" customHeight="1" x14ac:dyDescent="0.25">
      <c r="A15" s="291"/>
      <c r="B15" s="285"/>
      <c r="C15" s="285"/>
      <c r="D15" s="285"/>
      <c r="E15" s="285"/>
      <c r="F15" s="307"/>
      <c r="G15" s="285"/>
      <c r="H15" s="285"/>
      <c r="I15" s="285"/>
      <c r="J15" s="285"/>
      <c r="K15" s="307"/>
      <c r="L15" s="285"/>
      <c r="M15" s="285"/>
      <c r="N15" s="285"/>
      <c r="O15" s="285"/>
      <c r="P15" s="307"/>
      <c r="Q15" s="285"/>
      <c r="R15" s="285"/>
      <c r="S15" s="285"/>
      <c r="T15" s="285"/>
      <c r="U15" s="307"/>
      <c r="V15" s="285"/>
      <c r="W15" s="285"/>
      <c r="X15" s="285"/>
      <c r="Y15" s="285"/>
      <c r="Z15" s="307"/>
      <c r="AA15" s="285"/>
      <c r="AB15" s="285"/>
      <c r="AC15" s="285"/>
      <c r="AD15" s="285"/>
      <c r="AE15" s="307"/>
      <c r="AF15" s="285"/>
      <c r="AG15" s="285"/>
      <c r="AH15" s="285"/>
      <c r="AI15" s="285"/>
      <c r="AJ15" s="307"/>
      <c r="AK15" s="285"/>
      <c r="AL15" s="285"/>
      <c r="AM15" s="285"/>
      <c r="AN15" s="285"/>
      <c r="AO15" s="307"/>
      <c r="AP15" s="285"/>
      <c r="AQ15" s="285"/>
      <c r="AR15" s="285"/>
      <c r="AS15" s="285"/>
      <c r="AT15" s="307"/>
      <c r="AU15" s="285"/>
      <c r="AV15" s="285"/>
      <c r="AW15" s="285"/>
      <c r="AX15" s="285"/>
      <c r="AY15" s="307"/>
      <c r="AZ15" s="285"/>
      <c r="BA15" s="285"/>
      <c r="BB15" s="285"/>
      <c r="BC15" s="285"/>
      <c r="BD15" s="307"/>
      <c r="BI15" s="306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  <c r="BX15" s="289"/>
      <c r="BY15" s="289"/>
      <c r="BZ15" s="289"/>
      <c r="CA15" s="289"/>
      <c r="CB15" s="289"/>
      <c r="CC15" s="289"/>
      <c r="CD15" s="289"/>
      <c r="CE15" s="289"/>
      <c r="CF15" s="289"/>
      <c r="CG15" s="289"/>
      <c r="CH15" s="289"/>
      <c r="CI15" s="289"/>
      <c r="CJ15" s="289"/>
      <c r="CK15" s="289"/>
      <c r="CL15" s="289"/>
      <c r="CM15" s="289"/>
      <c r="CN15" s="289"/>
      <c r="CO15" s="289"/>
      <c r="CP15" s="289"/>
      <c r="CQ15" s="289"/>
      <c r="CR15" s="289"/>
      <c r="CS15" s="289"/>
      <c r="CT15" s="289"/>
      <c r="CU15" s="289"/>
      <c r="CV15" s="289"/>
      <c r="CW15" s="289"/>
      <c r="CX15" s="289"/>
      <c r="CY15" s="289"/>
      <c r="CZ15" s="289"/>
      <c r="DA15" s="289"/>
      <c r="DB15" s="289"/>
      <c r="DC15" s="289"/>
      <c r="DD15" s="289"/>
    </row>
    <row r="16" spans="1:108" ht="11.15" customHeight="1" collapsed="1" x14ac:dyDescent="0.2">
      <c r="A16" s="290"/>
      <c r="F16" s="308"/>
      <c r="K16" s="308"/>
      <c r="P16" s="308"/>
      <c r="U16" s="308"/>
      <c r="Z16" s="308"/>
      <c r="AE16" s="308"/>
      <c r="AJ16" s="308"/>
      <c r="AO16" s="308"/>
      <c r="AT16" s="308"/>
      <c r="AY16" s="308"/>
      <c r="BD16" s="308"/>
      <c r="BI16" s="306"/>
      <c r="BJ16" s="289"/>
      <c r="BK16" s="289"/>
      <c r="BL16" s="289"/>
      <c r="BM16" s="289"/>
      <c r="BN16" s="289"/>
      <c r="BO16" s="289"/>
      <c r="BP16" s="289"/>
      <c r="BQ16" s="289"/>
      <c r="BR16" s="289"/>
      <c r="BS16" s="289"/>
      <c r="BT16" s="289"/>
      <c r="BU16" s="289"/>
      <c r="BV16" s="289"/>
      <c r="BW16" s="289"/>
      <c r="BX16" s="289"/>
      <c r="BY16" s="289"/>
      <c r="BZ16" s="289"/>
      <c r="CA16" s="289"/>
      <c r="CB16" s="289"/>
      <c r="CC16" s="289"/>
      <c r="CD16" s="289"/>
      <c r="CE16" s="289"/>
      <c r="CF16" s="289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S16" s="289"/>
      <c r="CT16" s="289"/>
      <c r="CU16" s="289"/>
      <c r="CV16" s="289"/>
      <c r="CW16" s="289"/>
      <c r="CX16" s="289"/>
      <c r="CY16" s="289"/>
      <c r="CZ16" s="289"/>
      <c r="DA16" s="289"/>
      <c r="DB16" s="289"/>
      <c r="DC16" s="289"/>
      <c r="DD16" s="289"/>
    </row>
    <row r="17" spans="1:108" ht="11.15" customHeight="1" x14ac:dyDescent="0.2">
      <c r="A17" s="290"/>
      <c r="F17" s="308"/>
      <c r="K17" s="308"/>
      <c r="P17" s="308"/>
      <c r="U17" s="308"/>
      <c r="Z17" s="308"/>
      <c r="AE17" s="308"/>
      <c r="AJ17" s="308"/>
      <c r="AO17" s="308"/>
      <c r="AT17" s="308"/>
      <c r="AY17" s="308"/>
      <c r="BD17" s="308"/>
      <c r="BI17" s="306"/>
      <c r="BJ17" s="289"/>
      <c r="BK17" s="289"/>
      <c r="BL17" s="289"/>
      <c r="BM17" s="289"/>
      <c r="BN17" s="289"/>
      <c r="BO17" s="289"/>
      <c r="BP17" s="289"/>
      <c r="BQ17" s="289"/>
      <c r="BR17" s="289"/>
      <c r="BS17" s="289"/>
      <c r="BT17" s="289"/>
      <c r="BU17" s="289"/>
      <c r="BV17" s="289"/>
      <c r="BW17" s="289"/>
      <c r="BX17" s="289"/>
      <c r="BY17" s="289"/>
      <c r="BZ17" s="289"/>
      <c r="CA17" s="289"/>
      <c r="CB17" s="289"/>
      <c r="CC17" s="289"/>
      <c r="CD17" s="289"/>
      <c r="CE17" s="289"/>
      <c r="CF17" s="289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S17" s="289"/>
      <c r="CT17" s="289"/>
      <c r="CU17" s="289"/>
      <c r="CV17" s="289"/>
      <c r="CW17" s="289"/>
      <c r="CX17" s="289"/>
      <c r="CY17" s="289"/>
      <c r="CZ17" s="289"/>
      <c r="DA17" s="289"/>
      <c r="DB17" s="289"/>
      <c r="DC17" s="289"/>
      <c r="DD17" s="289"/>
    </row>
    <row r="18" spans="1:108" ht="11.15" customHeight="1" x14ac:dyDescent="0.2">
      <c r="A18" s="290"/>
      <c r="F18" s="308"/>
      <c r="K18" s="308"/>
      <c r="P18" s="308"/>
      <c r="U18" s="308"/>
      <c r="Z18" s="308"/>
      <c r="AE18" s="308"/>
      <c r="AJ18" s="308"/>
      <c r="AO18" s="308"/>
      <c r="AT18" s="308"/>
      <c r="AY18" s="308"/>
      <c r="BD18" s="308"/>
      <c r="BI18" s="306"/>
      <c r="BJ18" s="289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</row>
    <row r="19" spans="1:108" ht="11.15" customHeight="1" x14ac:dyDescent="0.2">
      <c r="A19" s="290"/>
      <c r="F19" s="308"/>
      <c r="K19" s="308"/>
      <c r="P19" s="308"/>
      <c r="U19" s="308"/>
      <c r="Z19" s="308"/>
      <c r="AE19" s="308"/>
      <c r="AJ19" s="308"/>
      <c r="AO19" s="308"/>
      <c r="AT19" s="308"/>
      <c r="AY19" s="308"/>
      <c r="BD19" s="308"/>
      <c r="BI19" s="306"/>
      <c r="BJ19" s="289"/>
      <c r="BK19" s="289"/>
      <c r="BL19" s="289"/>
      <c r="BM19" s="289"/>
      <c r="BN19" s="289"/>
      <c r="BO19" s="289"/>
      <c r="BP19" s="289"/>
      <c r="BQ19" s="289"/>
      <c r="BR19" s="289"/>
      <c r="BS19" s="289"/>
      <c r="BT19" s="289"/>
      <c r="BU19" s="289"/>
      <c r="BV19" s="289"/>
      <c r="BW19" s="289"/>
      <c r="BX19" s="289"/>
      <c r="BY19" s="289"/>
      <c r="BZ19" s="289"/>
      <c r="CA19" s="289"/>
      <c r="CB19" s="289"/>
      <c r="CC19" s="289"/>
      <c r="CD19" s="289"/>
      <c r="CE19" s="289"/>
      <c r="CF19" s="289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/>
      <c r="CZ19" s="289"/>
      <c r="DA19" s="289"/>
      <c r="DB19" s="289"/>
      <c r="DC19" s="289"/>
      <c r="DD19" s="289"/>
    </row>
    <row r="20" spans="1:108" ht="11.15" customHeight="1" x14ac:dyDescent="0.2">
      <c r="A20" s="290"/>
      <c r="F20" s="308"/>
      <c r="K20" s="308"/>
      <c r="P20" s="308"/>
      <c r="U20" s="308"/>
      <c r="Z20" s="308"/>
      <c r="AE20" s="308"/>
      <c r="AJ20" s="308"/>
      <c r="AO20" s="308"/>
      <c r="AT20" s="308"/>
      <c r="AY20" s="308"/>
      <c r="BD20" s="308"/>
      <c r="BI20" s="306"/>
      <c r="BJ20" s="289"/>
      <c r="BK20" s="289"/>
      <c r="BL20" s="289"/>
      <c r="BM20" s="289"/>
      <c r="BN20" s="289"/>
      <c r="BO20" s="289"/>
      <c r="BP20" s="289"/>
      <c r="BQ20" s="289"/>
      <c r="BR20" s="289"/>
      <c r="BS20" s="289"/>
      <c r="BT20" s="289"/>
      <c r="BU20" s="289"/>
      <c r="BV20" s="289"/>
      <c r="BW20" s="289"/>
      <c r="BX20" s="289"/>
      <c r="BY20" s="289"/>
      <c r="BZ20" s="289"/>
      <c r="CA20" s="289"/>
      <c r="CB20" s="289"/>
      <c r="CC20" s="289"/>
      <c r="CD20" s="289"/>
      <c r="CE20" s="289"/>
      <c r="CF20" s="289"/>
      <c r="CG20" s="289"/>
      <c r="CH20" s="289"/>
      <c r="CI20" s="289"/>
      <c r="CJ20" s="289"/>
      <c r="CK20" s="289"/>
      <c r="CL20" s="289"/>
      <c r="CM20" s="289"/>
      <c r="CN20" s="289"/>
      <c r="CO20" s="289"/>
      <c r="CP20" s="289"/>
      <c r="CQ20" s="289"/>
      <c r="CR20" s="289"/>
      <c r="CS20" s="289"/>
      <c r="CT20" s="289"/>
      <c r="CU20" s="289"/>
      <c r="CV20" s="289"/>
      <c r="CW20" s="289"/>
      <c r="CX20" s="289"/>
      <c r="CY20" s="289"/>
      <c r="CZ20" s="289"/>
      <c r="DA20" s="289"/>
      <c r="DB20" s="289"/>
      <c r="DC20" s="289"/>
      <c r="DD20" s="289"/>
    </row>
    <row r="21" spans="1:108" ht="11.15" customHeight="1" x14ac:dyDescent="0.2">
      <c r="A21" s="290"/>
      <c r="F21" s="308"/>
      <c r="K21" s="308"/>
      <c r="P21" s="308"/>
      <c r="U21" s="308"/>
      <c r="Z21" s="308"/>
      <c r="AE21" s="308"/>
      <c r="AJ21" s="308"/>
      <c r="AO21" s="308"/>
      <c r="AT21" s="308"/>
      <c r="AY21" s="308"/>
      <c r="BD21" s="308"/>
      <c r="BI21" s="306"/>
      <c r="BJ21" s="289"/>
      <c r="BK21" s="289"/>
      <c r="BL21" s="289"/>
      <c r="BM21" s="289"/>
      <c r="BN21" s="289"/>
      <c r="BO21" s="289"/>
      <c r="BP21" s="289"/>
      <c r="BQ21" s="289"/>
      <c r="BR21" s="289"/>
      <c r="BS21" s="289"/>
      <c r="BT21" s="289"/>
      <c r="BU21" s="289"/>
      <c r="BV21" s="289"/>
      <c r="BW21" s="289"/>
      <c r="BX21" s="289"/>
      <c r="BY21" s="289"/>
      <c r="BZ21" s="289"/>
      <c r="CA21" s="289"/>
      <c r="CB21" s="289"/>
      <c r="CC21" s="289"/>
      <c r="CD21" s="289"/>
      <c r="CE21" s="289"/>
      <c r="CF21" s="289"/>
      <c r="CG21" s="289"/>
      <c r="CH21" s="289"/>
      <c r="CI21" s="289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</row>
    <row r="22" spans="1:108" ht="11.15" customHeight="1" x14ac:dyDescent="0.2">
      <c r="A22" s="290"/>
      <c r="F22" s="308"/>
      <c r="K22" s="308"/>
      <c r="P22" s="308"/>
      <c r="U22" s="308"/>
      <c r="Z22" s="308"/>
      <c r="AE22" s="308"/>
      <c r="AJ22" s="308"/>
      <c r="AO22" s="308"/>
      <c r="AT22" s="308"/>
      <c r="AY22" s="308"/>
      <c r="BD22" s="308"/>
      <c r="BI22" s="306"/>
      <c r="BJ22" s="289"/>
      <c r="BK22" s="289"/>
      <c r="BL22" s="289"/>
      <c r="BM22" s="289"/>
      <c r="BN22" s="289"/>
      <c r="BO22" s="289"/>
      <c r="BP22" s="289"/>
      <c r="BQ22" s="289"/>
      <c r="BR22" s="289"/>
      <c r="BS22" s="289"/>
      <c r="BT22" s="289"/>
      <c r="BU22" s="289"/>
      <c r="BV22" s="289"/>
      <c r="BW22" s="289"/>
      <c r="BX22" s="289"/>
      <c r="BY22" s="289"/>
      <c r="BZ22" s="289"/>
      <c r="CA22" s="289"/>
      <c r="CB22" s="289"/>
      <c r="CC22" s="289"/>
      <c r="CD22" s="289"/>
      <c r="CE22" s="289"/>
      <c r="CF22" s="28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S22" s="289"/>
      <c r="CT22" s="289"/>
      <c r="CU22" s="289"/>
      <c r="CV22" s="289"/>
      <c r="CW22" s="289"/>
      <c r="CX22" s="289"/>
      <c r="CY22" s="289"/>
      <c r="CZ22" s="289"/>
      <c r="DA22" s="289"/>
      <c r="DB22" s="289"/>
      <c r="DC22" s="289"/>
      <c r="DD22" s="289"/>
    </row>
    <row r="23" spans="1:108" ht="11.15" customHeight="1" x14ac:dyDescent="0.2">
      <c r="A23" s="290"/>
      <c r="F23" s="308"/>
      <c r="K23" s="308"/>
      <c r="P23" s="308"/>
      <c r="U23" s="308"/>
      <c r="Z23" s="308"/>
      <c r="AE23" s="308"/>
      <c r="AJ23" s="308"/>
      <c r="AO23" s="308"/>
      <c r="AT23" s="308"/>
      <c r="AY23" s="308"/>
      <c r="BD23" s="308"/>
      <c r="BI23" s="306"/>
      <c r="BJ23" s="289"/>
      <c r="BK23" s="289"/>
      <c r="BL23" s="289"/>
      <c r="BM23" s="289"/>
      <c r="BN23" s="289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89"/>
      <c r="CQ23" s="289"/>
      <c r="CR23" s="28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89"/>
      <c r="DD23" s="289"/>
    </row>
    <row r="24" spans="1:108" ht="11.15" customHeight="1" x14ac:dyDescent="0.2">
      <c r="A24" s="290"/>
      <c r="F24" s="308"/>
      <c r="K24" s="308"/>
      <c r="P24" s="308"/>
      <c r="U24" s="308"/>
      <c r="Z24" s="308"/>
      <c r="AE24" s="308"/>
      <c r="AJ24" s="308"/>
      <c r="AO24" s="308"/>
      <c r="AT24" s="308"/>
      <c r="AY24" s="308"/>
      <c r="BD24" s="308"/>
      <c r="BI24" s="306"/>
      <c r="BJ24" s="289"/>
      <c r="BK24" s="289"/>
      <c r="BL24" s="289"/>
      <c r="BM24" s="289"/>
      <c r="BN24" s="289"/>
      <c r="BO24" s="289"/>
      <c r="BP24" s="289"/>
      <c r="BQ24" s="289"/>
      <c r="BR24" s="289"/>
      <c r="BS24" s="289"/>
      <c r="BT24" s="289"/>
      <c r="BU24" s="289"/>
      <c r="BV24" s="289"/>
      <c r="BW24" s="289"/>
      <c r="BX24" s="289"/>
      <c r="BY24" s="289"/>
      <c r="BZ24" s="289"/>
      <c r="CA24" s="289"/>
      <c r="CB24" s="289"/>
      <c r="CC24" s="289"/>
      <c r="CD24" s="289"/>
      <c r="CE24" s="289"/>
      <c r="CF24" s="289"/>
      <c r="CG24" s="289"/>
      <c r="CH24" s="289"/>
      <c r="CI24" s="289"/>
      <c r="CJ24" s="289"/>
      <c r="CK24" s="289"/>
      <c r="CL24" s="289"/>
      <c r="CM24" s="289"/>
      <c r="CN24" s="289"/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/>
      <c r="CZ24" s="289"/>
      <c r="DA24" s="289"/>
      <c r="DB24" s="289"/>
      <c r="DC24" s="289"/>
      <c r="DD24" s="289"/>
    </row>
    <row r="25" spans="1:108" ht="11.15" customHeight="1" x14ac:dyDescent="0.2">
      <c r="A25" s="290"/>
      <c r="F25" s="308"/>
      <c r="K25" s="308"/>
      <c r="P25" s="308"/>
      <c r="U25" s="308"/>
      <c r="Z25" s="308"/>
      <c r="AE25" s="308"/>
      <c r="AJ25" s="308"/>
      <c r="AO25" s="308"/>
      <c r="AT25" s="308"/>
      <c r="AY25" s="308"/>
      <c r="BD25" s="308"/>
      <c r="BI25" s="306"/>
      <c r="BJ25" s="289"/>
      <c r="BK25" s="289"/>
      <c r="BL25" s="289"/>
      <c r="BM25" s="289"/>
      <c r="BN25" s="289"/>
      <c r="BO25" s="289"/>
      <c r="BP25" s="289"/>
      <c r="BQ25" s="289"/>
      <c r="BR25" s="289"/>
      <c r="BS25" s="289"/>
      <c r="BT25" s="289"/>
      <c r="BU25" s="289"/>
      <c r="BV25" s="289"/>
      <c r="BW25" s="289"/>
      <c r="BX25" s="289"/>
      <c r="BY25" s="289"/>
      <c r="BZ25" s="289"/>
      <c r="CA25" s="289"/>
      <c r="CB25" s="289"/>
      <c r="CC25" s="289"/>
      <c r="CD25" s="289"/>
      <c r="CE25" s="289"/>
      <c r="CF25" s="289"/>
      <c r="CG25" s="289"/>
      <c r="CH25" s="289"/>
      <c r="CI25" s="289"/>
      <c r="CJ25" s="289"/>
      <c r="CK25" s="289"/>
      <c r="CL25" s="289"/>
      <c r="CM25" s="289"/>
      <c r="CN25" s="289"/>
      <c r="CO25" s="289"/>
      <c r="CP25" s="289"/>
      <c r="CQ25" s="289"/>
      <c r="CR25" s="289"/>
      <c r="CS25" s="289"/>
      <c r="CT25" s="289"/>
      <c r="CU25" s="289"/>
      <c r="CV25" s="289"/>
      <c r="CW25" s="289"/>
      <c r="CX25" s="289"/>
      <c r="CY25" s="289"/>
      <c r="CZ25" s="289"/>
      <c r="DA25" s="289"/>
      <c r="DB25" s="289"/>
      <c r="DC25" s="289"/>
      <c r="DD25" s="289"/>
    </row>
    <row r="26" spans="1:108" ht="11.15" customHeight="1" x14ac:dyDescent="0.2">
      <c r="A26" s="290"/>
      <c r="F26" s="308"/>
      <c r="K26" s="308"/>
      <c r="P26" s="308"/>
      <c r="U26" s="308"/>
      <c r="Z26" s="308"/>
      <c r="AE26" s="308"/>
      <c r="AJ26" s="308"/>
      <c r="AO26" s="308"/>
      <c r="AT26" s="308"/>
      <c r="AY26" s="308"/>
      <c r="BD26" s="308"/>
      <c r="BI26" s="306"/>
      <c r="BJ26" s="289"/>
      <c r="BK26" s="289"/>
      <c r="BL26" s="289"/>
      <c r="BM26" s="289"/>
      <c r="BN26" s="289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89"/>
      <c r="CR26" s="289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89"/>
      <c r="DD26" s="289"/>
    </row>
    <row r="27" spans="1:108" ht="11.15" customHeight="1" x14ac:dyDescent="0.2">
      <c r="A27" s="290"/>
      <c r="F27" s="308"/>
      <c r="K27" s="308"/>
      <c r="P27" s="308"/>
      <c r="U27" s="308"/>
      <c r="Z27" s="308"/>
      <c r="AE27" s="308"/>
      <c r="AJ27" s="308"/>
      <c r="AO27" s="308"/>
      <c r="AT27" s="308"/>
      <c r="AY27" s="308"/>
      <c r="BD27" s="308"/>
      <c r="BI27" s="306"/>
      <c r="BJ27" s="289"/>
      <c r="BK27" s="289"/>
      <c r="BL27" s="289"/>
      <c r="BM27" s="289"/>
      <c r="BN27" s="289"/>
      <c r="BO27" s="289"/>
      <c r="BP27" s="289"/>
      <c r="BQ27" s="289"/>
      <c r="BR27" s="289"/>
      <c r="BS27" s="289"/>
      <c r="BT27" s="289"/>
      <c r="BU27" s="289"/>
      <c r="BV27" s="289"/>
      <c r="BW27" s="289"/>
      <c r="BX27" s="289"/>
      <c r="BY27" s="289"/>
      <c r="BZ27" s="289"/>
      <c r="CA27" s="289"/>
      <c r="CB27" s="289"/>
      <c r="CC27" s="289"/>
      <c r="CD27" s="289"/>
      <c r="CE27" s="289"/>
      <c r="CF27" s="289"/>
      <c r="CG27" s="289"/>
      <c r="CH27" s="289"/>
      <c r="CI27" s="289"/>
      <c r="CJ27" s="289"/>
      <c r="CK27" s="289"/>
      <c r="CL27" s="289"/>
      <c r="CM27" s="289"/>
      <c r="CN27" s="289"/>
      <c r="CO27" s="289"/>
      <c r="CP27" s="289"/>
      <c r="CQ27" s="289"/>
      <c r="CR27" s="289"/>
      <c r="CS27" s="289"/>
      <c r="CT27" s="289"/>
      <c r="CU27" s="289"/>
      <c r="CV27" s="289"/>
      <c r="CW27" s="289"/>
      <c r="CX27" s="289"/>
      <c r="CY27" s="289"/>
      <c r="CZ27" s="289"/>
      <c r="DA27" s="289"/>
      <c r="DB27" s="289"/>
      <c r="DC27" s="289"/>
      <c r="DD27" s="289"/>
    </row>
    <row r="28" spans="1:108" ht="11.15" customHeight="1" x14ac:dyDescent="0.2">
      <c r="A28" s="290"/>
      <c r="F28" s="308"/>
      <c r="K28" s="308"/>
      <c r="P28" s="308"/>
      <c r="U28" s="308"/>
      <c r="Z28" s="308"/>
      <c r="AE28" s="308"/>
      <c r="AJ28" s="308"/>
      <c r="AO28" s="308"/>
      <c r="AT28" s="308"/>
      <c r="AY28" s="308"/>
      <c r="BD28" s="308"/>
      <c r="BI28" s="306"/>
      <c r="BJ28" s="289"/>
      <c r="BK28" s="289"/>
      <c r="BL28" s="289"/>
      <c r="BM28" s="289"/>
      <c r="BN28" s="289"/>
      <c r="BO28" s="289"/>
      <c r="BP28" s="289"/>
      <c r="BQ28" s="289"/>
      <c r="BR28" s="289"/>
      <c r="BS28" s="289"/>
      <c r="BT28" s="289"/>
      <c r="BU28" s="289"/>
      <c r="BV28" s="289"/>
      <c r="BW28" s="289"/>
      <c r="BX28" s="289"/>
      <c r="BY28" s="289"/>
      <c r="BZ28" s="289"/>
      <c r="CA28" s="289"/>
      <c r="CB28" s="289"/>
      <c r="CC28" s="289"/>
      <c r="CD28" s="289"/>
      <c r="CE28" s="289"/>
      <c r="CF28" s="289"/>
      <c r="CG28" s="289"/>
      <c r="CH28" s="289"/>
      <c r="CI28" s="289"/>
      <c r="CJ28" s="289"/>
      <c r="CK28" s="289"/>
      <c r="CL28" s="289"/>
      <c r="CM28" s="289"/>
      <c r="CN28" s="289"/>
      <c r="CO28" s="289"/>
      <c r="CP28" s="289"/>
      <c r="CQ28" s="289"/>
      <c r="CR28" s="289"/>
      <c r="CS28" s="289"/>
      <c r="CT28" s="289"/>
      <c r="CU28" s="289"/>
      <c r="CV28" s="289"/>
      <c r="CW28" s="289"/>
      <c r="CX28" s="289"/>
      <c r="CY28" s="289"/>
      <c r="CZ28" s="289"/>
      <c r="DA28" s="289"/>
      <c r="DB28" s="289"/>
      <c r="DC28" s="289"/>
      <c r="DD28" s="289"/>
    </row>
    <row r="29" spans="1:108" ht="11.15" customHeight="1" x14ac:dyDescent="0.25">
      <c r="A29" s="291"/>
      <c r="F29" s="309"/>
      <c r="K29" s="309"/>
      <c r="P29" s="309"/>
      <c r="U29" s="309"/>
      <c r="Z29" s="309"/>
      <c r="AE29" s="309"/>
      <c r="AJ29" s="309"/>
      <c r="AO29" s="309"/>
      <c r="AT29" s="309"/>
      <c r="AY29" s="309"/>
      <c r="BD29" s="309"/>
      <c r="BI29" s="306"/>
      <c r="BJ29" s="289"/>
      <c r="BK29" s="289"/>
      <c r="BL29" s="289"/>
      <c r="BM29" s="289"/>
      <c r="BN29" s="289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89"/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89"/>
      <c r="DD29" s="289"/>
    </row>
    <row r="30" spans="1:108" s="285" customFormat="1" ht="11.15" customHeight="1" collapsed="1" x14ac:dyDescent="0.25">
      <c r="A30" s="291"/>
      <c r="F30" s="307"/>
      <c r="K30" s="307"/>
      <c r="P30" s="307"/>
      <c r="U30" s="307"/>
      <c r="Z30" s="307"/>
      <c r="AE30" s="307"/>
      <c r="AJ30" s="307"/>
      <c r="AO30" s="307"/>
      <c r="AT30" s="307"/>
      <c r="AY30" s="307"/>
      <c r="BD30" s="307"/>
      <c r="BI30" s="306"/>
      <c r="BJ30" s="289"/>
      <c r="BK30" s="289"/>
      <c r="BL30" s="289"/>
      <c r="BM30" s="289"/>
      <c r="BN30" s="289"/>
      <c r="BO30" s="289"/>
      <c r="BP30" s="289"/>
      <c r="BQ30" s="289"/>
      <c r="BR30" s="289"/>
      <c r="BS30" s="289"/>
      <c r="BT30" s="289"/>
      <c r="BU30" s="289"/>
      <c r="BV30" s="289"/>
      <c r="BW30" s="289"/>
      <c r="BX30" s="289"/>
      <c r="BY30" s="289"/>
      <c r="BZ30" s="289"/>
      <c r="CA30" s="289"/>
      <c r="CB30" s="289"/>
      <c r="CC30" s="289"/>
      <c r="CD30" s="289"/>
      <c r="CE30" s="289"/>
      <c r="CF30" s="289"/>
      <c r="CG30" s="289"/>
      <c r="CH30" s="289"/>
      <c r="CI30" s="289"/>
      <c r="CJ30" s="289"/>
      <c r="CK30" s="289"/>
      <c r="CL30" s="289"/>
      <c r="CM30" s="289"/>
      <c r="CN30" s="289"/>
      <c r="CO30" s="289"/>
      <c r="CP30" s="289"/>
      <c r="CQ30" s="289"/>
      <c r="CR30" s="289"/>
      <c r="CS30" s="289"/>
      <c r="CT30" s="289"/>
      <c r="CU30" s="289"/>
      <c r="CV30" s="289"/>
      <c r="CW30" s="289"/>
      <c r="CX30" s="289"/>
      <c r="CY30" s="289"/>
      <c r="CZ30" s="289"/>
      <c r="DA30" s="289"/>
      <c r="DB30" s="289"/>
      <c r="DC30" s="289"/>
      <c r="DD30" s="289"/>
    </row>
    <row r="31" spans="1:108" ht="11.15" customHeight="1" x14ac:dyDescent="0.2">
      <c r="A31" s="290"/>
      <c r="F31" s="308"/>
      <c r="K31" s="308"/>
      <c r="P31" s="308"/>
      <c r="U31" s="308"/>
      <c r="Z31" s="308"/>
      <c r="AE31" s="308"/>
      <c r="AJ31" s="308"/>
      <c r="AO31" s="308"/>
      <c r="AT31" s="308"/>
      <c r="AY31" s="308"/>
      <c r="BD31" s="308"/>
      <c r="BI31" s="306"/>
      <c r="BJ31" s="289"/>
      <c r="BK31" s="289"/>
      <c r="BL31" s="289"/>
      <c r="BM31" s="289"/>
      <c r="BN31" s="289"/>
      <c r="BO31" s="289"/>
      <c r="BP31" s="289"/>
      <c r="BQ31" s="289"/>
      <c r="BR31" s="289"/>
      <c r="BS31" s="289"/>
      <c r="BT31" s="289"/>
      <c r="BU31" s="289"/>
      <c r="BV31" s="289"/>
      <c r="BW31" s="289"/>
      <c r="BX31" s="289"/>
      <c r="BY31" s="289"/>
      <c r="BZ31" s="289"/>
      <c r="CA31" s="289"/>
      <c r="CB31" s="289"/>
      <c r="CC31" s="289"/>
      <c r="CD31" s="289"/>
      <c r="CE31" s="289"/>
      <c r="CF31" s="289"/>
      <c r="CG31" s="289"/>
      <c r="CH31" s="289"/>
      <c r="CI31" s="289"/>
      <c r="CJ31" s="289"/>
      <c r="CK31" s="289"/>
      <c r="CL31" s="289"/>
      <c r="CM31" s="289"/>
      <c r="CN31" s="289"/>
      <c r="CO31" s="289"/>
      <c r="CP31" s="289"/>
      <c r="CQ31" s="289"/>
      <c r="CR31" s="289"/>
      <c r="CS31" s="289"/>
      <c r="CT31" s="289"/>
      <c r="CU31" s="289"/>
      <c r="CV31" s="289"/>
      <c r="CW31" s="289"/>
      <c r="CX31" s="289"/>
      <c r="CY31" s="289"/>
      <c r="CZ31" s="289"/>
      <c r="DA31" s="289"/>
      <c r="DB31" s="289"/>
      <c r="DC31" s="289"/>
      <c r="DD31" s="289"/>
    </row>
    <row r="32" spans="1:108" ht="11.15" customHeight="1" x14ac:dyDescent="0.2">
      <c r="A32" s="290"/>
      <c r="F32" s="308"/>
      <c r="K32" s="308"/>
      <c r="P32" s="308"/>
      <c r="U32" s="308"/>
      <c r="Z32" s="308"/>
      <c r="AE32" s="308"/>
      <c r="AJ32" s="308"/>
      <c r="AO32" s="308"/>
      <c r="AT32" s="308"/>
      <c r="AY32" s="308"/>
      <c r="BD32" s="308"/>
      <c r="BI32" s="306"/>
      <c r="BJ32" s="289"/>
      <c r="BK32" s="289"/>
      <c r="BL32" s="289"/>
      <c r="BM32" s="289"/>
      <c r="BN32" s="289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89"/>
      <c r="CQ32" s="289"/>
      <c r="CR32" s="28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89"/>
      <c r="DD32" s="289"/>
    </row>
    <row r="33" spans="1:108" ht="11.15" customHeight="1" x14ac:dyDescent="0.25">
      <c r="A33" s="291"/>
      <c r="F33" s="308"/>
      <c r="K33" s="308"/>
      <c r="P33" s="308"/>
      <c r="U33" s="308"/>
      <c r="Z33" s="308"/>
      <c r="AE33" s="308"/>
      <c r="AJ33" s="308"/>
      <c r="AO33" s="308"/>
      <c r="AT33" s="308"/>
      <c r="AY33" s="308"/>
      <c r="BD33" s="308"/>
      <c r="BI33" s="306"/>
      <c r="BJ33" s="289"/>
      <c r="BK33" s="289"/>
      <c r="BL33" s="289"/>
      <c r="BM33" s="289"/>
      <c r="BN33" s="289"/>
      <c r="BO33" s="289"/>
      <c r="BP33" s="289"/>
      <c r="BQ33" s="289"/>
      <c r="BR33" s="289"/>
      <c r="BS33" s="289"/>
      <c r="BT33" s="289"/>
      <c r="BU33" s="289"/>
      <c r="BV33" s="289"/>
      <c r="BW33" s="289"/>
      <c r="BX33" s="289"/>
      <c r="BY33" s="289"/>
      <c r="BZ33" s="289"/>
      <c r="CA33" s="289"/>
      <c r="CB33" s="289"/>
      <c r="CC33" s="289"/>
      <c r="CD33" s="289"/>
      <c r="CE33" s="289"/>
      <c r="CF33" s="289"/>
      <c r="CG33" s="289"/>
      <c r="CH33" s="289"/>
      <c r="CI33" s="289"/>
      <c r="CJ33" s="289"/>
      <c r="CK33" s="289"/>
      <c r="CL33" s="289"/>
      <c r="CM33" s="289"/>
      <c r="CN33" s="289"/>
      <c r="CO33" s="289"/>
      <c r="CP33" s="289"/>
      <c r="CQ33" s="289"/>
      <c r="CR33" s="289"/>
      <c r="CS33" s="289"/>
      <c r="CT33" s="289"/>
      <c r="CU33" s="289"/>
      <c r="CV33" s="289"/>
      <c r="CW33" s="289"/>
      <c r="CX33" s="289"/>
      <c r="CY33" s="289"/>
      <c r="CZ33" s="289"/>
      <c r="DA33" s="289"/>
      <c r="DB33" s="289"/>
      <c r="DC33" s="289"/>
      <c r="DD33" s="289"/>
    </row>
    <row r="34" spans="1:108" ht="11.15" customHeight="1" collapsed="1" x14ac:dyDescent="0.25">
      <c r="A34" s="291"/>
      <c r="F34" s="310"/>
      <c r="K34" s="310"/>
      <c r="P34" s="310"/>
      <c r="U34" s="310"/>
      <c r="Z34" s="310"/>
      <c r="AE34" s="310"/>
      <c r="AJ34" s="310"/>
      <c r="AO34" s="310"/>
      <c r="AT34" s="310"/>
      <c r="AY34" s="310"/>
      <c r="BD34" s="310"/>
      <c r="BI34" s="306"/>
      <c r="BJ34" s="289"/>
      <c r="BK34" s="289"/>
      <c r="BL34" s="289"/>
      <c r="BM34" s="289"/>
      <c r="BN34" s="289"/>
      <c r="BO34" s="289"/>
      <c r="BP34" s="289"/>
      <c r="BQ34" s="289"/>
      <c r="BR34" s="289"/>
      <c r="BS34" s="289"/>
      <c r="BT34" s="289"/>
      <c r="BU34" s="289"/>
      <c r="BV34" s="289"/>
      <c r="BW34" s="289"/>
      <c r="BX34" s="289"/>
      <c r="BY34" s="289"/>
      <c r="BZ34" s="289"/>
      <c r="CA34" s="289"/>
      <c r="CB34" s="289"/>
      <c r="CC34" s="289"/>
      <c r="CD34" s="289"/>
      <c r="CE34" s="289"/>
      <c r="CF34" s="289"/>
      <c r="CG34" s="289"/>
      <c r="CH34" s="289"/>
      <c r="CI34" s="289"/>
      <c r="CJ34" s="289"/>
      <c r="CK34" s="289"/>
      <c r="CL34" s="289"/>
      <c r="CM34" s="289"/>
      <c r="CN34" s="289"/>
      <c r="CO34" s="289"/>
      <c r="CP34" s="289"/>
      <c r="CQ34" s="289"/>
      <c r="CR34" s="289"/>
      <c r="CS34" s="289"/>
      <c r="CT34" s="289"/>
      <c r="CU34" s="289"/>
      <c r="CV34" s="289"/>
      <c r="CW34" s="289"/>
      <c r="CX34" s="289"/>
      <c r="CY34" s="289"/>
      <c r="CZ34" s="289"/>
      <c r="DA34" s="289"/>
      <c r="DB34" s="289"/>
      <c r="DC34" s="289"/>
      <c r="DD34" s="289"/>
    </row>
    <row r="35" spans="1:108" ht="11.15" customHeight="1" x14ac:dyDescent="0.2">
      <c r="A35" s="290"/>
      <c r="F35" s="308"/>
      <c r="K35" s="308"/>
      <c r="P35" s="308"/>
      <c r="U35" s="308"/>
      <c r="Z35" s="308"/>
      <c r="AE35" s="308"/>
      <c r="AJ35" s="308"/>
      <c r="AO35" s="308"/>
      <c r="AT35" s="308"/>
      <c r="AY35" s="308"/>
      <c r="BD35" s="308"/>
      <c r="BI35" s="306"/>
      <c r="BJ35" s="289"/>
      <c r="BK35" s="289"/>
      <c r="BL35" s="289"/>
      <c r="BM35" s="289"/>
      <c r="BN35" s="289"/>
      <c r="BO35" s="289"/>
      <c r="BP35" s="289"/>
      <c r="BQ35" s="289"/>
      <c r="BR35" s="289"/>
      <c r="BS35" s="289"/>
      <c r="BT35" s="289"/>
      <c r="BU35" s="289"/>
      <c r="BV35" s="289"/>
      <c r="BW35" s="289"/>
      <c r="BX35" s="289"/>
      <c r="BY35" s="289"/>
      <c r="BZ35" s="289"/>
      <c r="CA35" s="289"/>
      <c r="CB35" s="289"/>
      <c r="CC35" s="289"/>
      <c r="CD35" s="289"/>
      <c r="CE35" s="289"/>
      <c r="CF35" s="289"/>
      <c r="CG35" s="289"/>
      <c r="CH35" s="289"/>
      <c r="CI35" s="289"/>
      <c r="CJ35" s="289"/>
      <c r="CK35" s="289"/>
      <c r="CL35" s="289"/>
      <c r="CM35" s="289"/>
      <c r="CN35" s="289"/>
      <c r="CO35" s="289"/>
      <c r="CP35" s="289"/>
      <c r="CQ35" s="289"/>
      <c r="CR35" s="289"/>
      <c r="CS35" s="289"/>
      <c r="CT35" s="289"/>
      <c r="CU35" s="289"/>
      <c r="CV35" s="289"/>
      <c r="CW35" s="289"/>
      <c r="CX35" s="289"/>
      <c r="CY35" s="289"/>
      <c r="CZ35" s="289"/>
      <c r="DA35" s="289"/>
      <c r="DB35" s="289"/>
      <c r="DC35" s="289"/>
      <c r="DD35" s="289"/>
    </row>
    <row r="36" spans="1:108" ht="11.15" customHeight="1" x14ac:dyDescent="0.2">
      <c r="A36" s="290"/>
      <c r="F36" s="308"/>
      <c r="K36" s="308"/>
      <c r="P36" s="308"/>
      <c r="U36" s="308"/>
      <c r="Z36" s="308"/>
      <c r="AE36" s="308"/>
      <c r="AJ36" s="308"/>
      <c r="AO36" s="308"/>
      <c r="AT36" s="308"/>
      <c r="AY36" s="308"/>
      <c r="BD36" s="308"/>
      <c r="BI36" s="306"/>
      <c r="BJ36" s="289"/>
      <c r="BK36" s="289"/>
      <c r="BL36" s="289"/>
      <c r="BM36" s="289"/>
      <c r="BN36" s="289"/>
      <c r="BO36" s="289"/>
      <c r="BP36" s="289"/>
      <c r="BQ36" s="289"/>
      <c r="BR36" s="289"/>
      <c r="BS36" s="289"/>
      <c r="BT36" s="289"/>
      <c r="BU36" s="289"/>
      <c r="BV36" s="289"/>
      <c r="BW36" s="289"/>
      <c r="BX36" s="289"/>
      <c r="BY36" s="289"/>
      <c r="BZ36" s="289"/>
      <c r="CA36" s="289"/>
      <c r="CB36" s="289"/>
      <c r="CC36" s="289"/>
      <c r="CD36" s="289"/>
      <c r="CE36" s="289"/>
      <c r="CF36" s="289"/>
      <c r="CG36" s="289"/>
      <c r="CH36" s="289"/>
      <c r="CI36" s="289"/>
      <c r="CJ36" s="289"/>
      <c r="CK36" s="289"/>
      <c r="CL36" s="289"/>
      <c r="CM36" s="289"/>
      <c r="CN36" s="289"/>
      <c r="CO36" s="289"/>
      <c r="CP36" s="289"/>
      <c r="CQ36" s="289"/>
      <c r="CR36" s="289"/>
      <c r="CS36" s="289"/>
      <c r="CT36" s="289"/>
      <c r="CU36" s="289"/>
      <c r="CV36" s="289"/>
      <c r="CW36" s="289"/>
      <c r="CX36" s="289"/>
      <c r="CY36" s="289"/>
      <c r="CZ36" s="289"/>
      <c r="DA36" s="289"/>
      <c r="DB36" s="289"/>
      <c r="DC36" s="289"/>
      <c r="DD36" s="289"/>
    </row>
    <row r="37" spans="1:108" ht="11.15" customHeight="1" x14ac:dyDescent="0.2">
      <c r="A37" s="290"/>
      <c r="F37" s="310"/>
      <c r="K37" s="310"/>
      <c r="P37" s="310"/>
      <c r="U37" s="310"/>
      <c r="Z37" s="310"/>
      <c r="AE37" s="310"/>
      <c r="AJ37" s="310"/>
      <c r="AO37" s="310"/>
      <c r="AT37" s="310"/>
      <c r="AY37" s="310"/>
      <c r="BD37" s="310"/>
      <c r="BI37" s="306"/>
      <c r="BJ37" s="289"/>
      <c r="BK37" s="289"/>
      <c r="BL37" s="289"/>
      <c r="BM37" s="289"/>
      <c r="BN37" s="289"/>
      <c r="BO37" s="289"/>
      <c r="BP37" s="289"/>
      <c r="BQ37" s="289"/>
      <c r="BR37" s="289"/>
      <c r="BS37" s="289"/>
      <c r="BT37" s="289"/>
      <c r="BU37" s="289"/>
      <c r="BV37" s="289"/>
      <c r="BW37" s="289"/>
      <c r="BX37" s="289"/>
      <c r="BY37" s="289"/>
      <c r="BZ37" s="289"/>
      <c r="CA37" s="289"/>
      <c r="CB37" s="289"/>
      <c r="CC37" s="289"/>
      <c r="CD37" s="289"/>
      <c r="CE37" s="289"/>
      <c r="CF37" s="289"/>
      <c r="CG37" s="289"/>
      <c r="CH37" s="289"/>
      <c r="CI37" s="289"/>
      <c r="CJ37" s="289"/>
      <c r="CK37" s="289"/>
      <c r="CL37" s="289"/>
      <c r="CM37" s="289"/>
      <c r="CN37" s="289"/>
      <c r="CO37" s="289"/>
      <c r="CP37" s="289"/>
      <c r="CQ37" s="289"/>
      <c r="CR37" s="289"/>
      <c r="CS37" s="289"/>
      <c r="CT37" s="289"/>
      <c r="CU37" s="289"/>
      <c r="CV37" s="289"/>
      <c r="CW37" s="289"/>
      <c r="CX37" s="289"/>
      <c r="CY37" s="289"/>
      <c r="CZ37" s="289"/>
      <c r="DA37" s="289"/>
      <c r="DB37" s="289"/>
      <c r="DC37" s="289"/>
      <c r="DD37" s="289"/>
    </row>
    <row r="38" spans="1:108" ht="11.15" customHeight="1" collapsed="1" x14ac:dyDescent="0.2">
      <c r="A38" s="290"/>
      <c r="F38" s="308"/>
      <c r="K38" s="308"/>
      <c r="P38" s="308"/>
      <c r="U38" s="308"/>
      <c r="Z38" s="308"/>
      <c r="AE38" s="308"/>
      <c r="AJ38" s="308"/>
      <c r="AO38" s="308"/>
      <c r="AT38" s="308"/>
      <c r="AY38" s="308"/>
      <c r="BD38" s="308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  <c r="BX38" s="289"/>
      <c r="BY38" s="289"/>
      <c r="BZ38" s="289"/>
      <c r="CA38" s="289"/>
      <c r="CB38" s="289"/>
      <c r="CC38" s="289"/>
      <c r="CD38" s="289"/>
      <c r="CE38" s="289"/>
      <c r="CF38" s="289"/>
      <c r="CG38" s="289"/>
      <c r="CH38" s="289"/>
      <c r="CI38" s="289"/>
      <c r="CJ38" s="289"/>
      <c r="CK38" s="289"/>
      <c r="CL38" s="289"/>
      <c r="CM38" s="289"/>
      <c r="CN38" s="289"/>
      <c r="CO38" s="289"/>
      <c r="CP38" s="289"/>
      <c r="CQ38" s="289"/>
      <c r="CR38" s="289"/>
      <c r="CS38" s="289"/>
      <c r="CT38" s="289"/>
      <c r="CU38" s="289"/>
      <c r="CV38" s="289"/>
      <c r="CW38" s="289"/>
      <c r="CX38" s="289"/>
      <c r="CY38" s="289"/>
      <c r="CZ38" s="289"/>
      <c r="DA38" s="289"/>
      <c r="DB38" s="289"/>
      <c r="DC38" s="289"/>
      <c r="DD38" s="289"/>
    </row>
    <row r="39" spans="1:108" ht="11.15" customHeight="1" x14ac:dyDescent="0.2">
      <c r="A39" s="290"/>
      <c r="F39" s="308"/>
      <c r="K39" s="308"/>
      <c r="P39" s="308"/>
      <c r="U39" s="308"/>
      <c r="Z39" s="308"/>
      <c r="AE39" s="308"/>
      <c r="AJ39" s="308"/>
      <c r="AO39" s="308"/>
      <c r="AT39" s="308"/>
      <c r="AY39" s="308"/>
      <c r="BD39" s="308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  <c r="BX39" s="289"/>
      <c r="BY39" s="289"/>
      <c r="BZ39" s="289"/>
      <c r="CA39" s="289"/>
      <c r="CB39" s="289"/>
      <c r="CC39" s="289"/>
      <c r="CD39" s="289"/>
      <c r="CE39" s="289"/>
      <c r="CF39" s="289"/>
      <c r="CG39" s="289"/>
      <c r="CH39" s="289"/>
      <c r="CI39" s="289"/>
      <c r="CJ39" s="289"/>
      <c r="CK39" s="289"/>
      <c r="CL39" s="289"/>
      <c r="CM39" s="289"/>
      <c r="CN39" s="289"/>
      <c r="CO39" s="289"/>
      <c r="CP39" s="289"/>
      <c r="CQ39" s="289"/>
      <c r="CR39" s="289"/>
      <c r="CS39" s="289"/>
      <c r="CT39" s="289"/>
      <c r="CU39" s="289"/>
      <c r="CV39" s="289"/>
      <c r="CW39" s="289"/>
      <c r="CX39" s="289"/>
      <c r="CY39" s="289"/>
      <c r="CZ39" s="289"/>
      <c r="DA39" s="289"/>
      <c r="DB39" s="289"/>
      <c r="DC39" s="289"/>
      <c r="DD39" s="289"/>
    </row>
    <row r="40" spans="1:108" ht="11.15" customHeight="1" x14ac:dyDescent="0.25">
      <c r="A40" s="291"/>
      <c r="F40" s="309"/>
      <c r="K40" s="309"/>
      <c r="P40" s="309"/>
      <c r="U40" s="309"/>
      <c r="Z40" s="309"/>
      <c r="AE40" s="309"/>
      <c r="AJ40" s="309"/>
      <c r="AO40" s="309"/>
      <c r="AT40" s="309"/>
      <c r="AY40" s="309"/>
      <c r="BD40" s="30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  <c r="BX40" s="289"/>
      <c r="BY40" s="289"/>
      <c r="BZ40" s="289"/>
      <c r="CA40" s="289"/>
      <c r="CB40" s="289"/>
      <c r="CC40" s="289"/>
      <c r="CD40" s="289"/>
      <c r="CE40" s="289"/>
      <c r="CF40" s="289"/>
      <c r="CG40" s="289"/>
      <c r="CH40" s="289"/>
      <c r="CI40" s="289"/>
      <c r="CJ40" s="289"/>
      <c r="CK40" s="289"/>
      <c r="CL40" s="289"/>
      <c r="CM40" s="289"/>
      <c r="CN40" s="289"/>
      <c r="CO40" s="289"/>
      <c r="CP40" s="289"/>
      <c r="CQ40" s="289"/>
      <c r="CR40" s="289"/>
      <c r="CS40" s="289"/>
      <c r="CT40" s="289"/>
      <c r="CU40" s="289"/>
      <c r="CV40" s="289"/>
      <c r="CW40" s="289"/>
      <c r="CX40" s="289"/>
      <c r="CY40" s="289"/>
      <c r="CZ40" s="289"/>
      <c r="DA40" s="289"/>
      <c r="DB40" s="289"/>
      <c r="DC40" s="289"/>
      <c r="DD40" s="289"/>
    </row>
    <row r="41" spans="1:108" ht="11.15" customHeight="1" x14ac:dyDescent="0.25">
      <c r="A41" s="291"/>
      <c r="B41" s="292"/>
      <c r="C41" s="292"/>
      <c r="D41" s="292"/>
      <c r="E41" s="292"/>
      <c r="F41" s="308"/>
      <c r="G41" s="292"/>
      <c r="H41" s="292"/>
      <c r="I41" s="292"/>
      <c r="J41" s="292"/>
      <c r="K41" s="308"/>
      <c r="L41" s="292"/>
      <c r="M41" s="292"/>
      <c r="N41" s="292"/>
      <c r="O41" s="292"/>
      <c r="P41" s="308"/>
      <c r="Q41" s="292"/>
      <c r="R41" s="292"/>
      <c r="S41" s="292"/>
      <c r="T41" s="292"/>
      <c r="U41" s="308"/>
      <c r="V41" s="292"/>
      <c r="W41" s="292"/>
      <c r="X41" s="292"/>
      <c r="Y41" s="292"/>
      <c r="Z41" s="308"/>
      <c r="AA41" s="292"/>
      <c r="AB41" s="292"/>
      <c r="AC41" s="292"/>
      <c r="AD41" s="292"/>
      <c r="AE41" s="308"/>
      <c r="AF41" s="292"/>
      <c r="AG41" s="292"/>
      <c r="AH41" s="292"/>
      <c r="AI41" s="292"/>
      <c r="AJ41" s="308"/>
      <c r="AK41" s="292"/>
      <c r="AL41" s="292"/>
      <c r="AM41" s="292"/>
      <c r="AN41" s="292"/>
      <c r="AO41" s="308"/>
      <c r="AP41" s="292"/>
      <c r="AQ41" s="292"/>
      <c r="AR41" s="292"/>
      <c r="AS41" s="292"/>
      <c r="AT41" s="308"/>
      <c r="AU41" s="292"/>
      <c r="AV41" s="292"/>
      <c r="AW41" s="292"/>
      <c r="AX41" s="292"/>
      <c r="AY41" s="308"/>
      <c r="AZ41" s="292"/>
      <c r="BA41" s="292"/>
      <c r="BB41" s="292"/>
      <c r="BC41" s="292"/>
      <c r="BD41" s="308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  <c r="BX41" s="289"/>
      <c r="BY41" s="289"/>
      <c r="BZ41" s="289"/>
      <c r="CA41" s="289"/>
      <c r="CB41" s="289"/>
      <c r="CC41" s="289"/>
      <c r="CD41" s="289"/>
      <c r="CE41" s="289"/>
      <c r="CF41" s="289"/>
      <c r="CG41" s="289"/>
      <c r="CH41" s="289"/>
      <c r="CI41" s="289"/>
      <c r="CJ41" s="289"/>
      <c r="CK41" s="289"/>
      <c r="CL41" s="289"/>
      <c r="CM41" s="289"/>
      <c r="CN41" s="289"/>
      <c r="CO41" s="289"/>
      <c r="CP41" s="289"/>
      <c r="CQ41" s="289"/>
      <c r="CR41" s="289"/>
      <c r="CS41" s="289"/>
      <c r="CT41" s="289"/>
      <c r="CU41" s="289"/>
      <c r="CV41" s="289"/>
      <c r="CW41" s="289"/>
      <c r="CX41" s="289"/>
      <c r="CY41" s="289"/>
      <c r="CZ41" s="289"/>
      <c r="DA41" s="289"/>
      <c r="DB41" s="289"/>
      <c r="DC41" s="289"/>
      <c r="DD41" s="289"/>
    </row>
    <row r="42" spans="1:108" ht="11.15" customHeight="1" x14ac:dyDescent="0.25">
      <c r="A42" s="291"/>
      <c r="B42" s="292"/>
      <c r="C42" s="292"/>
      <c r="D42" s="292"/>
      <c r="E42" s="292"/>
      <c r="F42" s="308"/>
      <c r="G42" s="292"/>
      <c r="H42" s="292"/>
      <c r="I42" s="292"/>
      <c r="J42" s="292"/>
      <c r="K42" s="308"/>
      <c r="L42" s="292"/>
      <c r="M42" s="292"/>
      <c r="N42" s="292"/>
      <c r="O42" s="292"/>
      <c r="P42" s="308"/>
      <c r="Q42" s="292"/>
      <c r="R42" s="292"/>
      <c r="S42" s="292"/>
      <c r="T42" s="292"/>
      <c r="U42" s="308"/>
      <c r="V42" s="292"/>
      <c r="W42" s="292"/>
      <c r="X42" s="292"/>
      <c r="Y42" s="292"/>
      <c r="Z42" s="308"/>
      <c r="AA42" s="292"/>
      <c r="AB42" s="292"/>
      <c r="AC42" s="292"/>
      <c r="AD42" s="292"/>
      <c r="AE42" s="308"/>
      <c r="AF42" s="292"/>
      <c r="AG42" s="292"/>
      <c r="AH42" s="292"/>
      <c r="AI42" s="292"/>
      <c r="AJ42" s="308"/>
      <c r="AK42" s="292"/>
      <c r="AL42" s="292"/>
      <c r="AM42" s="292"/>
      <c r="AN42" s="292"/>
      <c r="AO42" s="308"/>
      <c r="AP42" s="292"/>
      <c r="AQ42" s="292"/>
      <c r="AR42" s="292"/>
      <c r="AS42" s="292"/>
      <c r="AT42" s="308"/>
      <c r="AU42" s="292"/>
      <c r="AV42" s="292"/>
      <c r="AW42" s="292"/>
      <c r="AX42" s="292"/>
      <c r="AY42" s="308"/>
      <c r="AZ42" s="292"/>
      <c r="BA42" s="292"/>
      <c r="BB42" s="292"/>
      <c r="BC42" s="292"/>
      <c r="BD42" s="308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  <c r="BX42" s="289"/>
      <c r="BY42" s="289"/>
      <c r="BZ42" s="289"/>
      <c r="CA42" s="289"/>
      <c r="CB42" s="289"/>
      <c r="CC42" s="289"/>
      <c r="CD42" s="289"/>
      <c r="CE42" s="289"/>
      <c r="CF42" s="289"/>
      <c r="CG42" s="289"/>
      <c r="CH42" s="289"/>
      <c r="CI42" s="289"/>
      <c r="CJ42" s="289"/>
      <c r="CK42" s="289"/>
      <c r="CL42" s="289"/>
      <c r="CM42" s="289"/>
      <c r="CN42" s="289"/>
      <c r="CO42" s="289"/>
      <c r="CP42" s="289"/>
      <c r="CQ42" s="289"/>
      <c r="CR42" s="289"/>
      <c r="CS42" s="289"/>
      <c r="CT42" s="289"/>
      <c r="CU42" s="289"/>
      <c r="CV42" s="289"/>
      <c r="CW42" s="289"/>
      <c r="CX42" s="289"/>
      <c r="CY42" s="289"/>
      <c r="CZ42" s="289"/>
      <c r="DA42" s="289"/>
      <c r="DB42" s="289"/>
      <c r="DC42" s="289"/>
      <c r="DD42" s="289"/>
    </row>
    <row r="43" spans="1:108" ht="11.15" customHeight="1" collapsed="1" x14ac:dyDescent="0.2">
      <c r="A43" s="290"/>
      <c r="F43" s="308"/>
      <c r="K43" s="308"/>
      <c r="P43" s="308"/>
      <c r="U43" s="308"/>
      <c r="Z43" s="308"/>
      <c r="AE43" s="308"/>
      <c r="AJ43" s="308"/>
      <c r="AO43" s="308"/>
      <c r="AT43" s="308"/>
      <c r="AY43" s="308"/>
      <c r="BD43" s="308"/>
    </row>
    <row r="44" spans="1:108" ht="11.15" customHeight="1" x14ac:dyDescent="0.2">
      <c r="A44" s="290"/>
      <c r="F44" s="308"/>
      <c r="K44" s="308"/>
      <c r="P44" s="308"/>
      <c r="U44" s="308"/>
      <c r="Z44" s="308"/>
      <c r="AE44" s="308"/>
      <c r="AJ44" s="308"/>
      <c r="AO44" s="308"/>
      <c r="AT44" s="308"/>
      <c r="AY44" s="308"/>
      <c r="BD44" s="308"/>
    </row>
    <row r="45" spans="1:108" ht="11.15" customHeight="1" x14ac:dyDescent="0.2">
      <c r="A45" s="290"/>
      <c r="F45" s="308"/>
      <c r="K45" s="308"/>
      <c r="P45" s="308"/>
      <c r="U45" s="308"/>
      <c r="Z45" s="308"/>
      <c r="AE45" s="308"/>
      <c r="AJ45" s="308"/>
      <c r="AO45" s="308"/>
      <c r="AT45" s="308"/>
      <c r="AY45" s="308"/>
      <c r="BD45" s="308"/>
    </row>
  </sheetData>
  <pageMargins left="0.7" right="0.7" top="0.75" bottom="0.75" header="0.3" footer="0.3"/>
  <pageSetup orientation="portrait" r:id="rId1"/>
  <headerFooter>
    <oddFooter>&amp;L_x000D_&amp;1#&amp;"Calibri"&amp;9&amp;K000000 Corporativo | Interno</oddFooter>
  </headerFooter>
  <ignoredErrors>
    <ignoredError sqref="A1:XFD1 A13:XFD1048576 B2:XFD2 CC3 BX3:BX4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78FE-7E2A-465E-A8E7-A43EBED314E6}">
  <sheetPr>
    <tabColor rgb="FFFFFF99"/>
  </sheetPr>
  <dimension ref="A1:DB133"/>
  <sheetViews>
    <sheetView showGridLines="0" tabSelected="1" zoomScaleNormal="100" workbookViewId="0">
      <pane xSplit="1" ySplit="3" topLeftCell="BS4" activePane="bottomRight" state="frozen"/>
      <selection pane="topRight" activeCell="B1" sqref="B1"/>
      <selection pane="bottomLeft" activeCell="A4" sqref="A4"/>
      <selection pane="bottomRight" activeCell="CD12" sqref="CD12"/>
    </sheetView>
  </sheetViews>
  <sheetFormatPr defaultColWidth="11" defaultRowHeight="11.25" customHeight="1" outlineLevelRow="1" outlineLevelCol="1" x14ac:dyDescent="0.35"/>
  <cols>
    <col min="1" max="1" width="30.7265625" style="7" customWidth="1"/>
    <col min="2" max="5" width="11" style="7" hidden="1" customWidth="1" outlineLevel="1"/>
    <col min="6" max="6" width="11" style="7" collapsed="1"/>
    <col min="7" max="10" width="11" style="7" hidden="1" customWidth="1" outlineLevel="1"/>
    <col min="11" max="11" width="11" style="7" collapsed="1"/>
    <col min="12" max="15" width="11" style="7" hidden="1" customWidth="1" outlineLevel="1"/>
    <col min="16" max="16" width="11" style="7" collapsed="1"/>
    <col min="17" max="20" width="11" style="7" hidden="1" customWidth="1" outlineLevel="1"/>
    <col min="21" max="21" width="11" style="7" collapsed="1"/>
    <col min="22" max="25" width="11" style="7" hidden="1" customWidth="1" outlineLevel="1"/>
    <col min="26" max="26" width="11" style="7" collapsed="1"/>
    <col min="27" max="30" width="11" style="7" hidden="1" customWidth="1" outlineLevel="1"/>
    <col min="31" max="31" width="11" style="7" collapsed="1"/>
    <col min="32" max="35" width="11" style="7" hidden="1" customWidth="1" outlineLevel="1"/>
    <col min="36" max="36" width="11" style="7" collapsed="1"/>
    <col min="37" max="40" width="11" style="7" hidden="1" customWidth="1" outlineLevel="1"/>
    <col min="41" max="41" width="11" style="7" collapsed="1"/>
    <col min="42" max="45" width="11" style="7" hidden="1" customWidth="1" outlineLevel="1"/>
    <col min="46" max="46" width="11" style="7" collapsed="1"/>
    <col min="47" max="50" width="11" style="7" hidden="1" customWidth="1" outlineLevel="1"/>
    <col min="51" max="51" width="11" style="7" collapsed="1"/>
    <col min="52" max="55" width="11" style="7" hidden="1" customWidth="1" outlineLevel="1"/>
    <col min="56" max="56" width="11" style="7" collapsed="1"/>
    <col min="57" max="60" width="11" style="7" hidden="1" customWidth="1" outlineLevel="1"/>
    <col min="61" max="61" width="11" style="7" collapsed="1"/>
    <col min="62" max="65" width="11" style="7" hidden="1" customWidth="1" outlineLevel="1"/>
    <col min="66" max="66" width="11" style="7" collapsed="1"/>
    <col min="67" max="70" width="11" style="7" hidden="1" customWidth="1" outlineLevel="1"/>
    <col min="71" max="71" width="11" style="7" collapsed="1"/>
    <col min="72" max="75" width="11" style="7" hidden="1" customWidth="1" outlineLevel="1"/>
    <col min="76" max="76" width="11" style="7" collapsed="1"/>
    <col min="77" max="80" width="11" style="7" customWidth="1" outlineLevel="1"/>
    <col min="81" max="81" width="11" style="7"/>
    <col min="82" max="85" width="11" style="7" customWidth="1" outlineLevel="1"/>
    <col min="86" max="86" width="11" style="7"/>
    <col min="87" max="90" width="11" style="7" customWidth="1" outlineLevel="1"/>
    <col min="91" max="91" width="11" style="7"/>
    <col min="92" max="95" width="11" style="7" hidden="1" customWidth="1" outlineLevel="1"/>
    <col min="96" max="96" width="11" style="7" collapsed="1"/>
    <col min="97" max="100" width="11" style="7" hidden="1" customWidth="1" outlineLevel="1"/>
    <col min="101" max="101" width="11" style="7" collapsed="1"/>
    <col min="102" max="105" width="11" style="7" hidden="1" customWidth="1" outlineLevel="1"/>
    <col min="106" max="106" width="11" style="7" collapsed="1"/>
    <col min="107" max="16384" width="11" style="7"/>
  </cols>
  <sheetData>
    <row r="1" spans="1:106" ht="45.75" customHeight="1" x14ac:dyDescent="0.35">
      <c r="F1" s="8"/>
      <c r="K1" s="8"/>
      <c r="P1" s="8"/>
      <c r="U1" s="8"/>
      <c r="Z1" s="8"/>
      <c r="AE1" s="8"/>
      <c r="AJ1" s="8"/>
      <c r="AO1" s="8"/>
      <c r="AT1" s="8"/>
      <c r="AY1" s="8"/>
      <c r="BD1" s="8"/>
      <c r="BI1" s="8"/>
      <c r="BN1" s="8"/>
      <c r="BS1" s="8"/>
      <c r="BX1" s="8"/>
      <c r="BZ1" s="9"/>
      <c r="CA1" s="9"/>
      <c r="CB1" s="9"/>
      <c r="CC1" s="10"/>
      <c r="CD1" s="9"/>
      <c r="CE1" s="9"/>
      <c r="CF1" s="9"/>
      <c r="CG1" s="9"/>
      <c r="CH1" s="8"/>
      <c r="CI1" s="9"/>
      <c r="CJ1" s="9"/>
      <c r="CK1" s="9"/>
      <c r="CL1" s="9"/>
      <c r="CM1" s="8"/>
      <c r="CN1" s="9"/>
      <c r="CO1" s="9"/>
      <c r="CP1" s="9"/>
      <c r="CQ1" s="9"/>
      <c r="CR1" s="8"/>
      <c r="CS1" s="9"/>
      <c r="CT1" s="9"/>
      <c r="CU1" s="9"/>
      <c r="CV1" s="9"/>
      <c r="CW1" s="8"/>
      <c r="CX1" s="9"/>
      <c r="CY1" s="9"/>
      <c r="CZ1" s="9"/>
      <c r="DA1" s="9"/>
      <c r="DB1" s="8"/>
    </row>
    <row r="2" spans="1:106" ht="11.25" customHeight="1" x14ac:dyDescent="0.35">
      <c r="A2" s="11" t="str">
        <f ca="1">Valuation!$A$2</f>
        <v>CYRE3 | TP R$35/sh</v>
      </c>
      <c r="B2" s="12"/>
      <c r="C2" s="12"/>
      <c r="D2" s="12"/>
      <c r="E2" s="12"/>
      <c r="F2" s="40"/>
      <c r="G2" s="12"/>
      <c r="H2" s="12"/>
      <c r="I2" s="12"/>
      <c r="J2" s="12"/>
      <c r="K2" s="40"/>
      <c r="L2" s="12"/>
      <c r="M2" s="12"/>
      <c r="N2" s="12"/>
      <c r="O2" s="12"/>
      <c r="P2" s="40"/>
      <c r="Q2" s="12"/>
      <c r="R2" s="12"/>
      <c r="S2" s="12"/>
      <c r="T2" s="12"/>
      <c r="U2" s="40"/>
      <c r="V2" s="12"/>
      <c r="W2" s="12"/>
      <c r="X2" s="12"/>
      <c r="Y2" s="12"/>
      <c r="Z2" s="40"/>
      <c r="AA2" s="12"/>
      <c r="AB2" s="12"/>
      <c r="AC2" s="12"/>
      <c r="AD2" s="12"/>
      <c r="AE2" s="40"/>
      <c r="AF2" s="12"/>
      <c r="AG2" s="12"/>
      <c r="AH2" s="12"/>
      <c r="AI2" s="12"/>
      <c r="AJ2" s="40"/>
      <c r="AK2" s="12"/>
      <c r="AL2" s="12"/>
      <c r="AM2" s="12"/>
      <c r="AN2" s="12"/>
      <c r="AO2" s="40"/>
      <c r="AP2" s="12"/>
      <c r="AQ2" s="12"/>
      <c r="AR2" s="12"/>
      <c r="AS2" s="12"/>
      <c r="AT2" s="40"/>
      <c r="AU2" s="12"/>
      <c r="AV2" s="12"/>
      <c r="AW2" s="12"/>
      <c r="AX2" s="12"/>
      <c r="AY2" s="40"/>
      <c r="AZ2" s="12"/>
      <c r="BA2" s="12"/>
      <c r="BB2" s="12"/>
      <c r="BC2" s="12"/>
      <c r="BD2" s="40"/>
      <c r="BE2" s="12"/>
      <c r="BF2" s="12"/>
      <c r="BG2" s="12"/>
      <c r="BH2" s="12"/>
      <c r="BI2" s="40"/>
      <c r="BJ2" s="12"/>
      <c r="BK2" s="12"/>
      <c r="BL2" s="12"/>
      <c r="BM2" s="12"/>
      <c r="BN2" s="40"/>
      <c r="BO2" s="12"/>
      <c r="BP2" s="12"/>
      <c r="BQ2" s="12"/>
      <c r="BR2" s="12"/>
      <c r="BS2" s="40"/>
      <c r="BT2" s="12"/>
      <c r="BU2" s="12"/>
      <c r="BV2" s="12"/>
      <c r="BW2" s="12"/>
      <c r="BX2" s="40"/>
      <c r="BY2" s="12"/>
      <c r="BZ2" s="12"/>
      <c r="CA2" s="262"/>
      <c r="CB2" s="14"/>
      <c r="CC2" s="13"/>
      <c r="CD2" s="14"/>
      <c r="CE2" s="14"/>
      <c r="CF2" s="14"/>
      <c r="CG2" s="761"/>
      <c r="CH2" s="13"/>
      <c r="CI2" s="14"/>
      <c r="CJ2" s="14"/>
      <c r="CK2" s="14"/>
      <c r="CL2" s="14"/>
      <c r="CM2" s="13"/>
      <c r="CN2" s="14"/>
      <c r="CO2" s="14"/>
      <c r="CP2" s="14"/>
      <c r="CQ2" s="14"/>
      <c r="CR2" s="13"/>
      <c r="CS2" s="14"/>
      <c r="CT2" s="14"/>
      <c r="CU2" s="14"/>
      <c r="CV2" s="14"/>
      <c r="CW2" s="13"/>
      <c r="CX2" s="14"/>
      <c r="CY2" s="14"/>
      <c r="CZ2" s="14"/>
      <c r="DA2" s="14"/>
      <c r="DB2" s="13"/>
    </row>
    <row r="3" spans="1:106" s="15" customFormat="1" ht="11.25" customHeight="1" thickBot="1" x14ac:dyDescent="0.4">
      <c r="A3" s="124" t="s">
        <v>59</v>
      </c>
      <c r="B3" s="129" t="str">
        <f>Macro!B$3</f>
        <v>1Q10</v>
      </c>
      <c r="C3" s="129" t="str">
        <f>Macro!C$3</f>
        <v>2Q10</v>
      </c>
      <c r="D3" s="129" t="str">
        <f>Macro!D$3</f>
        <v>3Q10</v>
      </c>
      <c r="E3" s="130" t="str">
        <f>Macro!E$3</f>
        <v>4Q10</v>
      </c>
      <c r="F3" s="131" t="str">
        <f>Macro!F$3</f>
        <v>2010</v>
      </c>
      <c r="G3" s="129" t="str">
        <f>Macro!G$3</f>
        <v>1Q11</v>
      </c>
      <c r="H3" s="129" t="str">
        <f>Macro!H$3</f>
        <v>2Q11</v>
      </c>
      <c r="I3" s="129" t="str">
        <f>Macro!I$3</f>
        <v>3Q11</v>
      </c>
      <c r="J3" s="130" t="str">
        <f>Macro!J$3</f>
        <v>4Q11</v>
      </c>
      <c r="K3" s="131" t="str">
        <f>Macro!K$3</f>
        <v>2011</v>
      </c>
      <c r="L3" s="129" t="str">
        <f>Macro!L$3</f>
        <v>1Q12</v>
      </c>
      <c r="M3" s="129" t="str">
        <f>Macro!M$3</f>
        <v>2Q12</v>
      </c>
      <c r="N3" s="129" t="str">
        <f>Macro!N$3</f>
        <v>3Q12</v>
      </c>
      <c r="O3" s="130" t="str">
        <f>Macro!O$3</f>
        <v>4Q12</v>
      </c>
      <c r="P3" s="131" t="str">
        <f>Macro!P$3</f>
        <v>2012</v>
      </c>
      <c r="Q3" s="129" t="str">
        <f>Macro!Q$3</f>
        <v>1Q13</v>
      </c>
      <c r="R3" s="129" t="str">
        <f>Macro!R$3</f>
        <v>2Q13</v>
      </c>
      <c r="S3" s="129" t="str">
        <f>Macro!S$3</f>
        <v>3Q13</v>
      </c>
      <c r="T3" s="130" t="str">
        <f>Macro!T$3</f>
        <v>4Q13</v>
      </c>
      <c r="U3" s="131" t="str">
        <f>Macro!U$3</f>
        <v>2013</v>
      </c>
      <c r="V3" s="129" t="str">
        <f>Macro!V$3</f>
        <v>1Q14</v>
      </c>
      <c r="W3" s="129" t="str">
        <f>Macro!W$3</f>
        <v>2Q14</v>
      </c>
      <c r="X3" s="129" t="str">
        <f>Macro!X$3</f>
        <v>3Q14</v>
      </c>
      <c r="Y3" s="130" t="str">
        <f>Macro!Y$3</f>
        <v>4Q14</v>
      </c>
      <c r="Z3" s="131" t="str">
        <f>Macro!Z$3</f>
        <v>2014</v>
      </c>
      <c r="AA3" s="129" t="str">
        <f>Macro!AA$3</f>
        <v>1Q15</v>
      </c>
      <c r="AB3" s="129" t="str">
        <f>Macro!AB$3</f>
        <v>2Q15</v>
      </c>
      <c r="AC3" s="129" t="str">
        <f>Macro!AC$3</f>
        <v>3Q15</v>
      </c>
      <c r="AD3" s="130" t="str">
        <f>Macro!AD$3</f>
        <v>4Q15</v>
      </c>
      <c r="AE3" s="131" t="str">
        <f>Macro!AE$3</f>
        <v>2015</v>
      </c>
      <c r="AF3" s="129" t="str">
        <f>Macro!AF$3</f>
        <v>1Q16</v>
      </c>
      <c r="AG3" s="129" t="str">
        <f>Macro!AG$3</f>
        <v>2Q16</v>
      </c>
      <c r="AH3" s="129" t="str">
        <f>Macro!AH$3</f>
        <v>3Q16</v>
      </c>
      <c r="AI3" s="130" t="str">
        <f>Macro!AI$3</f>
        <v>4Q16</v>
      </c>
      <c r="AJ3" s="131" t="str">
        <f>Macro!AJ$3</f>
        <v>2016</v>
      </c>
      <c r="AK3" s="129" t="str">
        <f>Macro!AK$3</f>
        <v>1Q17</v>
      </c>
      <c r="AL3" s="129" t="str">
        <f>Macro!AL$3</f>
        <v>2Q17</v>
      </c>
      <c r="AM3" s="129" t="str">
        <f>Macro!AM$3</f>
        <v>3Q17</v>
      </c>
      <c r="AN3" s="130" t="str">
        <f>Macro!AN$3</f>
        <v>4Q17</v>
      </c>
      <c r="AO3" s="131" t="str">
        <f>Macro!AO$3</f>
        <v>2017</v>
      </c>
      <c r="AP3" s="129" t="str">
        <f>Macro!AP$3</f>
        <v>1Q18</v>
      </c>
      <c r="AQ3" s="129" t="str">
        <f>Macro!AQ$3</f>
        <v>2Q18</v>
      </c>
      <c r="AR3" s="129" t="str">
        <f>Macro!AR$3</f>
        <v>3Q18</v>
      </c>
      <c r="AS3" s="130" t="str">
        <f>Macro!AS$3</f>
        <v>4Q18</v>
      </c>
      <c r="AT3" s="131" t="str">
        <f>Macro!AT$3</f>
        <v>2018</v>
      </c>
      <c r="AU3" s="129" t="str">
        <f>Macro!AU$3</f>
        <v>1Q19</v>
      </c>
      <c r="AV3" s="129" t="str">
        <f>Macro!AV$3</f>
        <v>2Q19</v>
      </c>
      <c r="AW3" s="129" t="str">
        <f>Macro!AW$3</f>
        <v>3Q19</v>
      </c>
      <c r="AX3" s="130" t="str">
        <f>Macro!AX$3</f>
        <v>4Q19</v>
      </c>
      <c r="AY3" s="131" t="str">
        <f>Macro!AY$3</f>
        <v>2019</v>
      </c>
      <c r="AZ3" s="129" t="str">
        <f>Macro!AZ$3</f>
        <v>1Q20</v>
      </c>
      <c r="BA3" s="129" t="str">
        <f>Macro!BA$3</f>
        <v>2Q20</v>
      </c>
      <c r="BB3" s="129" t="str">
        <f>Macro!BB$3</f>
        <v>3Q20</v>
      </c>
      <c r="BC3" s="130" t="str">
        <f>Macro!BC$3</f>
        <v>4Q20</v>
      </c>
      <c r="BD3" s="131" t="str">
        <f>Macro!BD$3</f>
        <v>2020</v>
      </c>
      <c r="BE3" s="129" t="str">
        <f>Macro!BE$3</f>
        <v>1Q21</v>
      </c>
      <c r="BF3" s="129" t="str">
        <f>Macro!BF$3</f>
        <v>2Q21</v>
      </c>
      <c r="BG3" s="129" t="str">
        <f>Macro!BG$3</f>
        <v>3Q21</v>
      </c>
      <c r="BH3" s="130" t="str">
        <f>Macro!BH$3</f>
        <v>4Q21</v>
      </c>
      <c r="BI3" s="131" t="str">
        <f>Macro!BI$3</f>
        <v>2021</v>
      </c>
      <c r="BJ3" s="129" t="str">
        <f>Macro!BJ$3</f>
        <v>1Q22</v>
      </c>
      <c r="BK3" s="129" t="str">
        <f>Macro!BK$3</f>
        <v>2Q22</v>
      </c>
      <c r="BL3" s="129" t="str">
        <f>Macro!BL$3</f>
        <v>3Q22</v>
      </c>
      <c r="BM3" s="130" t="str">
        <f>Macro!BM$3</f>
        <v>4Q22</v>
      </c>
      <c r="BN3" s="131" t="str">
        <f>Macro!BN$3</f>
        <v>2022</v>
      </c>
      <c r="BO3" s="129" t="str">
        <f>Macro!BO$3</f>
        <v>1Q23</v>
      </c>
      <c r="BP3" s="129" t="str">
        <f>Macro!BP$3</f>
        <v>2Q23</v>
      </c>
      <c r="BQ3" s="129" t="str">
        <f>Macro!BQ$3</f>
        <v>3Q23</v>
      </c>
      <c r="BR3" s="130" t="str">
        <f>Macro!BR$3</f>
        <v>4Q23</v>
      </c>
      <c r="BS3" s="131" t="str">
        <f>Macro!BS$3</f>
        <v>2023</v>
      </c>
      <c r="BT3" s="129" t="str">
        <f>Macro!BT$3</f>
        <v>1Q24</v>
      </c>
      <c r="BU3" s="129" t="str">
        <f>Macro!BU$3</f>
        <v>2Q24</v>
      </c>
      <c r="BV3" s="129" t="str">
        <f>Macro!BV$3</f>
        <v>3Q24</v>
      </c>
      <c r="BW3" s="130" t="str">
        <f>Macro!BW$3</f>
        <v>4Q24</v>
      </c>
      <c r="BX3" s="131" t="str">
        <f>Macro!BX$3</f>
        <v>2024</v>
      </c>
      <c r="BY3" s="129" t="str">
        <f>Macro!BY$3</f>
        <v>1Q25</v>
      </c>
      <c r="BZ3" s="129" t="str">
        <f>Macro!BZ$3</f>
        <v>2Q25</v>
      </c>
      <c r="CA3" s="125" t="str">
        <f>Macro!CA$3</f>
        <v>3Q25</v>
      </c>
      <c r="CB3" s="125" t="str">
        <f>Macro!CB$3</f>
        <v>4Q25</v>
      </c>
      <c r="CC3" s="126" t="str">
        <f>Macro!CC$3</f>
        <v>2025</v>
      </c>
      <c r="CD3" s="125" t="str">
        <f>Macro!CD$3</f>
        <v>1Q26</v>
      </c>
      <c r="CE3" s="129" t="str">
        <f>Macro!CE$3</f>
        <v>2Q26</v>
      </c>
      <c r="CF3" s="125" t="str">
        <f>Macro!CF$3</f>
        <v>3Q26E</v>
      </c>
      <c r="CG3" s="125" t="str">
        <f>Macro!CG$3</f>
        <v>4Q26E</v>
      </c>
      <c r="CH3" s="126" t="str">
        <f>Macro!CH$3</f>
        <v>2026E</v>
      </c>
      <c r="CI3" s="125" t="str">
        <f>Macro!CI$3</f>
        <v>1Q27E</v>
      </c>
      <c r="CJ3" s="125" t="str">
        <f>Macro!CJ$3</f>
        <v>2Q27E</v>
      </c>
      <c r="CK3" s="125" t="str">
        <f>Macro!CK$3</f>
        <v>3Q27E</v>
      </c>
      <c r="CL3" s="125" t="str">
        <f>Macro!CL$3</f>
        <v>4Q27E</v>
      </c>
      <c r="CM3" s="126" t="str">
        <f>Macro!CM$3</f>
        <v>2027E</v>
      </c>
      <c r="CN3" s="125" t="str">
        <f>Macro!CN$3</f>
        <v>1Q28E</v>
      </c>
      <c r="CO3" s="125" t="str">
        <f>Macro!CO$3</f>
        <v>2Q28E</v>
      </c>
      <c r="CP3" s="125" t="str">
        <f>Macro!CP$3</f>
        <v>3Q28E</v>
      </c>
      <c r="CQ3" s="125" t="str">
        <f>Macro!CQ$3</f>
        <v>4Q28E</v>
      </c>
      <c r="CR3" s="126" t="str">
        <f>Macro!CR$3</f>
        <v>2028E</v>
      </c>
      <c r="CS3" s="125" t="str">
        <f>Macro!CS$3</f>
        <v>1Q29E</v>
      </c>
      <c r="CT3" s="125" t="str">
        <f>Macro!CT$3</f>
        <v>2Q29E</v>
      </c>
      <c r="CU3" s="125" t="str">
        <f>Macro!CU$3</f>
        <v>3Q29E</v>
      </c>
      <c r="CV3" s="125" t="str">
        <f>Macro!CV$3</f>
        <v>4Q29E</v>
      </c>
      <c r="CW3" s="126" t="str">
        <f>Macro!CW$3</f>
        <v>2029E</v>
      </c>
      <c r="CX3" s="125" t="str">
        <f>Macro!CX$3</f>
        <v>1Q30E</v>
      </c>
      <c r="CY3" s="125" t="str">
        <f>Macro!CY$3</f>
        <v>2Q30E</v>
      </c>
      <c r="CZ3" s="125" t="str">
        <f>Macro!CZ$3</f>
        <v>3Q30E</v>
      </c>
      <c r="DA3" s="125" t="str">
        <f>Macro!DA$3</f>
        <v>4Q30E</v>
      </c>
      <c r="DB3" s="126" t="str">
        <f>Macro!DB$3</f>
        <v>2030E</v>
      </c>
    </row>
    <row r="4" spans="1:106" ht="11.25" customHeight="1" thickTop="1" x14ac:dyDescent="0.35">
      <c r="A4" s="132" t="s">
        <v>55</v>
      </c>
      <c r="B4" s="17">
        <f>B5+B6</f>
        <v>1170169</v>
      </c>
      <c r="C4" s="17">
        <f>C5+C6</f>
        <v>1234539</v>
      </c>
      <c r="D4" s="17">
        <f>D5+D6</f>
        <v>1203539</v>
      </c>
      <c r="E4" s="17">
        <f>E5+E6</f>
        <v>1445304</v>
      </c>
      <c r="F4" s="18">
        <f>SUM(B4:E4)</f>
        <v>5053551</v>
      </c>
      <c r="G4" s="17">
        <f>G5+G6</f>
        <v>1248883</v>
      </c>
      <c r="H4" s="17">
        <f>H5+H6</f>
        <v>1438136</v>
      </c>
      <c r="I4" s="17">
        <f>I5+I6</f>
        <v>1619390</v>
      </c>
      <c r="J4" s="17">
        <f>J5+J6</f>
        <v>2069350</v>
      </c>
      <c r="K4" s="18">
        <f>SUM(G4:J4)</f>
        <v>6375759</v>
      </c>
      <c r="L4" s="17">
        <f>L5+L6</f>
        <v>1522642</v>
      </c>
      <c r="M4" s="17">
        <f>M5+M6</f>
        <v>1438939</v>
      </c>
      <c r="N4" s="17">
        <f>N5+N6</f>
        <v>1409120</v>
      </c>
      <c r="O4" s="17">
        <f>O5+O6</f>
        <v>1432050</v>
      </c>
      <c r="P4" s="18">
        <f>SUM(L4:O4)</f>
        <v>5802751</v>
      </c>
      <c r="Q4" s="17">
        <f>Q5+Q6</f>
        <v>1250942</v>
      </c>
      <c r="R4" s="17">
        <f>R5+R6</f>
        <v>1410150</v>
      </c>
      <c r="S4" s="17">
        <f>S5+S6</f>
        <v>1435138</v>
      </c>
      <c r="T4" s="17">
        <f>T5+T6</f>
        <v>1436106</v>
      </c>
      <c r="U4" s="18">
        <f>SUM(Q4:T4)</f>
        <v>5532336</v>
      </c>
      <c r="V4" s="17">
        <f>V5+V6</f>
        <v>1351067</v>
      </c>
      <c r="W4" s="17">
        <f>W5+W6</f>
        <v>1397217</v>
      </c>
      <c r="X4" s="17">
        <f>X5+X6</f>
        <v>1628377</v>
      </c>
      <c r="Y4" s="17">
        <f>Y5+Y6</f>
        <v>1569902</v>
      </c>
      <c r="Z4" s="18">
        <f>SUM(V4:Y4)</f>
        <v>5946563</v>
      </c>
      <c r="AA4" s="17">
        <f>AA5+AA6</f>
        <v>1068010</v>
      </c>
      <c r="AB4" s="17">
        <f>AB5+AB6</f>
        <v>1165862</v>
      </c>
      <c r="AC4" s="17">
        <f>AC5+AC6</f>
        <v>1172876</v>
      </c>
      <c r="AD4" s="17">
        <f>AD5+AD6</f>
        <v>1059054</v>
      </c>
      <c r="AE4" s="18">
        <f>SUM(AA4:AD4)</f>
        <v>4465802</v>
      </c>
      <c r="AF4" s="17">
        <f>AF5+AF6</f>
        <v>833226</v>
      </c>
      <c r="AG4" s="17">
        <f>AG5+AG6</f>
        <v>662190</v>
      </c>
      <c r="AH4" s="17">
        <f>AH5+AH6</f>
        <v>847384</v>
      </c>
      <c r="AI4" s="17">
        <f>AI5+AI6</f>
        <v>947904</v>
      </c>
      <c r="AJ4" s="18">
        <f>SUM(AF4:AI4)</f>
        <v>3290704</v>
      </c>
      <c r="AK4" s="17">
        <f>AK5+AK6</f>
        <v>712412</v>
      </c>
      <c r="AL4" s="17">
        <f>AL5+AL6</f>
        <v>591107</v>
      </c>
      <c r="AM4" s="17">
        <f>AM5+AM6</f>
        <v>614497</v>
      </c>
      <c r="AN4" s="17">
        <f>AN5+AN6</f>
        <v>831905</v>
      </c>
      <c r="AO4" s="18">
        <f>SUM(AK4:AN4)</f>
        <v>2749921</v>
      </c>
      <c r="AP4" s="17">
        <f>AP5+AP6</f>
        <v>464152</v>
      </c>
      <c r="AQ4" s="17">
        <f>AQ5+AQ6</f>
        <v>657521</v>
      </c>
      <c r="AR4" s="17">
        <f>AR5+AR6</f>
        <v>744589</v>
      </c>
      <c r="AS4" s="17">
        <f>AS5+AS6</f>
        <v>1111066</v>
      </c>
      <c r="AT4" s="18">
        <f>SUM(AP4:AS4)</f>
        <v>2977328</v>
      </c>
      <c r="AU4" s="17">
        <f>AU5+AU6</f>
        <v>847909</v>
      </c>
      <c r="AV4" s="17">
        <f>AV5+AV6</f>
        <v>959639</v>
      </c>
      <c r="AW4" s="17">
        <f>AW5+AW6</f>
        <v>959878</v>
      </c>
      <c r="AX4" s="17">
        <f>AX5+AX6</f>
        <v>1265292</v>
      </c>
      <c r="AY4" s="18">
        <f>SUM(AU4:AX4)</f>
        <v>4032718</v>
      </c>
      <c r="AZ4" s="17">
        <f>AZ5+AZ6</f>
        <v>785189</v>
      </c>
      <c r="BA4" s="17">
        <f>BA5+BA6</f>
        <v>860738</v>
      </c>
      <c r="BB4" s="17">
        <f>BB5+BB6</f>
        <v>1192465</v>
      </c>
      <c r="BC4" s="17">
        <f>BC5+BC6</f>
        <v>1087405</v>
      </c>
      <c r="BD4" s="18">
        <f>SUM(AZ4:BC4)</f>
        <v>3925797</v>
      </c>
      <c r="BE4" s="17">
        <f>BE5+BE6</f>
        <v>1030234</v>
      </c>
      <c r="BF4" s="17">
        <f>BF5+BF6</f>
        <v>1213954</v>
      </c>
      <c r="BG4" s="17">
        <f>BG5+BG6</f>
        <v>1321796</v>
      </c>
      <c r="BH4" s="17">
        <f>BH5+BH6</f>
        <v>1351676</v>
      </c>
      <c r="BI4" s="18">
        <f>SUM(BE4:BH4)</f>
        <v>4917660</v>
      </c>
      <c r="BJ4" s="17">
        <f>BJ5+BJ6</f>
        <v>1259101</v>
      </c>
      <c r="BK4" s="17">
        <f>BK5+BK6</f>
        <v>1284091</v>
      </c>
      <c r="BL4" s="17">
        <f>BL5+BL6</f>
        <v>1600107</v>
      </c>
      <c r="BM4" s="17">
        <f>BM5+BM6</f>
        <v>1412549</v>
      </c>
      <c r="BN4" s="18">
        <f>SUM(BJ4:BM4)</f>
        <v>5555848</v>
      </c>
      <c r="BO4" s="17">
        <f>BO5+BO6</f>
        <v>1317322</v>
      </c>
      <c r="BP4" s="17">
        <f>BP5+BP6</f>
        <v>1678440</v>
      </c>
      <c r="BQ4" s="17">
        <f>BQ5+BQ6</f>
        <v>1672991</v>
      </c>
      <c r="BR4" s="17">
        <f>BR5+BR6</f>
        <v>1760921</v>
      </c>
      <c r="BS4" s="18">
        <f>SUM(BO4:BR4)</f>
        <v>6429674</v>
      </c>
      <c r="BT4" s="17">
        <f>BT5+BT6</f>
        <v>1614575</v>
      </c>
      <c r="BU4" s="17">
        <f>BU5+BU6</f>
        <v>1909290</v>
      </c>
      <c r="BV4" s="17">
        <f>BV5+BV6</f>
        <v>2086805</v>
      </c>
      <c r="BW4" s="17">
        <f>BW5+BW6</f>
        <v>2574979</v>
      </c>
      <c r="BX4" s="18">
        <f>SUM(BT4:BW4)</f>
        <v>8185649</v>
      </c>
      <c r="BY4" s="17">
        <f>BY5+BY6</f>
        <v>2003367</v>
      </c>
      <c r="BZ4" s="17">
        <f>BZ5+BZ6</f>
        <v>2167903</v>
      </c>
      <c r="CA4" s="17">
        <f>CA5+CA6</f>
        <v>2191373</v>
      </c>
      <c r="CB4" s="17">
        <f>CB5+CB6</f>
        <v>3317082</v>
      </c>
      <c r="CC4" s="18">
        <f>SUM(BY4:CB4)</f>
        <v>9679725</v>
      </c>
      <c r="CD4" s="17">
        <f>CD5+CD6</f>
        <v>2081306</v>
      </c>
      <c r="CE4" s="17">
        <f>CE5+CE6</f>
        <v>2548922</v>
      </c>
      <c r="CF4" s="17">
        <f>CF5+CF6</f>
        <v>2725182.5035674842</v>
      </c>
      <c r="CG4" s="17">
        <f>CG5+CG6</f>
        <v>2933473.8487051884</v>
      </c>
      <c r="CH4" s="18">
        <f>SUM(CD4:CG4)</f>
        <v>10288884.352272673</v>
      </c>
      <c r="CI4" s="17">
        <f>CI5+CI6</f>
        <v>2752041.1531091873</v>
      </c>
      <c r="CJ4" s="17">
        <f>CJ5+CJ6</f>
        <v>2805655.7229439034</v>
      </c>
      <c r="CK4" s="17">
        <f>CK5+CK6</f>
        <v>2948222.8429781343</v>
      </c>
      <c r="CL4" s="17">
        <f>CL5+CL6</f>
        <v>3109438.1701048291</v>
      </c>
      <c r="CM4" s="18">
        <f>SUM(CI4:CL4)</f>
        <v>11615357.889136055</v>
      </c>
      <c r="CN4" s="17">
        <f>CN5+CN6</f>
        <v>3093368.0610607015</v>
      </c>
      <c r="CO4" s="17">
        <f>CO5+CO6</f>
        <v>3128009.5298212888</v>
      </c>
      <c r="CP4" s="17">
        <f>CP5+CP6</f>
        <v>3255981.1382334502</v>
      </c>
      <c r="CQ4" s="17">
        <f>CQ5+CQ6</f>
        <v>3475613.1769154156</v>
      </c>
      <c r="CR4" s="18">
        <f>SUM(CN4:CQ4)</f>
        <v>12952971.906030856</v>
      </c>
      <c r="CS4" s="17">
        <f>CS5+CS6</f>
        <v>3391188.8930076626</v>
      </c>
      <c r="CT4" s="17">
        <f>CT5+CT6</f>
        <v>3408719.9775502775</v>
      </c>
      <c r="CU4" s="17">
        <f>CU5+CU6</f>
        <v>3525236.0466541671</v>
      </c>
      <c r="CV4" s="17">
        <f>CV5+CV6</f>
        <v>3741182.2995198211</v>
      </c>
      <c r="CW4" s="18">
        <f>SUM(CS4:CV4)</f>
        <v>14066327.216731928</v>
      </c>
      <c r="CX4" s="17">
        <f>CX5+CX6</f>
        <v>3649385.8565052599</v>
      </c>
      <c r="CY4" s="17">
        <f>CY5+CY6</f>
        <v>3657352.0084911361</v>
      </c>
      <c r="CZ4" s="17">
        <f>CZ5+CZ6</f>
        <v>3772173.9864906901</v>
      </c>
      <c r="DA4" s="17">
        <f>DA5+DA6</f>
        <v>3988590.1793766874</v>
      </c>
      <c r="DB4" s="18">
        <f>SUM(CX4:DA4)</f>
        <v>15067502.030863773</v>
      </c>
    </row>
    <row r="5" spans="1:106" ht="11.25" customHeight="1" x14ac:dyDescent="0.35">
      <c r="A5" s="162" t="s">
        <v>54</v>
      </c>
      <c r="B5" s="395">
        <f>1140556+18091</f>
        <v>1158647</v>
      </c>
      <c r="C5" s="395">
        <f>1191445+26952-C33</f>
        <v>1218397</v>
      </c>
      <c r="D5" s="395">
        <f>1171767+13862</f>
        <v>1185629</v>
      </c>
      <c r="E5" s="395">
        <f>1407331+6543</f>
        <v>1413874</v>
      </c>
      <c r="F5" s="20">
        <f>SUM(B5:E5)</f>
        <v>4976547</v>
      </c>
      <c r="G5" s="395">
        <f>1216842+8949</f>
        <v>1225791</v>
      </c>
      <c r="H5" s="395">
        <f>2625160+13076-G5</f>
        <v>1412445</v>
      </c>
      <c r="I5" s="395">
        <f>4207472+17666-G5-H5</f>
        <v>1586902</v>
      </c>
      <c r="J5" s="395">
        <f>6240161+26490-G5-H5-I5</f>
        <v>2041513</v>
      </c>
      <c r="K5" s="20">
        <f>SUM(G5:J5)</f>
        <v>6266651</v>
      </c>
      <c r="L5" s="395">
        <f>2915251+4573-M5</f>
        <v>1505576</v>
      </c>
      <c r="M5" s="395">
        <f>1411422+2826</f>
        <v>1414248</v>
      </c>
      <c r="N5" s="395">
        <f>1409120-N6</f>
        <v>1394730</v>
      </c>
      <c r="O5" s="395">
        <f>5701885+14069-L5-M5-N5</f>
        <v>1401400</v>
      </c>
      <c r="P5" s="20">
        <f>SUM(L5:O5)</f>
        <v>5715954</v>
      </c>
      <c r="Q5" s="395">
        <f>2603392+20342-R5</f>
        <v>1233951</v>
      </c>
      <c r="R5" s="395">
        <f>1382665+7118</f>
        <v>1389783</v>
      </c>
      <c r="S5" s="395">
        <f>1435138-S6</f>
        <v>1414214</v>
      </c>
      <c r="T5" s="395">
        <f>5532336-SUM(Q5:S5)-SUM(Q6:T6)</f>
        <v>1410416</v>
      </c>
      <c r="U5" s="20">
        <f>SUM(Q5:T5)</f>
        <v>5448364</v>
      </c>
      <c r="V5" s="395">
        <f>1317983+17433</f>
        <v>1335416</v>
      </c>
      <c r="W5" s="395">
        <f>1366342+14295</f>
        <v>1380637</v>
      </c>
      <c r="X5" s="395">
        <f>1628377-X6</f>
        <v>1607593</v>
      </c>
      <c r="Y5" s="395">
        <f>5946563-SUM(V5:X5)-SUM(V6:Y6)</f>
        <v>1558582</v>
      </c>
      <c r="Z5" s="20">
        <f>SUM(V5:Y5)</f>
        <v>5882228</v>
      </c>
      <c r="AA5" s="395">
        <f>1031782+22263</f>
        <v>1054045</v>
      </c>
      <c r="AB5" s="395">
        <f>1141593+15312</f>
        <v>1156905</v>
      </c>
      <c r="AC5" s="395">
        <f>1172876-AC6</f>
        <v>1164221</v>
      </c>
      <c r="AD5" s="395">
        <f>4465802-SUM(AA5:AC5)-SUM(AA6:AD6)</f>
        <v>1046063</v>
      </c>
      <c r="AE5" s="20">
        <f>SUM(AA5:AD5)</f>
        <v>4421234</v>
      </c>
      <c r="AF5" s="395">
        <f>799333+20950</f>
        <v>820283</v>
      </c>
      <c r="AG5" s="395">
        <f>614249+21481</f>
        <v>635730</v>
      </c>
      <c r="AH5" s="395">
        <f>847384-AH6</f>
        <v>839121</v>
      </c>
      <c r="AI5" s="395">
        <f>3290704-SUM(AF5:AH5)-SUM(AF6:AI6)</f>
        <v>942441</v>
      </c>
      <c r="AJ5" s="20">
        <f>SUM(AF5:AI5)</f>
        <v>3237575</v>
      </c>
      <c r="AK5" s="395">
        <f>678581+16224</f>
        <v>694805</v>
      </c>
      <c r="AL5" s="395">
        <f>573917+11356</f>
        <v>585273</v>
      </c>
      <c r="AM5" s="395">
        <f>614497-AM6</f>
        <v>608783</v>
      </c>
      <c r="AN5" s="395">
        <f>2671670+44168-SUM(AK5:AM5)</f>
        <v>826977</v>
      </c>
      <c r="AO5" s="20">
        <f>SUM(AK5:AN5)</f>
        <v>2715838</v>
      </c>
      <c r="AP5" s="395">
        <f>445472+14559</f>
        <v>460031</v>
      </c>
      <c r="AQ5" s="395">
        <f>638476+14319</f>
        <v>652795</v>
      </c>
      <c r="AR5" s="395">
        <f>728261+9518</f>
        <v>737779</v>
      </c>
      <c r="AS5" s="395">
        <f>3156039+51958-SUM(AP5:AR5)-254000</f>
        <v>1103392</v>
      </c>
      <c r="AT5" s="20">
        <f>SUM(AP5:AS5)</f>
        <v>2953997</v>
      </c>
      <c r="AU5" s="395">
        <f>845764+11907-14195</f>
        <v>843476</v>
      </c>
      <c r="AV5" s="395">
        <f>953167+9105-6610</f>
        <v>955662</v>
      </c>
      <c r="AW5" s="395">
        <f>901500+8113+41796</f>
        <v>951409</v>
      </c>
      <c r="AX5" s="395">
        <f>3867086+34904+105628-SUM(AU5:AW5)</f>
        <v>1257071</v>
      </c>
      <c r="AY5" s="20">
        <f>SUM(AU5:AX5)</f>
        <v>4007618</v>
      </c>
      <c r="AZ5" s="395">
        <f>724852+9374+39479</f>
        <v>773705</v>
      </c>
      <c r="BA5" s="395">
        <f>826804+3845+16608</f>
        <v>847257</v>
      </c>
      <c r="BB5" s="395">
        <f>1153156+14847+6784</f>
        <v>1174787</v>
      </c>
      <c r="BC5" s="395">
        <f>3765116+41562+48464-SUM(AZ5:BB5)</f>
        <v>1059393</v>
      </c>
      <c r="BD5" s="20">
        <f>SUM(AZ5:BC5)</f>
        <v>3855142</v>
      </c>
      <c r="BE5" s="395">
        <f>1057818+20802-45161-24355</f>
        <v>1009104</v>
      </c>
      <c r="BF5" s="395">
        <f>1193319+15809-12203-7752</f>
        <v>1189173</v>
      </c>
      <c r="BG5" s="395">
        <f>1288055+11945+2193-5203</f>
        <v>1296990</v>
      </c>
      <c r="BH5" s="395">
        <f>4851226+51769-62954-35986-SUM(BE5:BG5)</f>
        <v>1308788</v>
      </c>
      <c r="BI5" s="20">
        <f>SUM(BE5:BH5)</f>
        <v>4804055</v>
      </c>
      <c r="BJ5" s="395">
        <f>1270338+6461-43143+5545</f>
        <v>1239201</v>
      </c>
      <c r="BK5" s="395">
        <f>1219902+10977+30436-6907</f>
        <v>1254408</v>
      </c>
      <c r="BL5" s="395">
        <f>1549256+2670+8131+9798</f>
        <v>1569855</v>
      </c>
      <c r="BM5" s="395">
        <f>5440721+23045-15086+6545-SUM(BJ5:BL5)</f>
        <v>1391761</v>
      </c>
      <c r="BN5" s="20">
        <f>SUM(BJ5:BM5)</f>
        <v>5455225</v>
      </c>
      <c r="BO5" s="395">
        <f>1323506+633-18150-4887</f>
        <v>1301102</v>
      </c>
      <c r="BP5" s="395">
        <f>2967331+1814-2630-7413-BO5</f>
        <v>1658000</v>
      </c>
      <c r="BQ5" s="395">
        <f>4598860+2811+12432-3586-SUM(BO5:BP5)</f>
        <v>1651415</v>
      </c>
      <c r="BR5" s="395">
        <f>6373445+3955-30135-3508-SUM(BO5:BQ5)</f>
        <v>1733240</v>
      </c>
      <c r="BS5" s="20">
        <f>SUM(BO5:BR5)</f>
        <v>6343757</v>
      </c>
      <c r="BT5" s="395">
        <f>1644948+2568-46749-5947</f>
        <v>1594820</v>
      </c>
      <c r="BU5" s="395">
        <f>3509983+3638-29563-3531-BT5</f>
        <v>1885707</v>
      </c>
      <c r="BV5" s="395">
        <f>5585280+2631-45676-236-SUM(BT5:BU5)</f>
        <v>2061472</v>
      </c>
      <c r="BW5" s="395">
        <f>8201507+3951-109456-5895-SUM(BT5:BV5)</f>
        <v>2548108</v>
      </c>
      <c r="BX5" s="20">
        <f>SUM(BT5:BW5)</f>
        <v>8090107</v>
      </c>
      <c r="BY5" s="395">
        <f>2074898+285-99013-914</f>
        <v>1975256</v>
      </c>
      <c r="BZ5" s="395">
        <f>4146252+272-28621-1012-BY5</f>
        <v>2141635</v>
      </c>
      <c r="CA5" s="395">
        <f>6199476+66785+24246-10557-BZ5-BY5</f>
        <v>2163059</v>
      </c>
      <c r="CB5" s="395">
        <f>9498874+90734-12130-9388-SUM(BY5:CA5)</f>
        <v>3288140</v>
      </c>
      <c r="CC5" s="20">
        <f>SUM(BY5:CB5)</f>
        <v>9568090</v>
      </c>
      <c r="CD5" s="395">
        <f>2110359+10713-68796-2191</f>
        <v>2050085</v>
      </c>
      <c r="CE5" s="395">
        <f>4601478+13577-56471-3916-CD5</f>
        <v>2504583</v>
      </c>
      <c r="CF5" s="448">
        <f>Operating!CF35</f>
        <v>2677777.4174072649</v>
      </c>
      <c r="CG5" s="448">
        <f>Operating!CG35</f>
        <v>2882445.4935896769</v>
      </c>
      <c r="CH5" s="20">
        <f>SUM(CD5:CG5)</f>
        <v>10114890.910996942</v>
      </c>
      <c r="CI5" s="448">
        <f>Operating!CI35</f>
        <v>2704168.8554524882</v>
      </c>
      <c r="CJ5" s="448">
        <f>Operating!CJ35</f>
        <v>2756850.7892897511</v>
      </c>
      <c r="CK5" s="448">
        <f>Operating!CK35</f>
        <v>2896937.926203589</v>
      </c>
      <c r="CL5" s="448">
        <f>Operating!CL35</f>
        <v>3055348.8809762178</v>
      </c>
      <c r="CM5" s="20">
        <f>SUM(CI5:CL5)</f>
        <v>11413306.451922046</v>
      </c>
      <c r="CN5" s="448">
        <f>Operating!CN35</f>
        <v>3039558.3146426589</v>
      </c>
      <c r="CO5" s="448">
        <f>Operating!CO35</f>
        <v>3073597.1882342389</v>
      </c>
      <c r="CP5" s="448">
        <f>Operating!CP35</f>
        <v>3199342.7053241134</v>
      </c>
      <c r="CQ5" s="448">
        <f>Operating!CQ35</f>
        <v>3415154.2014539251</v>
      </c>
      <c r="CR5" s="20">
        <f>SUM(CN5:CQ5)</f>
        <v>12727652.409654938</v>
      </c>
      <c r="CS5" s="448">
        <f>Operating!CS35</f>
        <v>3332198.4945854801</v>
      </c>
      <c r="CT5" s="448">
        <f>Operating!CT35</f>
        <v>3349424.6224611057</v>
      </c>
      <c r="CU5" s="448">
        <f>Operating!CU35</f>
        <v>3463913.8716042442</v>
      </c>
      <c r="CV5" s="448">
        <f>Operating!CV35</f>
        <v>3676103.6968876459</v>
      </c>
      <c r="CW5" s="20">
        <f>SUM(CS5:CV5)</f>
        <v>13821640.685538474</v>
      </c>
      <c r="CX5" s="448">
        <f>Operating!CX35</f>
        <v>3585904.0710714227</v>
      </c>
      <c r="CY5" s="448">
        <f>Operating!CY35</f>
        <v>3593731.6502751969</v>
      </c>
      <c r="CZ5" s="448">
        <f>Operating!CZ35</f>
        <v>3706556.2773622777</v>
      </c>
      <c r="DA5" s="448">
        <f>Operating!DA35</f>
        <v>3919207.8679668512</v>
      </c>
      <c r="DB5" s="20">
        <f>SUM(CX5:DA5)</f>
        <v>14805399.866675748</v>
      </c>
    </row>
    <row r="6" spans="1:106" ht="11.25" customHeight="1" x14ac:dyDescent="0.35">
      <c r="A6" s="162" t="s">
        <v>56</v>
      </c>
      <c r="B6" s="395">
        <v>11522</v>
      </c>
      <c r="C6" s="395">
        <v>16142</v>
      </c>
      <c r="D6" s="395">
        <v>17910</v>
      </c>
      <c r="E6" s="395">
        <v>31430</v>
      </c>
      <c r="F6" s="20">
        <f>SUM(B6:E6)</f>
        <v>77004</v>
      </c>
      <c r="G6" s="395">
        <v>23092</v>
      </c>
      <c r="H6" s="395">
        <f>48783-G6</f>
        <v>25691</v>
      </c>
      <c r="I6" s="395">
        <f>81271-G6-H6</f>
        <v>32488</v>
      </c>
      <c r="J6" s="395">
        <f>109108-G6-H6-I6</f>
        <v>27837</v>
      </c>
      <c r="K6" s="20">
        <f>SUM(G6:J6)</f>
        <v>109108</v>
      </c>
      <c r="L6" s="395">
        <f>41757-M6</f>
        <v>17066</v>
      </c>
      <c r="M6" s="395">
        <v>24691</v>
      </c>
      <c r="N6" s="395">
        <v>14390</v>
      </c>
      <c r="O6" s="395">
        <f>86797-L6-M6-N6</f>
        <v>30650</v>
      </c>
      <c r="P6" s="20">
        <f>SUM(L6:O6)</f>
        <v>86797</v>
      </c>
      <c r="Q6" s="395">
        <f>37358-R6</f>
        <v>16991</v>
      </c>
      <c r="R6" s="395">
        <v>20367</v>
      </c>
      <c r="S6" s="395">
        <v>20924</v>
      </c>
      <c r="T6" s="395">
        <f>83972-SUM(Q6:S6)</f>
        <v>25690</v>
      </c>
      <c r="U6" s="20">
        <f>SUM(Q6:T6)</f>
        <v>83972</v>
      </c>
      <c r="V6" s="395">
        <v>15651</v>
      </c>
      <c r="W6" s="395">
        <v>16580</v>
      </c>
      <c r="X6" s="395">
        <v>20784</v>
      </c>
      <c r="Y6" s="395">
        <f>64335-SUM(V6:X6)</f>
        <v>11320</v>
      </c>
      <c r="Z6" s="20">
        <f>SUM(V6:Y6)</f>
        <v>64335</v>
      </c>
      <c r="AA6" s="395">
        <v>13965</v>
      </c>
      <c r="AB6" s="395">
        <v>8957</v>
      </c>
      <c r="AC6" s="395">
        <v>8655</v>
      </c>
      <c r="AD6" s="395">
        <f>44568-SUM(AA6:AC6)</f>
        <v>12991</v>
      </c>
      <c r="AE6" s="20">
        <f>SUM(AA6:AD6)</f>
        <v>44568</v>
      </c>
      <c r="AF6" s="395">
        <v>12943</v>
      </c>
      <c r="AG6" s="395">
        <v>26460</v>
      </c>
      <c r="AH6" s="395">
        <v>8263</v>
      </c>
      <c r="AI6" s="395">
        <f>53129-SUM(AF6:AH6)</f>
        <v>5463</v>
      </c>
      <c r="AJ6" s="20">
        <f>SUM(AF6:AI6)</f>
        <v>53129</v>
      </c>
      <c r="AK6" s="395">
        <v>17607</v>
      </c>
      <c r="AL6" s="395">
        <v>5834</v>
      </c>
      <c r="AM6" s="395">
        <v>5714</v>
      </c>
      <c r="AN6" s="395">
        <f>34083-SUM(AK6:AM6)</f>
        <v>4928</v>
      </c>
      <c r="AO6" s="20">
        <f>SUM(AK6:AN6)</f>
        <v>34083</v>
      </c>
      <c r="AP6" s="395">
        <v>4121</v>
      </c>
      <c r="AQ6" s="395">
        <v>4726</v>
      </c>
      <c r="AR6" s="395">
        <v>6810</v>
      </c>
      <c r="AS6" s="395">
        <f>23331-SUM(AP6:AR6)</f>
        <v>7674</v>
      </c>
      <c r="AT6" s="20">
        <f>SUM(AP6:AS6)</f>
        <v>23331</v>
      </c>
      <c r="AU6" s="395">
        <v>4433</v>
      </c>
      <c r="AV6" s="395">
        <v>3977</v>
      </c>
      <c r="AW6" s="395">
        <v>8469</v>
      </c>
      <c r="AX6" s="395">
        <f>25100-SUM(AU6:AW6)</f>
        <v>8221</v>
      </c>
      <c r="AY6" s="20">
        <f>SUM(AU6:AX6)</f>
        <v>25100</v>
      </c>
      <c r="AZ6" s="395">
        <v>11484</v>
      </c>
      <c r="BA6" s="395">
        <v>13481</v>
      </c>
      <c r="BB6" s="395">
        <v>17678</v>
      </c>
      <c r="BC6" s="395">
        <f>70655-SUM(AZ6:BB6)</f>
        <v>28012</v>
      </c>
      <c r="BD6" s="20">
        <f>SUM(AZ6:BC6)</f>
        <v>70655</v>
      </c>
      <c r="BE6" s="395">
        <v>21130</v>
      </c>
      <c r="BF6" s="395">
        <v>24781</v>
      </c>
      <c r="BG6" s="395">
        <v>24806</v>
      </c>
      <c r="BH6" s="395">
        <f>113605-SUM(BE6:BG6)</f>
        <v>42888</v>
      </c>
      <c r="BI6" s="20">
        <f>SUM(BE6:BH6)</f>
        <v>113605</v>
      </c>
      <c r="BJ6" s="395">
        <v>19900</v>
      </c>
      <c r="BK6" s="395">
        <v>29683</v>
      </c>
      <c r="BL6" s="395">
        <v>30252</v>
      </c>
      <c r="BM6" s="395">
        <f>100623-SUM(BJ6:BL6)</f>
        <v>20788</v>
      </c>
      <c r="BN6" s="20">
        <f>SUM(BJ6:BM6)</f>
        <v>100623</v>
      </c>
      <c r="BO6" s="395">
        <v>16220</v>
      </c>
      <c r="BP6" s="395">
        <f>36660-BO6</f>
        <v>20440</v>
      </c>
      <c r="BQ6" s="395">
        <f>58236-SUM(BO6:BP6)</f>
        <v>21576</v>
      </c>
      <c r="BR6" s="395">
        <f>85917-SUM(BO6:BQ6)</f>
        <v>27681</v>
      </c>
      <c r="BS6" s="20">
        <f>SUM(BO6:BR6)</f>
        <v>85917</v>
      </c>
      <c r="BT6" s="395">
        <v>19755</v>
      </c>
      <c r="BU6" s="395">
        <f>43338-BT6</f>
        <v>23583</v>
      </c>
      <c r="BV6" s="395">
        <f>68671-SUM(BT6:BU6)</f>
        <v>25333</v>
      </c>
      <c r="BW6" s="395">
        <f>95542-SUM(BT6:BV6)</f>
        <v>26871</v>
      </c>
      <c r="BX6" s="20">
        <f>SUM(BT6:BW6)</f>
        <v>95542</v>
      </c>
      <c r="BY6" s="395">
        <v>28111</v>
      </c>
      <c r="BZ6" s="395">
        <f>54379-BY6</f>
        <v>26268</v>
      </c>
      <c r="CA6" s="395">
        <f>82693-BZ6-BY6</f>
        <v>28314</v>
      </c>
      <c r="CB6" s="395">
        <f>111635-SUM(BY6:CA6)</f>
        <v>28942</v>
      </c>
      <c r="CC6" s="20">
        <f>SUM(BY6:CB6)</f>
        <v>111635</v>
      </c>
      <c r="CD6" s="395">
        <v>31221</v>
      </c>
      <c r="CE6" s="395">
        <f>75560-CD6</f>
        <v>44339</v>
      </c>
      <c r="CF6" s="448">
        <f>Operating!CF41</f>
        <v>47405.086160219376</v>
      </c>
      <c r="CG6" s="448">
        <f>Operating!CG41</f>
        <v>51028.355115511324</v>
      </c>
      <c r="CH6" s="20">
        <f>SUM(CD6:CG6)</f>
        <v>173993.4412757307</v>
      </c>
      <c r="CI6" s="448">
        <f>Operating!CI41</f>
        <v>47872.297656698895</v>
      </c>
      <c r="CJ6" s="448">
        <f>Operating!CJ41</f>
        <v>48804.933654152519</v>
      </c>
      <c r="CK6" s="448">
        <f>Operating!CK41</f>
        <v>51284.91677454528</v>
      </c>
      <c r="CL6" s="448">
        <f>Operating!CL41</f>
        <v>54089.289128611243</v>
      </c>
      <c r="CM6" s="20">
        <f>SUM(CI6:CL6)</f>
        <v>202051.43721400792</v>
      </c>
      <c r="CN6" s="448">
        <f>Operating!CN41</f>
        <v>53809.746418042785</v>
      </c>
      <c r="CO6" s="448">
        <f>Operating!CO41</f>
        <v>54412.341587049792</v>
      </c>
      <c r="CP6" s="448">
        <f>Operating!CP41</f>
        <v>56638.432909336952</v>
      </c>
      <c r="CQ6" s="448">
        <f>Operating!CQ41</f>
        <v>60458.975461490234</v>
      </c>
      <c r="CR6" s="20">
        <f>SUM(CN6:CQ6)</f>
        <v>225319.49637591979</v>
      </c>
      <c r="CS6" s="448">
        <f>Operating!CS41</f>
        <v>58990.398422182698</v>
      </c>
      <c r="CT6" s="448">
        <f>Operating!CT41</f>
        <v>59295.355089171717</v>
      </c>
      <c r="CU6" s="448">
        <f>Operating!CU41</f>
        <v>61322.17504992272</v>
      </c>
      <c r="CV6" s="448">
        <f>Operating!CV41</f>
        <v>65078.602632175229</v>
      </c>
      <c r="CW6" s="20">
        <f>SUM(CS6:CV6)</f>
        <v>244686.53119345236</v>
      </c>
      <c r="CX6" s="448">
        <f>Operating!CX41</f>
        <v>63481.785433837016</v>
      </c>
      <c r="CY6" s="448">
        <f>Operating!CY41</f>
        <v>63620.358215939326</v>
      </c>
      <c r="CZ6" s="448">
        <f>Operating!CZ41</f>
        <v>65617.709128412214</v>
      </c>
      <c r="DA6" s="448">
        <f>Operating!DA41</f>
        <v>69382.311409836373</v>
      </c>
      <c r="DB6" s="20">
        <f>SUM(CX6:DA6)</f>
        <v>262102.16418802494</v>
      </c>
    </row>
    <row r="7" spans="1:106" ht="11.25" customHeight="1" x14ac:dyDescent="0.35">
      <c r="A7" s="16" t="s">
        <v>57</v>
      </c>
      <c r="B7" s="396">
        <v>-37721</v>
      </c>
      <c r="C7" s="396">
        <v>-28704</v>
      </c>
      <c r="D7" s="396">
        <v>-40990</v>
      </c>
      <c r="E7" s="396">
        <v>-56031</v>
      </c>
      <c r="F7" s="18">
        <f>SUM(B7:E7)</f>
        <v>-163446</v>
      </c>
      <c r="G7" s="396">
        <v>-48141</v>
      </c>
      <c r="H7" s="396">
        <f>-103393-G7</f>
        <v>-55252</v>
      </c>
      <c r="I7" s="396">
        <f>-163181-G7-H7</f>
        <v>-59788</v>
      </c>
      <c r="J7" s="396">
        <f>-248978-G7-H7-I7</f>
        <v>-85797</v>
      </c>
      <c r="K7" s="18">
        <f>SUM(G7:J7)</f>
        <v>-248978</v>
      </c>
      <c r="L7" s="396">
        <f>-109975-M7</f>
        <v>-56299</v>
      </c>
      <c r="M7" s="396">
        <v>-53676</v>
      </c>
      <c r="N7" s="396">
        <v>-59168</v>
      </c>
      <c r="O7" s="396">
        <f>-170072-L7-M7-N7</f>
        <v>-929</v>
      </c>
      <c r="P7" s="18">
        <f>SUM(L7:O7)</f>
        <v>-170072</v>
      </c>
      <c r="Q7" s="396">
        <f>-73303-R7</f>
        <v>-35572</v>
      </c>
      <c r="R7" s="396">
        <v>-37731</v>
      </c>
      <c r="S7" s="396">
        <v>-40690</v>
      </c>
      <c r="T7" s="396">
        <f>-160454-SUM(Q7:S7)</f>
        <v>-46461</v>
      </c>
      <c r="U7" s="18">
        <f>SUM(Q7:T7)</f>
        <v>-160454</v>
      </c>
      <c r="V7" s="396">
        <v>-35705</v>
      </c>
      <c r="W7" s="396">
        <v>-38886</v>
      </c>
      <c r="X7" s="396">
        <v>-14681</v>
      </c>
      <c r="Y7" s="396">
        <f>-128636-SUM(V7:X7)</f>
        <v>-39364</v>
      </c>
      <c r="Z7" s="18">
        <f>SUM(V7:Y7)</f>
        <v>-128636</v>
      </c>
      <c r="AA7" s="396">
        <v>-32796</v>
      </c>
      <c r="AB7" s="396">
        <v>-28179</v>
      </c>
      <c r="AC7" s="396">
        <v>-35143</v>
      </c>
      <c r="AD7" s="396">
        <f>-124618-SUM(AA7:AC7)</f>
        <v>-28500</v>
      </c>
      <c r="AE7" s="18">
        <f>SUM(AA7:AD7)</f>
        <v>-124618</v>
      </c>
      <c r="AF7" s="396">
        <v>-22520</v>
      </c>
      <c r="AG7" s="396">
        <v>-21157</v>
      </c>
      <c r="AH7" s="396">
        <v>-22577</v>
      </c>
      <c r="AI7" s="396">
        <f>-95394-SUM(AF7:AH7)</f>
        <v>-29140</v>
      </c>
      <c r="AJ7" s="18">
        <f>SUM(AF7:AI7)</f>
        <v>-95394</v>
      </c>
      <c r="AK7" s="396">
        <v>-20025</v>
      </c>
      <c r="AL7" s="396">
        <v>-16351</v>
      </c>
      <c r="AM7" s="396">
        <v>-16670</v>
      </c>
      <c r="AN7" s="396">
        <f>-76151-SUM(AK7:AM7)</f>
        <v>-23105</v>
      </c>
      <c r="AO7" s="18">
        <f>SUM(AK7:AN7)</f>
        <v>-76151</v>
      </c>
      <c r="AP7" s="396">
        <v>-13530</v>
      </c>
      <c r="AQ7" s="396">
        <v>-17982</v>
      </c>
      <c r="AR7" s="396">
        <v>-19764</v>
      </c>
      <c r="AS7" s="396">
        <f>-85171-SUM(AP7:AR7)</f>
        <v>-33895</v>
      </c>
      <c r="AT7" s="18">
        <f>SUM(AP7:AS7)</f>
        <v>-85171</v>
      </c>
      <c r="AU7" s="396">
        <v>-21673</v>
      </c>
      <c r="AV7" s="396">
        <v>-23017</v>
      </c>
      <c r="AW7" s="396">
        <v>-25119</v>
      </c>
      <c r="AX7" s="396">
        <f>-101895-SUM(AU7:AW7)</f>
        <v>-32086</v>
      </c>
      <c r="AY7" s="18">
        <f>SUM(AU7:AX7)</f>
        <v>-101895</v>
      </c>
      <c r="AZ7" s="396">
        <v>-20434</v>
      </c>
      <c r="BA7" s="396">
        <v>-21930</v>
      </c>
      <c r="BB7" s="396">
        <v>-28962</v>
      </c>
      <c r="BC7" s="396">
        <f>-102101-SUM(AZ7:BB7)</f>
        <v>-30775</v>
      </c>
      <c r="BD7" s="18">
        <f>SUM(AZ7:BC7)</f>
        <v>-102101</v>
      </c>
      <c r="BE7" s="396">
        <v>-26502</v>
      </c>
      <c r="BF7" s="396">
        <v>-31935</v>
      </c>
      <c r="BG7" s="396">
        <v>-33457</v>
      </c>
      <c r="BH7" s="396">
        <f>-126827-SUM(BE7:BG7)</f>
        <v>-34933</v>
      </c>
      <c r="BI7" s="18">
        <f>SUM(BE7:BH7)</f>
        <v>-126827</v>
      </c>
      <c r="BJ7" s="396">
        <v>-27449</v>
      </c>
      <c r="BK7" s="396">
        <v>-34008</v>
      </c>
      <c r="BL7" s="396">
        <v>-40463</v>
      </c>
      <c r="BM7" s="396">
        <f>-143553-SUM(BJ7:BL7)</f>
        <v>-41633</v>
      </c>
      <c r="BN7" s="18">
        <f>SUM(BJ7:BM7)</f>
        <v>-143553</v>
      </c>
      <c r="BO7" s="396">
        <v>-33896</v>
      </c>
      <c r="BP7" s="396">
        <f>-79281-BO7</f>
        <v>-45385</v>
      </c>
      <c r="BQ7" s="396">
        <f>-126285-SUM(BO7:BP7)</f>
        <v>-47004</v>
      </c>
      <c r="BR7" s="396">
        <f>-176975-SUM(BO7:BQ7)</f>
        <v>-50690</v>
      </c>
      <c r="BS7" s="18">
        <f>SUM(BO7:BR7)</f>
        <v>-176975</v>
      </c>
      <c r="BT7" s="396">
        <v>-41664</v>
      </c>
      <c r="BU7" s="396">
        <f>-94097-BT7</f>
        <v>-52433</v>
      </c>
      <c r="BV7" s="396">
        <f>-151251-SUM(BT7:BU7)</f>
        <v>-57154</v>
      </c>
      <c r="BW7" s="396">
        <f>-219961-SUM(BT7:BV7)</f>
        <v>-68710</v>
      </c>
      <c r="BX7" s="18">
        <f>SUM(BT7:BW7)</f>
        <v>-219961</v>
      </c>
      <c r="BY7" s="396">
        <v>-50623</v>
      </c>
      <c r="BZ7" s="396">
        <f>-111396-BY7</f>
        <v>-60773</v>
      </c>
      <c r="CA7" s="396">
        <f>-174323-BZ7-BY7</f>
        <v>-62927</v>
      </c>
      <c r="CB7" s="396">
        <f>-256231-SUM(BY7:CA7)</f>
        <v>-81908</v>
      </c>
      <c r="CC7" s="18">
        <f>SUM(BY7:CB7)</f>
        <v>-256231</v>
      </c>
      <c r="CD7" s="396">
        <v>-56273</v>
      </c>
      <c r="CE7" s="396">
        <f>-124324-CD7</f>
        <v>-68051</v>
      </c>
      <c r="CF7" s="48">
        <f>-CF8*CF$4</f>
        <v>-68129.562589187102</v>
      </c>
      <c r="CG7" s="48">
        <f>-CG8*CG$4</f>
        <v>-73336.846217629718</v>
      </c>
      <c r="CH7" s="18">
        <f>SUM(CD7:CG7)</f>
        <v>-265790.40880681685</v>
      </c>
      <c r="CI7" s="48">
        <f>-CI8*CI$4</f>
        <v>-57242.455984671091</v>
      </c>
      <c r="CJ7" s="48">
        <f>-CJ8*CJ$4</f>
        <v>-58357.639037233188</v>
      </c>
      <c r="CK7" s="48">
        <f>-CK8*CK$4</f>
        <v>-61323.035133945188</v>
      </c>
      <c r="CL7" s="48">
        <f>-CL8*CL$4</f>
        <v>-64676.313938180443</v>
      </c>
      <c r="CM7" s="18">
        <f>SUM(CI7:CL7)</f>
        <v>-241599.4440940299</v>
      </c>
      <c r="CN7" s="48">
        <f>-CN8*CN$4</f>
        <v>-64342.055670062589</v>
      </c>
      <c r="CO7" s="48">
        <f>-CO8*CO$4</f>
        <v>-65062.598220282802</v>
      </c>
      <c r="CP7" s="48">
        <f>-CP8*CP$4</f>
        <v>-67724.407675255759</v>
      </c>
      <c r="CQ7" s="48">
        <f>-CQ8*CQ$4</f>
        <v>-72292.754079840641</v>
      </c>
      <c r="CR7" s="18">
        <f>SUM(CN7:CQ7)</f>
        <v>-269421.81564544176</v>
      </c>
      <c r="CS7" s="48">
        <f>-CS8*CS$4</f>
        <v>-70536.728974559373</v>
      </c>
      <c r="CT7" s="48">
        <f>-CT8*CT$4</f>
        <v>-70901.375533045764</v>
      </c>
      <c r="CU7" s="48">
        <f>-CU8*CU$4</f>
        <v>-73324.909770406666</v>
      </c>
      <c r="CV7" s="48">
        <f>-CV8*CV$4</f>
        <v>-77816.591830012272</v>
      </c>
      <c r="CW7" s="18">
        <f>SUM(CS7:CV7)</f>
        <v>-292579.60610802408</v>
      </c>
      <c r="CX7" s="48">
        <f>-CX8*CX$4</f>
        <v>-75907.225815309401</v>
      </c>
      <c r="CY7" s="48">
        <f>-CY8*CY$4</f>
        <v>-76072.921776615622</v>
      </c>
      <c r="CZ7" s="48">
        <f>-CZ8*CZ$4</f>
        <v>-78461.218919006351</v>
      </c>
      <c r="DA7" s="48">
        <f>-DA8*DA$4</f>
        <v>-82962.675731035095</v>
      </c>
      <c r="DB7" s="18">
        <f>SUM(CX7:DA7)</f>
        <v>-313404.04224196647</v>
      </c>
    </row>
    <row r="8" spans="1:106" ht="11.25" customHeight="1" outlineLevel="1" x14ac:dyDescent="0.35">
      <c r="A8" s="163" t="s">
        <v>73</v>
      </c>
      <c r="B8" s="24">
        <f t="shared" ref="B8:AW8" si="0">-B7/B$4</f>
        <v>3.2235514699158842E-2</v>
      </c>
      <c r="C8" s="24">
        <f t="shared" si="0"/>
        <v>2.3250784300860482E-2</v>
      </c>
      <c r="D8" s="24">
        <f t="shared" si="0"/>
        <v>3.4057890936646011E-2</v>
      </c>
      <c r="E8" s="24">
        <f t="shared" si="0"/>
        <v>3.8767622590126366E-2</v>
      </c>
      <c r="F8" s="25">
        <f t="shared" si="0"/>
        <v>3.2342802120726592E-2</v>
      </c>
      <c r="G8" s="24">
        <f t="shared" si="0"/>
        <v>3.8547245818863735E-2</v>
      </c>
      <c r="H8" s="24">
        <f t="shared" si="0"/>
        <v>3.841917593329143E-2</v>
      </c>
      <c r="I8" s="24">
        <f t="shared" si="0"/>
        <v>3.6920074842996434E-2</v>
      </c>
      <c r="J8" s="24">
        <f t="shared" si="0"/>
        <v>4.1460845192934977E-2</v>
      </c>
      <c r="K8" s="25">
        <f t="shared" si="0"/>
        <v>3.9050723215855558E-2</v>
      </c>
      <c r="L8" s="24">
        <f t="shared" si="0"/>
        <v>3.6974548186638749E-2</v>
      </c>
      <c r="M8" s="24">
        <f t="shared" si="0"/>
        <v>3.7302484677946737E-2</v>
      </c>
      <c r="N8" s="24">
        <f t="shared" si="0"/>
        <v>4.1989326671965484E-2</v>
      </c>
      <c r="O8" s="24">
        <f t="shared" si="0"/>
        <v>6.4872036590901151E-4</v>
      </c>
      <c r="P8" s="25">
        <f t="shared" si="0"/>
        <v>2.9308857126559455E-2</v>
      </c>
      <c r="Q8" s="24">
        <f t="shared" si="0"/>
        <v>2.843617050190976E-2</v>
      </c>
      <c r="R8" s="24">
        <f t="shared" si="0"/>
        <v>2.6756728007658759E-2</v>
      </c>
      <c r="S8" s="24">
        <f t="shared" si="0"/>
        <v>2.8352674098240029E-2</v>
      </c>
      <c r="T8" s="24">
        <f t="shared" si="0"/>
        <v>3.2352068719161402E-2</v>
      </c>
      <c r="U8" s="25">
        <f t="shared" si="0"/>
        <v>2.9002938360938309E-2</v>
      </c>
      <c r="V8" s="24">
        <f t="shared" si="0"/>
        <v>2.6427260824222632E-2</v>
      </c>
      <c r="W8" s="24">
        <f t="shared" si="0"/>
        <v>2.7831038414219123E-2</v>
      </c>
      <c r="X8" s="24">
        <f t="shared" si="0"/>
        <v>9.0157254738921031E-3</v>
      </c>
      <c r="Y8" s="24">
        <f t="shared" si="0"/>
        <v>2.5074176604654302E-2</v>
      </c>
      <c r="Z8" s="25">
        <f t="shared" si="0"/>
        <v>2.1631991454559549E-2</v>
      </c>
      <c r="AA8" s="24">
        <f t="shared" si="0"/>
        <v>3.0707577644404078E-2</v>
      </c>
      <c r="AB8" s="24">
        <f t="shared" si="0"/>
        <v>2.4170099034019465E-2</v>
      </c>
      <c r="AC8" s="24">
        <f t="shared" si="0"/>
        <v>2.9963099253459018E-2</v>
      </c>
      <c r="AD8" s="24">
        <f t="shared" si="0"/>
        <v>2.6910809080556798E-2</v>
      </c>
      <c r="AE8" s="25">
        <f t="shared" si="0"/>
        <v>2.790495413813689E-2</v>
      </c>
      <c r="AF8" s="24">
        <f t="shared" si="0"/>
        <v>2.7027481139570778E-2</v>
      </c>
      <c r="AG8" s="24">
        <f t="shared" si="0"/>
        <v>3.1950044549147523E-2</v>
      </c>
      <c r="AH8" s="24">
        <f t="shared" si="0"/>
        <v>2.6643174759023065E-2</v>
      </c>
      <c r="AI8" s="24">
        <f t="shared" si="0"/>
        <v>3.0741509688744853E-2</v>
      </c>
      <c r="AJ8" s="25">
        <f t="shared" si="0"/>
        <v>2.8988933674982616E-2</v>
      </c>
      <c r="AK8" s="24">
        <f t="shared" si="0"/>
        <v>2.8108734833214487E-2</v>
      </c>
      <c r="AL8" s="24">
        <f t="shared" si="0"/>
        <v>2.7661658549129008E-2</v>
      </c>
      <c r="AM8" s="24">
        <f t="shared" si="0"/>
        <v>2.7127878573857969E-2</v>
      </c>
      <c r="AN8" s="24">
        <f t="shared" si="0"/>
        <v>2.7773603957182612E-2</v>
      </c>
      <c r="AO8" s="25">
        <f t="shared" si="0"/>
        <v>2.769206824486958E-2</v>
      </c>
      <c r="AP8" s="24">
        <f t="shared" si="0"/>
        <v>2.9149933642427482E-2</v>
      </c>
      <c r="AQ8" s="24">
        <f t="shared" si="0"/>
        <v>2.7348175951794694E-2</v>
      </c>
      <c r="AR8" s="24">
        <f t="shared" si="0"/>
        <v>2.6543502522868322E-2</v>
      </c>
      <c r="AS8" s="24">
        <f t="shared" si="0"/>
        <v>3.0506738573586087E-2</v>
      </c>
      <c r="AT8" s="25">
        <f t="shared" si="0"/>
        <v>2.8606522358302477E-2</v>
      </c>
      <c r="AU8" s="24">
        <f t="shared" si="0"/>
        <v>2.5560525952667092E-2</v>
      </c>
      <c r="AV8" s="24">
        <f t="shared" si="0"/>
        <v>2.3985061048998634E-2</v>
      </c>
      <c r="AW8" s="24">
        <f t="shared" si="0"/>
        <v>2.6168950637476845E-2</v>
      </c>
      <c r="AX8" s="24">
        <f t="shared" ref="AX8:BU8" si="1">-AX7/AX$4</f>
        <v>2.5358573356980049E-2</v>
      </c>
      <c r="AY8" s="25">
        <f t="shared" si="1"/>
        <v>2.5267077936022307E-2</v>
      </c>
      <c r="AZ8" s="24">
        <f t="shared" si="1"/>
        <v>2.6024307523411561E-2</v>
      </c>
      <c r="BA8" s="24">
        <f t="shared" si="1"/>
        <v>2.5478136204048155E-2</v>
      </c>
      <c r="BB8" s="24">
        <f t="shared" si="1"/>
        <v>2.4287505293656416E-2</v>
      </c>
      <c r="BC8" s="24">
        <f t="shared" si="1"/>
        <v>2.8301322874182112E-2</v>
      </c>
      <c r="BD8" s="25">
        <f t="shared" si="1"/>
        <v>2.6007712574032737E-2</v>
      </c>
      <c r="BE8" s="24">
        <f t="shared" si="1"/>
        <v>2.5724252936711465E-2</v>
      </c>
      <c r="BF8" s="24">
        <f t="shared" si="1"/>
        <v>2.63065981083303E-2</v>
      </c>
      <c r="BG8" s="24">
        <f t="shared" si="1"/>
        <v>2.5311772769776881E-2</v>
      </c>
      <c r="BH8" s="24">
        <f t="shared" si="1"/>
        <v>2.5844211186704505E-2</v>
      </c>
      <c r="BI8" s="25">
        <f t="shared" si="1"/>
        <v>2.5790111557122696E-2</v>
      </c>
      <c r="BJ8" s="24">
        <f t="shared" si="1"/>
        <v>2.1800475100885473E-2</v>
      </c>
      <c r="BK8" s="24">
        <f t="shared" si="1"/>
        <v>2.6484104319709427E-2</v>
      </c>
      <c r="BL8" s="24">
        <f t="shared" si="1"/>
        <v>2.5287683886140114E-2</v>
      </c>
      <c r="BM8" s="24">
        <f t="shared" si="1"/>
        <v>2.9473667816125315E-2</v>
      </c>
      <c r="BN8" s="25">
        <f t="shared" si="1"/>
        <v>2.5838179878211211E-2</v>
      </c>
      <c r="BO8" s="24">
        <f t="shared" si="1"/>
        <v>2.5730990600627637E-2</v>
      </c>
      <c r="BP8" s="24">
        <f t="shared" si="1"/>
        <v>2.703998951407259E-2</v>
      </c>
      <c r="BQ8" s="24">
        <f t="shared" si="1"/>
        <v>2.8095787723902879E-2</v>
      </c>
      <c r="BR8" s="24">
        <f t="shared" si="1"/>
        <v>2.8786072742615937E-2</v>
      </c>
      <c r="BS8" s="25">
        <f t="shared" si="1"/>
        <v>2.7524723648508463E-2</v>
      </c>
      <c r="BT8" s="24">
        <f t="shared" si="1"/>
        <v>2.5804933186751932E-2</v>
      </c>
      <c r="BU8" s="24">
        <f t="shared" si="1"/>
        <v>2.7462040863357583E-2</v>
      </c>
      <c r="BV8" s="24">
        <f t="shared" ref="BV8:CB8" si="2">-BV7/BV$4</f>
        <v>2.7388280169924836E-2</v>
      </c>
      <c r="BW8" s="24">
        <f t="shared" si="2"/>
        <v>2.668371276037591E-2</v>
      </c>
      <c r="BX8" s="25">
        <f t="shared" si="2"/>
        <v>2.6871540668308647E-2</v>
      </c>
      <c r="BY8" s="24">
        <f t="shared" si="2"/>
        <v>2.5268959706334387E-2</v>
      </c>
      <c r="BZ8" s="24">
        <f t="shared" si="2"/>
        <v>2.8033080815885212E-2</v>
      </c>
      <c r="CA8" s="24">
        <f t="shared" si="2"/>
        <v>2.8715786860566413E-2</v>
      </c>
      <c r="CB8" s="24">
        <f t="shared" si="2"/>
        <v>2.4692787214786974E-2</v>
      </c>
      <c r="CC8" s="25">
        <f>-CC7/CC$4</f>
        <v>2.6470896642208329E-2</v>
      </c>
      <c r="CD8" s="24">
        <f t="shared" ref="CD8:CE8" si="3">-CD7/CD$4</f>
        <v>2.7037350586602834E-2</v>
      </c>
      <c r="CE8" s="24">
        <f t="shared" si="3"/>
        <v>2.6697953095465455E-2</v>
      </c>
      <c r="CF8" s="494">
        <v>2.5000000000000001E-2</v>
      </c>
      <c r="CG8" s="494">
        <v>2.5000000000000001E-2</v>
      </c>
      <c r="CH8" s="25">
        <f>-CH7/CH$4</f>
        <v>2.583277250541818E-2</v>
      </c>
      <c r="CI8" s="494">
        <v>2.0799999999999999E-2</v>
      </c>
      <c r="CJ8" s="494">
        <v>2.0799999999999999E-2</v>
      </c>
      <c r="CK8" s="494">
        <v>2.0799999999999999E-2</v>
      </c>
      <c r="CL8" s="494">
        <v>2.0799999999999999E-2</v>
      </c>
      <c r="CM8" s="25">
        <f>-CM7/CM$4</f>
        <v>2.0799999999999996E-2</v>
      </c>
      <c r="CN8" s="494">
        <v>2.0799999999999999E-2</v>
      </c>
      <c r="CO8" s="494">
        <v>2.0799999999999999E-2</v>
      </c>
      <c r="CP8" s="494">
        <v>2.0799999999999999E-2</v>
      </c>
      <c r="CQ8" s="494">
        <v>2.0799999999999999E-2</v>
      </c>
      <c r="CR8" s="25">
        <f>-CR7/CR$4</f>
        <v>2.0799999999999996E-2</v>
      </c>
      <c r="CS8" s="494">
        <v>2.0799999999999999E-2</v>
      </c>
      <c r="CT8" s="494">
        <v>2.0799999999999999E-2</v>
      </c>
      <c r="CU8" s="494">
        <v>2.0799999999999999E-2</v>
      </c>
      <c r="CV8" s="494">
        <v>2.0799999999999999E-2</v>
      </c>
      <c r="CW8" s="25">
        <f>-CW7/CW$4</f>
        <v>2.0799999999999999E-2</v>
      </c>
      <c r="CX8" s="494">
        <v>2.0799999999999999E-2</v>
      </c>
      <c r="CY8" s="494">
        <v>2.0799999999999999E-2</v>
      </c>
      <c r="CZ8" s="494">
        <v>2.0799999999999999E-2</v>
      </c>
      <c r="DA8" s="494">
        <v>2.0799999999999999E-2</v>
      </c>
      <c r="DB8" s="25">
        <f>-DB7/DB$4</f>
        <v>2.0799999999999999E-2</v>
      </c>
    </row>
    <row r="9" spans="1:106" ht="11.25" customHeight="1" x14ac:dyDescent="0.35">
      <c r="A9" s="167" t="s">
        <v>9</v>
      </c>
      <c r="B9" s="168">
        <f>B4+B7</f>
        <v>1132448</v>
      </c>
      <c r="C9" s="168">
        <f>C4+C7</f>
        <v>1205835</v>
      </c>
      <c r="D9" s="168">
        <f>D4+D7</f>
        <v>1162549</v>
      </c>
      <c r="E9" s="168">
        <f>E4+E7</f>
        <v>1389273</v>
      </c>
      <c r="F9" s="584">
        <f t="shared" ref="F9:F17" si="4">SUM(B9:E9)</f>
        <v>4890105</v>
      </c>
      <c r="G9" s="168">
        <f>G4+G7</f>
        <v>1200742</v>
      </c>
      <c r="H9" s="168">
        <f>H4+H7</f>
        <v>1382884</v>
      </c>
      <c r="I9" s="168">
        <f>I4+I7</f>
        <v>1559602</v>
      </c>
      <c r="J9" s="168">
        <f>J4+J7</f>
        <v>1983553</v>
      </c>
      <c r="K9" s="584">
        <f>SUM(G9:J9)</f>
        <v>6126781</v>
      </c>
      <c r="L9" s="168">
        <f>L4+L7</f>
        <v>1466343</v>
      </c>
      <c r="M9" s="168">
        <f>M4+M7</f>
        <v>1385263</v>
      </c>
      <c r="N9" s="168">
        <f>N4+N7</f>
        <v>1349952</v>
      </c>
      <c r="O9" s="168">
        <f>O4+O7</f>
        <v>1431121</v>
      </c>
      <c r="P9" s="169">
        <f>SUM(L9:O9)</f>
        <v>5632679</v>
      </c>
      <c r="Q9" s="168">
        <f>Q4+Q7</f>
        <v>1215370</v>
      </c>
      <c r="R9" s="168">
        <f>R4+R7</f>
        <v>1372419</v>
      </c>
      <c r="S9" s="168">
        <f>S4+S7</f>
        <v>1394448</v>
      </c>
      <c r="T9" s="168">
        <f>T4+T7</f>
        <v>1389645</v>
      </c>
      <c r="U9" s="169">
        <f>SUM(Q9:T9)</f>
        <v>5371882</v>
      </c>
      <c r="V9" s="168">
        <f>V4+V7</f>
        <v>1315362</v>
      </c>
      <c r="W9" s="168">
        <f>W4+W7</f>
        <v>1358331</v>
      </c>
      <c r="X9" s="168">
        <f>X4+X7</f>
        <v>1613696</v>
      </c>
      <c r="Y9" s="168">
        <f>Y4+Y7</f>
        <v>1530538</v>
      </c>
      <c r="Z9" s="584">
        <f>SUM(V9:Y9)</f>
        <v>5817927</v>
      </c>
      <c r="AA9" s="168">
        <f>AA4+AA7</f>
        <v>1035214</v>
      </c>
      <c r="AB9" s="168">
        <f>AB4+AB7</f>
        <v>1137683</v>
      </c>
      <c r="AC9" s="168">
        <f>AC4+AC7</f>
        <v>1137733</v>
      </c>
      <c r="AD9" s="168">
        <f>AD4+AD7</f>
        <v>1030554</v>
      </c>
      <c r="AE9" s="584">
        <f>SUM(AA9:AD9)</f>
        <v>4341184</v>
      </c>
      <c r="AF9" s="168">
        <f>AF4+AF7</f>
        <v>810706</v>
      </c>
      <c r="AG9" s="168">
        <f>AG4+AG7</f>
        <v>641033</v>
      </c>
      <c r="AH9" s="168">
        <f>AH4+AH7</f>
        <v>824807</v>
      </c>
      <c r="AI9" s="168">
        <f>AI4+AI7</f>
        <v>918764</v>
      </c>
      <c r="AJ9" s="584">
        <f>SUM(AF9:AI9)</f>
        <v>3195310</v>
      </c>
      <c r="AK9" s="168">
        <f>AK4+AK7</f>
        <v>692387</v>
      </c>
      <c r="AL9" s="168">
        <f>AL4+AL7</f>
        <v>574756</v>
      </c>
      <c r="AM9" s="168">
        <f>AM4+AM7</f>
        <v>597827</v>
      </c>
      <c r="AN9" s="168">
        <f>AN4+AN7</f>
        <v>808800</v>
      </c>
      <c r="AO9" s="584">
        <f>SUM(AK9:AN9)</f>
        <v>2673770</v>
      </c>
      <c r="AP9" s="168">
        <f>AP4+AP7</f>
        <v>450622</v>
      </c>
      <c r="AQ9" s="168">
        <f>AQ4+AQ7</f>
        <v>639539</v>
      </c>
      <c r="AR9" s="168">
        <f>AR4+AR7</f>
        <v>724825</v>
      </c>
      <c r="AS9" s="168">
        <f>AS4+AS7</f>
        <v>1077171</v>
      </c>
      <c r="AT9" s="169">
        <f>SUM(AP9:AS9)</f>
        <v>2892157</v>
      </c>
      <c r="AU9" s="168">
        <f>AU4+AU7</f>
        <v>826236</v>
      </c>
      <c r="AV9" s="168">
        <f>AV4+AV7</f>
        <v>936622</v>
      </c>
      <c r="AW9" s="168">
        <f>AW4+AW7</f>
        <v>934759</v>
      </c>
      <c r="AX9" s="168">
        <f>AX4+AX7</f>
        <v>1233206</v>
      </c>
      <c r="AY9" s="584">
        <f>SUM(AU9:AX9)</f>
        <v>3930823</v>
      </c>
      <c r="AZ9" s="168">
        <f>AZ4+AZ7</f>
        <v>764755</v>
      </c>
      <c r="BA9" s="168">
        <f>BA4+BA7</f>
        <v>838808</v>
      </c>
      <c r="BB9" s="168">
        <f>BB4+BB7</f>
        <v>1163503</v>
      </c>
      <c r="BC9" s="168">
        <f>BC4+BC7</f>
        <v>1056630</v>
      </c>
      <c r="BD9" s="584">
        <f>SUM(AZ9:BC9)</f>
        <v>3823696</v>
      </c>
      <c r="BE9" s="168">
        <f>BE4+BE7</f>
        <v>1003732</v>
      </c>
      <c r="BF9" s="168">
        <f>BF4+BF7</f>
        <v>1182019</v>
      </c>
      <c r="BG9" s="168">
        <f>BG4+BG7</f>
        <v>1288339</v>
      </c>
      <c r="BH9" s="168">
        <f>BH4+BH7</f>
        <v>1316743</v>
      </c>
      <c r="BI9" s="584">
        <f>SUM(BE9:BH9)</f>
        <v>4790833</v>
      </c>
      <c r="BJ9" s="168">
        <f>BJ4+BJ7</f>
        <v>1231652</v>
      </c>
      <c r="BK9" s="168">
        <f>BK4+BK7</f>
        <v>1250083</v>
      </c>
      <c r="BL9" s="168">
        <f>BL4+BL7</f>
        <v>1559644</v>
      </c>
      <c r="BM9" s="168">
        <f>BM4+BM7</f>
        <v>1370916</v>
      </c>
      <c r="BN9" s="584">
        <f>SUM(BJ9:BM9)</f>
        <v>5412295</v>
      </c>
      <c r="BO9" s="168">
        <f>BO4+BO7</f>
        <v>1283426</v>
      </c>
      <c r="BP9" s="168">
        <f>BP4+BP7</f>
        <v>1633055</v>
      </c>
      <c r="BQ9" s="168">
        <f>BQ4+BQ7</f>
        <v>1625987</v>
      </c>
      <c r="BR9" s="168">
        <f>BR4+BR7</f>
        <v>1710231</v>
      </c>
      <c r="BS9" s="584">
        <f>SUM(BO9:BR9)</f>
        <v>6252699</v>
      </c>
      <c r="BT9" s="168">
        <f>BT4+BT7</f>
        <v>1572911</v>
      </c>
      <c r="BU9" s="168">
        <f>BU4+BU7</f>
        <v>1856857</v>
      </c>
      <c r="BV9" s="168">
        <f>BV4+BV7</f>
        <v>2029651</v>
      </c>
      <c r="BW9" s="168">
        <f>BW4+BW7</f>
        <v>2506269</v>
      </c>
      <c r="BX9" s="584">
        <f>SUM(BT9:BW9)</f>
        <v>7965688</v>
      </c>
      <c r="BY9" s="585">
        <f>BY4+BY7</f>
        <v>1952744</v>
      </c>
      <c r="BZ9" s="585">
        <f>BZ4+BZ7</f>
        <v>2107130</v>
      </c>
      <c r="CA9" s="585">
        <f>CA4+CA7</f>
        <v>2128446</v>
      </c>
      <c r="CB9" s="168">
        <f>CB4+CB7</f>
        <v>3235174</v>
      </c>
      <c r="CC9" s="169">
        <f>SUM(BY9:CB9)</f>
        <v>9423494</v>
      </c>
      <c r="CD9" s="585">
        <f>CD4+CD7</f>
        <v>2025033</v>
      </c>
      <c r="CE9" s="585">
        <f>CE4+CE7</f>
        <v>2480871</v>
      </c>
      <c r="CF9" s="168">
        <f>CF4+CF7</f>
        <v>2657052.940978297</v>
      </c>
      <c r="CG9" s="168">
        <f>CG4+CG7</f>
        <v>2860137.0024875589</v>
      </c>
      <c r="CH9" s="169">
        <f>SUM(CD9:CG9)</f>
        <v>10023093.943465855</v>
      </c>
      <c r="CI9" s="168">
        <f>CI4+CI7</f>
        <v>2694798.6971245161</v>
      </c>
      <c r="CJ9" s="168">
        <f>CJ4+CJ7</f>
        <v>2747298.0839066701</v>
      </c>
      <c r="CK9" s="168">
        <f>CK4+CK7</f>
        <v>2886899.807844189</v>
      </c>
      <c r="CL9" s="168">
        <f>CL4+CL7</f>
        <v>3044761.8561666487</v>
      </c>
      <c r="CM9" s="169">
        <f>SUM(CI9:CL9)</f>
        <v>11373758.445042023</v>
      </c>
      <c r="CN9" s="168">
        <f>CN4+CN7</f>
        <v>3029026.005390639</v>
      </c>
      <c r="CO9" s="168">
        <f>CO4+CO7</f>
        <v>3062946.9316010061</v>
      </c>
      <c r="CP9" s="168">
        <f>CP4+CP7</f>
        <v>3188256.7305581947</v>
      </c>
      <c r="CQ9" s="168">
        <f>CQ4+CQ7</f>
        <v>3403320.422835575</v>
      </c>
      <c r="CR9" s="169">
        <f>SUM(CN9:CQ9)</f>
        <v>12683550.090385415</v>
      </c>
      <c r="CS9" s="168">
        <f>CS4+CS7</f>
        <v>3320652.1640331033</v>
      </c>
      <c r="CT9" s="168">
        <f>CT4+CT7</f>
        <v>3337818.6020172318</v>
      </c>
      <c r="CU9" s="168">
        <f>CU4+CU7</f>
        <v>3451911.1368837603</v>
      </c>
      <c r="CV9" s="168">
        <f>CV4+CV7</f>
        <v>3663365.7076898087</v>
      </c>
      <c r="CW9" s="169">
        <f>SUM(CS9:CV9)</f>
        <v>13773747.610623904</v>
      </c>
      <c r="CX9" s="168">
        <f>CX4+CX7</f>
        <v>3573478.6306899507</v>
      </c>
      <c r="CY9" s="168">
        <f>CY4+CY7</f>
        <v>3581279.0867145206</v>
      </c>
      <c r="CZ9" s="168">
        <f>CZ4+CZ7</f>
        <v>3693712.767571684</v>
      </c>
      <c r="DA9" s="168">
        <f>DA4+DA7</f>
        <v>3905627.5036456524</v>
      </c>
      <c r="DB9" s="169">
        <f>SUM(CX9:DA9)</f>
        <v>14754097.988621809</v>
      </c>
    </row>
    <row r="10" spans="1:106" ht="11.25" customHeight="1" x14ac:dyDescent="0.35">
      <c r="A10" s="16" t="s">
        <v>10</v>
      </c>
      <c r="B10" s="160">
        <f>B11+B13+B14</f>
        <v>-737831</v>
      </c>
      <c r="C10" s="160">
        <f>C11+C13+C14</f>
        <v>-812794</v>
      </c>
      <c r="D10" s="160">
        <f>D11+D13+D14</f>
        <v>-753585</v>
      </c>
      <c r="E10" s="160">
        <f>E11+E13+E14</f>
        <v>-1049265</v>
      </c>
      <c r="F10" s="18">
        <f t="shared" si="4"/>
        <v>-3353475</v>
      </c>
      <c r="G10" s="160">
        <f>G11+G13+G14</f>
        <v>-872029</v>
      </c>
      <c r="H10" s="160">
        <f>H11+H13+H14</f>
        <v>-1000388</v>
      </c>
      <c r="I10" s="160">
        <f>I11+I13+I14</f>
        <v>-1113641</v>
      </c>
      <c r="J10" s="160">
        <f>J11+J13+J14</f>
        <v>-1407233</v>
      </c>
      <c r="K10" s="18">
        <f>SUM(G10:J10)</f>
        <v>-4393291</v>
      </c>
      <c r="L10" s="160">
        <f>L11+L13+L14</f>
        <v>-1006468</v>
      </c>
      <c r="M10" s="160">
        <f>M11+M13+M14</f>
        <v>-973692</v>
      </c>
      <c r="N10" s="160">
        <f>N11+N13+N14</f>
        <v>-921666</v>
      </c>
      <c r="O10" s="160">
        <f>O11+O13+O14</f>
        <v>-912041</v>
      </c>
      <c r="P10" s="18">
        <f t="shared" ref="P10:P18" si="5">SUM(L10:O10)</f>
        <v>-3813867</v>
      </c>
      <c r="Q10" s="160">
        <f>Q11+Q13+Q14</f>
        <v>-818350</v>
      </c>
      <c r="R10" s="160">
        <f>R11+R13+R14</f>
        <v>-924645</v>
      </c>
      <c r="S10" s="160">
        <f>S11+S13+S14</f>
        <v>-937198</v>
      </c>
      <c r="T10" s="160">
        <f>T11+T13+T14</f>
        <v>-932400</v>
      </c>
      <c r="U10" s="18">
        <f t="shared" ref="U10:U18" si="6">SUM(Q10:T10)</f>
        <v>-3612593</v>
      </c>
      <c r="V10" s="160">
        <f>V11+V13+V14</f>
        <v>-877707</v>
      </c>
      <c r="W10" s="160">
        <f>W11+W13+W14</f>
        <v>-904779</v>
      </c>
      <c r="X10" s="160">
        <f>X11+X13+X14</f>
        <v>-1130965</v>
      </c>
      <c r="Y10" s="160">
        <f>Y11+Y13+Y14</f>
        <v>-1035730</v>
      </c>
      <c r="Z10" s="18">
        <f t="shared" ref="Z10:Z18" si="7">SUM(V10:Y10)</f>
        <v>-3949181</v>
      </c>
      <c r="AA10" s="160">
        <f>AA11+AA13+AA14</f>
        <v>-674603</v>
      </c>
      <c r="AB10" s="160">
        <f>AB11+AB13+AB14</f>
        <v>-738627</v>
      </c>
      <c r="AC10" s="160">
        <f>AC11+AC13+AC14</f>
        <v>-743219</v>
      </c>
      <c r="AD10" s="160">
        <f>AD11+AD13+AD14</f>
        <v>-681656</v>
      </c>
      <c r="AE10" s="18">
        <f t="shared" ref="AE10:AE18" si="8">SUM(AA10:AD10)</f>
        <v>-2838105</v>
      </c>
      <c r="AF10" s="160">
        <f>AF11+AF13+AF14</f>
        <v>-528445</v>
      </c>
      <c r="AG10" s="160">
        <f>AG11+AG13+AG14</f>
        <v>-387103</v>
      </c>
      <c r="AH10" s="160">
        <f>AH11+AH13+AH14</f>
        <v>-563386</v>
      </c>
      <c r="AI10" s="160">
        <f>AI11+AI13+AI14</f>
        <v>-653853</v>
      </c>
      <c r="AJ10" s="18">
        <f t="shared" ref="AJ10:AJ18" si="9">SUM(AF10:AI10)</f>
        <v>-2132787</v>
      </c>
      <c r="AK10" s="160">
        <f>AK11+AK13+AK14</f>
        <v>-477370</v>
      </c>
      <c r="AL10" s="160">
        <f>AL11+AL13+AL14</f>
        <v>-421167</v>
      </c>
      <c r="AM10" s="160">
        <f>AM11+AM13+AM14</f>
        <v>-450495</v>
      </c>
      <c r="AN10" s="160">
        <f>AN11+AN13+AN14</f>
        <v>-590225</v>
      </c>
      <c r="AO10" s="18">
        <f t="shared" ref="AO10:AO18" si="10">SUM(AK10:AN10)</f>
        <v>-1939257</v>
      </c>
      <c r="AP10" s="160">
        <f>AP11+AP13+AP14</f>
        <v>-325839</v>
      </c>
      <c r="AQ10" s="160">
        <f>AQ11+AQ13+AQ14</f>
        <v>-468242</v>
      </c>
      <c r="AR10" s="160">
        <f>AR11+AR13+AR14</f>
        <v>-520049</v>
      </c>
      <c r="AS10" s="160">
        <f>AS11+AS13+AS14</f>
        <v>-763100</v>
      </c>
      <c r="AT10" s="18">
        <f t="shared" ref="AT10:AT18" si="11">SUM(AP10:AS10)</f>
        <v>-2077230</v>
      </c>
      <c r="AU10" s="160">
        <f>AU11+AU13+AU14</f>
        <v>-577347</v>
      </c>
      <c r="AV10" s="160">
        <f>AV11+AV13+AV14</f>
        <v>-643662</v>
      </c>
      <c r="AW10" s="160">
        <f>AW11+AW13+AW14</f>
        <v>-645832</v>
      </c>
      <c r="AX10" s="160">
        <f>AX11+AX13+AX14</f>
        <v>-848268</v>
      </c>
      <c r="AY10" s="18">
        <f t="shared" ref="AY10:AY18" si="12">SUM(AU10:AX10)</f>
        <v>-2715109</v>
      </c>
      <c r="AZ10" s="160">
        <f>AZ11+AZ13+AZ14</f>
        <v>-503900</v>
      </c>
      <c r="BA10" s="160">
        <f>BA11+BA13+BA14</f>
        <v>-563937</v>
      </c>
      <c r="BB10" s="160">
        <f>BB11+BB13+BB14</f>
        <v>-784922</v>
      </c>
      <c r="BC10" s="160">
        <f>BC11+BC13+BC14</f>
        <v>-720554</v>
      </c>
      <c r="BD10" s="18">
        <f t="shared" ref="BD10:BD18" si="13">SUM(AZ10:BC10)</f>
        <v>-2573313</v>
      </c>
      <c r="BE10" s="160">
        <f>BE11+BE13+BE14</f>
        <v>-657192</v>
      </c>
      <c r="BF10" s="160">
        <f>BF11+BF13+BF14</f>
        <v>-749735</v>
      </c>
      <c r="BG10" s="160">
        <f>BG11+BG13+BG14</f>
        <v>-841443</v>
      </c>
      <c r="BH10" s="160">
        <f>BH11+BH13+BH14</f>
        <v>-876643</v>
      </c>
      <c r="BI10" s="18">
        <f t="shared" ref="BI10:BI18" si="14">SUM(BE10:BH10)</f>
        <v>-3125013</v>
      </c>
      <c r="BJ10" s="160">
        <f>BJ11+BJ13+BJ14</f>
        <v>-848102</v>
      </c>
      <c r="BK10" s="160">
        <f>BK11+BK13+BK14</f>
        <v>-858752</v>
      </c>
      <c r="BL10" s="160">
        <f>BL11+BL13+BL14</f>
        <v>-1031260</v>
      </c>
      <c r="BM10" s="160">
        <f>BM11+BM13+BM14</f>
        <v>-940219</v>
      </c>
      <c r="BN10" s="18">
        <f t="shared" ref="BN10:BN18" si="15">SUM(BJ10:BM10)</f>
        <v>-3678333</v>
      </c>
      <c r="BO10" s="160">
        <f>BO11+BO13+BO14</f>
        <v>-888959</v>
      </c>
      <c r="BP10" s="160">
        <f>BP11+BP13+BP14</f>
        <v>-1105967</v>
      </c>
      <c r="BQ10" s="160">
        <f>BQ11+BQ13+BQ14</f>
        <v>-1080523</v>
      </c>
      <c r="BR10" s="160">
        <f>BR11+BR13+BR14</f>
        <v>-1133651</v>
      </c>
      <c r="BS10" s="18">
        <f t="shared" ref="BS10:BS18" si="16">SUM(BO10:BR10)</f>
        <v>-4209100</v>
      </c>
      <c r="BT10" s="160">
        <f>BT11+BT13+BT14</f>
        <v>-1079389</v>
      </c>
      <c r="BU10" s="160">
        <f>BU11+BU13+BU14</f>
        <v>-1246830</v>
      </c>
      <c r="BV10" s="160">
        <f>BV11+BV13+BV14</f>
        <v>-1353486</v>
      </c>
      <c r="BW10" s="160">
        <f>BW11+BW13+BW14</f>
        <v>-1706118</v>
      </c>
      <c r="BX10" s="18">
        <f t="shared" ref="BX10:BX18" si="17">SUM(BT10:BW10)</f>
        <v>-5385823</v>
      </c>
      <c r="BY10" s="160">
        <f>BY11+BY13+BY14</f>
        <v>-1318405</v>
      </c>
      <c r="BZ10" s="160">
        <f>BZ11+BZ13+BZ14</f>
        <v>-1417294</v>
      </c>
      <c r="CA10" s="160">
        <f>CA11+CA13+CA14</f>
        <v>-1426032</v>
      </c>
      <c r="CB10" s="160">
        <f>CB11+CB13+CB14</f>
        <v>-2191794</v>
      </c>
      <c r="CC10" s="18">
        <f t="shared" ref="CC10:CC18" si="18">SUM(BY10:CB10)</f>
        <v>-6353525</v>
      </c>
      <c r="CD10" s="160">
        <f>CD11+CD13+CD14</f>
        <v>-1359107</v>
      </c>
      <c r="CE10" s="160">
        <f>CE11+CE13+CE14</f>
        <v>-1627952</v>
      </c>
      <c r="CF10" s="160">
        <f>CF11+CF13+CF14</f>
        <v>-1759307.736364512</v>
      </c>
      <c r="CG10" s="160">
        <f>CG11+CG13+CG14</f>
        <v>-1894204.8944819805</v>
      </c>
      <c r="CH10" s="18">
        <f t="shared" ref="CH10:CH18" si="19">SUM(CD10:CG10)</f>
        <v>-6640571.630846492</v>
      </c>
      <c r="CI10" s="160">
        <f>CI11+CI13+CI14</f>
        <v>-1774990.6617383678</v>
      </c>
      <c r="CJ10" s="160">
        <f>CJ11+CJ13+CJ14</f>
        <v>-1812335.4023244523</v>
      </c>
      <c r="CK10" s="160">
        <f>CK11+CK13+CK14</f>
        <v>-1907188.6784540657</v>
      </c>
      <c r="CL10" s="160">
        <f>CL11+CL13+CL14</f>
        <v>-2013734.0915155578</v>
      </c>
      <c r="CM10" s="18">
        <f t="shared" ref="CM10:CM18" si="20">SUM(CI10:CL10)</f>
        <v>-7508248.8340324434</v>
      </c>
      <c r="CN10" s="160">
        <f>CN11+CN13+CN14</f>
        <v>-2000760.8378382626</v>
      </c>
      <c r="CO10" s="160">
        <f>CO11+CO13+CO14</f>
        <v>-2025160.9934891122</v>
      </c>
      <c r="CP10" s="160">
        <f>CP11+CP13+CP14</f>
        <v>-2111089.1838094094</v>
      </c>
      <c r="CQ10" s="160">
        <f>CQ11+CQ13+CQ14</f>
        <v>-2258153.8081848025</v>
      </c>
      <c r="CR10" s="18">
        <f t="shared" ref="CR10:CR18" si="21">SUM(CN10:CQ10)</f>
        <v>-8395164.8233215865</v>
      </c>
      <c r="CS10" s="160">
        <f>CS11+CS13+CS14</f>
        <v>-2203657.8899714709</v>
      </c>
      <c r="CT10" s="160">
        <f>CT11+CT13+CT14</f>
        <v>-2214817.0886860127</v>
      </c>
      <c r="CU10" s="160">
        <f>CU11+CU13+CU14</f>
        <v>-2291616.2386838892</v>
      </c>
      <c r="CV10" s="160">
        <f>CV11+CV13+CV14</f>
        <v>-2435550.0225020596</v>
      </c>
      <c r="CW10" s="18">
        <f t="shared" ref="CW10:CW18" si="22">SUM(CS10:CV10)</f>
        <v>-9145641.2398434319</v>
      </c>
      <c r="CX10" s="160">
        <f>CX11+CX13+CX14</f>
        <v>-2372527.4668253507</v>
      </c>
      <c r="CY10" s="160">
        <f>CY11+CY13+CY14</f>
        <v>-2377266.3830853994</v>
      </c>
      <c r="CZ10" s="160">
        <f>CZ11+CZ13+CZ14</f>
        <v>-2452929.4087446919</v>
      </c>
      <c r="DA10" s="160">
        <f>DA11+DA13+DA14</f>
        <v>-2597142.9634657344</v>
      </c>
      <c r="DB10" s="18">
        <f t="shared" ref="DB10:DB18" si="23">SUM(CX10:DA10)</f>
        <v>-9799866.2221211754</v>
      </c>
    </row>
    <row r="11" spans="1:106" ht="11.25" customHeight="1" x14ac:dyDescent="0.35">
      <c r="A11" s="162" t="s">
        <v>74</v>
      </c>
      <c r="B11" s="397">
        <f>-720668-8588-B13</f>
        <v>-719706</v>
      </c>
      <c r="C11" s="397">
        <f>-788554-11417-C13</f>
        <v>-780649</v>
      </c>
      <c r="D11" s="397">
        <f>-733569-6811-D13</f>
        <v>-723289</v>
      </c>
      <c r="E11" s="397">
        <f>-1022857-6899-E13</f>
        <v>-979524</v>
      </c>
      <c r="F11" s="20">
        <f t="shared" si="4"/>
        <v>-3203168</v>
      </c>
      <c r="G11" s="397">
        <f>-872029-G13-G14</f>
        <v>-814297</v>
      </c>
      <c r="H11" s="397">
        <f>-1822675-11542-G11-G13-H13</f>
        <v>-938469</v>
      </c>
      <c r="I11" s="397">
        <f>-2913877-14933-G11-H11-G13-H13-I13</f>
        <v>-1033848</v>
      </c>
      <c r="J11" s="397">
        <f>-4307266-23111-G11-H11-I11-SUM(G13:J13)</f>
        <v>-1351567</v>
      </c>
      <c r="K11" s="20">
        <f>SUM(G11:J11)</f>
        <v>-4138181</v>
      </c>
      <c r="L11" s="397">
        <f>-1948429-2281-M11-L13-M13</f>
        <v>-953589</v>
      </c>
      <c r="M11" s="397">
        <f>-954640-1681-M13</f>
        <v>-920832</v>
      </c>
      <c r="N11" s="397">
        <f>-921666-N13-N14</f>
        <v>-869668</v>
      </c>
      <c r="O11" s="397">
        <f>-3752076-7039-L11-M11-N11-SUM(L13:O13)</f>
        <v>-836719</v>
      </c>
      <c r="P11" s="20">
        <f t="shared" si="5"/>
        <v>-3580808</v>
      </c>
      <c r="Q11" s="397">
        <f>-1706950-9638-R11-Q13-R13</f>
        <v>-776189</v>
      </c>
      <c r="R11" s="397">
        <f>-906964-3456-R13</f>
        <v>-878136</v>
      </c>
      <c r="S11" s="397">
        <f>-937198-S13-S14</f>
        <v>-872421</v>
      </c>
      <c r="T11" s="397">
        <f>-3612593-SUM(Q11:S11)-SUM(Q13:T13)-SUM(Q14:T14)</f>
        <v>-840276</v>
      </c>
      <c r="U11" s="20">
        <f t="shared" si="6"/>
        <v>-3367022</v>
      </c>
      <c r="V11" s="397">
        <f>-860370-6154-V13</f>
        <v>-817972</v>
      </c>
      <c r="W11" s="397">
        <f>-888975-5318-W13</f>
        <v>-841556</v>
      </c>
      <c r="X11" s="397">
        <f>-1130965-X13-X14</f>
        <v>-1065415</v>
      </c>
      <c r="Y11" s="397">
        <f>-3949181-SUM(V11:X11)-SUM(V13:Y13)-SUM(V14:Y14)</f>
        <v>-971255</v>
      </c>
      <c r="Z11" s="20">
        <f t="shared" si="7"/>
        <v>-3696198</v>
      </c>
      <c r="AA11" s="397">
        <f>-649099-14345-AA13</f>
        <v>-619379</v>
      </c>
      <c r="AB11" s="397">
        <f>-723129-8237-AB13</f>
        <v>-690531</v>
      </c>
      <c r="AC11" s="397">
        <f>-743219-AC13-AC14</f>
        <v>-693061</v>
      </c>
      <c r="AD11" s="397">
        <f>-2838105-SUM(AA11:AC11)-SUM(AA13:AD13)-SUM(AA14:AD14)</f>
        <v>-628303</v>
      </c>
      <c r="AE11" s="20">
        <f t="shared" si="8"/>
        <v>-2631274</v>
      </c>
      <c r="AF11" s="397">
        <f>-508878-8982-AF13</f>
        <v>-467503</v>
      </c>
      <c r="AG11" s="397">
        <f>-355863-9166-AG13</f>
        <v>-316982</v>
      </c>
      <c r="AH11" s="397">
        <f>-563386-AH13-AH14</f>
        <v>-501053</v>
      </c>
      <c r="AI11" s="397">
        <f>-2132787-SUM(AF11:AH11)-SUM(AF13:AI13)-SUM(AF14:AI14)</f>
        <v>-599914</v>
      </c>
      <c r="AJ11" s="20">
        <f t="shared" si="9"/>
        <v>-1885452</v>
      </c>
      <c r="AK11" s="397">
        <f>-463095-6748-AK13</f>
        <v>-424962</v>
      </c>
      <c r="AL11" s="397">
        <f>-410665-7135-AL13</f>
        <v>-369701</v>
      </c>
      <c r="AM11" s="397">
        <f>-450495-AM13-AM14</f>
        <v>-407556</v>
      </c>
      <c r="AN11" s="397">
        <f>-1939257-SUM(AK11:AM11)-SUM(AK13:AN13)-SUM(AK14:AN14)</f>
        <v>-545529</v>
      </c>
      <c r="AO11" s="20">
        <f t="shared" si="10"/>
        <v>-1747748</v>
      </c>
      <c r="AP11" s="397">
        <f>-317073-6374-AP13</f>
        <v>-297842</v>
      </c>
      <c r="AQ11" s="397">
        <f>-458811-5796-AQ13</f>
        <v>-435627</v>
      </c>
      <c r="AR11" s="397">
        <f>-520049-AR13-AR14</f>
        <v>-481284</v>
      </c>
      <c r="AS11" s="397">
        <f>-2311230-SUM(AP11:AR11)-SUM(AP13:AS13)-SUM(AP14:AS14)+167000+67000</f>
        <v>-735041</v>
      </c>
      <c r="AT11" s="20">
        <f t="shared" si="11"/>
        <v>-1949794</v>
      </c>
      <c r="AU11" s="397">
        <f>-577017-6070+10468-AU13</f>
        <v>-548776</v>
      </c>
      <c r="AV11" s="397">
        <f>-643682-5751+8996-AV13</f>
        <v>-622178</v>
      </c>
      <c r="AW11" s="397">
        <f>-608648-5030-30212-AW13</f>
        <v>-623728</v>
      </c>
      <c r="AX11" s="397">
        <f>-2715109-SUM(AU11:AW11)-SUM(AU13:AX13)-SUM(AU14:AX14)</f>
        <v>-823979</v>
      </c>
      <c r="AY11" s="20">
        <f t="shared" si="12"/>
        <v>-2618661</v>
      </c>
      <c r="AZ11" s="397">
        <f>-469844-5517-24451-AZ13</f>
        <v>-488169</v>
      </c>
      <c r="BA11" s="397">
        <f>-535625-2042-12517-BA13</f>
        <v>-533358</v>
      </c>
      <c r="BB11" s="397">
        <f>-756657-13129-6433-BB13</f>
        <v>-757962</v>
      </c>
      <c r="BC11" s="397">
        <f>-2573313-SUM(AZ11:BB11)-SUM(AZ13:BC13)-SUM(AZ14:BC14)</f>
        <v>-690696</v>
      </c>
      <c r="BD11" s="20">
        <f t="shared" si="13"/>
        <v>-2470185</v>
      </c>
      <c r="BE11" s="397">
        <f>-668863-8491+32132-BE13</f>
        <v>-636211</v>
      </c>
      <c r="BF11" s="397">
        <f>-729733-9928+5283-BF13</f>
        <v>-724002</v>
      </c>
      <c r="BG11" s="397">
        <f>-812566-4618-2520-BG13</f>
        <v>-808109</v>
      </c>
      <c r="BH11" s="397">
        <f>-3125013-SUM(BE11:BG11)-SUM(BE13:BH13)-SUM(BE14:BH14)</f>
        <v>-846902</v>
      </c>
      <c r="BI11" s="20">
        <f t="shared" si="14"/>
        <v>-3015224</v>
      </c>
      <c r="BJ11" s="397">
        <f>-852833-1569+23103-BJ13</f>
        <v>-815032</v>
      </c>
      <c r="BK11" s="397">
        <f>-815979-3365-16232-BK13</f>
        <v>-816065</v>
      </c>
      <c r="BL11" s="397">
        <f>-1002666-736-5819-BL13</f>
        <v>-986430</v>
      </c>
      <c r="BM11" s="397">
        <f>-3678333-SUM(BJ11:BL11)-SUM(BJ13:BM13)-SUM(BJ14:BM14)</f>
        <v>-902868</v>
      </c>
      <c r="BN11" s="20">
        <f t="shared" si="15"/>
        <v>-3520395</v>
      </c>
      <c r="BO11" s="397">
        <f>-888554-284+9962-BO13</f>
        <v>-854201</v>
      </c>
      <c r="BP11" s="397">
        <f>-1979270-547+1850-SUM(BO13:BP13)-BO11</f>
        <v>-1068710</v>
      </c>
      <c r="BQ11" s="397">
        <f>-3045353-843-8169-SUM(BO13:BQ13)-SUM(BO11:BP11)</f>
        <v>-1046397</v>
      </c>
      <c r="BR11" s="397">
        <f>-4209100-SUM(BO11:BQ11)-SUM(BO13:BR13)-SUM(BO14:BR14)</f>
        <v>-1097346</v>
      </c>
      <c r="BS11" s="20">
        <f t="shared" si="16"/>
        <v>-4066654</v>
      </c>
      <c r="BT11" s="397">
        <f>-1099469-734+32389-BT13</f>
        <v>-1040695</v>
      </c>
      <c r="BU11" s="397">
        <f>-2326156-841+20515-SUM(BT13:BU13)-BT11</f>
        <v>-1203470</v>
      </c>
      <c r="BV11" s="397">
        <f>-3680152-480+29360-SUM(BT13:BV13)-SUM(BT11:BU11)</f>
        <v>-1308936</v>
      </c>
      <c r="BW11" s="397">
        <f>-5385823-SUM(BT11:BV11)-SUM(BT13:BW13)-SUM(BT14:BW14)</f>
        <v>-1662991</v>
      </c>
      <c r="BX11" s="20">
        <f t="shared" si="17"/>
        <v>-5216092</v>
      </c>
      <c r="BY11" s="397">
        <f>-1371838+103+63476-BY13</f>
        <v>-1271764</v>
      </c>
      <c r="BZ11" s="397">
        <f>-2741584+532+19610-SUM(BY13:BZ13)-BY11</f>
        <v>-1367612</v>
      </c>
      <c r="CA11" s="397">
        <f>-4073434-55402-13316-BZ11-BY11-CA13-BZ13-BY13</f>
        <v>-1372087</v>
      </c>
      <c r="CB11" s="397">
        <f>-6353525-SUM(BY11:CA11)-SUM(BY13:CB13)-SUM(BY14:CB14)</f>
        <v>-2141389</v>
      </c>
      <c r="CC11" s="20">
        <f t="shared" si="18"/>
        <v>-6152852</v>
      </c>
      <c r="CD11" s="397">
        <f>-1387597-7626+43725-CD13</f>
        <v>-1286258</v>
      </c>
      <c r="CE11" s="397">
        <f>-2996523-10945+35263-SUM(CD13:CE13)-CD11</f>
        <v>-1547952</v>
      </c>
      <c r="CF11" s="23">
        <f>-(1-CF12)*CF5</f>
        <v>-1705336.8231786136</v>
      </c>
      <c r="CG11" s="23">
        <f>-(1-CG12)*CG5</f>
        <v>-1834947.9725649753</v>
      </c>
      <c r="CH11" s="20">
        <f t="shared" si="19"/>
        <v>-6374494.7957435884</v>
      </c>
      <c r="CI11" s="23">
        <f>-(1-CI12)*CI5</f>
        <v>-1726783.4068791908</v>
      </c>
      <c r="CJ11" s="23">
        <f>-(1-CJ12)*CJ5</f>
        <v>-1760741.3610965612</v>
      </c>
      <c r="CK11" s="23">
        <f>-(1-CK12)*CK5</f>
        <v>-1850633.7846286299</v>
      </c>
      <c r="CL11" s="23">
        <f>-(1-CL12)*CL5</f>
        <v>-1952239.6750907828</v>
      </c>
      <c r="CM11" s="20">
        <f t="shared" si="20"/>
        <v>-7290398.2276951652</v>
      </c>
      <c r="CN11" s="23">
        <f>-(1-CN12)*CN5</f>
        <v>-1948356.1623042696</v>
      </c>
      <c r="CO11" s="23">
        <f>-(1-CO12)*CO5</f>
        <v>-1971094.2438828626</v>
      </c>
      <c r="CP11" s="23">
        <f>-(1-CP12)*CP5</f>
        <v>-2052949.1726034118</v>
      </c>
      <c r="CQ11" s="23">
        <f>-(1-CQ12)*CQ5</f>
        <v>-2192848.4623149587</v>
      </c>
      <c r="CR11" s="20">
        <f t="shared" si="21"/>
        <v>-8165248.0411055023</v>
      </c>
      <c r="CS11" s="23">
        <f>-(1-CS12)*CS5</f>
        <v>-2140428.6833249386</v>
      </c>
      <c r="CT11" s="23">
        <f>-(1-CT12)*CT5</f>
        <v>-2152106.8730351231</v>
      </c>
      <c r="CU11" s="23">
        <f>-(1-CU12)*CU5</f>
        <v>-2226492.8897840162</v>
      </c>
      <c r="CV11" s="23">
        <f>-(1-CV12)*CV5</f>
        <v>-2363859.0864664293</v>
      </c>
      <c r="CW11" s="20">
        <f t="shared" si="22"/>
        <v>-8882887.5326105077</v>
      </c>
      <c r="CX11" s="23">
        <f>-(1-CX12)*CX5</f>
        <v>-2306141.8264791998</v>
      </c>
      <c r="CY11" s="23">
        <f>-(1-CY12)*CY5</f>
        <v>-2311656.4577666931</v>
      </c>
      <c r="CZ11" s="23">
        <f>-(1-CZ12)*CZ5</f>
        <v>-2384865.0689901127</v>
      </c>
      <c r="DA11" s="23">
        <f>-(1-DA12)*DA5</f>
        <v>-2522426.7470159302</v>
      </c>
      <c r="DB11" s="20">
        <f t="shared" si="23"/>
        <v>-9525090.1002519373</v>
      </c>
    </row>
    <row r="12" spans="1:106" ht="11.25" customHeight="1" outlineLevel="1" x14ac:dyDescent="0.35">
      <c r="A12" s="199" t="s">
        <v>212</v>
      </c>
      <c r="B12" s="164">
        <f t="shared" ref="B12:AG12" si="24">(1+B11/B5)</f>
        <v>0.37883928409601886</v>
      </c>
      <c r="C12" s="164">
        <f t="shared" si="24"/>
        <v>0.35928190893444423</v>
      </c>
      <c r="D12" s="164">
        <f t="shared" si="24"/>
        <v>0.38995334965659578</v>
      </c>
      <c r="E12" s="164">
        <f t="shared" si="24"/>
        <v>0.30720559257755642</v>
      </c>
      <c r="F12" s="25">
        <f t="shared" si="24"/>
        <v>0.35634728256359283</v>
      </c>
      <c r="G12" s="164">
        <f t="shared" si="24"/>
        <v>0.33569670522952122</v>
      </c>
      <c r="H12" s="164">
        <f t="shared" si="24"/>
        <v>0.33557129658145979</v>
      </c>
      <c r="I12" s="164">
        <f t="shared" si="24"/>
        <v>0.3485117543490398</v>
      </c>
      <c r="J12" s="164">
        <f t="shared" si="24"/>
        <v>0.33795817121909089</v>
      </c>
      <c r="K12" s="25">
        <f t="shared" si="24"/>
        <v>0.33965031721089944</v>
      </c>
      <c r="L12" s="164">
        <f t="shared" si="24"/>
        <v>0.36662845316344039</v>
      </c>
      <c r="M12" s="164">
        <f t="shared" si="24"/>
        <v>0.34888930371476568</v>
      </c>
      <c r="N12" s="164">
        <f t="shared" si="24"/>
        <v>0.37646139396155531</v>
      </c>
      <c r="O12" s="164">
        <f t="shared" si="24"/>
        <v>0.40294063079777365</v>
      </c>
      <c r="P12" s="25">
        <f t="shared" si="24"/>
        <v>0.37354149456066299</v>
      </c>
      <c r="Q12" s="164">
        <f t="shared" si="24"/>
        <v>0.37097259129414373</v>
      </c>
      <c r="R12" s="164">
        <f t="shared" si="24"/>
        <v>0.36814884050243812</v>
      </c>
      <c r="S12" s="164">
        <f t="shared" si="24"/>
        <v>0.38310538574784292</v>
      </c>
      <c r="T12" s="164">
        <f t="shared" si="24"/>
        <v>0.40423534616737189</v>
      </c>
      <c r="U12" s="25">
        <f t="shared" si="24"/>
        <v>0.3820122884594348</v>
      </c>
      <c r="V12" s="164">
        <f t="shared" si="24"/>
        <v>0.38747775973928722</v>
      </c>
      <c r="W12" s="164">
        <f t="shared" si="24"/>
        <v>0.39045817256816961</v>
      </c>
      <c r="X12" s="164">
        <f t="shared" si="24"/>
        <v>0.33726073701490367</v>
      </c>
      <c r="Y12" s="164">
        <f t="shared" si="24"/>
        <v>0.37683419929140716</v>
      </c>
      <c r="Z12" s="25">
        <f t="shared" si="24"/>
        <v>0.37163299348478163</v>
      </c>
      <c r="AA12" s="164">
        <f t="shared" si="24"/>
        <v>0.41237897812711977</v>
      </c>
      <c r="AB12" s="164">
        <f t="shared" si="24"/>
        <v>0.40312212325126096</v>
      </c>
      <c r="AC12" s="164">
        <f t="shared" si="24"/>
        <v>0.40469979497019892</v>
      </c>
      <c r="AD12" s="164">
        <f t="shared" si="24"/>
        <v>0.39936409183768096</v>
      </c>
      <c r="AE12" s="25">
        <f t="shared" si="24"/>
        <v>0.40485529605535464</v>
      </c>
      <c r="AF12" s="164">
        <f t="shared" si="24"/>
        <v>0.43007108522302673</v>
      </c>
      <c r="AG12" s="164">
        <f t="shared" si="24"/>
        <v>0.50138895443033993</v>
      </c>
      <c r="AH12" s="164">
        <f t="shared" ref="AH12:BM12" si="25">(1+AH11/AH5)</f>
        <v>0.40288349356052344</v>
      </c>
      <c r="AI12" s="164">
        <f t="shared" si="25"/>
        <v>0.36344662424491292</v>
      </c>
      <c r="AJ12" s="25">
        <f t="shared" si="25"/>
        <v>0.41763449495378491</v>
      </c>
      <c r="AK12" s="164">
        <f t="shared" si="25"/>
        <v>0.38837227711372257</v>
      </c>
      <c r="AL12" s="164">
        <f t="shared" si="25"/>
        <v>0.36832725924483101</v>
      </c>
      <c r="AM12" s="164">
        <f t="shared" si="25"/>
        <v>0.33053978182702215</v>
      </c>
      <c r="AN12" s="164">
        <f t="shared" si="25"/>
        <v>0.34033352801831251</v>
      </c>
      <c r="AO12" s="25">
        <f t="shared" si="25"/>
        <v>0.35646087874166277</v>
      </c>
      <c r="AP12" s="164">
        <f t="shared" si="25"/>
        <v>0.35256102306148929</v>
      </c>
      <c r="AQ12" s="164">
        <f t="shared" si="25"/>
        <v>0.33267411668287905</v>
      </c>
      <c r="AR12" s="164">
        <f t="shared" si="25"/>
        <v>0.3476583096021979</v>
      </c>
      <c r="AS12" s="164">
        <f t="shared" si="25"/>
        <v>0.33383511934108645</v>
      </c>
      <c r="AT12" s="25">
        <f t="shared" si="25"/>
        <v>0.3399471969673632</v>
      </c>
      <c r="AU12" s="164">
        <f t="shared" si="25"/>
        <v>0.34938753444081394</v>
      </c>
      <c r="AV12" s="164">
        <f t="shared" si="25"/>
        <v>0.34895601164428425</v>
      </c>
      <c r="AW12" s="164">
        <f t="shared" si="25"/>
        <v>0.3444165443042897</v>
      </c>
      <c r="AX12" s="164">
        <f t="shared" si="25"/>
        <v>0.3445246927182315</v>
      </c>
      <c r="AY12" s="25">
        <f t="shared" si="25"/>
        <v>0.34657918993277304</v>
      </c>
      <c r="AZ12" s="164">
        <f t="shared" si="25"/>
        <v>0.36905021939886651</v>
      </c>
      <c r="BA12" s="164">
        <f t="shared" si="25"/>
        <v>0.37048852945446309</v>
      </c>
      <c r="BB12" s="164">
        <f t="shared" si="25"/>
        <v>0.35480899941861799</v>
      </c>
      <c r="BC12" s="164">
        <f t="shared" si="25"/>
        <v>0.34802665299846236</v>
      </c>
      <c r="BD12" s="25">
        <f t="shared" si="25"/>
        <v>0.35924928316518556</v>
      </c>
      <c r="BE12" s="164">
        <f t="shared" si="25"/>
        <v>0.36952880971634239</v>
      </c>
      <c r="BF12" s="164">
        <f t="shared" si="25"/>
        <v>0.39117184799856708</v>
      </c>
      <c r="BG12" s="164">
        <f t="shared" si="25"/>
        <v>0.37693505732503718</v>
      </c>
      <c r="BH12" s="164">
        <f t="shared" si="25"/>
        <v>0.35291124307374455</v>
      </c>
      <c r="BI12" s="25">
        <f t="shared" si="25"/>
        <v>0.37235855959184483</v>
      </c>
      <c r="BJ12" s="164">
        <f t="shared" si="25"/>
        <v>0.34229233191387032</v>
      </c>
      <c r="BK12" s="164">
        <f t="shared" si="25"/>
        <v>0.34944212728235147</v>
      </c>
      <c r="BL12" s="164">
        <f t="shared" si="25"/>
        <v>0.37164260393475834</v>
      </c>
      <c r="BM12" s="164">
        <f t="shared" si="25"/>
        <v>0.35127654820044529</v>
      </c>
      <c r="BN12" s="25">
        <f t="shared" ref="BN12:BY12" si="26">(1+BN11/BN5)</f>
        <v>0.35467464678358818</v>
      </c>
      <c r="BO12" s="164">
        <f t="shared" si="26"/>
        <v>0.3434788356331786</v>
      </c>
      <c r="BP12" s="164">
        <f t="shared" si="26"/>
        <v>0.35542219541616404</v>
      </c>
      <c r="BQ12" s="164">
        <f t="shared" si="26"/>
        <v>0.36636339139465246</v>
      </c>
      <c r="BR12" s="164">
        <f t="shared" si="26"/>
        <v>0.36688167824421314</v>
      </c>
      <c r="BS12" s="25">
        <f t="shared" si="26"/>
        <v>0.35895180095958912</v>
      </c>
      <c r="BT12" s="164">
        <f t="shared" si="26"/>
        <v>0.34745300410077629</v>
      </c>
      <c r="BU12" s="164">
        <f t="shared" si="26"/>
        <v>0.36179374632432293</v>
      </c>
      <c r="BV12" s="164">
        <f t="shared" si="26"/>
        <v>0.36504788811101974</v>
      </c>
      <c r="BW12" s="164">
        <f t="shared" si="26"/>
        <v>0.34736243518720555</v>
      </c>
      <c r="BX12" s="25">
        <f t="shared" si="26"/>
        <v>0.35525055478252632</v>
      </c>
      <c r="BY12" s="164">
        <f t="shared" si="26"/>
        <v>0.35615231645923362</v>
      </c>
      <c r="BZ12" s="164">
        <f>(1+BZ11/BZ5)</f>
        <v>0.36141686141662799</v>
      </c>
      <c r="CA12" s="164">
        <f>(1+CA11/CA5)</f>
        <v>0.36567287346299848</v>
      </c>
      <c r="CB12" s="164">
        <f t="shared" ref="CB12" si="27">(1+CB11/CB5)</f>
        <v>0.34875370270122319</v>
      </c>
      <c r="CC12" s="25">
        <f>(1+CC11/CC5)</f>
        <v>0.35694041339494087</v>
      </c>
      <c r="CD12" s="164">
        <f t="shared" ref="CD12" si="28">(1+CD11/CD5)</f>
        <v>0.37258308801830164</v>
      </c>
      <c r="CE12" s="164">
        <f>(1+CE11/CE5)</f>
        <v>0.38195220521739548</v>
      </c>
      <c r="CF12" s="700">
        <f>(IS!CF118*Operating!CF37+IS!CE110*Operating!CF39)/Operating!CF35</f>
        <v>0.36315213800339269</v>
      </c>
      <c r="CG12" s="700">
        <f>(IS!CG118*Operating!CG37+IS!CF110*Operating!CG39)/Operating!CG35</f>
        <v>0.36340583832521745</v>
      </c>
      <c r="CH12" s="25">
        <f>(1+CH11/CH5)</f>
        <v>0.36979104848148014</v>
      </c>
      <c r="CI12" s="700">
        <f>(IS!CI118*Operating!CI37+IS!CH110*Operating!CI39)/Operating!CI35</f>
        <v>0.36143654513384721</v>
      </c>
      <c r="CJ12" s="700">
        <f>(IS!CJ118*Operating!CJ37+IS!CI110*Operating!CJ39)/Operating!CJ35</f>
        <v>0.36132148756945176</v>
      </c>
      <c r="CK12" s="700">
        <f>(IS!CK118*Operating!CK37+IS!CJ110*Operating!CK39)/Operating!CK35</f>
        <v>0.36117589269374889</v>
      </c>
      <c r="CL12" s="700">
        <f>(IS!CL118*Operating!CL37+IS!CK110*Operating!CL39)/Operating!CL35</f>
        <v>0.36104197879129901</v>
      </c>
      <c r="CM12" s="25">
        <f>(1+CM11/CM5)</f>
        <v>0.36123696858525745</v>
      </c>
      <c r="CN12" s="399">
        <f>(IS!CN118*Operating!CN37+IS!CM110*Operating!CN39)/Operating!CN35</f>
        <v>0.35900023601510506</v>
      </c>
      <c r="CO12" s="399">
        <f>(IS!CO118*Operating!CO37+IS!CN110*Operating!CO39)/Operating!CO35</f>
        <v>0.35870118198043932</v>
      </c>
      <c r="CP12" s="399">
        <f>(IS!CP118*Operating!CP37+IS!CO110*Operating!CP39)/Operating!CP35</f>
        <v>0.35832157987106444</v>
      </c>
      <c r="CQ12" s="399">
        <f>(IS!CQ118*Operating!CQ37+IS!CP110*Operating!CQ39)/Operating!CQ35</f>
        <v>0.35790645664509008</v>
      </c>
      <c r="CR12" s="25">
        <f>(1+CR11/CR5)</f>
        <v>0.35846393519424591</v>
      </c>
      <c r="CS12" s="399">
        <f>(IS!CS118*Operating!CS37+IS!CR110*Operating!CS39)/Operating!CS35</f>
        <v>0.3576527068231557</v>
      </c>
      <c r="CT12" s="399">
        <f>(IS!CT118*Operating!CT37+IS!CS110*Operating!CT39)/Operating!CT35</f>
        <v>0.35746968043311633</v>
      </c>
      <c r="CU12" s="399">
        <f>(IS!CU118*Operating!CU37+IS!CT110*Operating!CU39)/Operating!CU35</f>
        <v>0.35723202934232895</v>
      </c>
      <c r="CV12" s="399">
        <f>(IS!CV118*Operating!CV37+IS!CU110*Operating!CV39)/Operating!CV35</f>
        <v>0.35696615727467701</v>
      </c>
      <c r="CW12" s="25">
        <f>(1+CW11/CW5)</f>
        <v>0.35732032580584761</v>
      </c>
      <c r="CX12" s="399">
        <f>(IS!CX118*Operating!CX37+IS!CW110*Operating!CX39)/Operating!CX35</f>
        <v>0.35688691588725241</v>
      </c>
      <c r="CY12" s="399">
        <f>(IS!CY118*Operating!CY37+IS!CX110*Operating!CY39)/Operating!CY35</f>
        <v>0.35675317950084745</v>
      </c>
      <c r="CZ12" s="399">
        <f>(IS!CZ118*Operating!CZ37+IS!CY110*Operating!CZ39)/Operating!CZ35</f>
        <v>0.35658198863575047</v>
      </c>
      <c r="DA12" s="399">
        <f>(IS!DA118*Operating!DA37+IS!CZ110*Operating!DA39)/Operating!DA35</f>
        <v>0.35639373261299429</v>
      </c>
      <c r="DB12" s="25">
        <f>(1+DB11/DB5)</f>
        <v>0.35664756196884784</v>
      </c>
    </row>
    <row r="13" spans="1:106" ht="11.25" customHeight="1" x14ac:dyDescent="0.35">
      <c r="A13" s="162" t="s">
        <v>75</v>
      </c>
      <c r="B13" s="397">
        <v>-9550</v>
      </c>
      <c r="C13" s="397">
        <f>-28872-B13</f>
        <v>-19322</v>
      </c>
      <c r="D13" s="397">
        <f>-45963-C13-B13</f>
        <v>-17091</v>
      </c>
      <c r="E13" s="397">
        <f>-96195-D13-C13-B13</f>
        <v>-50232</v>
      </c>
      <c r="F13" s="20">
        <f>SUM(B13:E13)</f>
        <v>-96195</v>
      </c>
      <c r="G13" s="397">
        <v>-39087</v>
      </c>
      <c r="H13" s="397">
        <f>-81451-G13</f>
        <v>-42364</v>
      </c>
      <c r="I13" s="397">
        <f>-142196-G13-H13</f>
        <v>-60745</v>
      </c>
      <c r="J13" s="397">
        <v>-50000</v>
      </c>
      <c r="K13" s="20">
        <f>SUM(G13:J13)</f>
        <v>-192196</v>
      </c>
      <c r="L13" s="397">
        <f>-76289-M13</f>
        <v>-40800</v>
      </c>
      <c r="M13" s="397">
        <v>-35489</v>
      </c>
      <c r="N13" s="397">
        <f>-119322-L13-M13</f>
        <v>-43033</v>
      </c>
      <c r="O13" s="397">
        <f>-178307-L13-M13-N13</f>
        <v>-58985</v>
      </c>
      <c r="P13" s="20">
        <f t="shared" si="5"/>
        <v>-178307</v>
      </c>
      <c r="Q13" s="397">
        <v>-29979</v>
      </c>
      <c r="R13" s="397">
        <f>-62263-Q13</f>
        <v>-32284</v>
      </c>
      <c r="S13" s="397">
        <f>-112043-Q13-R13</f>
        <v>-49780</v>
      </c>
      <c r="T13" s="397">
        <f>-186376-SUM(Q13:S13)</f>
        <v>-74333</v>
      </c>
      <c r="U13" s="20">
        <f t="shared" si="6"/>
        <v>-186376</v>
      </c>
      <c r="V13" s="397">
        <v>-48552</v>
      </c>
      <c r="W13" s="397">
        <f>-101289-V13</f>
        <v>-52737</v>
      </c>
      <c r="X13" s="397">
        <f>-152526-V13-W13</f>
        <v>-51237</v>
      </c>
      <c r="Y13" s="397">
        <f>-207728-SUM(V13:X13)</f>
        <v>-55202</v>
      </c>
      <c r="Z13" s="20">
        <f t="shared" si="7"/>
        <v>-207728</v>
      </c>
      <c r="AA13" s="397">
        <v>-44065</v>
      </c>
      <c r="AB13" s="397">
        <f>-84900-AA13</f>
        <v>-40835</v>
      </c>
      <c r="AC13" s="397">
        <f>-128001-AA13-AB13</f>
        <v>-43101</v>
      </c>
      <c r="AD13" s="397">
        <v>-43000</v>
      </c>
      <c r="AE13" s="20">
        <f t="shared" si="8"/>
        <v>-171001</v>
      </c>
      <c r="AF13" s="397">
        <v>-50357</v>
      </c>
      <c r="AG13" s="397">
        <f>-98404-AF13</f>
        <v>-48047</v>
      </c>
      <c r="AH13" s="397">
        <f>-153560-AF13-AG13</f>
        <v>-55156</v>
      </c>
      <c r="AI13" s="397">
        <f>-202752-SUM(AF13:AH13)</f>
        <v>-49192</v>
      </c>
      <c r="AJ13" s="20">
        <f t="shared" si="9"/>
        <v>-202752</v>
      </c>
      <c r="AK13" s="397">
        <v>-44881</v>
      </c>
      <c r="AL13" s="397">
        <f>-92980-AK13</f>
        <v>-48099</v>
      </c>
      <c r="AM13" s="397">
        <f>-132347-AK13-AL13</f>
        <v>-39367</v>
      </c>
      <c r="AN13" s="397">
        <f>-173966-SUM(AK13:AM13)</f>
        <v>-41619</v>
      </c>
      <c r="AO13" s="20">
        <f t="shared" si="10"/>
        <v>-173966</v>
      </c>
      <c r="AP13" s="397">
        <v>-25605</v>
      </c>
      <c r="AQ13" s="397">
        <f>-54585-AP13</f>
        <v>-28980</v>
      </c>
      <c r="AR13" s="397">
        <f>-87467-AP13-AQ13</f>
        <v>-32882</v>
      </c>
      <c r="AS13" s="397">
        <v>-22250</v>
      </c>
      <c r="AT13" s="20">
        <f t="shared" si="11"/>
        <v>-109717</v>
      </c>
      <c r="AU13" s="397">
        <v>-23843</v>
      </c>
      <c r="AV13" s="397">
        <f>-42102-AU13</f>
        <v>-18259</v>
      </c>
      <c r="AW13" s="397">
        <f>-62264-AU13-AV13</f>
        <v>-20162</v>
      </c>
      <c r="AX13" s="397">
        <f>-81394-AW13-AV13-AU13</f>
        <v>-19130</v>
      </c>
      <c r="AY13" s="20">
        <f t="shared" si="12"/>
        <v>-81394</v>
      </c>
      <c r="AZ13" s="397">
        <v>-11643</v>
      </c>
      <c r="BA13" s="397">
        <f>-28469-AZ13</f>
        <v>-16826</v>
      </c>
      <c r="BB13" s="397">
        <f>-46726-AZ13-BA13</f>
        <v>-18257</v>
      </c>
      <c r="BC13" s="397">
        <f>-67353-BB13-BA13-AZ13</f>
        <v>-20627</v>
      </c>
      <c r="BD13" s="20">
        <f t="shared" si="13"/>
        <v>-67353</v>
      </c>
      <c r="BE13" s="397">
        <v>-9011</v>
      </c>
      <c r="BF13" s="397">
        <f>-19387-BE13</f>
        <v>-10376</v>
      </c>
      <c r="BG13" s="397">
        <f>-30982-BE13-BF13</f>
        <v>-11595</v>
      </c>
      <c r="BH13" s="397">
        <f>-46249-BG13-BF13-BE13</f>
        <v>-15267</v>
      </c>
      <c r="BI13" s="20">
        <f t="shared" si="14"/>
        <v>-46249</v>
      </c>
      <c r="BJ13" s="397">
        <v>-16267</v>
      </c>
      <c r="BK13" s="397">
        <f>-35778-BJ13</f>
        <v>-19511</v>
      </c>
      <c r="BL13" s="397">
        <f>-58569-BJ13-BK13</f>
        <v>-22791</v>
      </c>
      <c r="BM13" s="397">
        <f>-82014-BL13-BK13-BJ13</f>
        <v>-23445</v>
      </c>
      <c r="BN13" s="20">
        <f t="shared" si="15"/>
        <v>-82014</v>
      </c>
      <c r="BO13" s="397">
        <v>-24675</v>
      </c>
      <c r="BP13" s="397">
        <f>-55056-BO13</f>
        <v>-30381</v>
      </c>
      <c r="BQ13" s="397">
        <f>-85057-BO13-BP13</f>
        <v>-30001</v>
      </c>
      <c r="BR13" s="397">
        <f>-114687-BQ13-BP13-BO13</f>
        <v>-29630</v>
      </c>
      <c r="BS13" s="20">
        <f t="shared" si="16"/>
        <v>-114687</v>
      </c>
      <c r="BT13" s="397">
        <v>-27119</v>
      </c>
      <c r="BU13" s="397">
        <f>-62317-BT13</f>
        <v>-35198</v>
      </c>
      <c r="BV13" s="397">
        <f>-98171-BT13-BU13</f>
        <v>-35854</v>
      </c>
      <c r="BW13" s="397">
        <f>-133989-BV13-BU13-BT13</f>
        <v>-35818</v>
      </c>
      <c r="BX13" s="20">
        <f t="shared" si="17"/>
        <v>-133989</v>
      </c>
      <c r="BY13" s="397">
        <v>-36495</v>
      </c>
      <c r="BZ13" s="397">
        <f>-82066-BY13</f>
        <v>-45571</v>
      </c>
      <c r="CA13" s="397">
        <f>-130689-BZ13-BY13</f>
        <v>-48623</v>
      </c>
      <c r="CB13" s="397">
        <f>-178230-CA13-BZ13-BY13</f>
        <v>-47541</v>
      </c>
      <c r="CC13" s="20">
        <f t="shared" si="18"/>
        <v>-178230</v>
      </c>
      <c r="CD13" s="397">
        <v>-65240</v>
      </c>
      <c r="CE13" s="397">
        <f>-137995-CD13</f>
        <v>-72755</v>
      </c>
      <c r="CF13" s="422">
        <f>-('BS &amp; FCF'!CE144/(Operating!CE26+Operating!CE27))*Operating!CF37-2%*Operating!CF39</f>
        <v>-46224.914195601217</v>
      </c>
      <c r="CG13" s="422">
        <f>-('BS &amp; FCF'!CF144/(Operating!CF26+Operating!CF27))*Operating!CG37-2%*Operating!CG39</f>
        <v>-50918.880174704318</v>
      </c>
      <c r="CH13" s="20">
        <f t="shared" si="19"/>
        <v>-235138.79437030555</v>
      </c>
      <c r="CI13" s="422">
        <f>-('BS &amp; FCF'!CH144/(Operating!CH26+Operating!CH27))*Operating!CI37-1.5%*Operating!CI39</f>
        <v>-40384.913432379253</v>
      </c>
      <c r="CJ13" s="422">
        <f>-('BS &amp; FCF'!CI144/(Operating!CI26+Operating!CI27))*Operating!CJ37-1.5%*Operating!CJ39</f>
        <v>-43619.306923456352</v>
      </c>
      <c r="CK13" s="422">
        <f>-('BS &amp; FCF'!CJ144/(Operating!CJ26+Operating!CJ27))*Operating!CK37-1.5%*Operating!CK39</f>
        <v>-48174.929865229598</v>
      </c>
      <c r="CL13" s="422">
        <f>-('BS &amp; FCF'!CK144/(Operating!CK26+Operating!CK27))*Operating!CL37-1.5%*Operating!CL39</f>
        <v>-52656.217553876209</v>
      </c>
      <c r="CM13" s="20">
        <f t="shared" si="20"/>
        <v>-184835.36777494143</v>
      </c>
      <c r="CN13" s="422">
        <f>-('BS &amp; FCF'!CM144/(Operating!CM26+Operating!CM27))*Operating!CN37-1%*Operating!CN39</f>
        <v>-43612.153988655322</v>
      </c>
      <c r="CO13" s="422">
        <f>-('BS &amp; FCF'!CN144/(Operating!CN26+Operating!CN27))*Operating!CO37-1%*Operating!CO39</f>
        <v>-45175.763909725662</v>
      </c>
      <c r="CP13" s="422">
        <f>-('BS &amp; FCF'!CO144/(Operating!CO26+Operating!CO27))*Operating!CP37-1%*Operating!CP39</f>
        <v>-48885.281815886177</v>
      </c>
      <c r="CQ13" s="422">
        <f>-('BS &amp; FCF'!CP144/(Operating!CP26+Operating!CP27))*Operating!CQ37-1%*Operating!CQ39</f>
        <v>-55426.339189077684</v>
      </c>
      <c r="CR13" s="20">
        <f t="shared" si="21"/>
        <v>-193099.53890334483</v>
      </c>
      <c r="CS13" s="422">
        <f>-('BS &amp; FCF'!CR144/(Operating!CR26+Operating!CR27))*Operating!CS37-1%*Operating!CS39</f>
        <v>-53590.165699088262</v>
      </c>
      <c r="CT13" s="422">
        <f>-('BS &amp; FCF'!CS144/(Operating!CS26+Operating!CS27))*Operating!CT37-1%*Operating!CT39</f>
        <v>-53021.344733163918</v>
      </c>
      <c r="CU13" s="422">
        <f>-('BS &amp; FCF'!CT144/(Operating!CT26+Operating!CT27))*Operating!CU37-1%*Operating!CU39</f>
        <v>-55103.295262292486</v>
      </c>
      <c r="CV13" s="422">
        <f>-('BS &amp; FCF'!CU144/(Operating!CU26+Operating!CU27))*Operating!CV37-1%*Operating!CV39</f>
        <v>-61057.081504176727</v>
      </c>
      <c r="CW13" s="20">
        <f t="shared" si="22"/>
        <v>-222771.88719872138</v>
      </c>
      <c r="CX13" s="422">
        <f>-('BS &amp; FCF'!CW144/(Operating!CW26+Operating!CW27))*Operating!CX37-1%*Operating!CX39</f>
        <v>-56012.706011408605</v>
      </c>
      <c r="CY13" s="422">
        <f>-('BS &amp; FCF'!CX144/(Operating!CX26+Operating!CX27))*Operating!CY37-1%*Operating!CY39</f>
        <v>-55214.348168241093</v>
      </c>
      <c r="CZ13" s="422">
        <f>-('BS &amp; FCF'!CY144/(Operating!CY26+Operating!CY27))*Operating!CZ37-1%*Operating!CZ39</f>
        <v>-57342.395131665689</v>
      </c>
      <c r="DA13" s="422">
        <f>-('BS &amp; FCF'!CZ144/(Operating!CZ26+Operating!CZ27))*Operating!DA37-1%*Operating!DA39</f>
        <v>-63379.135185809369</v>
      </c>
      <c r="DB13" s="20">
        <f t="shared" si="23"/>
        <v>-231948.58449712474</v>
      </c>
    </row>
    <row r="14" spans="1:106" ht="11.25" customHeight="1" x14ac:dyDescent="0.35">
      <c r="A14" s="162" t="s">
        <v>76</v>
      </c>
      <c r="B14" s="397">
        <v>-8575</v>
      </c>
      <c r="C14" s="397">
        <v>-12823</v>
      </c>
      <c r="D14" s="397">
        <v>-13205</v>
      </c>
      <c r="E14" s="397">
        <v>-19509</v>
      </c>
      <c r="F14" s="20">
        <f t="shared" si="4"/>
        <v>-54112</v>
      </c>
      <c r="G14" s="397">
        <v>-18645</v>
      </c>
      <c r="H14" s="397">
        <f>-38200-G14</f>
        <v>-19555</v>
      </c>
      <c r="I14" s="397">
        <f>-57248-G14-H14</f>
        <v>-19048</v>
      </c>
      <c r="J14" s="397">
        <f>-62914-G14-H14-I14</f>
        <v>-5666</v>
      </c>
      <c r="K14" s="20">
        <f>SUM(G14:J14)</f>
        <v>-62914</v>
      </c>
      <c r="L14" s="397">
        <f>-29450-M14</f>
        <v>-12079</v>
      </c>
      <c r="M14" s="397">
        <v>-17371</v>
      </c>
      <c r="N14" s="397">
        <v>-8965</v>
      </c>
      <c r="O14" s="397">
        <f>-54752-L14-M14-N14</f>
        <v>-16337</v>
      </c>
      <c r="P14" s="20">
        <f t="shared" si="5"/>
        <v>-54752</v>
      </c>
      <c r="Q14" s="397">
        <f>-26407-R14</f>
        <v>-12182</v>
      </c>
      <c r="R14" s="397">
        <v>-14225</v>
      </c>
      <c r="S14" s="397">
        <v>-14997</v>
      </c>
      <c r="T14" s="397">
        <f>-59195-SUM(Q14:S14)</f>
        <v>-17791</v>
      </c>
      <c r="U14" s="20">
        <f t="shared" si="6"/>
        <v>-59195</v>
      </c>
      <c r="V14" s="397">
        <v>-11183</v>
      </c>
      <c r="W14" s="397">
        <v>-10486</v>
      </c>
      <c r="X14" s="397">
        <v>-14313</v>
      </c>
      <c r="Y14" s="397">
        <f>-45255-SUM(V14:X14)</f>
        <v>-9273</v>
      </c>
      <c r="Z14" s="20">
        <f t="shared" si="7"/>
        <v>-45255</v>
      </c>
      <c r="AA14" s="397">
        <v>-11159</v>
      </c>
      <c r="AB14" s="397">
        <v>-7261</v>
      </c>
      <c r="AC14" s="397">
        <v>-7057</v>
      </c>
      <c r="AD14" s="397">
        <f>-35830-SUM(AA14:AC14)</f>
        <v>-10353</v>
      </c>
      <c r="AE14" s="20">
        <f t="shared" si="8"/>
        <v>-35830</v>
      </c>
      <c r="AF14" s="397">
        <v>-10585</v>
      </c>
      <c r="AG14" s="397">
        <v>-22074</v>
      </c>
      <c r="AH14" s="397">
        <v>-7177</v>
      </c>
      <c r="AI14" s="397">
        <f>-44583-SUM(AF14:AH14)</f>
        <v>-4747</v>
      </c>
      <c r="AJ14" s="20">
        <f t="shared" si="9"/>
        <v>-44583</v>
      </c>
      <c r="AK14" s="397">
        <v>-7527</v>
      </c>
      <c r="AL14" s="397">
        <v>-3367</v>
      </c>
      <c r="AM14" s="397">
        <v>-3572</v>
      </c>
      <c r="AN14" s="397">
        <f>-17543-SUM(AK14:AM14)</f>
        <v>-3077</v>
      </c>
      <c r="AO14" s="20">
        <f t="shared" si="10"/>
        <v>-17543</v>
      </c>
      <c r="AP14" s="397">
        <v>-2392</v>
      </c>
      <c r="AQ14" s="397">
        <v>-3635</v>
      </c>
      <c r="AR14" s="397">
        <v>-5883</v>
      </c>
      <c r="AS14" s="397">
        <f>-17719-SUM(AP14:AR14)</f>
        <v>-5809</v>
      </c>
      <c r="AT14" s="20">
        <f t="shared" si="11"/>
        <v>-17719</v>
      </c>
      <c r="AU14" s="397">
        <v>-4728</v>
      </c>
      <c r="AV14" s="397">
        <v>-3225</v>
      </c>
      <c r="AW14" s="397">
        <v>-1942</v>
      </c>
      <c r="AX14" s="397">
        <f>-15054-SUM(AU14:AW14)</f>
        <v>-5159</v>
      </c>
      <c r="AY14" s="20">
        <f t="shared" si="12"/>
        <v>-15054</v>
      </c>
      <c r="AZ14" s="397">
        <v>-4088</v>
      </c>
      <c r="BA14" s="397">
        <v>-13753</v>
      </c>
      <c r="BB14" s="397">
        <v>-8703</v>
      </c>
      <c r="BC14" s="397">
        <f>-35775-SUM(AZ14:BB14)</f>
        <v>-9231</v>
      </c>
      <c r="BD14" s="20">
        <f t="shared" si="13"/>
        <v>-35775</v>
      </c>
      <c r="BE14" s="397">
        <v>-11970</v>
      </c>
      <c r="BF14" s="397">
        <v>-15357</v>
      </c>
      <c r="BG14" s="397">
        <v>-21739</v>
      </c>
      <c r="BH14" s="397">
        <f>-63540-SUM(BE14:BG14)</f>
        <v>-14474</v>
      </c>
      <c r="BI14" s="20">
        <f t="shared" si="14"/>
        <v>-63540</v>
      </c>
      <c r="BJ14" s="397">
        <v>-16803</v>
      </c>
      <c r="BK14" s="397">
        <v>-23176</v>
      </c>
      <c r="BL14" s="397">
        <v>-22039</v>
      </c>
      <c r="BM14" s="397">
        <f>-75924-SUM(BJ14:BL14)</f>
        <v>-13906</v>
      </c>
      <c r="BN14" s="20">
        <f t="shared" si="15"/>
        <v>-75924</v>
      </c>
      <c r="BO14" s="397">
        <v>-10083</v>
      </c>
      <c r="BP14" s="397">
        <f>-16959-BO14</f>
        <v>-6876</v>
      </c>
      <c r="BQ14" s="397">
        <f>-21084-SUM(BO14:BP14)</f>
        <v>-4125</v>
      </c>
      <c r="BR14" s="397">
        <f>-27759-SUM(BO14:BQ14)</f>
        <v>-6675</v>
      </c>
      <c r="BS14" s="20">
        <f t="shared" si="16"/>
        <v>-27759</v>
      </c>
      <c r="BT14" s="397">
        <v>-11575</v>
      </c>
      <c r="BU14" s="397">
        <f>-19737-BT14</f>
        <v>-8162</v>
      </c>
      <c r="BV14" s="397">
        <f>-28433-SUM(BT14:BU14)</f>
        <v>-8696</v>
      </c>
      <c r="BW14" s="397">
        <f>-35742-SUM(BT14:BV14)</f>
        <v>-7309</v>
      </c>
      <c r="BX14" s="20">
        <f t="shared" si="17"/>
        <v>-35742</v>
      </c>
      <c r="BY14" s="397">
        <v>-10146</v>
      </c>
      <c r="BZ14" s="397">
        <f>-14257-BY14</f>
        <v>-4111</v>
      </c>
      <c r="CA14" s="397">
        <f>-19579-BZ14-BY14</f>
        <v>-5322</v>
      </c>
      <c r="CB14" s="397">
        <f>-22443-SUM(BY14:CA14)</f>
        <v>-2864</v>
      </c>
      <c r="CC14" s="20">
        <f t="shared" si="18"/>
        <v>-22443</v>
      </c>
      <c r="CD14" s="397">
        <v>-7609</v>
      </c>
      <c r="CE14" s="397">
        <f>-14854-CD14</f>
        <v>-7245</v>
      </c>
      <c r="CF14" s="23">
        <f>-CF6*(1-CF15)</f>
        <v>-7745.9989902972429</v>
      </c>
      <c r="CG14" s="23">
        <f>-CG6*(1-CG15)</f>
        <v>-8338.0417423009003</v>
      </c>
      <c r="CH14" s="20">
        <f t="shared" si="19"/>
        <v>-30938.040732598143</v>
      </c>
      <c r="CI14" s="23">
        <f>-CI6*(1-CI15)</f>
        <v>-7822.3414267977078</v>
      </c>
      <c r="CJ14" s="23">
        <f>-CJ6*(1-CJ15)</f>
        <v>-7974.7343044348108</v>
      </c>
      <c r="CK14" s="23">
        <f>-CK6*(1-CK15)</f>
        <v>-8379.9639602061543</v>
      </c>
      <c r="CL14" s="23">
        <f>-CL6*(1-CL15)</f>
        <v>-8838.1988708989502</v>
      </c>
      <c r="CM14" s="20">
        <f t="shared" si="20"/>
        <v>-33015.238562337625</v>
      </c>
      <c r="CN14" s="23">
        <f>-CN6*(1-CN15)</f>
        <v>-8792.5215453375149</v>
      </c>
      <c r="CO14" s="23">
        <f>-CO6*(1-CO15)</f>
        <v>-8890.9856965239596</v>
      </c>
      <c r="CP14" s="23">
        <f>-CP6*(1-CP15)</f>
        <v>-9254.7293901113317</v>
      </c>
      <c r="CQ14" s="23">
        <f>-CQ6*(1-CQ15)</f>
        <v>-9879.006680766297</v>
      </c>
      <c r="CR14" s="20">
        <f t="shared" si="21"/>
        <v>-36817.243312739098</v>
      </c>
      <c r="CS14" s="23">
        <f>-CS6*(1-CS15)</f>
        <v>-9639.0409474438693</v>
      </c>
      <c r="CT14" s="23">
        <f>-CT6*(1-CT15)</f>
        <v>-9688.8709177259116</v>
      </c>
      <c r="CU14" s="23">
        <f>-CU6*(1-CU15)</f>
        <v>-10020.05363758069</v>
      </c>
      <c r="CV14" s="23">
        <f>-CV6*(1-CV15)</f>
        <v>-10633.85453145334</v>
      </c>
      <c r="CW14" s="20">
        <f t="shared" si="22"/>
        <v>-39981.820034203811</v>
      </c>
      <c r="CX14" s="23">
        <f>-CX6*(1-CX15)</f>
        <v>-10372.934334742537</v>
      </c>
      <c r="CY14" s="23">
        <f>-CY6*(1-CY15)</f>
        <v>-10395.577150465291</v>
      </c>
      <c r="CZ14" s="23">
        <f>-CZ6*(1-CZ15)</f>
        <v>-10721.944622913161</v>
      </c>
      <c r="DA14" s="23">
        <f>-DA6*(1-DA15)</f>
        <v>-11337.081263994782</v>
      </c>
      <c r="DB14" s="20">
        <f t="shared" si="23"/>
        <v>-42827.537372115767</v>
      </c>
    </row>
    <row r="15" spans="1:106" ht="11.25" customHeight="1" outlineLevel="1" x14ac:dyDescent="0.35">
      <c r="A15" s="199" t="s">
        <v>211</v>
      </c>
      <c r="B15" s="164">
        <f t="shared" ref="B15:BM15" si="29">(1+B14/B6)</f>
        <v>0.25577156743620899</v>
      </c>
      <c r="C15" s="164">
        <f t="shared" si="29"/>
        <v>0.20561268739933092</v>
      </c>
      <c r="D15" s="164">
        <f t="shared" si="29"/>
        <v>0.26270240089335561</v>
      </c>
      <c r="E15" s="164">
        <f t="shared" si="29"/>
        <v>0.37928730512249442</v>
      </c>
      <c r="F15" s="25">
        <f t="shared" si="29"/>
        <v>0.29728325801257083</v>
      </c>
      <c r="G15" s="164">
        <f t="shared" si="29"/>
        <v>0.1925775160228651</v>
      </c>
      <c r="H15" s="164">
        <f t="shared" si="29"/>
        <v>0.23883850375617921</v>
      </c>
      <c r="I15" s="164">
        <f t="shared" si="29"/>
        <v>0.41369120906180745</v>
      </c>
      <c r="J15" s="164">
        <f t="shared" si="29"/>
        <v>0.79645795164708844</v>
      </c>
      <c r="K15" s="25">
        <f t="shared" si="29"/>
        <v>0.42337867067492763</v>
      </c>
      <c r="L15" s="164">
        <f t="shared" si="29"/>
        <v>0.29221844603304814</v>
      </c>
      <c r="M15" s="164">
        <f t="shared" si="29"/>
        <v>0.2964642987323316</v>
      </c>
      <c r="N15" s="164">
        <f t="shared" si="29"/>
        <v>0.37699791521890202</v>
      </c>
      <c r="O15" s="164">
        <f t="shared" si="29"/>
        <v>0.46698205546492655</v>
      </c>
      <c r="P15" s="25">
        <f t="shared" si="29"/>
        <v>0.3691947878382893</v>
      </c>
      <c r="Q15" s="164">
        <f t="shared" si="29"/>
        <v>0.28303219351421338</v>
      </c>
      <c r="R15" s="164">
        <f t="shared" si="29"/>
        <v>0.30156625914469481</v>
      </c>
      <c r="S15" s="164">
        <f t="shared" si="29"/>
        <v>0.28326323838654177</v>
      </c>
      <c r="T15" s="164">
        <f t="shared" si="29"/>
        <v>0.3074737251848968</v>
      </c>
      <c r="U15" s="25">
        <f t="shared" si="29"/>
        <v>0.29506263992759496</v>
      </c>
      <c r="V15" s="164">
        <f t="shared" si="29"/>
        <v>0.28547696632803021</v>
      </c>
      <c r="W15" s="164">
        <f t="shared" si="29"/>
        <v>0.36755126658624848</v>
      </c>
      <c r="X15" s="164">
        <f t="shared" si="29"/>
        <v>0.31134526558891451</v>
      </c>
      <c r="Y15" s="164">
        <f t="shared" si="29"/>
        <v>0.1808303886925795</v>
      </c>
      <c r="Z15" s="25">
        <f t="shared" si="29"/>
        <v>0.29657262765213332</v>
      </c>
      <c r="AA15" s="164">
        <f t="shared" si="29"/>
        <v>0.20093089867525959</v>
      </c>
      <c r="AB15" s="164">
        <f t="shared" si="29"/>
        <v>0.18934911242603547</v>
      </c>
      <c r="AC15" s="164">
        <f t="shared" si="29"/>
        <v>0.18463316002310803</v>
      </c>
      <c r="AD15" s="164">
        <f t="shared" si="29"/>
        <v>0.20306365945654681</v>
      </c>
      <c r="AE15" s="25">
        <f t="shared" si="29"/>
        <v>0.19605995332974335</v>
      </c>
      <c r="AF15" s="164">
        <f t="shared" si="29"/>
        <v>0.18218341960905504</v>
      </c>
      <c r="AG15" s="164">
        <f t="shared" si="29"/>
        <v>0.16575963718820863</v>
      </c>
      <c r="AH15" s="164">
        <f t="shared" si="29"/>
        <v>0.13142926297954738</v>
      </c>
      <c r="AI15" s="164">
        <f t="shared" si="29"/>
        <v>0.13106351821343587</v>
      </c>
      <c r="AJ15" s="25">
        <f t="shared" si="29"/>
        <v>0.16085377101018272</v>
      </c>
      <c r="AK15" s="164">
        <f t="shared" si="29"/>
        <v>0.57249957403305496</v>
      </c>
      <c r="AL15" s="164">
        <f t="shared" si="29"/>
        <v>0.42286595817620842</v>
      </c>
      <c r="AM15" s="164">
        <f t="shared" si="29"/>
        <v>0.37486874343717191</v>
      </c>
      <c r="AN15" s="164">
        <f t="shared" si="29"/>
        <v>0.37560876623376627</v>
      </c>
      <c r="AO15" s="25">
        <f t="shared" si="29"/>
        <v>0.48528591966669599</v>
      </c>
      <c r="AP15" s="164">
        <f t="shared" si="29"/>
        <v>0.41955835962145105</v>
      </c>
      <c r="AQ15" s="164">
        <f t="shared" si="29"/>
        <v>0.23085061362674564</v>
      </c>
      <c r="AR15" s="164">
        <f t="shared" si="29"/>
        <v>0.13612334801762116</v>
      </c>
      <c r="AS15" s="164">
        <f t="shared" si="29"/>
        <v>0.24302840761011202</v>
      </c>
      <c r="AT15" s="25">
        <f t="shared" si="29"/>
        <v>0.24053833954824055</v>
      </c>
      <c r="AU15" s="164">
        <f t="shared" si="29"/>
        <v>-6.6546356868937506E-2</v>
      </c>
      <c r="AV15" s="164">
        <f t="shared" si="29"/>
        <v>0.18908725169725926</v>
      </c>
      <c r="AW15" s="164">
        <f t="shared" si="29"/>
        <v>0.77069311607037427</v>
      </c>
      <c r="AX15" s="164">
        <f t="shared" si="29"/>
        <v>0.3724607711957183</v>
      </c>
      <c r="AY15" s="25">
        <f t="shared" si="29"/>
        <v>0.40023904382470121</v>
      </c>
      <c r="AZ15" s="164">
        <f t="shared" si="29"/>
        <v>0.64402647161267845</v>
      </c>
      <c r="BA15" s="164">
        <f t="shared" si="29"/>
        <v>-2.0176544766708604E-2</v>
      </c>
      <c r="BB15" s="164">
        <f t="shared" si="29"/>
        <v>0.50769317796130786</v>
      </c>
      <c r="BC15" s="164">
        <f t="shared" si="29"/>
        <v>0.67046265886048828</v>
      </c>
      <c r="BD15" s="25">
        <f t="shared" si="29"/>
        <v>0.49366640718986621</v>
      </c>
      <c r="BE15" s="164">
        <f t="shared" si="29"/>
        <v>0.4335068622811169</v>
      </c>
      <c r="BF15" s="164">
        <f t="shared" si="29"/>
        <v>0.38029135224567212</v>
      </c>
      <c r="BG15" s="164">
        <f t="shared" si="29"/>
        <v>0.12363944207046684</v>
      </c>
      <c r="BH15" s="164">
        <f t="shared" si="29"/>
        <v>0.66251632158179441</v>
      </c>
      <c r="BI15" s="25">
        <f t="shared" si="29"/>
        <v>0.44069363144227802</v>
      </c>
      <c r="BJ15" s="164">
        <f t="shared" si="29"/>
        <v>0.1556281407035176</v>
      </c>
      <c r="BK15" s="164">
        <f t="shared" si="29"/>
        <v>0.219216386483846</v>
      </c>
      <c r="BL15" s="164">
        <f t="shared" si="29"/>
        <v>0.2714861827317202</v>
      </c>
      <c r="BM15" s="164">
        <f t="shared" si="29"/>
        <v>0.3310563786800077</v>
      </c>
      <c r="BN15" s="25">
        <f t="shared" ref="BN15:BW15" si="30">(1+BN14/BN6)</f>
        <v>0.24546077934468258</v>
      </c>
      <c r="BO15" s="164">
        <f t="shared" si="30"/>
        <v>0.37836004932182488</v>
      </c>
      <c r="BP15" s="164">
        <f t="shared" si="30"/>
        <v>0.66360078277886503</v>
      </c>
      <c r="BQ15" s="164">
        <f t="shared" si="30"/>
        <v>0.80881535038932151</v>
      </c>
      <c r="BR15" s="164">
        <f t="shared" si="30"/>
        <v>0.75885986777934322</v>
      </c>
      <c r="BS15" s="25">
        <f t="shared" si="30"/>
        <v>0.67690910995495646</v>
      </c>
      <c r="BT15" s="164">
        <f t="shared" si="30"/>
        <v>0.41407238673753477</v>
      </c>
      <c r="BU15" s="164">
        <f t="shared" si="30"/>
        <v>0.65390323538141881</v>
      </c>
      <c r="BV15" s="164">
        <f t="shared" si="30"/>
        <v>0.65673232542533455</v>
      </c>
      <c r="BW15" s="164">
        <f t="shared" si="30"/>
        <v>0.7279967250939674</v>
      </c>
      <c r="BX15" s="25">
        <f>(1+BX14/BX6)</f>
        <v>0.62590274434280213</v>
      </c>
      <c r="BY15" s="164">
        <f>(1+BY14/BY6)</f>
        <v>0.63907367222795353</v>
      </c>
      <c r="BZ15" s="164">
        <f>(1+BZ14/BZ6)</f>
        <v>0.84349779199025432</v>
      </c>
      <c r="CA15" s="164">
        <f>(1+CA14/CA6)</f>
        <v>0.81203644840008482</v>
      </c>
      <c r="CB15" s="164">
        <f t="shared" ref="CB15" si="31">(1+CB14/CB6)</f>
        <v>0.90104346624283049</v>
      </c>
      <c r="CC15" s="25">
        <f>(1+CC14/CC6)</f>
        <v>0.79896089935951986</v>
      </c>
      <c r="CD15" s="164">
        <f>(1+CD14/CD6)</f>
        <v>0.75628583325325904</v>
      </c>
      <c r="CE15" s="164">
        <f>(1+CE14/CE6)</f>
        <v>0.83659983310403929</v>
      </c>
      <c r="CF15" s="164">
        <f>CE15</f>
        <v>0.83659983310403929</v>
      </c>
      <c r="CG15" s="164">
        <f>CF15</f>
        <v>0.83659983310403929</v>
      </c>
      <c r="CH15" s="25">
        <f>(1+CH14/CH6)</f>
        <v>0.82218846580791483</v>
      </c>
      <c r="CI15" s="164">
        <f>CG15</f>
        <v>0.83659983310403929</v>
      </c>
      <c r="CJ15" s="164">
        <f>CI15</f>
        <v>0.83659983310403929</v>
      </c>
      <c r="CK15" s="164">
        <f>CJ15</f>
        <v>0.83659983310403929</v>
      </c>
      <c r="CL15" s="164">
        <f>CK15</f>
        <v>0.83659983310403929</v>
      </c>
      <c r="CM15" s="25">
        <f>(1+CM14/CM6)</f>
        <v>0.83659983310403929</v>
      </c>
      <c r="CN15" s="164">
        <f>CL15</f>
        <v>0.83659983310403929</v>
      </c>
      <c r="CO15" s="164">
        <f>CN15</f>
        <v>0.83659983310403929</v>
      </c>
      <c r="CP15" s="164">
        <f>CO15</f>
        <v>0.83659983310403929</v>
      </c>
      <c r="CQ15" s="164">
        <f>CP15</f>
        <v>0.83659983310403929</v>
      </c>
      <c r="CR15" s="25">
        <f>(1+CR14/CR6)</f>
        <v>0.83659983310403929</v>
      </c>
      <c r="CS15" s="164">
        <f>CQ15</f>
        <v>0.83659983310403929</v>
      </c>
      <c r="CT15" s="164">
        <f>CS15</f>
        <v>0.83659983310403929</v>
      </c>
      <c r="CU15" s="164">
        <f>CT15</f>
        <v>0.83659983310403929</v>
      </c>
      <c r="CV15" s="164">
        <f>CU15</f>
        <v>0.83659983310403929</v>
      </c>
      <c r="CW15" s="25">
        <f>(1+CW14/CW6)</f>
        <v>0.83659983310403929</v>
      </c>
      <c r="CX15" s="164">
        <f>CV15</f>
        <v>0.83659983310403929</v>
      </c>
      <c r="CY15" s="164">
        <f>CX15</f>
        <v>0.83659983310403929</v>
      </c>
      <c r="CZ15" s="164">
        <f>CY15</f>
        <v>0.83659983310403929</v>
      </c>
      <c r="DA15" s="164">
        <f>CZ15</f>
        <v>0.83659983310403929</v>
      </c>
      <c r="DB15" s="25">
        <f>(1+DB14/DB6)</f>
        <v>0.83659983310403929</v>
      </c>
    </row>
    <row r="16" spans="1:106" ht="11.25" customHeight="1" x14ac:dyDescent="0.35">
      <c r="A16" s="167" t="s">
        <v>77</v>
      </c>
      <c r="B16" s="168">
        <f>B9+B10</f>
        <v>394617</v>
      </c>
      <c r="C16" s="168">
        <f>C9+C10</f>
        <v>393041</v>
      </c>
      <c r="D16" s="168">
        <f>D9+D10</f>
        <v>408964</v>
      </c>
      <c r="E16" s="168">
        <f>E9+E10</f>
        <v>340008</v>
      </c>
      <c r="F16" s="584">
        <f t="shared" si="4"/>
        <v>1536630</v>
      </c>
      <c r="G16" s="168">
        <f>G9+G10</f>
        <v>328713</v>
      </c>
      <c r="H16" s="168">
        <f>H9+H10</f>
        <v>382496</v>
      </c>
      <c r="I16" s="168">
        <f>I9+I10</f>
        <v>445961</v>
      </c>
      <c r="J16" s="168">
        <f>J9+J10</f>
        <v>576320</v>
      </c>
      <c r="K16" s="584">
        <f>SUM(G16:J16)</f>
        <v>1733490</v>
      </c>
      <c r="L16" s="168">
        <f>L9+L10</f>
        <v>459875</v>
      </c>
      <c r="M16" s="168">
        <f>M9+M10</f>
        <v>411571</v>
      </c>
      <c r="N16" s="168">
        <f>N9+N10</f>
        <v>428286</v>
      </c>
      <c r="O16" s="168">
        <f>O9+O10</f>
        <v>519080</v>
      </c>
      <c r="P16" s="169">
        <f t="shared" si="5"/>
        <v>1818812</v>
      </c>
      <c r="Q16" s="168">
        <f>Q9+Q10</f>
        <v>397020</v>
      </c>
      <c r="R16" s="168">
        <f>R9+R10</f>
        <v>447774</v>
      </c>
      <c r="S16" s="168">
        <f>S9+S10</f>
        <v>457250</v>
      </c>
      <c r="T16" s="168">
        <f>T9+T10</f>
        <v>457245</v>
      </c>
      <c r="U16" s="169">
        <f t="shared" si="6"/>
        <v>1759289</v>
      </c>
      <c r="V16" s="168">
        <f>V9+V10</f>
        <v>437655</v>
      </c>
      <c r="W16" s="168">
        <f>W9+W10</f>
        <v>453552</v>
      </c>
      <c r="X16" s="168">
        <f>X9+X10</f>
        <v>482731</v>
      </c>
      <c r="Y16" s="168">
        <f>Y9+Y10</f>
        <v>494808</v>
      </c>
      <c r="Z16" s="584">
        <f t="shared" si="7"/>
        <v>1868746</v>
      </c>
      <c r="AA16" s="168">
        <f>AA9+AA10</f>
        <v>360611</v>
      </c>
      <c r="AB16" s="168">
        <f>AB9+AB10</f>
        <v>399056</v>
      </c>
      <c r="AC16" s="168">
        <f>AC9+AC10</f>
        <v>394514</v>
      </c>
      <c r="AD16" s="168">
        <f>AD9+AD10</f>
        <v>348898</v>
      </c>
      <c r="AE16" s="584">
        <f t="shared" si="8"/>
        <v>1503079</v>
      </c>
      <c r="AF16" s="168">
        <f>AF9+AF10</f>
        <v>282261</v>
      </c>
      <c r="AG16" s="168">
        <f>AG9+AG10</f>
        <v>253930</v>
      </c>
      <c r="AH16" s="168">
        <f>AH9+AH10</f>
        <v>261421</v>
      </c>
      <c r="AI16" s="168">
        <f>AI9+AI10</f>
        <v>264911</v>
      </c>
      <c r="AJ16" s="584">
        <f t="shared" si="9"/>
        <v>1062523</v>
      </c>
      <c r="AK16" s="168">
        <f>AK9+AK10</f>
        <v>215017</v>
      </c>
      <c r="AL16" s="168">
        <f>AL9+AL10</f>
        <v>153589</v>
      </c>
      <c r="AM16" s="168">
        <f>AM9+AM10</f>
        <v>147332</v>
      </c>
      <c r="AN16" s="168">
        <f>AN9+AN10</f>
        <v>218575</v>
      </c>
      <c r="AO16" s="584">
        <f t="shared" si="10"/>
        <v>734513</v>
      </c>
      <c r="AP16" s="168">
        <f>AP9+AP10</f>
        <v>124783</v>
      </c>
      <c r="AQ16" s="168">
        <f>AQ9+AQ10</f>
        <v>171297</v>
      </c>
      <c r="AR16" s="168">
        <f>AR9+AR10</f>
        <v>204776</v>
      </c>
      <c r="AS16" s="168">
        <f>AS9+AS10</f>
        <v>314071</v>
      </c>
      <c r="AT16" s="169">
        <f t="shared" si="11"/>
        <v>814927</v>
      </c>
      <c r="AU16" s="168">
        <f>AU9+AU10</f>
        <v>248889</v>
      </c>
      <c r="AV16" s="168">
        <f>AV9+AV10</f>
        <v>292960</v>
      </c>
      <c r="AW16" s="168">
        <f>AW9+AW10</f>
        <v>288927</v>
      </c>
      <c r="AX16" s="168">
        <f>AX9+AX10</f>
        <v>384938</v>
      </c>
      <c r="AY16" s="584">
        <f t="shared" si="12"/>
        <v>1215714</v>
      </c>
      <c r="AZ16" s="168">
        <f>AZ9+AZ10</f>
        <v>260855</v>
      </c>
      <c r="BA16" s="168">
        <f>BA9+BA10</f>
        <v>274871</v>
      </c>
      <c r="BB16" s="168">
        <f>BB9+BB10</f>
        <v>378581</v>
      </c>
      <c r="BC16" s="168">
        <f>BC9+BC10</f>
        <v>336076</v>
      </c>
      <c r="BD16" s="584">
        <f t="shared" si="13"/>
        <v>1250383</v>
      </c>
      <c r="BE16" s="168">
        <f>BE9+BE10</f>
        <v>346540</v>
      </c>
      <c r="BF16" s="168">
        <f>BF9+BF10</f>
        <v>432284</v>
      </c>
      <c r="BG16" s="168">
        <f>BG9+BG10</f>
        <v>446896</v>
      </c>
      <c r="BH16" s="168">
        <f>BH9+BH10</f>
        <v>440100</v>
      </c>
      <c r="BI16" s="584">
        <f t="shared" si="14"/>
        <v>1665820</v>
      </c>
      <c r="BJ16" s="168">
        <f>BJ9+BJ10</f>
        <v>383550</v>
      </c>
      <c r="BK16" s="168">
        <f>BK9+BK10</f>
        <v>391331</v>
      </c>
      <c r="BL16" s="168">
        <f>BL9+BL10</f>
        <v>528384</v>
      </c>
      <c r="BM16" s="168">
        <f>BM9+BM10</f>
        <v>430697</v>
      </c>
      <c r="BN16" s="584">
        <f t="shared" si="15"/>
        <v>1733962</v>
      </c>
      <c r="BO16" s="168">
        <f>BO9+BO10</f>
        <v>394467</v>
      </c>
      <c r="BP16" s="168">
        <f>BP9+BP10</f>
        <v>527088</v>
      </c>
      <c r="BQ16" s="168">
        <f>BQ9+BQ10</f>
        <v>545464</v>
      </c>
      <c r="BR16" s="168">
        <f>BR9+BR10</f>
        <v>576580</v>
      </c>
      <c r="BS16" s="584">
        <f t="shared" si="16"/>
        <v>2043599</v>
      </c>
      <c r="BT16" s="168">
        <f>BT9+BT10</f>
        <v>493522</v>
      </c>
      <c r="BU16" s="168">
        <f>BU9+BU10</f>
        <v>610027</v>
      </c>
      <c r="BV16" s="168">
        <f>BV9+BV10</f>
        <v>676165</v>
      </c>
      <c r="BW16" s="168">
        <f>BW9+BW10</f>
        <v>800151</v>
      </c>
      <c r="BX16" s="584">
        <f t="shared" si="17"/>
        <v>2579865</v>
      </c>
      <c r="BY16" s="585">
        <f>BY9+BY10</f>
        <v>634339</v>
      </c>
      <c r="BZ16" s="585">
        <f>BZ9+BZ10</f>
        <v>689836</v>
      </c>
      <c r="CA16" s="585">
        <f>CA9+CA10</f>
        <v>702414</v>
      </c>
      <c r="CB16" s="168">
        <f>CB9+CB10</f>
        <v>1043380</v>
      </c>
      <c r="CC16" s="169">
        <f t="shared" si="18"/>
        <v>3069969</v>
      </c>
      <c r="CD16" s="585">
        <f>CD9+CD10</f>
        <v>665926</v>
      </c>
      <c r="CE16" s="585">
        <f>CE9+CE10</f>
        <v>852919</v>
      </c>
      <c r="CF16" s="168">
        <f>CF9+CF10</f>
        <v>897745.20461378503</v>
      </c>
      <c r="CG16" s="168">
        <f>CG9+CG10</f>
        <v>965932.1080055784</v>
      </c>
      <c r="CH16" s="169">
        <f t="shared" si="19"/>
        <v>3382522.3126193639</v>
      </c>
      <c r="CI16" s="168">
        <f>CI9+CI10</f>
        <v>919808.03538614837</v>
      </c>
      <c r="CJ16" s="168">
        <f>CJ9+CJ10</f>
        <v>934962.6815822178</v>
      </c>
      <c r="CK16" s="168">
        <f>CK9+CK10</f>
        <v>979711.1293901233</v>
      </c>
      <c r="CL16" s="168">
        <f>CL9+CL10</f>
        <v>1031027.7646510908</v>
      </c>
      <c r="CM16" s="169">
        <f t="shared" si="20"/>
        <v>3865509.6110095801</v>
      </c>
      <c r="CN16" s="168">
        <f>CN9+CN10</f>
        <v>1028265.1675523764</v>
      </c>
      <c r="CO16" s="168">
        <f>CO9+CO10</f>
        <v>1037785.9381118938</v>
      </c>
      <c r="CP16" s="168">
        <f>CP9+CP10</f>
        <v>1077167.5467487853</v>
      </c>
      <c r="CQ16" s="168">
        <f>CQ9+CQ10</f>
        <v>1145166.6146507724</v>
      </c>
      <c r="CR16" s="169">
        <f t="shared" si="21"/>
        <v>4288385.2670638282</v>
      </c>
      <c r="CS16" s="168">
        <f>CS9+CS10</f>
        <v>1116994.2740616323</v>
      </c>
      <c r="CT16" s="168">
        <f>CT9+CT10</f>
        <v>1123001.5133312191</v>
      </c>
      <c r="CU16" s="168">
        <f>CU9+CU10</f>
        <v>1160294.8981998712</v>
      </c>
      <c r="CV16" s="168">
        <f>CV9+CV10</f>
        <v>1227815.6851877491</v>
      </c>
      <c r="CW16" s="169">
        <f t="shared" si="22"/>
        <v>4628106.3707804717</v>
      </c>
      <c r="CX16" s="168">
        <f>CX9+CX10</f>
        <v>1200951.1638646</v>
      </c>
      <c r="CY16" s="168">
        <f>CY9+CY10</f>
        <v>1204012.7036291212</v>
      </c>
      <c r="CZ16" s="168">
        <f>CZ9+CZ10</f>
        <v>1240783.3588269921</v>
      </c>
      <c r="DA16" s="168">
        <f>DA9+DA10</f>
        <v>1308484.5401799181</v>
      </c>
      <c r="DB16" s="169">
        <f t="shared" si="23"/>
        <v>4954231.7665006313</v>
      </c>
    </row>
    <row r="17" spans="1:106" ht="11.25" customHeight="1" x14ac:dyDescent="0.35">
      <c r="A17" s="16" t="s">
        <v>78</v>
      </c>
      <c r="B17" s="160">
        <f>B18+B21+B23+B30+B34</f>
        <v>-178833</v>
      </c>
      <c r="C17" s="160">
        <f>C18+C21+C23+C30+C34</f>
        <v>-156810</v>
      </c>
      <c r="D17" s="160">
        <f>D18+D21+D23+D30+D34</f>
        <v>-173217</v>
      </c>
      <c r="E17" s="160">
        <f>E18+E21+E23+E30+E34</f>
        <v>-199860</v>
      </c>
      <c r="F17" s="18">
        <f t="shared" si="4"/>
        <v>-708720</v>
      </c>
      <c r="G17" s="160">
        <f>G18+G21+G23+G30+G34</f>
        <v>-196754</v>
      </c>
      <c r="H17" s="160">
        <f>H18+H21+H23+H30+H34</f>
        <v>-228501</v>
      </c>
      <c r="I17" s="160">
        <f>I18+I21+I23+I30+I34</f>
        <v>-221026</v>
      </c>
      <c r="J17" s="160">
        <f>J18+J21+J23+J30+J34</f>
        <v>-306811</v>
      </c>
      <c r="K17" s="18">
        <f>SUM(G17:J17)</f>
        <v>-953092</v>
      </c>
      <c r="L17" s="160">
        <f>L18+L21+L23+L30+L34</f>
        <v>-232954</v>
      </c>
      <c r="M17" s="160">
        <f>M18+M21+M23+M30+M34</f>
        <v>-180102</v>
      </c>
      <c r="N17" s="160">
        <f>N18+N21+N23+N30+N34</f>
        <v>-214192</v>
      </c>
      <c r="O17" s="160">
        <f>O18+O21+O23+O30+O34</f>
        <v>-203195</v>
      </c>
      <c r="P17" s="18">
        <f>SUM(L17:O17)</f>
        <v>-830443</v>
      </c>
      <c r="Q17" s="160">
        <f>Q18+Q21+Q23+Q30+Q34</f>
        <v>-161583</v>
      </c>
      <c r="R17" s="160">
        <f>R18+R21+R23+R30+R34</f>
        <v>-189478</v>
      </c>
      <c r="S17" s="160">
        <f>S18+S21+S23+S30+S34</f>
        <v>-196650</v>
      </c>
      <c r="T17" s="160">
        <f>T18+T21+T23+T30+T34</f>
        <v>-187688</v>
      </c>
      <c r="U17" s="18">
        <f>SUM(Q17:T17)</f>
        <v>-735399</v>
      </c>
      <c r="V17" s="160">
        <f>V18+V21+V23+V30+V34</f>
        <v>-209059</v>
      </c>
      <c r="W17" s="160">
        <f>W18+W21+W23+W30+W34</f>
        <v>-202724</v>
      </c>
      <c r="X17" s="160">
        <f>X18+X21+X23+X30+X34</f>
        <v>-222391</v>
      </c>
      <c r="Y17" s="160">
        <f>Y18+Y21+Y23+Y30+Y34</f>
        <v>-258165</v>
      </c>
      <c r="Z17" s="18">
        <f>SUM(V17:Y17)</f>
        <v>-892339</v>
      </c>
      <c r="AA17" s="160">
        <f>AA18+AA21+AA23+AA30+AA34</f>
        <v>-219357</v>
      </c>
      <c r="AB17" s="160">
        <f>AB18+AB21+AB23+AB30+AB34</f>
        <v>-190079</v>
      </c>
      <c r="AC17" s="160">
        <f>AC18+AC21+AC23+AC30+AC34</f>
        <v>-196105</v>
      </c>
      <c r="AD17" s="160">
        <f>AD18+AD21+AD23+AD30+AD34</f>
        <v>-207134</v>
      </c>
      <c r="AE17" s="18">
        <f>SUM(AA17:AD17)</f>
        <v>-812675</v>
      </c>
      <c r="AF17" s="160">
        <f>AF18+AF21+AF23+AF30+AF34</f>
        <v>-175144</v>
      </c>
      <c r="AG17" s="160">
        <f>AG18+AG21+AG23+AG30+AG34</f>
        <v>-182593</v>
      </c>
      <c r="AH17" s="160">
        <f>AH18+AH21+AH23+AH30+AH34</f>
        <v>-199948</v>
      </c>
      <c r="AI17" s="160">
        <f>AI18+AI21+AI23+AI30+AI34</f>
        <v>-186495</v>
      </c>
      <c r="AJ17" s="18">
        <f>SUM(AF17:AI17)</f>
        <v>-744180</v>
      </c>
      <c r="AK17" s="160">
        <f>AK18+AK21+AK23+AK30+AK34</f>
        <v>-165320</v>
      </c>
      <c r="AL17" s="160">
        <f>AL18+AL21+AL23+AL30+AL34</f>
        <v>-273570</v>
      </c>
      <c r="AM17" s="160">
        <f>AM18+AM21+AM23+AM30+AM34</f>
        <v>-118881</v>
      </c>
      <c r="AN17" s="160">
        <f>AN18+AN21+AN23+AN30+AN34</f>
        <v>-122112</v>
      </c>
      <c r="AO17" s="18">
        <f>SUM(AK17:AN17)</f>
        <v>-679883</v>
      </c>
      <c r="AP17" s="160">
        <f>AP18+AP21+AP23+AP30+AP34</f>
        <v>-147683</v>
      </c>
      <c r="AQ17" s="160">
        <f>AQ18+AQ21+AQ23+AQ30+AQ34</f>
        <v>-176235</v>
      </c>
      <c r="AR17" s="160">
        <f>AR18+AR21+AR23+AR30+AR34</f>
        <v>-283464</v>
      </c>
      <c r="AS17" s="160">
        <f>AS18+AS21+AS23+AS30+AS34</f>
        <v>-132985</v>
      </c>
      <c r="AT17" s="18">
        <f>SUM(AP17:AS17)</f>
        <v>-740367</v>
      </c>
      <c r="AU17" s="160">
        <f>AU18+AU21+AU23+AU30+AU34</f>
        <v>-169377</v>
      </c>
      <c r="AV17" s="160">
        <f>AV18+AV21+AV23+AV30+AV34</f>
        <v>-131465</v>
      </c>
      <c r="AW17" s="160">
        <f>AW18+AW21+AW23+AW30+AW34</f>
        <v>-145997</v>
      </c>
      <c r="AX17" s="160">
        <f>AX18+AX21+AX23+AX30+AX34</f>
        <v>-148384</v>
      </c>
      <c r="AY17" s="18">
        <f>SUM(AU17:AX17)</f>
        <v>-595223</v>
      </c>
      <c r="AZ17" s="160">
        <f>AZ18+AZ21+AZ23+AZ30+AZ34</f>
        <v>-195770</v>
      </c>
      <c r="BA17" s="160">
        <f>BA18+BA21+BA23+BA30+BA34</f>
        <v>-165614</v>
      </c>
      <c r="BB17" s="160">
        <f>BB18+BB21+BB23+BB30+BB34</f>
        <v>1057582</v>
      </c>
      <c r="BC17" s="160">
        <f>BC18+BC21+BC23+BC30+BC34</f>
        <v>-32202</v>
      </c>
      <c r="BD17" s="18">
        <f>SUM(AZ17:BC17)</f>
        <v>663996</v>
      </c>
      <c r="BE17" s="160">
        <f>BE18+BE21+BE23+BE30+BE34</f>
        <v>-120500</v>
      </c>
      <c r="BF17" s="160">
        <f>BF18+BF21+BF23+BF30+BF34</f>
        <v>-120885</v>
      </c>
      <c r="BG17" s="160">
        <f>BG18+BG21+BG23+BG30+BG34</f>
        <v>-154069</v>
      </c>
      <c r="BH17" s="160">
        <f>BH18+BH21+BH23+BH30+BH34</f>
        <v>-164432</v>
      </c>
      <c r="BI17" s="18">
        <f>SUM(BE17:BH17)</f>
        <v>-559886</v>
      </c>
      <c r="BJ17" s="160">
        <f>BJ18+BJ21+BJ23+BJ30+BJ34</f>
        <v>-186479</v>
      </c>
      <c r="BK17" s="160">
        <f>BK18+BK21+BK23+BK30+BK34</f>
        <v>-199209</v>
      </c>
      <c r="BL17" s="160">
        <f>BL18+BL21+BL23+BL30+BL34</f>
        <v>-186277</v>
      </c>
      <c r="BM17" s="160">
        <f>BM18+BM21+BM23+BM30+BM34</f>
        <v>-180381</v>
      </c>
      <c r="BN17" s="18">
        <f>SUM(BJ17:BM17)</f>
        <v>-752346</v>
      </c>
      <c r="BO17" s="160">
        <f>BO18+BO21+BO23+BO30+BO34</f>
        <v>-171430</v>
      </c>
      <c r="BP17" s="160">
        <f>BP18+BP21+BP23+BP30+BP34</f>
        <v>-179239</v>
      </c>
      <c r="BQ17" s="160">
        <f>BQ18+BQ21+BQ23+BQ30+BQ34</f>
        <v>-199818</v>
      </c>
      <c r="BR17" s="160">
        <f>BR18+BR21+BR23+BR30+BR34</f>
        <v>-230901</v>
      </c>
      <c r="BS17" s="18">
        <f>SUM(BO17:BR17)</f>
        <v>-781388</v>
      </c>
      <c r="BT17" s="160">
        <f>BT18+BT21+BT23+BT30+BT34</f>
        <v>-141678</v>
      </c>
      <c r="BU17" s="160">
        <f>BU18+BU21+BU23+BU30+BU34</f>
        <v>-90783</v>
      </c>
      <c r="BV17" s="160">
        <f>BV18+BV21+BV23+BV30+BV34</f>
        <v>-83457</v>
      </c>
      <c r="BW17" s="160">
        <f>BW18+BW21+BW23+BW30+BW34</f>
        <v>-65465</v>
      </c>
      <c r="BX17" s="18">
        <f>SUM(BT17:BW17)</f>
        <v>-381383</v>
      </c>
      <c r="BY17" s="160">
        <f>BY18+BY21+BY23+BY30+BY34</f>
        <v>-196376</v>
      </c>
      <c r="BZ17" s="160">
        <f>BZ18+BZ21+BZ23+BZ30+BZ34</f>
        <v>-161100</v>
      </c>
      <c r="CA17" s="160">
        <f>CA18+CA21+CA23+CA30+CA34</f>
        <v>36389</v>
      </c>
      <c r="CB17" s="160">
        <f>CB18+CB21+CB23+CB30+CB34</f>
        <v>-205022</v>
      </c>
      <c r="CC17" s="18">
        <f>SUM(BY17:CB17)</f>
        <v>-526109</v>
      </c>
      <c r="CD17" s="160">
        <f>CD18+CD21+CD23+CD30+CD34</f>
        <v>-254645</v>
      </c>
      <c r="CE17" s="160">
        <f>CE18+CE21+CE23+CE30+CE34</f>
        <v>-279186</v>
      </c>
      <c r="CF17" s="160">
        <f ca="1">CF18+CF21+CF23+CF30+CF34</f>
        <v>-239923.3187764649</v>
      </c>
      <c r="CG17" s="160">
        <f ca="1">CG18+CG21+CG23+CG30+CG34</f>
        <v>-216697.38159738353</v>
      </c>
      <c r="CH17" s="18">
        <f ca="1">SUM(CD17:CG17)</f>
        <v>-990451.70037384843</v>
      </c>
      <c r="CI17" s="160">
        <f ca="1">CI18+CI21+CI23+CI30+CI34</f>
        <v>-177120.99576421731</v>
      </c>
      <c r="CJ17" s="160">
        <f ca="1">CJ18+CJ21+CJ23+CJ30+CJ34</f>
        <v>-235967.2100784542</v>
      </c>
      <c r="CK17" s="160">
        <f ca="1">CK18+CK21+CK23+CK30+CK34</f>
        <v>-256236.36762895851</v>
      </c>
      <c r="CL17" s="160">
        <f ca="1">CL18+CL21+CL23+CL30+CL34</f>
        <v>-231962.63979021512</v>
      </c>
      <c r="CM17" s="18">
        <f ca="1">SUM(CI17:CL17)</f>
        <v>-901287.21326184506</v>
      </c>
      <c r="CN17" s="160">
        <f ca="1">CN18+CN21+CN23+CN30+CN34</f>
        <v>-174573.79246234952</v>
      </c>
      <c r="CO17" s="160">
        <f ca="1">CO18+CO21+CO23+CO30+CO34</f>
        <v>-247897.02764594779</v>
      </c>
      <c r="CP17" s="160">
        <f ca="1">CP18+CP21+CP23+CP30+CP34</f>
        <v>-282346.98819553351</v>
      </c>
      <c r="CQ17" s="160">
        <f ca="1">CQ18+CQ21+CQ23+CQ30+CQ34</f>
        <v>-275015.97093160765</v>
      </c>
      <c r="CR17" s="18">
        <f ca="1">SUM(CN17:CQ17)</f>
        <v>-979833.77923543844</v>
      </c>
      <c r="CS17" s="160">
        <f ca="1">CS18+CS21+CS23+CS30+CS34</f>
        <v>-198802.48440504281</v>
      </c>
      <c r="CT17" s="160">
        <f ca="1">CT18+CT21+CT23+CT30+CT34</f>
        <v>-273823.58755892934</v>
      </c>
      <c r="CU17" s="160">
        <f ca="1">CU18+CU21+CU23+CU30+CU34</f>
        <v>-304611.86801970372</v>
      </c>
      <c r="CV17" s="160">
        <f ca="1">CV18+CV21+CV23+CV30+CV34</f>
        <v>-299734.85976879712</v>
      </c>
      <c r="CW17" s="18">
        <f ca="1">SUM(CS17:CV17)</f>
        <v>-1076972.7997524731</v>
      </c>
      <c r="CX17" s="160">
        <f ca="1">CX18+CX21+CX23+CX30+CX34</f>
        <v>-197644.84878649586</v>
      </c>
      <c r="CY17" s="160">
        <f ca="1">CY18+CY21+CY23+CY30+CY34</f>
        <v>-280386.18468993704</v>
      </c>
      <c r="CZ17" s="160">
        <f ca="1">CZ18+CZ21+CZ23+CZ30+CZ34</f>
        <v>-307742.20735966682</v>
      </c>
      <c r="DA17" s="160">
        <f ca="1">DA18+DA21+DA23+DA30+DA34</f>
        <v>-296732.48516338062</v>
      </c>
      <c r="DB17" s="18">
        <f ca="1">SUM(CX17:DA17)</f>
        <v>-1082505.7259994803</v>
      </c>
    </row>
    <row r="18" spans="1:106" ht="11.25" customHeight="1" x14ac:dyDescent="0.35">
      <c r="A18" s="19" t="s">
        <v>79</v>
      </c>
      <c r="B18" s="397">
        <v>-94188</v>
      </c>
      <c r="C18" s="397">
        <v>-103019</v>
      </c>
      <c r="D18" s="397">
        <v>-103927</v>
      </c>
      <c r="E18" s="397">
        <v>-100686</v>
      </c>
      <c r="F18" s="20">
        <f>SUM(B18:E18)</f>
        <v>-401820</v>
      </c>
      <c r="G18" s="397">
        <v>-112616</v>
      </c>
      <c r="H18" s="397">
        <f>-255554-G18</f>
        <v>-142938</v>
      </c>
      <c r="I18" s="397">
        <f>-377323-G18-H18</f>
        <v>-121769</v>
      </c>
      <c r="J18" s="397">
        <f>-511246-G18-H18-I18</f>
        <v>-133923</v>
      </c>
      <c r="K18" s="20">
        <f>SUM(G18:J18)</f>
        <v>-511246</v>
      </c>
      <c r="L18" s="397">
        <f>-219037-M18</f>
        <v>-109229</v>
      </c>
      <c r="M18" s="397">
        <v>-109808</v>
      </c>
      <c r="N18" s="397">
        <v>-110247</v>
      </c>
      <c r="O18" s="397">
        <f>-457139-L18-M18-N18</f>
        <v>-127855</v>
      </c>
      <c r="P18" s="20">
        <f t="shared" si="5"/>
        <v>-457139</v>
      </c>
      <c r="Q18" s="397">
        <f>-195945-R18</f>
        <v>-92544</v>
      </c>
      <c r="R18" s="397">
        <v>-103401</v>
      </c>
      <c r="S18" s="397">
        <v>-113426</v>
      </c>
      <c r="T18" s="397">
        <f>-431373-SUM(Q18:S18)</f>
        <v>-122002</v>
      </c>
      <c r="U18" s="20">
        <f t="shared" si="6"/>
        <v>-431373</v>
      </c>
      <c r="V18" s="397">
        <v>-105875</v>
      </c>
      <c r="W18" s="397">
        <v>-110796</v>
      </c>
      <c r="X18" s="397">
        <v>-118305</v>
      </c>
      <c r="Y18" s="397">
        <f>-466628-SUM(V18:X18)</f>
        <v>-131652</v>
      </c>
      <c r="Z18" s="20">
        <f t="shared" si="7"/>
        <v>-466628</v>
      </c>
      <c r="AA18" s="397">
        <v>-107499</v>
      </c>
      <c r="AB18" s="397">
        <v>-114777</v>
      </c>
      <c r="AC18" s="397">
        <v>-119917</v>
      </c>
      <c r="AD18" s="397">
        <f>-459538-SUM(AA18:AC18)</f>
        <v>-117345</v>
      </c>
      <c r="AE18" s="20">
        <f t="shared" si="8"/>
        <v>-459538</v>
      </c>
      <c r="AF18" s="397">
        <v>-102376</v>
      </c>
      <c r="AG18" s="397">
        <v>-94828</v>
      </c>
      <c r="AH18" s="397">
        <v>-101971</v>
      </c>
      <c r="AI18" s="397">
        <f>-400579-SUM(AF18:AH18)</f>
        <v>-101404</v>
      </c>
      <c r="AJ18" s="20">
        <f t="shared" si="9"/>
        <v>-400579</v>
      </c>
      <c r="AK18" s="397">
        <v>-87376</v>
      </c>
      <c r="AL18" s="397">
        <v>-87704</v>
      </c>
      <c r="AM18" s="397">
        <v>-88456</v>
      </c>
      <c r="AN18" s="397">
        <f>-343283-SUM(AK18:AM18)</f>
        <v>-79747</v>
      </c>
      <c r="AO18" s="20">
        <f t="shared" si="10"/>
        <v>-343283</v>
      </c>
      <c r="AP18" s="397">
        <v>-73073</v>
      </c>
      <c r="AQ18" s="397">
        <v>-84139</v>
      </c>
      <c r="AR18" s="397">
        <v>-87973</v>
      </c>
      <c r="AS18" s="397">
        <f>-332795-SUM(AP18:AR18)</f>
        <v>-87610</v>
      </c>
      <c r="AT18" s="20">
        <f t="shared" si="11"/>
        <v>-332795</v>
      </c>
      <c r="AU18" s="397">
        <v>-87514</v>
      </c>
      <c r="AV18" s="397">
        <v>-98449</v>
      </c>
      <c r="AW18" s="397">
        <v>-95474</v>
      </c>
      <c r="AX18" s="397">
        <f>-382005-SUM(AU18:AW18)</f>
        <v>-100568</v>
      </c>
      <c r="AY18" s="20">
        <f t="shared" si="12"/>
        <v>-382005</v>
      </c>
      <c r="AZ18" s="397">
        <v>-90755</v>
      </c>
      <c r="BA18" s="397">
        <v>-89321</v>
      </c>
      <c r="BB18" s="397">
        <v>-71523</v>
      </c>
      <c r="BC18" s="397">
        <f>-326318-SUM(AZ18:BB18)</f>
        <v>-74719</v>
      </c>
      <c r="BD18" s="20">
        <f t="shared" si="13"/>
        <v>-326318</v>
      </c>
      <c r="BE18" s="397">
        <v>-70578</v>
      </c>
      <c r="BF18" s="397">
        <v>-75141</v>
      </c>
      <c r="BG18" s="397">
        <v>-94562</v>
      </c>
      <c r="BH18" s="397">
        <f>-347846-SUM(BE18:BG18)</f>
        <v>-107565</v>
      </c>
      <c r="BI18" s="20">
        <f t="shared" si="14"/>
        <v>-347846</v>
      </c>
      <c r="BJ18" s="397">
        <v>-97954</v>
      </c>
      <c r="BK18" s="397">
        <v>-108144</v>
      </c>
      <c r="BL18" s="397">
        <v>-152389</v>
      </c>
      <c r="BM18" s="397">
        <f>-514969-SUM(BJ18:BL18)</f>
        <v>-156482</v>
      </c>
      <c r="BN18" s="20">
        <f t="shared" si="15"/>
        <v>-514969</v>
      </c>
      <c r="BO18" s="397">
        <v>-142049</v>
      </c>
      <c r="BP18" s="397">
        <v>-155437</v>
      </c>
      <c r="BQ18" s="397">
        <v>-155053</v>
      </c>
      <c r="BR18" s="397">
        <f>-628585-SUM(BO18:BQ18)</f>
        <v>-176046</v>
      </c>
      <c r="BS18" s="20">
        <f t="shared" si="16"/>
        <v>-628585</v>
      </c>
      <c r="BT18" s="397">
        <v>-153798</v>
      </c>
      <c r="BU18" s="397">
        <v>-147794</v>
      </c>
      <c r="BV18" s="397">
        <v>-170109</v>
      </c>
      <c r="BW18" s="397">
        <f>-659284-SUM(BT18:BV18)</f>
        <v>-187583</v>
      </c>
      <c r="BX18" s="20">
        <f t="shared" si="17"/>
        <v>-659284</v>
      </c>
      <c r="BY18" s="397">
        <v>-200780</v>
      </c>
      <c r="BZ18" s="397">
        <v>-225655</v>
      </c>
      <c r="CA18" s="397">
        <v>-237709</v>
      </c>
      <c r="CB18" s="397">
        <f>-938220-SUM(BY18:CA18)</f>
        <v>-274076</v>
      </c>
      <c r="CC18" s="20">
        <f t="shared" si="18"/>
        <v>-938220</v>
      </c>
      <c r="CD18" s="397">
        <v>-276768</v>
      </c>
      <c r="CE18" s="397">
        <v>-293757</v>
      </c>
      <c r="CF18" s="446">
        <f>-CF20*(Operating!CF15+Operating!CF17)</f>
        <v>-270429.68750993727</v>
      </c>
      <c r="CG18" s="446">
        <f>-CG20*(Operating!CG15+Operating!CG17)</f>
        <v>-285969.00951588794</v>
      </c>
      <c r="CH18" s="20">
        <f t="shared" si="19"/>
        <v>-1126923.6970258253</v>
      </c>
      <c r="CI18" s="446">
        <f>-CI20*(Operating!CI15+Operating!CI17)</f>
        <v>-275710.83773951686</v>
      </c>
      <c r="CJ18" s="446">
        <f>-CJ20*(Operating!CJ15+Operating!CJ17)</f>
        <v>-279195.59063209861</v>
      </c>
      <c r="CK18" s="446">
        <f>-CK20*(Operating!CK15+Operating!CK17)</f>
        <v>-300964.48615032295</v>
      </c>
      <c r="CL18" s="446">
        <f>-CL20*(Operating!CL15+Operating!CL17)</f>
        <v>-315326.89349315531</v>
      </c>
      <c r="CM18" s="20">
        <f t="shared" si="20"/>
        <v>-1171197.8080150937</v>
      </c>
      <c r="CN18" s="446">
        <f>-CN20*(Operating!CN15+Operating!CN17)</f>
        <v>-286839.32553541183</v>
      </c>
      <c r="CO18" s="446">
        <f>-CO20*(Operating!CO15+Operating!CO17)</f>
        <v>-302528.98663409427</v>
      </c>
      <c r="CP18" s="446">
        <f>-CP20*(Operating!CP15+Operating!CP17)</f>
        <v>-325416.40729859122</v>
      </c>
      <c r="CQ18" s="446">
        <f>-CQ20*(Operating!CQ15+Operating!CQ17)</f>
        <v>-360445.13527685718</v>
      </c>
      <c r="CR18" s="20">
        <f t="shared" si="21"/>
        <v>-1275229.8547449545</v>
      </c>
      <c r="CS18" s="446">
        <f>-CS20*(Operating!CS15+Operating!CS17)</f>
        <v>-307495.43917171075</v>
      </c>
      <c r="CT18" s="446">
        <f>-CT20*(Operating!CT15+Operating!CT17)</f>
        <v>-322259.33752493747</v>
      </c>
      <c r="CU18" s="446">
        <f>-CU20*(Operating!CU15+Operating!CU17)</f>
        <v>-345289.23547337076</v>
      </c>
      <c r="CV18" s="446">
        <f>-CV20*(Operating!CV15+Operating!CV17)</f>
        <v>-381401.39281282481</v>
      </c>
      <c r="CW18" s="20">
        <f t="shared" si="22"/>
        <v>-1356445.4049828439</v>
      </c>
      <c r="CX18" s="446">
        <f>-CX20*(Operating!CX15+Operating!CX17)</f>
        <v>-313583.07926365494</v>
      </c>
      <c r="CY18" s="446">
        <f>-CY20*(Operating!CY15+Operating!CY17)</f>
        <v>-330767.09480543702</v>
      </c>
      <c r="CZ18" s="446">
        <f>-CZ20*(Operating!CZ15+Operating!CZ17)</f>
        <v>-356089.48664559022</v>
      </c>
      <c r="DA18" s="446">
        <f>-DA20*(Operating!DA15+Operating!DA17)</f>
        <v>-394575.26546035259</v>
      </c>
      <c r="DB18" s="20">
        <f t="shared" si="23"/>
        <v>-1395014.9261750348</v>
      </c>
    </row>
    <row r="19" spans="1:106" s="26" customFormat="1" ht="11.25" customHeight="1" outlineLevel="1" x14ac:dyDescent="0.35">
      <c r="A19" s="165" t="s">
        <v>86</v>
      </c>
      <c r="B19" s="164">
        <f t="shared" ref="B19:AG19" si="32">-B18/B9</f>
        <v>8.317203085704597E-2</v>
      </c>
      <c r="C19" s="164">
        <f t="shared" si="32"/>
        <v>8.5433745081209281E-2</v>
      </c>
      <c r="D19" s="164">
        <f t="shared" si="32"/>
        <v>8.9395801811364514E-2</v>
      </c>
      <c r="E19" s="164">
        <f t="shared" si="32"/>
        <v>7.2473876624680675E-2</v>
      </c>
      <c r="F19" s="25">
        <f t="shared" si="32"/>
        <v>8.2170014754284412E-2</v>
      </c>
      <c r="G19" s="164">
        <f t="shared" si="32"/>
        <v>9.3788674003241326E-2</v>
      </c>
      <c r="H19" s="164">
        <f t="shared" si="32"/>
        <v>0.10336224874971436</v>
      </c>
      <c r="I19" s="164">
        <f t="shared" si="32"/>
        <v>7.8076970919503816E-2</v>
      </c>
      <c r="J19" s="164">
        <f t="shared" si="32"/>
        <v>6.7516723777988286E-2</v>
      </c>
      <c r="K19" s="25">
        <f t="shared" si="32"/>
        <v>8.3444471085224028E-2</v>
      </c>
      <c r="L19" s="164">
        <f t="shared" si="32"/>
        <v>7.4490756937496891E-2</v>
      </c>
      <c r="M19" s="164">
        <f t="shared" si="32"/>
        <v>7.9268702044304945E-2</v>
      </c>
      <c r="N19" s="164">
        <f t="shared" si="32"/>
        <v>8.1667348172379459E-2</v>
      </c>
      <c r="O19" s="164">
        <f t="shared" si="32"/>
        <v>8.9339056585711479E-2</v>
      </c>
      <c r="P19" s="25">
        <f t="shared" si="32"/>
        <v>8.1158361767109402E-2</v>
      </c>
      <c r="Q19" s="164">
        <f t="shared" si="32"/>
        <v>7.6144713132626274E-2</v>
      </c>
      <c r="R19" s="164">
        <f t="shared" si="32"/>
        <v>7.5342151340079086E-2</v>
      </c>
      <c r="S19" s="164">
        <f t="shared" si="32"/>
        <v>8.134114717795142E-2</v>
      </c>
      <c r="T19" s="164">
        <f t="shared" si="32"/>
        <v>8.7793645139586013E-2</v>
      </c>
      <c r="U19" s="25">
        <f t="shared" si="32"/>
        <v>8.0302024504633571E-2</v>
      </c>
      <c r="V19" s="164">
        <f t="shared" si="32"/>
        <v>8.0491149964800571E-2</v>
      </c>
      <c r="W19" s="164">
        <f t="shared" si="32"/>
        <v>8.1567747478339225E-2</v>
      </c>
      <c r="X19" s="164">
        <f t="shared" si="32"/>
        <v>7.3313065162211463E-2</v>
      </c>
      <c r="Y19" s="164">
        <f t="shared" si="32"/>
        <v>8.6016812388846273E-2</v>
      </c>
      <c r="Z19" s="25">
        <f t="shared" si="32"/>
        <v>8.020520023712914E-2</v>
      </c>
      <c r="AA19" s="164">
        <f t="shared" si="32"/>
        <v>0.10384229734141927</v>
      </c>
      <c r="AB19" s="164">
        <f t="shared" si="32"/>
        <v>0.10088662659106271</v>
      </c>
      <c r="AC19" s="164">
        <f t="shared" si="32"/>
        <v>0.10539994884564305</v>
      </c>
      <c r="AD19" s="164">
        <f t="shared" si="32"/>
        <v>0.11386594006718716</v>
      </c>
      <c r="AE19" s="25">
        <f t="shared" si="32"/>
        <v>0.10585545325883446</v>
      </c>
      <c r="AF19" s="164">
        <f t="shared" si="32"/>
        <v>0.1262800571353857</v>
      </c>
      <c r="AG19" s="164">
        <f t="shared" si="32"/>
        <v>0.14792998176380937</v>
      </c>
      <c r="AH19" s="164">
        <f t="shared" ref="AH19:BM19" si="33">-AH18/AH9</f>
        <v>0.12363013407985141</v>
      </c>
      <c r="AI19" s="164">
        <f t="shared" si="33"/>
        <v>0.11037001885141343</v>
      </c>
      <c r="AJ19" s="25">
        <f t="shared" si="33"/>
        <v>0.12536467510194629</v>
      </c>
      <c r="AK19" s="164">
        <f t="shared" si="33"/>
        <v>0.12619532140262599</v>
      </c>
      <c r="AL19" s="164">
        <f t="shared" si="33"/>
        <v>0.15259344835025646</v>
      </c>
      <c r="AM19" s="164">
        <f t="shared" si="33"/>
        <v>0.1479625376572152</v>
      </c>
      <c r="AN19" s="164">
        <f t="shared" si="33"/>
        <v>9.8599159248269036E-2</v>
      </c>
      <c r="AO19" s="25">
        <f t="shared" si="33"/>
        <v>0.12838912845906716</v>
      </c>
      <c r="AP19" s="164">
        <f t="shared" si="33"/>
        <v>0.1621603028702549</v>
      </c>
      <c r="AQ19" s="164">
        <f t="shared" si="33"/>
        <v>0.13156195321942837</v>
      </c>
      <c r="AR19" s="164">
        <f t="shared" si="33"/>
        <v>0.12137136550201773</v>
      </c>
      <c r="AS19" s="164">
        <f t="shared" si="33"/>
        <v>8.1333418742242411E-2</v>
      </c>
      <c r="AT19" s="25">
        <f t="shared" si="33"/>
        <v>0.11506809623405645</v>
      </c>
      <c r="AU19" s="164">
        <f t="shared" si="33"/>
        <v>0.1059188900023722</v>
      </c>
      <c r="AV19" s="164">
        <f t="shared" si="33"/>
        <v>0.1051107063468507</v>
      </c>
      <c r="AW19" s="164">
        <f t="shared" si="33"/>
        <v>0.1021375563113059</v>
      </c>
      <c r="AX19" s="164">
        <f t="shared" si="33"/>
        <v>8.1550041112352686E-2</v>
      </c>
      <c r="AY19" s="25">
        <f t="shared" si="33"/>
        <v>9.718193874412559E-2</v>
      </c>
      <c r="AZ19" s="164">
        <f t="shared" si="33"/>
        <v>0.11867199299121942</v>
      </c>
      <c r="BA19" s="164">
        <f t="shared" si="33"/>
        <v>0.10648563199206493</v>
      </c>
      <c r="BB19" s="164">
        <f t="shared" si="33"/>
        <v>6.1472123406643556E-2</v>
      </c>
      <c r="BC19" s="164">
        <f t="shared" si="33"/>
        <v>7.0714441195120339E-2</v>
      </c>
      <c r="BD19" s="25">
        <f t="shared" si="33"/>
        <v>8.5340989451044222E-2</v>
      </c>
      <c r="BE19" s="164">
        <f t="shared" si="33"/>
        <v>7.031558224705399E-2</v>
      </c>
      <c r="BF19" s="164">
        <f t="shared" si="33"/>
        <v>6.3570044136346371E-2</v>
      </c>
      <c r="BG19" s="164">
        <f t="shared" si="33"/>
        <v>7.339838349999496E-2</v>
      </c>
      <c r="BH19" s="164">
        <f t="shared" si="33"/>
        <v>8.1690200745323877E-2</v>
      </c>
      <c r="BI19" s="25">
        <f t="shared" si="33"/>
        <v>7.2606580108302662E-2</v>
      </c>
      <c r="BJ19" s="164">
        <f t="shared" si="33"/>
        <v>7.953058169028264E-2</v>
      </c>
      <c r="BK19" s="164">
        <f t="shared" si="33"/>
        <v>8.6509455772136729E-2</v>
      </c>
      <c r="BL19" s="164">
        <f t="shared" si="33"/>
        <v>9.7707553775092271E-2</v>
      </c>
      <c r="BM19" s="164">
        <f t="shared" si="33"/>
        <v>0.11414411969807049</v>
      </c>
      <c r="BN19" s="25">
        <f t="shared" ref="BN19:CS19" si="34">-BN18/BN9</f>
        <v>9.514799174841726E-2</v>
      </c>
      <c r="BO19" s="164">
        <f t="shared" si="34"/>
        <v>0.11067954054226734</v>
      </c>
      <c r="BP19" s="164">
        <f t="shared" si="34"/>
        <v>9.5181729947858465E-2</v>
      </c>
      <c r="BQ19" s="164">
        <f t="shared" si="34"/>
        <v>9.5359310990801277E-2</v>
      </c>
      <c r="BR19" s="164">
        <f t="shared" si="34"/>
        <v>0.10293697167224779</v>
      </c>
      <c r="BS19" s="25">
        <f t="shared" si="34"/>
        <v>0.10053018704402691</v>
      </c>
      <c r="BT19" s="164">
        <f t="shared" si="34"/>
        <v>9.7779213191337588E-2</v>
      </c>
      <c r="BU19" s="164">
        <f t="shared" si="34"/>
        <v>7.9593635912727792E-2</v>
      </c>
      <c r="BV19" s="164">
        <f t="shared" si="34"/>
        <v>8.3811945994656217E-2</v>
      </c>
      <c r="BW19" s="164">
        <f t="shared" si="34"/>
        <v>7.4845517380616372E-2</v>
      </c>
      <c r="BX19" s="25">
        <f t="shared" si="34"/>
        <v>8.2765481148646541E-2</v>
      </c>
      <c r="BY19" s="164">
        <f t="shared" si="34"/>
        <v>0.10281941718934996</v>
      </c>
      <c r="BZ19" s="164">
        <f>-BZ18/BZ9</f>
        <v>0.10709116191217438</v>
      </c>
      <c r="CA19" s="164">
        <f>-CA18/CA9</f>
        <v>0.11168195011759753</v>
      </c>
      <c r="CB19" s="164">
        <f t="shared" ref="CB19" si="35">-CB18/CB9</f>
        <v>8.4717545331410307E-2</v>
      </c>
      <c r="CC19" s="25">
        <f t="shared" si="34"/>
        <v>9.956179735456934E-2</v>
      </c>
      <c r="CD19" s="164">
        <f t="shared" ref="CD19" si="36">-CD18/CD9</f>
        <v>0.136673328286502</v>
      </c>
      <c r="CE19" s="164">
        <f>-CE18/CE9</f>
        <v>0.1184088169034182</v>
      </c>
      <c r="CF19" s="164">
        <f t="shared" si="34"/>
        <v>0.10177805768912082</v>
      </c>
      <c r="CG19" s="164">
        <f t="shared" si="34"/>
        <v>9.9984374618128757E-2</v>
      </c>
      <c r="CH19" s="25">
        <f t="shared" si="34"/>
        <v>0.11243271821875689</v>
      </c>
      <c r="CI19" s="164">
        <f t="shared" si="34"/>
        <v>0.10231222021656534</v>
      </c>
      <c r="CJ19" s="164">
        <f t="shared" si="34"/>
        <v>0.10162551791070347</v>
      </c>
      <c r="CK19" s="164">
        <f t="shared" si="34"/>
        <v>0.10425179472198937</v>
      </c>
      <c r="CL19" s="164">
        <f t="shared" si="34"/>
        <v>0.10356372957527504</v>
      </c>
      <c r="CM19" s="25">
        <f t="shared" si="34"/>
        <v>0.1029736840002642</v>
      </c>
      <c r="CN19" s="164">
        <f t="shared" si="34"/>
        <v>9.4696884419260552E-2</v>
      </c>
      <c r="CO19" s="164">
        <f t="shared" si="34"/>
        <v>9.8770560962988016E-2</v>
      </c>
      <c r="CP19" s="164">
        <f t="shared" si="34"/>
        <v>0.10206719056831344</v>
      </c>
      <c r="CQ19" s="164">
        <f t="shared" si="34"/>
        <v>0.10590984406238831</v>
      </c>
      <c r="CR19" s="25">
        <f t="shared" si="34"/>
        <v>0.10054202850601145</v>
      </c>
      <c r="CS19" s="164">
        <f t="shared" si="34"/>
        <v>9.2600918127552903E-2</v>
      </c>
      <c r="CT19" s="164">
        <f t="shared" ref="CT19:DB19" si="37">-CT18/CT9</f>
        <v>9.6547888291526093E-2</v>
      </c>
      <c r="CU19" s="164">
        <f t="shared" si="37"/>
        <v>0.10002842535079953</v>
      </c>
      <c r="CV19" s="164">
        <f t="shared" si="37"/>
        <v>0.10411228996663402</v>
      </c>
      <c r="CW19" s="25">
        <f t="shared" si="37"/>
        <v>9.848048935763834E-2</v>
      </c>
      <c r="CX19" s="164">
        <f t="shared" si="37"/>
        <v>8.7752890578531251E-2</v>
      </c>
      <c r="CY19" s="164">
        <f t="shared" si="37"/>
        <v>9.2360044217856263E-2</v>
      </c>
      <c r="CZ19" s="164">
        <f t="shared" si="37"/>
        <v>9.6404216855142777E-2</v>
      </c>
      <c r="DA19" s="164">
        <f t="shared" si="37"/>
        <v>0.10102736758486106</v>
      </c>
      <c r="DB19" s="25">
        <f t="shared" si="37"/>
        <v>9.4551014047138254E-2</v>
      </c>
    </row>
    <row r="20" spans="1:106" s="398" customFormat="1" ht="11.25" customHeight="1" outlineLevel="1" x14ac:dyDescent="0.35">
      <c r="A20" s="165" t="s">
        <v>87</v>
      </c>
      <c r="B20" s="399">
        <f>-B18/Operating!B9</f>
        <v>8.8377066154451372E-2</v>
      </c>
      <c r="C20" s="399">
        <f>-C18/Operating!C9</f>
        <v>6.6899728047589466E-2</v>
      </c>
      <c r="D20" s="399">
        <f>-D18/Operating!D9</f>
        <v>0.10135566659183352</v>
      </c>
      <c r="E20" s="399">
        <f>-E18/Operating!E9</f>
        <v>3.961854687760881E-2</v>
      </c>
      <c r="F20" s="400">
        <f>-F18/Operating!F9</f>
        <v>6.50993893886532E-2</v>
      </c>
      <c r="G20" s="399">
        <f>-G18/Operating!G9</f>
        <v>0.11277107950417778</v>
      </c>
      <c r="H20" s="399">
        <f>-H18/Operating!H9</f>
        <v>8.5692492984177832E-2</v>
      </c>
      <c r="I20" s="399">
        <f>-I18/Operating!I9</f>
        <v>8.4053149296981225E-2</v>
      </c>
      <c r="J20" s="399">
        <f>-J18/Operating!J9</f>
        <v>5.6229371822317013E-2</v>
      </c>
      <c r="K20" s="400">
        <f>-K18/Operating!K9</f>
        <v>7.8688337876344064E-2</v>
      </c>
      <c r="L20" s="399">
        <f>-L18/(Operating!L15+Operating!L17)</f>
        <v>8.092225652024454E-2</v>
      </c>
      <c r="M20" s="399">
        <f>-M18/(Operating!M15+Operating!M17)</f>
        <v>7.6796910434802398E-2</v>
      </c>
      <c r="N20" s="399">
        <f>-N18/(Operating!N15+Operating!N17)</f>
        <v>5.9099440731724649E-2</v>
      </c>
      <c r="O20" s="399">
        <f>-O18/(Operating!O15+Operating!O17)</f>
        <v>7.007507648510862E-2</v>
      </c>
      <c r="P20" s="400">
        <f>-P18/(Operating!P15+Operating!P17)</f>
        <v>7.0659074819665602E-2</v>
      </c>
      <c r="Q20" s="399">
        <f>-Q18/(Operating!Q15+Operating!Q17)</f>
        <v>6.298501487874078E-2</v>
      </c>
      <c r="R20" s="399">
        <f>-R18/(Operating!R15+Operating!R17)</f>
        <v>4.5010890331737725E-2</v>
      </c>
      <c r="S20" s="399">
        <f>-S18/(Operating!S15+Operating!S17)</f>
        <v>7.6155830171396002E-2</v>
      </c>
      <c r="T20" s="399">
        <f>-T18/(Operating!T15+Operating!T17)</f>
        <v>5.0629767874064556E-2</v>
      </c>
      <c r="U20" s="400">
        <f>-U18/(Operating!U15+Operating!U17)</f>
        <v>5.6273663354562006E-2</v>
      </c>
      <c r="V20" s="399">
        <f>-V18/(Operating!V15+Operating!V17)</f>
        <v>6.2324277209704938E-2</v>
      </c>
      <c r="W20" s="399">
        <f>-W18/(Operating!W15+Operating!W17)</f>
        <v>7.8512608678989002E-2</v>
      </c>
      <c r="X20" s="399">
        <f>-X18/(Operating!X15+Operating!X17)</f>
        <v>0.10297898918263843</v>
      </c>
      <c r="Y20" s="399">
        <f>-Y18/(Operating!Y15+Operating!Y17)</f>
        <v>6.4553100458383278E-2</v>
      </c>
      <c r="Z20" s="400">
        <f>-Z18/(Operating!Z15+Operating!Z17)</f>
        <v>7.4088782113123169E-2</v>
      </c>
      <c r="AA20" s="399">
        <f>-AA18/(Operating!AA15+Operating!AA17)</f>
        <v>9.1051925276503354E-2</v>
      </c>
      <c r="AB20" s="399">
        <f>-AB18/(Operating!AB15+Operating!AB17)</f>
        <v>8.2394011197163691E-2</v>
      </c>
      <c r="AC20" s="399">
        <f>-AC18/(Operating!AC15+Operating!AC17)</f>
        <v>7.8519122514356748E-2</v>
      </c>
      <c r="AD20" s="399">
        <f>-AD18/(Operating!AD15+Operating!AD17)</f>
        <v>8.735953102410593E-2</v>
      </c>
      <c r="AE20" s="400">
        <f>-AE18/(Operating!AE15+Operating!AE17)</f>
        <v>8.4409733558929875E-2</v>
      </c>
      <c r="AF20" s="399">
        <f>-AF18/(Operating!AF15+Operating!AF17)</f>
        <v>9.8680332747347527E-2</v>
      </c>
      <c r="AG20" s="399">
        <f>-AG18/(Operating!AG15+Operating!AG17)</f>
        <v>7.1794155899842421E-2</v>
      </c>
      <c r="AH20" s="399">
        <f>-AH18/(Operating!AH15+Operating!AH17)</f>
        <v>8.6664592125284684E-2</v>
      </c>
      <c r="AI20" s="399">
        <f>-AI18/(Operating!AI15+Operating!AI17)</f>
        <v>6.499839041892877E-2</v>
      </c>
      <c r="AJ20" s="400">
        <f>-AJ18/(Operating!AJ15+Operating!AJ17)</f>
        <v>7.8621990994571372E-2</v>
      </c>
      <c r="AK20" s="399">
        <f>-AK18/(Operating!AK15+Operating!AK17)</f>
        <v>8.434256714494108E-2</v>
      </c>
      <c r="AL20" s="399">
        <f>-AL18/(Operating!AL15+Operating!AL17)</f>
        <v>6.8184026294588237E-2</v>
      </c>
      <c r="AM20" s="399">
        <f>-AM18/(Operating!AM15+Operating!AM17)</f>
        <v>7.3552124575340175E-2</v>
      </c>
      <c r="AN20" s="399">
        <f>-AN18/(Operating!AN15+Operating!AN17)</f>
        <v>5.1573069593300332E-2</v>
      </c>
      <c r="AO20" s="400">
        <f>-AO18/(Operating!AO15+Operating!AO17)</f>
        <v>6.7693044625992432E-2</v>
      </c>
      <c r="AP20" s="399">
        <f>-AP18/(Operating!AP15+Operating!AP17)</f>
        <v>7.9161111474429335E-2</v>
      </c>
      <c r="AQ20" s="399">
        <f>-AQ18/(Operating!AQ15+Operating!AQ17)</f>
        <v>5.9006194516498543E-2</v>
      </c>
      <c r="AR20" s="399">
        <f>-AR18/(Operating!AR15+Operating!AR17)</f>
        <v>7.0575033787018904E-2</v>
      </c>
      <c r="AS20" s="399">
        <f>-AS18/(Operating!AS15+Operating!AS17)</f>
        <v>3.3347547238979806E-2</v>
      </c>
      <c r="AT20" s="400">
        <f>-AT18/(Operating!AT15+Operating!AT17)</f>
        <v>5.3480596215985846E-2</v>
      </c>
      <c r="AU20" s="399">
        <f>-AU18/(Operating!AU15+Operating!AU17)</f>
        <v>9.10626129002369E-2</v>
      </c>
      <c r="AV20" s="399">
        <f>-AV18/(Operating!AV15+Operating!AV17)</f>
        <v>6.4452290138505341E-2</v>
      </c>
      <c r="AW20" s="399">
        <f>-AW18/(Operating!AW15+Operating!AW17)</f>
        <v>7.2144800582998936E-2</v>
      </c>
      <c r="AX20" s="399">
        <f>-AX18/(Operating!AX15+Operating!AX17)</f>
        <v>6.4780390223341838E-2</v>
      </c>
      <c r="AY20" s="400">
        <f>-AY18/(Operating!AY15+Operating!AY17)</f>
        <v>7.1212281689807366E-2</v>
      </c>
      <c r="AZ20" s="399">
        <f>-AZ18/(Operating!AZ15+Operating!AZ17)</f>
        <v>8.8010055825779754E-2</v>
      </c>
      <c r="BA20" s="399">
        <f>-BA18/(Operating!BA15+Operating!BA17)</f>
        <v>0.12347761338625632</v>
      </c>
      <c r="BB20" s="399">
        <f>-BB18/(Operating!BB15+Operating!BB17)</f>
        <v>3.5413963255681642E-2</v>
      </c>
      <c r="BC20" s="399">
        <f>-BC18/(Operating!BC15+Operating!BC17)</f>
        <v>3.6894723030356721E-2</v>
      </c>
      <c r="BD20" s="400">
        <f>-BD18/(Operating!BD15+Operating!BD17)</f>
        <v>5.6267652210069651E-2</v>
      </c>
      <c r="BE20" s="399">
        <f>-BE18/(Operating!BE15+Operating!BE17)</f>
        <v>6.0858218610588322E-2</v>
      </c>
      <c r="BF20" s="399">
        <f>-BF18/(Operating!BF15+Operating!BF17)</f>
        <v>4.3956119311585412E-2</v>
      </c>
      <c r="BG20" s="399">
        <f>-BG18/(Operating!BG15+Operating!BG17)</f>
        <v>6.1736484168926672E-2</v>
      </c>
      <c r="BH20" s="399">
        <f>-BH18/(Operating!BH15+Operating!BH17)</f>
        <v>6.1574257439794521E-2</v>
      </c>
      <c r="BI20" s="400">
        <f>-BI18/(Operating!BI15+Operating!BI17)</f>
        <v>5.6580698923670222E-2</v>
      </c>
      <c r="BJ20" s="399">
        <f>-BJ18/(Operating!BJ15+Operating!BJ17)</f>
        <v>6.4533116115649242E-2</v>
      </c>
      <c r="BK20" s="399">
        <f>-BK18/(Operating!BK15+Operating!BK17)</f>
        <v>5.8591106538012208E-2</v>
      </c>
      <c r="BL20" s="399">
        <f>-BL18/(Operating!BL15+Operating!BL17)</f>
        <v>6.0797101074128036E-2</v>
      </c>
      <c r="BM20" s="399">
        <f>-BM18/(Operating!BM15+Operating!BM17)</f>
        <v>5.4650233660938949E-2</v>
      </c>
      <c r="BN20" s="400">
        <f>-BN18/(Operating!BN15+Operating!BN17)</f>
        <v>5.8964911688663982E-2</v>
      </c>
      <c r="BO20" s="399">
        <f>-BO18/(Operating!BO15+Operating!BO17)</f>
        <v>7.669804012402226E-2</v>
      </c>
      <c r="BP20" s="399">
        <f>-BP18/(Operating!BP15+Operating!BP17)</f>
        <v>5.5557770555058311E-2</v>
      </c>
      <c r="BQ20" s="399">
        <f>-BQ18/(Operating!BQ15+Operating!BQ17)</f>
        <v>6.1394979213641503E-2</v>
      </c>
      <c r="BR20" s="399">
        <f>-BR18/(Operating!BR15+Operating!BR17)</f>
        <v>6.0376690793789031E-2</v>
      </c>
      <c r="BS20" s="400">
        <f>-BS18/(Operating!BS15+Operating!BS17)</f>
        <v>6.2291007771347114E-2</v>
      </c>
      <c r="BT20" s="399">
        <f>-BT18/(Operating!BT15+Operating!BT17)</f>
        <v>6.1907985625944337E-2</v>
      </c>
      <c r="BU20" s="399">
        <f>-BU18/(Operating!BU15+Operating!BU17)</f>
        <v>5.5081060643726636E-2</v>
      </c>
      <c r="BV20" s="399">
        <f>-BV18/(Operating!BV15+Operating!BV17)</f>
        <v>4.8363363992246979E-2</v>
      </c>
      <c r="BW20" s="399">
        <f>-BW18/(Operating!BW15+Operating!BW17)</f>
        <v>3.5933756295022407E-2</v>
      </c>
      <c r="BX20" s="400">
        <f>-BX18/(Operating!BX15+Operating!BX17)</f>
        <v>4.7413227647512775E-2</v>
      </c>
      <c r="BY20" s="399">
        <f>-BY18/(Operating!BY15+Operating!BY17)</f>
        <v>5.9520182623485074E-2</v>
      </c>
      <c r="BZ20" s="399">
        <f>-BZ18/(Operating!BZ15+Operating!BZ17)</f>
        <v>6.0808989798748297E-2</v>
      </c>
      <c r="CA20" s="399">
        <f>-CA18/(Operating!CA15+Operating!CA17)</f>
        <v>5.8335793951934618E-2</v>
      </c>
      <c r="CB20" s="399">
        <f>-CB18/(Operating!CB15+Operating!CB17)</f>
        <v>7.2372854502244524E-2</v>
      </c>
      <c r="CC20" s="400">
        <f>-CC18/(Operating!CC15+Operating!CC17)</f>
        <v>6.2773854800228623E-2</v>
      </c>
      <c r="CD20" s="399">
        <f>-CD18/(Operating!CD15+Operating!CD17)</f>
        <v>8.0292428198433421E-2</v>
      </c>
      <c r="CE20" s="399">
        <f>-CE18/(Operating!CE15+Operating!CE17)</f>
        <v>7.1875948128211409E-2</v>
      </c>
      <c r="CF20" s="503">
        <v>6.5000000000000002E-2</v>
      </c>
      <c r="CG20" s="503">
        <v>6.5000000000000002E-2</v>
      </c>
      <c r="CH20" s="400">
        <f>-CH18/(Operating!CH15+Operating!CH17)</f>
        <v>7.0021442814627827E-2</v>
      </c>
      <c r="CI20" s="503">
        <v>6.5000000000000002E-2</v>
      </c>
      <c r="CJ20" s="503">
        <f>CI20</f>
        <v>6.5000000000000002E-2</v>
      </c>
      <c r="CK20" s="503">
        <f t="shared" ref="CK20:CL20" si="38">CJ20</f>
        <v>6.5000000000000002E-2</v>
      </c>
      <c r="CL20" s="503">
        <f t="shared" si="38"/>
        <v>6.5000000000000002E-2</v>
      </c>
      <c r="CM20" s="400">
        <f>-CM18/(Operating!CM15+Operating!CM17)</f>
        <v>6.5000000000000002E-2</v>
      </c>
      <c r="CN20" s="503">
        <v>6.5000000000000002E-2</v>
      </c>
      <c r="CO20" s="503">
        <f>CN20</f>
        <v>6.5000000000000002E-2</v>
      </c>
      <c r="CP20" s="503">
        <f t="shared" ref="CP20" si="39">CO20</f>
        <v>6.5000000000000002E-2</v>
      </c>
      <c r="CQ20" s="503">
        <f t="shared" ref="CQ20" si="40">CP20</f>
        <v>6.5000000000000002E-2</v>
      </c>
      <c r="CR20" s="400">
        <f>-CR18/(Operating!CR15+Operating!CR17)</f>
        <v>6.5000000000000002E-2</v>
      </c>
      <c r="CS20" s="399">
        <f>CN20</f>
        <v>6.5000000000000002E-2</v>
      </c>
      <c r="CT20" s="399">
        <f>CO20</f>
        <v>6.5000000000000002E-2</v>
      </c>
      <c r="CU20" s="399">
        <f>CP20</f>
        <v>6.5000000000000002E-2</v>
      </c>
      <c r="CV20" s="399">
        <f>CQ20</f>
        <v>6.5000000000000002E-2</v>
      </c>
      <c r="CW20" s="400">
        <f>-CW18/(Operating!CW15+Operating!CW17)</f>
        <v>6.5000000000000002E-2</v>
      </c>
      <c r="CX20" s="399">
        <f>CS20</f>
        <v>6.5000000000000002E-2</v>
      </c>
      <c r="CY20" s="399">
        <f>CT20</f>
        <v>6.5000000000000002E-2</v>
      </c>
      <c r="CZ20" s="399">
        <f>CU20</f>
        <v>6.5000000000000002E-2</v>
      </c>
      <c r="DA20" s="399">
        <f>CV20</f>
        <v>6.5000000000000002E-2</v>
      </c>
      <c r="DB20" s="400">
        <f>-DB18/(Operating!DB15+Operating!DB17)</f>
        <v>6.5000000000000002E-2</v>
      </c>
    </row>
    <row r="21" spans="1:106" ht="11.25" customHeight="1" x14ac:dyDescent="0.35">
      <c r="A21" s="19" t="s">
        <v>80</v>
      </c>
      <c r="B21" s="397">
        <f>-73166-1227-B32</f>
        <v>-56073</v>
      </c>
      <c r="C21" s="397">
        <f>-73035-1331-C32</f>
        <v>-63450</v>
      </c>
      <c r="D21" s="397">
        <f>-79447-1247-D32</f>
        <v>-69372</v>
      </c>
      <c r="E21" s="397">
        <f>-108018-1385-E32</f>
        <v>-90428</v>
      </c>
      <c r="F21" s="20">
        <f>SUM(B21:E21)</f>
        <v>-279323</v>
      </c>
      <c r="G21" s="397">
        <f>-83303-1930-G32</f>
        <v>-81847</v>
      </c>
      <c r="H21" s="397">
        <f>-101579-1927-H32</f>
        <v>-99975</v>
      </c>
      <c r="I21" s="397">
        <f>-102443-I32</f>
        <v>-96569</v>
      </c>
      <c r="J21" s="397">
        <f>-404033-G21-H21-I21-SUM(G32:J32)</f>
        <v>-112306</v>
      </c>
      <c r="K21" s="20">
        <f>SUM(G21:J21)</f>
        <v>-390697</v>
      </c>
      <c r="L21" s="397">
        <f>-229623-3571-L32-M21-M32-L33</f>
        <v>-107149</v>
      </c>
      <c r="M21" s="397">
        <f>-103506-1632-M32</f>
        <v>-98867</v>
      </c>
      <c r="N21" s="397">
        <f>-89636-N32-2518</f>
        <v>-89846</v>
      </c>
      <c r="O21" s="397">
        <f>-397452-L21-M21-N21-SUM(L32:O32)</f>
        <v>-83181</v>
      </c>
      <c r="P21" s="20">
        <f>SUM(L21:O21)</f>
        <v>-379043</v>
      </c>
      <c r="Q21" s="397">
        <f>-186579-3351-Q32-R21-R32</f>
        <v>-84934</v>
      </c>
      <c r="R21" s="397">
        <f>-97252-1586-R32</f>
        <v>-94225</v>
      </c>
      <c r="S21" s="397">
        <f>-98777-S32-1590</f>
        <v>-98089</v>
      </c>
      <c r="T21" s="397">
        <f>-401077-SUM(Q21:S21)-SUM(Q32:T32)</f>
        <v>-104248</v>
      </c>
      <c r="U21" s="20">
        <f>SUM(Q21:T21)</f>
        <v>-381496</v>
      </c>
      <c r="V21" s="397">
        <f>-105462-1375-V32</f>
        <v>-102174</v>
      </c>
      <c r="W21" s="397">
        <f>-114861-1552-W32</f>
        <v>-110181</v>
      </c>
      <c r="X21" s="397">
        <f>-114766-X32-1725</f>
        <v>-111149</v>
      </c>
      <c r="Y21" s="397">
        <f>-467317-SUM(V21:X21)-SUM(V32:Y32)</f>
        <v>-122209</v>
      </c>
      <c r="Z21" s="20">
        <f>SUM(V21:Y21)</f>
        <v>-445713</v>
      </c>
      <c r="AA21" s="397">
        <f>-103807-1725-AA32</f>
        <v>-101107</v>
      </c>
      <c r="AB21" s="397">
        <f>-88399-1754-AB32</f>
        <v>-84496</v>
      </c>
      <c r="AC21" s="397">
        <f>-113883-AC32-1702</f>
        <v>-110889</v>
      </c>
      <c r="AD21" s="397">
        <f>-412408-SUM(AA21:AC21)-SUM(AA32:AD32)</f>
        <v>-94312</v>
      </c>
      <c r="AE21" s="20">
        <f>SUM(AA21:AD21)</f>
        <v>-390804</v>
      </c>
      <c r="AF21" s="397">
        <f>-93379-1721-AF32</f>
        <v>-88100</v>
      </c>
      <c r="AG21" s="397">
        <f>-113954-AG32-1564</f>
        <v>-107828</v>
      </c>
      <c r="AH21" s="397">
        <f>-111709-AH32-1684</f>
        <v>-102140</v>
      </c>
      <c r="AI21" s="397">
        <f>-438601-SUM(AF21:AH21)-SUM(AF32:AI32)</f>
        <v>-83590</v>
      </c>
      <c r="AJ21" s="20">
        <f>SUM(AF21:AI21)</f>
        <v>-381658</v>
      </c>
      <c r="AK21" s="397">
        <f>-98009-1501-AK32</f>
        <v>-78168</v>
      </c>
      <c r="AL21" s="397">
        <f>-102822-AL32-1517</f>
        <v>-75678</v>
      </c>
      <c r="AM21" s="397">
        <f>-92934-AM32-1441</f>
        <v>-83500</v>
      </c>
      <c r="AN21" s="397">
        <f>-391470-5761-SUM(AK21:AM21)-SUM(AK32:AN32)</f>
        <v>-93350</v>
      </c>
      <c r="AO21" s="20">
        <f>SUM(AK21:AN21)</f>
        <v>-330696</v>
      </c>
      <c r="AP21" s="397">
        <f>-97415-1299-AP32</f>
        <v>-82847</v>
      </c>
      <c r="AQ21" s="397">
        <f>-82780-AQ32-1327</f>
        <v>-74523</v>
      </c>
      <c r="AR21" s="397">
        <f>-93939-AR32-1342</f>
        <v>-84406</v>
      </c>
      <c r="AS21" s="397">
        <f>-364737-5261-SUM(AP21:AR21)-SUM(AP32:AS32)</f>
        <v>-66853</v>
      </c>
      <c r="AT21" s="20">
        <f>SUM(AP21:AS21)</f>
        <v>-308629</v>
      </c>
      <c r="AU21" s="397">
        <f>-78164-1268-AU32</f>
        <v>-55073</v>
      </c>
      <c r="AV21" s="397">
        <f>-94502-AV32-1268</f>
        <v>-103651</v>
      </c>
      <c r="AW21" s="397">
        <f>-103322-AW32-1260</f>
        <v>-73044</v>
      </c>
      <c r="AX21" s="397">
        <f>-388305-5050-SUM(AU21:AW21)-SUM(AU32:AX32)</f>
        <v>-86909</v>
      </c>
      <c r="AY21" s="20">
        <f>SUM(AU21:AX21)</f>
        <v>-318677</v>
      </c>
      <c r="AZ21" s="397">
        <f>-94234-1568-AZ32</f>
        <v>-78603</v>
      </c>
      <c r="BA21" s="397">
        <f>-95740-1458-BA32</f>
        <v>-83473</v>
      </c>
      <c r="BB21" s="397">
        <f>-93025-BB32</f>
        <v>-84062</v>
      </c>
      <c r="BC21" s="397">
        <f>-384720-5957-SUM(AZ21:BB21)-SUM(AZ32:BC32)</f>
        <v>-93376</v>
      </c>
      <c r="BD21" s="20">
        <f>SUM(AZ21:BC21)</f>
        <v>-339514</v>
      </c>
      <c r="BE21" s="397">
        <f>-118255-1332-BE32</f>
        <v>-108655</v>
      </c>
      <c r="BF21" s="397">
        <f>-125166-BF32</f>
        <v>-114704</v>
      </c>
      <c r="BG21" s="397">
        <f>-122372-BG32</f>
        <v>-111352</v>
      </c>
      <c r="BH21" s="397">
        <f>-501453-SUM(BE21:BG21)-SUM(BE32:BH32)</f>
        <v>-126719</v>
      </c>
      <c r="BI21" s="20">
        <f>SUM(BE21:BH21)</f>
        <v>-461430</v>
      </c>
      <c r="BJ21" s="397">
        <f>-134623-1618-BJ32</f>
        <v>-127709</v>
      </c>
      <c r="BK21" s="397">
        <f>-142746-BK32</f>
        <v>-133495</v>
      </c>
      <c r="BL21" s="397">
        <f>-151238-BL32</f>
        <v>-128406</v>
      </c>
      <c r="BM21" s="397">
        <f>-554805-SUM(BJ21:BL21)-SUM(BJ32:BM32)</f>
        <v>-121721</v>
      </c>
      <c r="BN21" s="20">
        <f>SUM(BJ21:BM21)</f>
        <v>-511331</v>
      </c>
      <c r="BO21" s="397">
        <f>-111939-1826-BO32</f>
        <v>-84481</v>
      </c>
      <c r="BP21" s="397">
        <f>-118608-BP32</f>
        <v>-102537</v>
      </c>
      <c r="BQ21" s="397">
        <f>-150553-BQ32</f>
        <v>-108251</v>
      </c>
      <c r="BR21" s="397">
        <f>-517647-SUM(BO21:BQ21)-SUM(BO32:BR32)</f>
        <v>-155290</v>
      </c>
      <c r="BS21" s="20">
        <f>SUM(BO21:BR21)</f>
        <v>-450559</v>
      </c>
      <c r="BT21" s="397">
        <f>-105049-1827-BT32</f>
        <v>-83238</v>
      </c>
      <c r="BU21" s="397">
        <f>-110024-BU32</f>
        <v>-93659</v>
      </c>
      <c r="BV21" s="397">
        <f>-125048-BV32</f>
        <v>-85049</v>
      </c>
      <c r="BW21" s="397">
        <f>-462436-SUM(BT21:BV21)-SUM(BT32:BW32)</f>
        <v>-100431</v>
      </c>
      <c r="BX21" s="20">
        <f>SUM(BT21:BW21)</f>
        <v>-362377</v>
      </c>
      <c r="BY21" s="397">
        <f>-124568-2139-BY32</f>
        <v>-96435</v>
      </c>
      <c r="BZ21" s="397">
        <f>-126946-BZ32</f>
        <v>-103144</v>
      </c>
      <c r="CA21" s="397">
        <f>-131713-CA32</f>
        <v>-103084</v>
      </c>
      <c r="CB21" s="397">
        <f>-524921-SUM(BY21:CA21)-SUM(BY32:CB32)</f>
        <v>-89683</v>
      </c>
      <c r="CC21" s="20">
        <f>SUM(BY21:CB21)</f>
        <v>-392346</v>
      </c>
      <c r="CD21" s="397">
        <f>-131579-2266-CD32</f>
        <v>-79262</v>
      </c>
      <c r="CE21" s="397">
        <f>-134332-CE32</f>
        <v>-93166</v>
      </c>
      <c r="CF21" s="591">
        <f>CA21*(1+Macro!CF11)*1.05</f>
        <v>-112079.49658197809</v>
      </c>
      <c r="CG21" s="591">
        <f>CB21*(1+Macro!CG11)*1.05</f>
        <v>-97569.641267002982</v>
      </c>
      <c r="CH21" s="20">
        <f>SUM(CD21:CG21)</f>
        <v>-382077.13784898107</v>
      </c>
      <c r="CI21" s="591">
        <f>CD21*(1+Macro!CI11)*1.1</f>
        <v>-90614.408865019039</v>
      </c>
      <c r="CJ21" s="591">
        <f>CE21*(1+Macro!CJ11)*1.1</f>
        <v>-106641.18979948745</v>
      </c>
      <c r="CK21" s="591">
        <f>CF21*(1+Macro!CK11)*1.1</f>
        <v>-127942.33284402356</v>
      </c>
      <c r="CL21" s="591">
        <f>CG21*(1+Macro!CL11)*1.1</f>
        <v>-111555.51583956115</v>
      </c>
      <c r="CM21" s="20">
        <f>SUM(CI21:CL21)</f>
        <v>-436753.44734809117</v>
      </c>
      <c r="CN21" s="446">
        <f>CI21*(1+Macro!CN11)</f>
        <v>-94238.985219619804</v>
      </c>
      <c r="CO21" s="446">
        <f>CJ21*(1+Macro!CO11)</f>
        <v>-110906.83739146695</v>
      </c>
      <c r="CP21" s="446">
        <f>CK21*(1+Macro!CP11)</f>
        <v>-133060.02615778451</v>
      </c>
      <c r="CQ21" s="446">
        <f>CL21*(1+Macro!CQ11)</f>
        <v>-116017.7364731436</v>
      </c>
      <c r="CR21" s="20">
        <f>SUM(CN21:CQ21)</f>
        <v>-454223.58524201484</v>
      </c>
      <c r="CS21" s="446">
        <f>CN21*(1+Macro!CS11)</f>
        <v>-97537.349702306485</v>
      </c>
      <c r="CT21" s="446">
        <f>CO21*(1+Macro!CT11)</f>
        <v>-114788.57670016828</v>
      </c>
      <c r="CU21" s="446">
        <f>CP21*(1+Macro!CU11)</f>
        <v>-137717.12707330697</v>
      </c>
      <c r="CV21" s="446">
        <f>CQ21*(1+Macro!CV11)</f>
        <v>-120078.35724970361</v>
      </c>
      <c r="CW21" s="20">
        <f>SUM(CS21:CV21)</f>
        <v>-470121.4107254853</v>
      </c>
      <c r="CX21" s="446">
        <f>CS21*(1+Macro!CX11)</f>
        <v>-100951.15694188721</v>
      </c>
      <c r="CY21" s="446">
        <f>CT21*(1+Macro!CY11)</f>
        <v>-118806.17688467416</v>
      </c>
      <c r="CZ21" s="446">
        <f>CU21*(1+Macro!CZ11)</f>
        <v>-142537.2265208727</v>
      </c>
      <c r="DA21" s="446">
        <f>CV21*(1+Macro!DA11)</f>
        <v>-124281.09975344322</v>
      </c>
      <c r="DB21" s="20">
        <f>SUM(CX21:DA21)</f>
        <v>-486575.66010087729</v>
      </c>
    </row>
    <row r="22" spans="1:106" s="27" customFormat="1" ht="11.25" customHeight="1" outlineLevel="1" x14ac:dyDescent="0.35">
      <c r="A22" s="165" t="s">
        <v>88</v>
      </c>
      <c r="B22" s="164">
        <f t="shared" ref="B22:AG22" si="41">-B21/B9</f>
        <v>4.9514856311283169E-2</v>
      </c>
      <c r="C22" s="164">
        <f t="shared" si="41"/>
        <v>5.2619139434499744E-2</v>
      </c>
      <c r="D22" s="164">
        <f t="shared" si="41"/>
        <v>5.9672323489160455E-2</v>
      </c>
      <c r="E22" s="164">
        <f t="shared" si="41"/>
        <v>6.5090158665719405E-2</v>
      </c>
      <c r="F22" s="25">
        <f t="shared" si="41"/>
        <v>5.7120041389704314E-2</v>
      </c>
      <c r="G22" s="164">
        <f t="shared" si="41"/>
        <v>6.8163685454493972E-2</v>
      </c>
      <c r="H22" s="164">
        <f t="shared" si="41"/>
        <v>7.2294567006343263E-2</v>
      </c>
      <c r="I22" s="164">
        <f t="shared" si="41"/>
        <v>6.1919002412153867E-2</v>
      </c>
      <c r="J22" s="164">
        <f t="shared" si="41"/>
        <v>5.6618603082448517E-2</v>
      </c>
      <c r="K22" s="25">
        <f t="shared" si="41"/>
        <v>6.3768722923179394E-2</v>
      </c>
      <c r="L22" s="164">
        <f t="shared" si="41"/>
        <v>7.3072262083291567E-2</v>
      </c>
      <c r="M22" s="164">
        <f t="shared" si="41"/>
        <v>7.137056284618877E-2</v>
      </c>
      <c r="N22" s="164">
        <f t="shared" si="41"/>
        <v>6.6554958991134505E-2</v>
      </c>
      <c r="O22" s="164">
        <f t="shared" si="41"/>
        <v>5.8122967939119051E-2</v>
      </c>
      <c r="P22" s="25">
        <f t="shared" si="41"/>
        <v>6.7293556050327025E-2</v>
      </c>
      <c r="Q22" s="164">
        <f t="shared" si="41"/>
        <v>6.98832454314324E-2</v>
      </c>
      <c r="R22" s="164">
        <f t="shared" si="41"/>
        <v>6.8656146555825887E-2</v>
      </c>
      <c r="S22" s="164">
        <f t="shared" si="41"/>
        <v>7.0342529803908066E-2</v>
      </c>
      <c r="T22" s="164">
        <f t="shared" si="41"/>
        <v>7.5017720353039802E-2</v>
      </c>
      <c r="U22" s="25">
        <f t="shared" si="41"/>
        <v>7.1017196580267394E-2</v>
      </c>
      <c r="V22" s="164">
        <f t="shared" si="41"/>
        <v>7.7677475858356868E-2</v>
      </c>
      <c r="W22" s="164">
        <f t="shared" si="41"/>
        <v>8.1114985964393066E-2</v>
      </c>
      <c r="X22" s="164">
        <f t="shared" si="41"/>
        <v>6.8878524827476792E-2</v>
      </c>
      <c r="Y22" s="164">
        <f t="shared" si="41"/>
        <v>7.9847086449340035E-2</v>
      </c>
      <c r="Z22" s="25">
        <f t="shared" si="41"/>
        <v>7.6610277165732737E-2</v>
      </c>
      <c r="AA22" s="164">
        <f t="shared" si="41"/>
        <v>9.7667728604906814E-2</v>
      </c>
      <c r="AB22" s="164">
        <f t="shared" si="41"/>
        <v>7.42702492697878E-2</v>
      </c>
      <c r="AC22" s="164">
        <f t="shared" si="41"/>
        <v>9.7464870931932179E-2</v>
      </c>
      <c r="AD22" s="164">
        <f t="shared" si="41"/>
        <v>9.1515825468631434E-2</v>
      </c>
      <c r="AE22" s="25">
        <f t="shared" si="41"/>
        <v>9.0022445489525441E-2</v>
      </c>
      <c r="AF22" s="164">
        <f t="shared" si="41"/>
        <v>0.10867071416765141</v>
      </c>
      <c r="AG22" s="164">
        <f t="shared" si="41"/>
        <v>0.16820974895208202</v>
      </c>
      <c r="AH22" s="164">
        <f t="shared" ref="AH22:BM22" si="42">-AH21/AH9</f>
        <v>0.12383503049804379</v>
      </c>
      <c r="AI22" s="164">
        <f t="shared" si="42"/>
        <v>9.0980926549146468E-2</v>
      </c>
      <c r="AJ22" s="25">
        <f t="shared" si="42"/>
        <v>0.11944318391642751</v>
      </c>
      <c r="AK22" s="164">
        <f t="shared" si="42"/>
        <v>0.11289640042346261</v>
      </c>
      <c r="AL22" s="164">
        <f t="shared" si="42"/>
        <v>0.13166978683128144</v>
      </c>
      <c r="AM22" s="164">
        <f t="shared" si="42"/>
        <v>0.13967251395470595</v>
      </c>
      <c r="AN22" s="164">
        <f t="shared" si="42"/>
        <v>0.11541790306627102</v>
      </c>
      <c r="AO22" s="25">
        <f t="shared" si="42"/>
        <v>0.12368154328906375</v>
      </c>
      <c r="AP22" s="164">
        <f t="shared" si="42"/>
        <v>0.18385032244320074</v>
      </c>
      <c r="AQ22" s="164">
        <f t="shared" si="42"/>
        <v>0.11652612272277375</v>
      </c>
      <c r="AR22" s="164">
        <f t="shared" si="42"/>
        <v>0.11645017762908288</v>
      </c>
      <c r="AS22" s="164">
        <f t="shared" si="42"/>
        <v>6.2063497810468347E-2</v>
      </c>
      <c r="AT22" s="25">
        <f t="shared" si="42"/>
        <v>0.10671239493568295</v>
      </c>
      <c r="AU22" s="164">
        <f t="shared" si="42"/>
        <v>6.6655289771929568E-2</v>
      </c>
      <c r="AV22" s="164">
        <f t="shared" si="42"/>
        <v>0.1106647078543959</v>
      </c>
      <c r="AW22" s="164">
        <f t="shared" si="42"/>
        <v>7.8142066564750909E-2</v>
      </c>
      <c r="AX22" s="164">
        <f t="shared" si="42"/>
        <v>7.0474032724459665E-2</v>
      </c>
      <c r="AY22" s="25">
        <f t="shared" si="42"/>
        <v>8.1071317635009257E-2</v>
      </c>
      <c r="AZ22" s="164">
        <f t="shared" si="42"/>
        <v>0.10278193669868128</v>
      </c>
      <c r="BA22" s="164">
        <f t="shared" si="42"/>
        <v>9.9513833916700836E-2</v>
      </c>
      <c r="BB22" s="164">
        <f t="shared" si="42"/>
        <v>7.2249061669802314E-2</v>
      </c>
      <c r="BC22" s="164">
        <f t="shared" si="42"/>
        <v>8.837152077832354E-2</v>
      </c>
      <c r="BD22" s="25">
        <f t="shared" si="42"/>
        <v>8.8792100627246517E-2</v>
      </c>
      <c r="BE22" s="164">
        <f t="shared" si="42"/>
        <v>0.10825100724097668</v>
      </c>
      <c r="BF22" s="164">
        <f t="shared" si="42"/>
        <v>9.7040741307880832E-2</v>
      </c>
      <c r="BG22" s="164">
        <f t="shared" si="42"/>
        <v>8.6430667704695735E-2</v>
      </c>
      <c r="BH22" s="164">
        <f t="shared" si="42"/>
        <v>9.6236699188831834E-2</v>
      </c>
      <c r="BI22" s="25">
        <f t="shared" si="42"/>
        <v>9.6315191950961346E-2</v>
      </c>
      <c r="BJ22" s="164">
        <f t="shared" si="42"/>
        <v>0.10368919142744866</v>
      </c>
      <c r="BK22" s="164">
        <f t="shared" si="42"/>
        <v>0.10678890921642803</v>
      </c>
      <c r="BL22" s="164">
        <f t="shared" si="42"/>
        <v>8.2330326664290063E-2</v>
      </c>
      <c r="BM22" s="164">
        <f t="shared" si="42"/>
        <v>8.8788080378374754E-2</v>
      </c>
      <c r="BN22" s="25">
        <f t="shared" ref="BN22:CS22" si="43">-BN21/BN9</f>
        <v>9.4475818483656188E-2</v>
      </c>
      <c r="BO22" s="164">
        <f t="shared" si="43"/>
        <v>6.5824597600484952E-2</v>
      </c>
      <c r="BP22" s="164">
        <f t="shared" si="43"/>
        <v>6.2788454767291974E-2</v>
      </c>
      <c r="BQ22" s="164">
        <f t="shared" si="43"/>
        <v>6.6575563027256673E-2</v>
      </c>
      <c r="BR22" s="164">
        <f t="shared" si="43"/>
        <v>9.0800599451185252E-2</v>
      </c>
      <c r="BS22" s="25">
        <f t="shared" si="43"/>
        <v>7.2058322334083255E-2</v>
      </c>
      <c r="BT22" s="164">
        <f t="shared" si="43"/>
        <v>5.2919713829962405E-2</v>
      </c>
      <c r="BU22" s="164">
        <f t="shared" si="43"/>
        <v>5.043953303889314E-2</v>
      </c>
      <c r="BV22" s="164">
        <f t="shared" si="43"/>
        <v>4.1903263171845798E-2</v>
      </c>
      <c r="BW22" s="164">
        <f t="shared" si="43"/>
        <v>4.0071915664280248E-2</v>
      </c>
      <c r="BX22" s="25">
        <f t="shared" si="43"/>
        <v>4.5492241222603751E-2</v>
      </c>
      <c r="BY22" s="164">
        <f t="shared" si="43"/>
        <v>4.9384353504606848E-2</v>
      </c>
      <c r="BZ22" s="164">
        <f>-BZ21/BZ9</f>
        <v>4.8949993593181244E-2</v>
      </c>
      <c r="CA22" s="164">
        <f>-CA21/CA9</f>
        <v>4.843157871987356E-2</v>
      </c>
      <c r="CB22" s="164">
        <f t="shared" ref="CB22" si="44">-CB21/CB9</f>
        <v>2.7721229213637351E-2</v>
      </c>
      <c r="CC22" s="25">
        <f t="shared" si="43"/>
        <v>4.1634875556773317E-2</v>
      </c>
      <c r="CD22" s="164">
        <f t="shared" ref="CD22" si="45">-CD21/CD9</f>
        <v>3.9141090540252922E-2</v>
      </c>
      <c r="CE22" s="164">
        <f>-CE21/CE9</f>
        <v>3.7553746244766456E-2</v>
      </c>
      <c r="CF22" s="164">
        <f t="shared" si="43"/>
        <v>4.2181883113217793E-2</v>
      </c>
      <c r="CG22" s="164">
        <f t="shared" si="43"/>
        <v>3.4113625040389089E-2</v>
      </c>
      <c r="CH22" s="25">
        <f t="shared" si="43"/>
        <v>3.8119680410464533E-2</v>
      </c>
      <c r="CI22" s="164">
        <f t="shared" si="43"/>
        <v>3.3625668945776586E-2</v>
      </c>
      <c r="CJ22" s="164">
        <f t="shared" si="43"/>
        <v>3.8816752511923715E-2</v>
      </c>
      <c r="CK22" s="164">
        <f t="shared" si="43"/>
        <v>4.4318244954806837E-2</v>
      </c>
      <c r="CL22" s="164">
        <f t="shared" si="43"/>
        <v>3.6638502815458086E-2</v>
      </c>
      <c r="CM22" s="25">
        <f t="shared" si="43"/>
        <v>3.8400098741192976E-2</v>
      </c>
      <c r="CN22" s="164">
        <f t="shared" si="43"/>
        <v>3.1111976276171408E-2</v>
      </c>
      <c r="CO22" s="164">
        <f t="shared" si="43"/>
        <v>3.6209193260000695E-2</v>
      </c>
      <c r="CP22" s="164">
        <f t="shared" si="43"/>
        <v>4.1734413945544648E-2</v>
      </c>
      <c r="CQ22" s="164">
        <f t="shared" si="43"/>
        <v>3.4089571964687371E-2</v>
      </c>
      <c r="CR22" s="25">
        <f t="shared" si="43"/>
        <v>3.5812022817360303E-2</v>
      </c>
      <c r="CS22" s="164">
        <f t="shared" si="43"/>
        <v>2.93729499159112E-2</v>
      </c>
      <c r="CT22" s="164">
        <f t="shared" ref="CT22:DB22" si="46">-CT21/CT9</f>
        <v>3.4390298091931983E-2</v>
      </c>
      <c r="CU22" s="164">
        <f t="shared" si="46"/>
        <v>3.9895907400916517E-2</v>
      </c>
      <c r="CV22" s="164">
        <f t="shared" si="46"/>
        <v>3.2778151795668634E-2</v>
      </c>
      <c r="CW22" s="25">
        <f t="shared" si="46"/>
        <v>3.4131699230707073E-2</v>
      </c>
      <c r="CX22" s="164">
        <f t="shared" si="46"/>
        <v>2.8250107913027039E-2</v>
      </c>
      <c r="CY22" s="164">
        <f t="shared" si="46"/>
        <v>3.3174230214397339E-2</v>
      </c>
      <c r="CZ22" s="164">
        <f t="shared" si="46"/>
        <v>3.8589147421600772E-2</v>
      </c>
      <c r="DA22" s="164">
        <f t="shared" si="46"/>
        <v>3.1821032506923613E-2</v>
      </c>
      <c r="DB22" s="25">
        <f t="shared" si="46"/>
        <v>3.2979017793979604E-2</v>
      </c>
    </row>
    <row r="23" spans="1:106" ht="11.25" customHeight="1" x14ac:dyDescent="0.35">
      <c r="A23" s="16" t="s">
        <v>81</v>
      </c>
      <c r="B23" s="160">
        <f>B24+B26+B28</f>
        <v>5388</v>
      </c>
      <c r="C23" s="160">
        <f>C24+C26+C28</f>
        <v>20507</v>
      </c>
      <c r="D23" s="160">
        <f>D24+D26+D28</f>
        <v>22098</v>
      </c>
      <c r="E23" s="160">
        <f>E24+E26+E28</f>
        <v>17239</v>
      </c>
      <c r="F23" s="586">
        <f>SUM(B23:E23)</f>
        <v>65232</v>
      </c>
      <c r="G23" s="160">
        <f>G24+G26+G28</f>
        <v>3210</v>
      </c>
      <c r="H23" s="160">
        <f>H24+H26+H28</f>
        <v>19574</v>
      </c>
      <c r="I23" s="160">
        <f>I24+I26+I28</f>
        <v>7204</v>
      </c>
      <c r="J23" s="160">
        <f>J24+J26+J28</f>
        <v>19631</v>
      </c>
      <c r="K23" s="586">
        <f>SUM(G23:J23)</f>
        <v>49619</v>
      </c>
      <c r="L23" s="160">
        <f>L24+L26+L28</f>
        <v>7372</v>
      </c>
      <c r="M23" s="160">
        <f>M24+M26+M28</f>
        <v>3487</v>
      </c>
      <c r="N23" s="160">
        <f>N24+N26+N28</f>
        <v>2574</v>
      </c>
      <c r="O23" s="160">
        <f>O24+O26+O28</f>
        <v>-2842</v>
      </c>
      <c r="P23" s="18">
        <f>SUM(L23:O23)</f>
        <v>10591</v>
      </c>
      <c r="Q23" s="160">
        <f>Q24+Q26+Q28</f>
        <v>9802</v>
      </c>
      <c r="R23" s="160">
        <f>R24+R26+R28</f>
        <v>8806</v>
      </c>
      <c r="S23" s="160">
        <f>S24+S26+S28</f>
        <v>4964</v>
      </c>
      <c r="T23" s="160">
        <f>T24+T26+T28</f>
        <v>4306</v>
      </c>
      <c r="U23" s="18">
        <f>SUM(Q23:T23)</f>
        <v>27878</v>
      </c>
      <c r="V23" s="160">
        <f>V24+V26+V28</f>
        <v>9440</v>
      </c>
      <c r="W23" s="160">
        <f>W24+W26+W28</f>
        <v>3202</v>
      </c>
      <c r="X23" s="160">
        <f>X24+X26+X28</f>
        <v>1584</v>
      </c>
      <c r="Y23" s="160">
        <f>Y24+Y26+Y28</f>
        <v>1918</v>
      </c>
      <c r="Z23" s="586">
        <f>SUM(V23:Y23)</f>
        <v>16144</v>
      </c>
      <c r="AA23" s="160">
        <f>AA24+AA26+AA28</f>
        <v>6182</v>
      </c>
      <c r="AB23" s="160">
        <f>AB24+AB26+AB28</f>
        <v>-10004</v>
      </c>
      <c r="AC23" s="160">
        <f>AC24+AC26+AC28</f>
        <v>5184</v>
      </c>
      <c r="AD23" s="160">
        <f>AD24+AD26+AD28</f>
        <v>16235</v>
      </c>
      <c r="AE23" s="586">
        <f>SUM(AA23:AD23)</f>
        <v>17597</v>
      </c>
      <c r="AF23" s="160">
        <f>AF24+AF26+AF28</f>
        <v>20257</v>
      </c>
      <c r="AG23" s="160">
        <f>AG24+AG26+AG28</f>
        <v>25931</v>
      </c>
      <c r="AH23" s="160">
        <f>AH24+AH26+AH28</f>
        <v>18196</v>
      </c>
      <c r="AI23" s="160">
        <f>AI24+AI26+AI28</f>
        <v>14759</v>
      </c>
      <c r="AJ23" s="586">
        <f>SUM(AF23:AI23)</f>
        <v>79143</v>
      </c>
      <c r="AK23" s="160">
        <f>AK24+AK26+AK28</f>
        <v>12967</v>
      </c>
      <c r="AL23" s="160">
        <f>AL24+AL26+AL28</f>
        <v>5208</v>
      </c>
      <c r="AM23" s="160">
        <f>AM24+AM26+AM28</f>
        <v>11674</v>
      </c>
      <c r="AN23" s="160">
        <f>AN24+AN26+AN28</f>
        <v>7963</v>
      </c>
      <c r="AO23" s="586">
        <f>SUM(AK23:AN23)</f>
        <v>37812</v>
      </c>
      <c r="AP23" s="160">
        <f>AP24+AP26+AP28</f>
        <v>2760</v>
      </c>
      <c r="AQ23" s="160">
        <f>AQ24+AQ26+AQ28</f>
        <v>4473</v>
      </c>
      <c r="AR23" s="160">
        <f>AR24+AR26+AR28</f>
        <v>-769</v>
      </c>
      <c r="AS23" s="160">
        <f>AS24+AS26+AS28</f>
        <v>15654</v>
      </c>
      <c r="AT23" s="586">
        <f>SUM(AP23:AS23)</f>
        <v>22118</v>
      </c>
      <c r="AU23" s="160">
        <f>AU24+AU26+AU28</f>
        <v>1872</v>
      </c>
      <c r="AV23" s="160">
        <f>AV24+AV26+AV28</f>
        <v>17872</v>
      </c>
      <c r="AW23" s="160">
        <f>AW24+AW26+AW28</f>
        <v>9055</v>
      </c>
      <c r="AX23" s="160">
        <f>AX24+AX26+AX28</f>
        <v>1794</v>
      </c>
      <c r="AY23" s="586">
        <f>SUM(AU23:AX23)</f>
        <v>30593</v>
      </c>
      <c r="AZ23" s="160">
        <f>AZ24+AZ26+AZ28</f>
        <v>3251</v>
      </c>
      <c r="BA23" s="160">
        <f>BA24+BA26+BA28</f>
        <v>6501</v>
      </c>
      <c r="BB23" s="160">
        <f>BB24+BB26+BB28</f>
        <v>24471</v>
      </c>
      <c r="BC23" s="160">
        <f>BC24+BC26+BC28</f>
        <v>50278</v>
      </c>
      <c r="BD23" s="586">
        <f>SUM(AZ23:BC23)</f>
        <v>84501</v>
      </c>
      <c r="BE23" s="160">
        <f>BE24+BE26+BE28</f>
        <v>10887</v>
      </c>
      <c r="BF23" s="160">
        <f>BF24+BF26+BF28</f>
        <v>9293</v>
      </c>
      <c r="BG23" s="160">
        <f>BG24+BG26+BG28</f>
        <v>8859</v>
      </c>
      <c r="BH23" s="160">
        <f>BH24+BH26+BH28</f>
        <v>13958</v>
      </c>
      <c r="BI23" s="586">
        <f>SUM(BE23:BH23)</f>
        <v>42997</v>
      </c>
      <c r="BJ23" s="160">
        <f>BJ24+BJ26+BJ28</f>
        <v>9333</v>
      </c>
      <c r="BK23" s="160">
        <f>BK24+BK26+BK28</f>
        <v>25501</v>
      </c>
      <c r="BL23" s="160">
        <f>BL24+BL26+BL28</f>
        <v>7027</v>
      </c>
      <c r="BM23" s="160">
        <f>BM24+BM26+BM28</f>
        <v>26466</v>
      </c>
      <c r="BN23" s="586">
        <f>SUM(BJ23:BM23)</f>
        <v>68327</v>
      </c>
      <c r="BO23" s="160">
        <f>BO24+BO26+BO28</f>
        <v>45587</v>
      </c>
      <c r="BP23" s="160">
        <f>BP24+BP26+BP28</f>
        <v>29183</v>
      </c>
      <c r="BQ23" s="160">
        <f>BQ24+BQ26+BQ28</f>
        <v>28081</v>
      </c>
      <c r="BR23" s="160">
        <f>BR24+BR26+BR28</f>
        <v>33921</v>
      </c>
      <c r="BS23" s="586">
        <f>SUM(BO23:BR23)</f>
        <v>136772</v>
      </c>
      <c r="BT23" s="160">
        <f>BT24+BT26+BT28</f>
        <v>13135</v>
      </c>
      <c r="BU23" s="160">
        <f>BU24+BU26+BU28</f>
        <v>44695</v>
      </c>
      <c r="BV23" s="160">
        <f>BV24+BV26+BV28</f>
        <v>39210</v>
      </c>
      <c r="BW23" s="160">
        <f>BW24+BW26+BW28</f>
        <v>16645</v>
      </c>
      <c r="BX23" s="586">
        <f>SUM(BT23:BW23)</f>
        <v>113685</v>
      </c>
      <c r="BY23" s="587">
        <f>BY24+BY26+BY28</f>
        <v>59001</v>
      </c>
      <c r="BZ23" s="587">
        <f>BZ24+BZ26+BZ28</f>
        <v>66436</v>
      </c>
      <c r="CA23" s="587">
        <f>CA24+CA26+CA28</f>
        <v>56503</v>
      </c>
      <c r="CB23" s="160">
        <f>CB24+CB26+CB28</f>
        <v>65739</v>
      </c>
      <c r="CC23" s="18">
        <f>SUM(BY23:CB23)</f>
        <v>247679</v>
      </c>
      <c r="CD23" s="587">
        <f>CD24+CD26+CD28</f>
        <v>37699</v>
      </c>
      <c r="CE23" s="587">
        <f>CE24+CE26+CE28</f>
        <v>69311</v>
      </c>
      <c r="CF23" s="160">
        <f ca="1">CF24+CF26+CF28</f>
        <v>71084.385359738895</v>
      </c>
      <c r="CG23" s="160">
        <f ca="1">CG24+CG26+CG28</f>
        <v>65048.767711541033</v>
      </c>
      <c r="CH23" s="18">
        <f ca="1">SUM(CD23:CG23)</f>
        <v>243143.15307127993</v>
      </c>
      <c r="CI23" s="160">
        <f ca="1">CI24+CI26+CI28</f>
        <v>99372.710725058569</v>
      </c>
      <c r="CJ23" s="160">
        <f ca="1">CJ24+CJ26+CJ28</f>
        <v>71717.207997380989</v>
      </c>
      <c r="CK23" s="160">
        <f ca="1">CK24+CK26+CK28</f>
        <v>65167.88085806137</v>
      </c>
      <c r="CL23" s="160">
        <f ca="1">CL24+CL26+CL28</f>
        <v>77841.107000877266</v>
      </c>
      <c r="CM23" s="18">
        <f ca="1">SUM(CI23:CL23)</f>
        <v>314098.90658137819</v>
      </c>
      <c r="CN23" s="160">
        <f ca="1">CN24+CN26+CN28</f>
        <v>91614.646291390934</v>
      </c>
      <c r="CO23" s="160">
        <f ca="1">CO24+CO26+CO28</f>
        <v>70518.055630663817</v>
      </c>
      <c r="CP23" s="160">
        <f ca="1">CP24+CP26+CP28</f>
        <v>51312.60954616766</v>
      </c>
      <c r="CQ23" s="160">
        <f ca="1">CQ24+CQ26+CQ28</f>
        <v>68228.910777073877</v>
      </c>
      <c r="CR23" s="18">
        <f ca="1">SUM(CN23:CQ23)</f>
        <v>281674.22224529629</v>
      </c>
      <c r="CS23" s="160">
        <f ca="1">CS24+CS26+CS28</f>
        <v>73833.830190654757</v>
      </c>
      <c r="CT23" s="160">
        <f ca="1">CT24+CT26+CT28</f>
        <v>58524.309562437527</v>
      </c>
      <c r="CU23" s="160">
        <f ca="1">CU24+CU26+CU28</f>
        <v>43983.288555063831</v>
      </c>
      <c r="CV23" s="160">
        <f ca="1">CV24+CV26+CV28</f>
        <v>61507.702852549817</v>
      </c>
      <c r="CW23" s="18">
        <f ca="1">SUM(CS23:CV23)</f>
        <v>237849.13116070593</v>
      </c>
      <c r="CX23" s="160">
        <f ca="1">CX24+CX26+CX28</f>
        <v>77037.016076945205</v>
      </c>
      <c r="CY23" s="160">
        <f ca="1">CY24+CY26+CY28</f>
        <v>60075.165989132714</v>
      </c>
      <c r="CZ23" s="160">
        <f ca="1">CZ24+CZ26+CZ28</f>
        <v>47982.250155978982</v>
      </c>
      <c r="DA23" s="160">
        <f ca="1">DA24+DA26+DA28</f>
        <v>72634.420117128233</v>
      </c>
      <c r="DB23" s="18">
        <f ca="1">SUM(CX23:DA23)</f>
        <v>257728.85233918513</v>
      </c>
    </row>
    <row r="24" spans="1:106" ht="11.15" customHeight="1" x14ac:dyDescent="0.35">
      <c r="A24" s="162" t="s">
        <v>82</v>
      </c>
      <c r="B24" s="397">
        <f>57269</f>
        <v>57269</v>
      </c>
      <c r="C24" s="397">
        <f>79023</f>
        <v>79023</v>
      </c>
      <c r="D24" s="397">
        <f>82309</f>
        <v>82309</v>
      </c>
      <c r="E24" s="397">
        <f>69011</f>
        <v>69011</v>
      </c>
      <c r="F24" s="20">
        <f>SUM(B24:E24)</f>
        <v>287612</v>
      </c>
      <c r="G24" s="397">
        <f>59606</f>
        <v>59606</v>
      </c>
      <c r="H24" s="397">
        <f>135741-46605</f>
        <v>89136</v>
      </c>
      <c r="I24" s="397">
        <f>101379</f>
        <v>101379</v>
      </c>
      <c r="J24" s="397">
        <f>363335-G24-H24-I24</f>
        <v>113214</v>
      </c>
      <c r="K24" s="20">
        <f>SUM(G24:J24)</f>
        <v>363335</v>
      </c>
      <c r="L24" s="397">
        <f>156358-M24</f>
        <v>78009</v>
      </c>
      <c r="M24" s="397">
        <f>78349</f>
        <v>78349</v>
      </c>
      <c r="N24" s="397">
        <f>47580</f>
        <v>47580</v>
      </c>
      <c r="O24" s="397">
        <f>249302-L24-M24-N24</f>
        <v>45364</v>
      </c>
      <c r="P24" s="20">
        <f>SUM(L24:O24)</f>
        <v>249302</v>
      </c>
      <c r="Q24" s="397">
        <f>99206-R24</f>
        <v>50737</v>
      </c>
      <c r="R24" s="397">
        <f>48469</f>
        <v>48469</v>
      </c>
      <c r="S24" s="397">
        <f>50340</f>
        <v>50340</v>
      </c>
      <c r="T24" s="397">
        <f>207166-Q24-R24-S24</f>
        <v>57620</v>
      </c>
      <c r="U24" s="20">
        <f>SUM(Q24:T24)</f>
        <v>207166</v>
      </c>
      <c r="V24" s="397">
        <f>69890</f>
        <v>69890</v>
      </c>
      <c r="W24" s="397">
        <f>72020</f>
        <v>72020</v>
      </c>
      <c r="X24" s="397">
        <f>68287</f>
        <v>68287</v>
      </c>
      <c r="Y24" s="397">
        <f>278643-V24-W24-X24</f>
        <v>68446</v>
      </c>
      <c r="Z24" s="20">
        <f>SUM(V24:Y24)</f>
        <v>278643</v>
      </c>
      <c r="AA24" s="397">
        <f>70199</f>
        <v>70199</v>
      </c>
      <c r="AB24" s="397">
        <f>78523</f>
        <v>78523</v>
      </c>
      <c r="AC24" s="397">
        <f>92358</f>
        <v>92358</v>
      </c>
      <c r="AD24" s="397">
        <f>330885-AA24-AB24-AC24</f>
        <v>89805</v>
      </c>
      <c r="AE24" s="20">
        <f>SUM(AA24:AD24)</f>
        <v>330885</v>
      </c>
      <c r="AF24" s="397">
        <f>79540</f>
        <v>79540</v>
      </c>
      <c r="AG24" s="397">
        <f>82849</f>
        <v>82849</v>
      </c>
      <c r="AH24" s="397">
        <f>72404</f>
        <v>72404</v>
      </c>
      <c r="AI24" s="397">
        <f>305693-AF24-AG24-AH24</f>
        <v>70900</v>
      </c>
      <c r="AJ24" s="20">
        <f>SUM(AF24:AI24)</f>
        <v>305693</v>
      </c>
      <c r="AK24" s="397">
        <f>64967</f>
        <v>64967</v>
      </c>
      <c r="AL24" s="397">
        <f>49577</f>
        <v>49577</v>
      </c>
      <c r="AM24" s="397">
        <f>53730</f>
        <v>53730</v>
      </c>
      <c r="AN24" s="397">
        <f>205392-AK24-AL24-AM24</f>
        <v>37118</v>
      </c>
      <c r="AO24" s="20">
        <f>SUM(AK24:AN24)</f>
        <v>205392</v>
      </c>
      <c r="AP24" s="397">
        <f>31953</f>
        <v>31953</v>
      </c>
      <c r="AQ24" s="397">
        <f>33070</f>
        <v>33070</v>
      </c>
      <c r="AR24" s="397">
        <f>49281</f>
        <v>49281</v>
      </c>
      <c r="AS24" s="397">
        <f>173006-AP24-AQ24-AR24</f>
        <v>58702</v>
      </c>
      <c r="AT24" s="20">
        <f>SUM(AP24:AS24)</f>
        <v>173006</v>
      </c>
      <c r="AU24" s="397">
        <f>40108</f>
        <v>40108</v>
      </c>
      <c r="AV24" s="397">
        <f>49286</f>
        <v>49286</v>
      </c>
      <c r="AW24" s="397">
        <f>47956</f>
        <v>47956</v>
      </c>
      <c r="AX24" s="397">
        <f>180522-AU24-AV24-AW24</f>
        <v>43172</v>
      </c>
      <c r="AY24" s="20">
        <f>SUM(AU24:AX24)</f>
        <v>180522</v>
      </c>
      <c r="AZ24" s="397">
        <f>31141</f>
        <v>31141</v>
      </c>
      <c r="BA24" s="397">
        <f>42555</f>
        <v>42555</v>
      </c>
      <c r="BB24" s="397">
        <f>55454</f>
        <v>55454</v>
      </c>
      <c r="BC24" s="397">
        <f>202431-AZ24-BA24-BB24</f>
        <v>73281</v>
      </c>
      <c r="BD24" s="20">
        <f>SUM(AZ24:BC24)</f>
        <v>202431</v>
      </c>
      <c r="BE24" s="397">
        <f>53921</f>
        <v>53921</v>
      </c>
      <c r="BF24" s="397">
        <f>51865</f>
        <v>51865</v>
      </c>
      <c r="BG24" s="397">
        <f>71473</f>
        <v>71473</v>
      </c>
      <c r="BH24" s="397">
        <f>271862-BE24-BF24-BG24</f>
        <v>94603</v>
      </c>
      <c r="BI24" s="20">
        <f>SUM(BE24:BH24)</f>
        <v>271862</v>
      </c>
      <c r="BJ24" s="397">
        <f>95875</f>
        <v>95875</v>
      </c>
      <c r="BK24" s="397">
        <f>130109</f>
        <v>130109</v>
      </c>
      <c r="BL24" s="397">
        <f>130948</f>
        <v>130948</v>
      </c>
      <c r="BM24" s="397">
        <f>572713-BJ24-BK24-BL24</f>
        <v>215781</v>
      </c>
      <c r="BN24" s="20">
        <f>SUM(BJ24:BM24)</f>
        <v>572713</v>
      </c>
      <c r="BO24" s="397">
        <f>190820</f>
        <v>190820</v>
      </c>
      <c r="BP24" s="397">
        <f>178032</f>
        <v>178032</v>
      </c>
      <c r="BQ24" s="397">
        <f>156108</f>
        <v>156108</v>
      </c>
      <c r="BR24" s="397">
        <f>694725-BO24-BP24-BQ24</f>
        <v>169765</v>
      </c>
      <c r="BS24" s="20">
        <f>SUM(BO24:BR24)</f>
        <v>694725</v>
      </c>
      <c r="BT24" s="397">
        <f>157466</f>
        <v>157466</v>
      </c>
      <c r="BU24" s="397">
        <f>182301</f>
        <v>182301</v>
      </c>
      <c r="BV24" s="397">
        <f>169528</f>
        <v>169528</v>
      </c>
      <c r="BW24" s="397">
        <f>683473-SUM(BT24:BV24)</f>
        <v>174178</v>
      </c>
      <c r="BX24" s="20">
        <f>SUM(BT24:BW24)</f>
        <v>683473</v>
      </c>
      <c r="BY24" s="397">
        <f>211618</f>
        <v>211618</v>
      </c>
      <c r="BZ24" s="397">
        <f>252543</f>
        <v>252543</v>
      </c>
      <c r="CA24" s="397">
        <v>246895</v>
      </c>
      <c r="CB24" s="397">
        <f>975978-SUM(BY24:CA24)</f>
        <v>264922</v>
      </c>
      <c r="CC24" s="20">
        <f>SUM(BY24:CB24)</f>
        <v>975978</v>
      </c>
      <c r="CD24" s="397">
        <v>260988</v>
      </c>
      <c r="CE24" s="397">
        <f>332564</f>
        <v>332564</v>
      </c>
      <c r="CF24" s="422">
        <f ca="1">CF25*(AVERAGE('BS &amp; FCF'!CE6:CF6)+AVERAGE('BS &amp; FCF'!CE7:CF7))/4</f>
        <v>290756.11223774194</v>
      </c>
      <c r="CG24" s="422">
        <f ca="1">CG25*(AVERAGE('BS &amp; FCF'!CF6:CG6)+AVERAGE('BS &amp; FCF'!CF7:CG7))/4</f>
        <v>287420.38311044325</v>
      </c>
      <c r="CH24" s="20">
        <f ca="1">SUM(CD24:CG24)</f>
        <v>1171728.4953481853</v>
      </c>
      <c r="CI24" s="422">
        <f ca="1">CI25*(AVERAGE('BS &amp; FCF'!CH6:CI6)+AVERAGE('BS &amp; FCF'!CH7:CI7))/4</f>
        <v>356219.33171639824</v>
      </c>
      <c r="CJ24" s="422">
        <f ca="1">CJ25*(AVERAGE('BS &amp; FCF'!CI6:CJ6)+AVERAGE('BS &amp; FCF'!CI7:CJ7))/4</f>
        <v>325784.0117524016</v>
      </c>
      <c r="CK24" s="422">
        <f ca="1">CK25*(AVERAGE('BS &amp; FCF'!CJ6:CK6)+AVERAGE('BS &amp; FCF'!CJ7:CK7))/4</f>
        <v>306168.28274188004</v>
      </c>
      <c r="CL24" s="422">
        <f ca="1">CL25*(AVERAGE('BS &amp; FCF'!CK6:CL6)+AVERAGE('BS &amp; FCF'!CK7:CL7))/4</f>
        <v>309270.79276349378</v>
      </c>
      <c r="CM24" s="20">
        <f ca="1">SUM(CI24:CL24)</f>
        <v>1297442.4189741737</v>
      </c>
      <c r="CN24" s="422">
        <f ca="1">CN25*(AVERAGE('BS &amp; FCF'!CM6:CN6)+AVERAGE('BS &amp; FCF'!CM7:CN7))/4</f>
        <v>324523.48561159649</v>
      </c>
      <c r="CO24" s="422">
        <f ca="1">CO25*(AVERAGE('BS &amp; FCF'!CN6:CO6)+AVERAGE('BS &amp; FCF'!CN7:CO7))/4</f>
        <v>304400.7823344841</v>
      </c>
      <c r="CP24" s="422">
        <f ca="1">CP25*(AVERAGE('BS &amp; FCF'!CO6:CP6)+AVERAGE('BS &amp; FCF'!CO7:CP7))/4</f>
        <v>287211.21019171382</v>
      </c>
      <c r="CQ24" s="422">
        <f ca="1">CQ25*(AVERAGE('BS &amp; FCF'!CP6:CQ6)+AVERAGE('BS &amp; FCF'!CP7:CQ7))/4</f>
        <v>307085.62097259209</v>
      </c>
      <c r="CR24" s="20">
        <f ca="1">SUM(CN24:CQ24)</f>
        <v>1223221.0991103866</v>
      </c>
      <c r="CS24" s="422">
        <f ca="1">CS25*(AVERAGE('BS &amp; FCF'!CR6:CS6)+AVERAGE('BS &amp; FCF'!CR7:CS7))/4</f>
        <v>281345.50577641756</v>
      </c>
      <c r="CT24" s="422">
        <f ca="1">CT25*(AVERAGE('BS &amp; FCF'!CS6:CT6)+AVERAGE('BS &amp; FCF'!CS7:CT7))/4</f>
        <v>265802.20020616159</v>
      </c>
      <c r="CU24" s="422">
        <f ca="1">CU25*(AVERAGE('BS &amp; FCF'!CT6:CU6)+AVERAGE('BS &amp; FCF'!CT7:CU7))/4</f>
        <v>252220.7272686038</v>
      </c>
      <c r="CV24" s="422">
        <f ca="1">CV25*(AVERAGE('BS &amp; FCF'!CU6:CV6)+AVERAGE('BS &amp; FCF'!CU7:CV7))/4</f>
        <v>272022.07723711233</v>
      </c>
      <c r="CW24" s="20">
        <f ca="1">SUM(CS24:CV24)</f>
        <v>1071390.5104882955</v>
      </c>
      <c r="CX24" s="422">
        <f ca="1">CX25*(AVERAGE('BS &amp; FCF'!CW6:CX6)+AVERAGE('BS &amp; FCF'!CW7:CX7))/4</f>
        <v>289230.79735442292</v>
      </c>
      <c r="CY24" s="422">
        <f ca="1">CY25*(AVERAGE('BS &amp; FCF'!CX6:CY6)+AVERAGE('BS &amp; FCF'!CX7:CY7))/4</f>
        <v>272691.07505480229</v>
      </c>
      <c r="CZ24" s="422">
        <f ca="1">CZ25*(AVERAGE('BS &amp; FCF'!CY6:CZ6)+AVERAGE('BS &amp; FCF'!CY7:CZ7))/4</f>
        <v>261797.99004360451</v>
      </c>
      <c r="DA24" s="422">
        <f ca="1">DA25*(AVERAGE('BS &amp; FCF'!CZ6:DA6)+AVERAGE('BS &amp; FCF'!CZ7:DA7))/4</f>
        <v>289216.52640404622</v>
      </c>
      <c r="DB24" s="20">
        <f ca="1">SUM(CX24:DA24)</f>
        <v>1112936.3888568759</v>
      </c>
    </row>
    <row r="25" spans="1:106" s="401" customFormat="1" ht="11.25" customHeight="1" outlineLevel="1" x14ac:dyDescent="0.35">
      <c r="A25" s="166" t="s">
        <v>152</v>
      </c>
      <c r="B25" s="399">
        <f>(1+(B24)/(AVERAGE('BS &amp; FCF'!B6:B6)+AVERAGE('BS &amp; FCF'!B7:B7)))^4-1</f>
        <v>0.14190022948526337</v>
      </c>
      <c r="C25" s="399">
        <f>(1+(C24)/(AVERAGE('BS &amp; FCF'!B6:C6)+AVERAGE('BS &amp; FCF'!B7:C7)))^4-1</f>
        <v>0.21647855220301482</v>
      </c>
      <c r="D25" s="399">
        <f>(1+(D24)/(AVERAGE('BS &amp; FCF'!C6:D6)+AVERAGE('BS &amp; FCF'!C7:D7)))^4-1</f>
        <v>0.24962349834203024</v>
      </c>
      <c r="E25" s="399">
        <f>(1+(E24)/(AVERAGE('BS &amp; FCF'!D6:E6)+AVERAGE('BS &amp; FCF'!D7:E7)))^4-1</f>
        <v>0.20106449434223617</v>
      </c>
      <c r="F25" s="400">
        <f>(F24)/(AVERAGE('BS &amp; FCF'!B6:E6)+AVERAGE('BS &amp; FCF'!B7:E7))</f>
        <v>0.18882505622333473</v>
      </c>
      <c r="G25" s="399">
        <f>(1+(G24)/(AVERAGE('BS &amp; FCF'!F6:G6)+AVERAGE('BS &amp; FCF'!F7:G7)))^4-1</f>
        <v>0.1597143714249083</v>
      </c>
      <c r="H25" s="399">
        <f>(1+(H24)/(AVERAGE('BS &amp; FCF'!G6:H6)+AVERAGE('BS &amp; FCF'!G7:H7)))^4-1</f>
        <v>0.21270198179689404</v>
      </c>
      <c r="I25" s="399">
        <f>(1+(I24)/(AVERAGE('BS &amp; FCF'!H6:I6)+AVERAGE('BS &amp; FCF'!H7:I7)))^4-1</f>
        <v>0.21143380618317664</v>
      </c>
      <c r="J25" s="399">
        <f>(1+(J24)/(AVERAGE('BS &amp; FCF'!I6:J6)+AVERAGE('BS &amp; FCF'!I7:J7)))^4-1</f>
        <v>0.21876661942398878</v>
      </c>
      <c r="K25" s="400">
        <f>(K24)/(AVERAGE('BS &amp; FCF'!G6:J6)+AVERAGE('BS &amp; FCF'!G7:J7))</f>
        <v>0.1799817682607488</v>
      </c>
      <c r="L25" s="399">
        <f>(1+(L24)/(AVERAGE('BS &amp; FCF'!K6:L6)+AVERAGE('BS &amp; FCF'!K7:L7)))^4-1</f>
        <v>0.1425183124184064</v>
      </c>
      <c r="M25" s="399">
        <f>(1+(M24)/(AVERAGE('BS &amp; FCF'!L6:M6)+AVERAGE('BS &amp; FCF'!L7:M7)))^4-1</f>
        <v>0.14850962212904206</v>
      </c>
      <c r="N25" s="399">
        <f>(1+(N24)/(AVERAGE('BS &amp; FCF'!M6:N6)+AVERAGE('BS &amp; FCF'!M7:N7)))^4-1</f>
        <v>9.1124614209428412E-2</v>
      </c>
      <c r="O25" s="399">
        <f>(1+(O24)/(AVERAGE('BS &amp; FCF'!N6:O6)+AVERAGE('BS &amp; FCF'!N7:O7)))^4-1</f>
        <v>8.8646906870013531E-2</v>
      </c>
      <c r="P25" s="400">
        <f>(P24)/(AVERAGE('BS &amp; FCF'!L6:O6)+AVERAGE('BS &amp; FCF'!L7:O7))</f>
        <v>0.11493330302892696</v>
      </c>
      <c r="Q25" s="399">
        <f>(1+(Q24)/(AVERAGE('BS &amp; FCF'!P6:Q6)+AVERAGE('BS &amp; FCF'!P7:Q7)))^4-1</f>
        <v>0.10150941862916829</v>
      </c>
      <c r="R25" s="399">
        <f>(1+(R24)/(AVERAGE('BS &amp; FCF'!Q6:R6)+AVERAGE('BS &amp; FCF'!Q7:R7)))^4-1</f>
        <v>0.10111046673693269</v>
      </c>
      <c r="S25" s="399">
        <f>(1+(S24)/(AVERAGE('BS &amp; FCF'!R6:S6)+AVERAGE('BS &amp; FCF'!R7:S7)))^4-1</f>
        <v>0.10903433545452135</v>
      </c>
      <c r="T25" s="399">
        <f>(1+(T24)/(AVERAGE('BS &amp; FCF'!S6:T6)+AVERAGE('BS &amp; FCF'!S7:T7)))^4-1</f>
        <v>0.1234086109838044</v>
      </c>
      <c r="U25" s="400">
        <f>(U24)/(AVERAGE('BS &amp; FCF'!Q6:T6)+AVERAGE('BS &amp; FCF'!Q7:T7))</f>
        <v>0.10514268661322052</v>
      </c>
      <c r="V25" s="399">
        <f>(1+(V24)/(AVERAGE('BS &amp; FCF'!U6:V6)+AVERAGE('BS &amp; FCF'!U7:V7)))^4-1</f>
        <v>0.13512162851620135</v>
      </c>
      <c r="W25" s="399">
        <f>(1+(W24)/(AVERAGE('BS &amp; FCF'!V6:W6)+AVERAGE('BS &amp; FCF'!V7:W7)))^4-1</f>
        <v>0.14001088754987734</v>
      </c>
      <c r="X25" s="399">
        <f>(1+(X24)/(AVERAGE('BS &amp; FCF'!W6:X6)+AVERAGE('BS &amp; FCF'!W7:X7)))^4-1</f>
        <v>0.14823881828903462</v>
      </c>
      <c r="Y25" s="399">
        <f>(1+(Y24)/(AVERAGE('BS &amp; FCF'!X6:Y6)+AVERAGE('BS &amp; FCF'!X7:Y7)))^4-1</f>
        <v>0.14832574524291942</v>
      </c>
      <c r="Z25" s="400">
        <f>(Z24)/(AVERAGE('BS &amp; FCF'!V6:Y6)+AVERAGE('BS &amp; FCF'!V7:Y7))</f>
        <v>0.13565286987391245</v>
      </c>
      <c r="AA25" s="399">
        <f>(1+(AA24)/(AVERAGE('BS &amp; FCF'!Z6:AA6)+AVERAGE('BS &amp; FCF'!Z7:AA7)))^4-1</f>
        <v>0.14169617762208664</v>
      </c>
      <c r="AB25" s="399">
        <f>(1+(AB24)/(AVERAGE('BS &amp; FCF'!AA6:AB6)+AVERAGE('BS &amp; FCF'!AA7:AB7)))^4-1</f>
        <v>0.14133966222880434</v>
      </c>
      <c r="AC25" s="399">
        <f>(1+(AC24)/(AVERAGE('BS &amp; FCF'!AB6:AC6)+AVERAGE('BS &amp; FCF'!AB7:AC7)))^4-1</f>
        <v>0.15059073186562544</v>
      </c>
      <c r="AD25" s="399">
        <f>(1+(AD24)/(AVERAGE('BS &amp; FCF'!AC6:AD6)+AVERAGE('BS &amp; FCF'!AC7:AD7)))^4-1</f>
        <v>0.14620306026601226</v>
      </c>
      <c r="AE25" s="400">
        <f>(AE24)/(AVERAGE('BS &amp; FCF'!AA6:AD6)+AVERAGE('BS &amp; FCF'!AA7:AD7))</f>
        <v>0.13437871091306941</v>
      </c>
      <c r="AF25" s="399">
        <f>(1+(AF24)/(AVERAGE('BS &amp; FCF'!AE6:AF6)+AVERAGE('BS &amp; FCF'!AE7:AF7)))^4-1</f>
        <v>0.13668682907095753</v>
      </c>
      <c r="AG25" s="399">
        <f>(1+(AG24)/(AVERAGE('BS &amp; FCF'!AF6:AG6)+AVERAGE('BS &amp; FCF'!AF7:AG7)))^4-1</f>
        <v>0.15173602883093729</v>
      </c>
      <c r="AH25" s="399">
        <f>(1+(AH24)/(AVERAGE('BS &amp; FCF'!AG6:AH6)+AVERAGE('BS &amp; FCF'!AG7:AH7)))^4-1</f>
        <v>0.15040543898600922</v>
      </c>
      <c r="AI25" s="399">
        <f>(1+(AI24)/(AVERAGE('BS &amp; FCF'!AH6:AI6)+AVERAGE('BS &amp; FCF'!AH7:AI7)))^4-1</f>
        <v>0.15236453878925516</v>
      </c>
      <c r="AJ25" s="400">
        <f>(AJ24)/(AVERAGE('BS &amp; FCF'!AF6:AI6)+AVERAGE('BS &amp; FCF'!AF7:AI7))</f>
        <v>0.14320918424292806</v>
      </c>
      <c r="AK25" s="399">
        <f>(1+(AK24)/(AVERAGE('BS &amp; FCF'!AJ6:AK6)+AVERAGE('BS &amp; FCF'!AJ7:AK7)))^4-1</f>
        <v>0.12526877098354006</v>
      </c>
      <c r="AL25" s="399">
        <f>(1+(AL24)/(AVERAGE('BS &amp; FCF'!AK6:AL6)+AVERAGE('BS &amp; FCF'!AK7:AL7)))^4-1</f>
        <v>9.7043606764337653E-2</v>
      </c>
      <c r="AM25" s="399">
        <f>(1+(AM24)/(AVERAGE('BS &amp; FCF'!AL6:AM6)+AVERAGE('BS &amp; FCF'!AL7:AM7)))^4-1</f>
        <v>0.1169726860631275</v>
      </c>
      <c r="AN25" s="399">
        <f>(1+(AN24)/(AVERAGE('BS &amp; FCF'!AM6:AN6)+AVERAGE('BS &amp; FCF'!AM7:AN7)))^4-1</f>
        <v>8.4784150545830883E-2</v>
      </c>
      <c r="AO25" s="400">
        <f>(AO24)/(AVERAGE('BS &amp; FCF'!AK6:AN6)+AVERAGE('BS &amp; FCF'!AK7:AN7))</f>
        <v>0.10472947994739866</v>
      </c>
      <c r="AP25" s="399">
        <f>(1+(AP24)/(AVERAGE('BS &amp; FCF'!AO6:AP6)+AVERAGE('BS &amp; FCF'!AO7:AP7)))^4-1</f>
        <v>8.248035815405319E-2</v>
      </c>
      <c r="AQ25" s="399">
        <f>(1+(AQ24)/(AVERAGE('BS &amp; FCF'!AP6:AQ6)+AVERAGE('BS &amp; FCF'!AP7:AQ7)))^4-1</f>
        <v>8.1423827625914935E-2</v>
      </c>
      <c r="AR25" s="399">
        <f>(1+(AR24)/(AVERAGE('BS &amp; FCF'!AQ6:AR6)+AVERAGE('BS &amp; FCF'!AQ7:AR7)))^4-1</f>
        <v>9.5957129007278263E-2</v>
      </c>
      <c r="AS25" s="399">
        <f>(1+(AS24)/(AVERAGE('BS &amp; FCF'!AR6:AS6)+AVERAGE('BS &amp; FCF'!AR7:AS7)))^4-1</f>
        <v>0.11586227178263853</v>
      </c>
      <c r="AT25" s="400">
        <f>(AT24)/(AVERAGE('BS &amp; FCF'!AP6:AS6)+AVERAGE('BS &amp; FCF'!AP7:AS7))</f>
        <v>9.139159345357778E-2</v>
      </c>
      <c r="AU25" s="399">
        <f>(1+(AU24)/(AVERAGE('BS &amp; FCF'!AT6:AU6)+AVERAGE('BS &amp; FCF'!AT7:AU7)))^4-1</f>
        <v>9.197462655482691E-2</v>
      </c>
      <c r="AV25" s="399">
        <f>(1+(AV24)/(AVERAGE('BS &amp; FCF'!AU6:AV6)+AVERAGE('BS &amp; FCF'!AU7:AV7)))^4-1</f>
        <v>0.11310688159963389</v>
      </c>
      <c r="AW25" s="399">
        <f>(1+(AW24)/(AVERAGE('BS &amp; FCF'!AV6:AW6)+AVERAGE('BS &amp; FCF'!AV7:AW7)))^4-1</f>
        <v>0.10019876263930816</v>
      </c>
      <c r="AX25" s="399">
        <f>(1+(AX24)/(AVERAGE('BS &amp; FCF'!AW6:AX6)+AVERAGE('BS &amp; FCF'!AW7:AX7)))^4-1</f>
        <v>8.6058044982351811E-2</v>
      </c>
      <c r="AY25" s="400">
        <f>(AY24)/(AVERAGE('BS &amp; FCF'!AU6:AX6)+AVERAGE('BS &amp; FCF'!AU7:AX7))</f>
        <v>9.2919484526995166E-2</v>
      </c>
      <c r="AZ25" s="399">
        <f>(1+(AZ24)/(AVERAGE('BS &amp; FCF'!AY6:AZ6)+AVERAGE('BS &amp; FCF'!AY7:AZ7)))^4-1</f>
        <v>6.1768924554389093E-2</v>
      </c>
      <c r="BA25" s="399">
        <f>(1+(BA24)/(AVERAGE('BS &amp; FCF'!AZ6:BA6)+AVERAGE('BS &amp; FCF'!AZ7:BA7)))^4-1</f>
        <v>7.6895118436373311E-2</v>
      </c>
      <c r="BB25" s="399">
        <f>(1+(BB24)/(AVERAGE('BS &amp; FCF'!BA6:BB6)+AVERAGE('BS &amp; FCF'!BA7:BB7)))^4-1</f>
        <v>8.5530121385368307E-2</v>
      </c>
      <c r="BC25" s="399">
        <f>(1+(BC24)/(AVERAGE('BS &amp; FCF'!BB6:BC6)+AVERAGE('BS &amp; FCF'!BB7:BC7)))^4-1</f>
        <v>0.1073584557141769</v>
      </c>
      <c r="BD25" s="400">
        <f>(BD24)/(AVERAGE('BS &amp; FCF'!AZ6:BC6)+AVERAGE('BS &amp; FCF'!AZ7:BC7))</f>
        <v>7.9160750805295249E-2</v>
      </c>
      <c r="BE25" s="399">
        <f>(1+(BE24)/(AVERAGE('BS &amp; FCF'!BD6:BE6)+AVERAGE('BS &amp; FCF'!BD7:BE7)))^4-1</f>
        <v>7.9092592950179341E-2</v>
      </c>
      <c r="BF25" s="399">
        <f>(1+(BF24)/(AVERAGE('BS &amp; FCF'!BE6:BF6)+AVERAGE('BS &amp; FCF'!BE7:BF7)))^4-1</f>
        <v>7.0707056948760449E-2</v>
      </c>
      <c r="BG25" s="399">
        <f>(1+(BG24)/(AVERAGE('BS &amp; FCF'!BF6:BG6)+AVERAGE('BS &amp; FCF'!BF7:BG7)))^4-1</f>
        <v>8.9277409763871995E-2</v>
      </c>
      <c r="BH25" s="399">
        <f>(1+(BH24)/(AVERAGE('BS &amp; FCF'!BG6:BH6)+AVERAGE('BS &amp; FCF'!BG7:BH7)))^4-1</f>
        <v>0.10816783196731294</v>
      </c>
      <c r="BI25" s="400">
        <f>(BI24)/(AVERAGE('BS &amp; FCF'!BE6:BH6)+AVERAGE('BS &amp; FCF'!BE7:BH7))</f>
        <v>8.1787420756421272E-2</v>
      </c>
      <c r="BJ25" s="399">
        <f>(1+(BJ24)/(AVERAGE('BS &amp; FCF'!BI6:BJ6)+AVERAGE('BS &amp; FCF'!BI7:BJ7)))^4-1</f>
        <v>0.10469155845006162</v>
      </c>
      <c r="BK25" s="399">
        <f>(1+(BK24)/(AVERAGE('BS &amp; FCF'!BJ6:BK6)+AVERAGE('BS &amp; FCF'!BJ7:BK7)))^4-1</f>
        <v>0.13809846022021199</v>
      </c>
      <c r="BL25" s="399">
        <f>(1+(BL24)/(AVERAGE('BS &amp; FCF'!BK6:BL6)+AVERAGE('BS &amp; FCF'!BK7:BL7)))^4-1</f>
        <v>0.12802981257528079</v>
      </c>
      <c r="BM25" s="399">
        <f>(1+(BM24)/(AVERAGE('BS &amp; FCF'!BL6:BM6)+AVERAGE('BS &amp; FCF'!BL7:BM7)))^4-1</f>
        <v>0.19329603794030814</v>
      </c>
      <c r="BN25" s="400">
        <f>(BN24)/(AVERAGE('BS &amp; FCF'!BJ6:BM6)+AVERAGE('BS &amp; FCF'!BJ7:BM7))</f>
        <v>0.13112237530106149</v>
      </c>
      <c r="BO25" s="399">
        <f>(1+(BO24)/(AVERAGE('BS &amp; FCF'!BN6:BO6)+AVERAGE('BS &amp; FCF'!BN7:BO7)))^4-1</f>
        <v>0.1606268269205493</v>
      </c>
      <c r="BP25" s="399">
        <f>(1+(BP24)/(AVERAGE('BS &amp; FCF'!BO6:BP6)+AVERAGE('BS &amp; FCF'!BO7:BP7)))^4-1</f>
        <v>0.14948737813291069</v>
      </c>
      <c r="BQ25" s="399">
        <f>(1+(BQ24)/(AVERAGE('BS &amp; FCF'!BP6:BQ6)+AVERAGE('BS &amp; FCF'!BP7:BQ7)))^4-1</f>
        <v>0.12782152496178245</v>
      </c>
      <c r="BR25" s="399">
        <f>(1+(BR24)/(AVERAGE('BS &amp; FCF'!BQ6:BR6)+AVERAGE('BS &amp; FCF'!BQ7:BR7)))^4-1</f>
        <v>0.14099589967588866</v>
      </c>
      <c r="BS25" s="400">
        <f>(BS24)/(AVERAGE('BS &amp; FCF'!BO6:BR6)+AVERAGE('BS &amp; FCF'!BO7:BR7))</f>
        <v>0.13774769018948846</v>
      </c>
      <c r="BT25" s="399">
        <f>(1+(BT24)/(AVERAGE('BS &amp; FCF'!BS6:BT6)+AVERAGE('BS &amp; FCF'!BS7:BT7)))^4-1</f>
        <v>0.13471965001039776</v>
      </c>
      <c r="BU25" s="399">
        <f>(1+(BU24)/(AVERAGE('BS &amp; FCF'!BT6:BU6)+AVERAGE('BS &amp; FCF'!BT7:BU7)))^4-1</f>
        <v>0.1555130916768479</v>
      </c>
      <c r="BV25" s="399">
        <f>(1+(BV24)/(AVERAGE('BS &amp; FCF'!BU6:BV6)+AVERAGE('BS &amp; FCF'!BU7:BV7)))^4-1</f>
        <v>0.13577728076385998</v>
      </c>
      <c r="BW25" s="399">
        <f>(1+(BW24)/(AVERAGE('BS &amp; FCF'!BV6:BW6)+AVERAGE('BS &amp; FCF'!BV7:BW7)))^4-1</f>
        <v>0.13427661166581562</v>
      </c>
      <c r="BX25" s="400">
        <f>(BX24)/(AVERAGE('BS &amp; FCF'!BT6:BW6)+AVERAGE('BS &amp; FCF'!BT7:BW7))</f>
        <v>0.13147145598174753</v>
      </c>
      <c r="BY25" s="399">
        <f>(1+(BY24)/(AVERAGE('BS &amp; FCF'!BX6:BY6)+AVERAGE('BS &amp; FCF'!BX7:BY7)))^4-1</f>
        <v>0.15888652704777351</v>
      </c>
      <c r="BZ25" s="399">
        <f>(1+(BZ24)/(AVERAGE('BS &amp; FCF'!BY6:BZ6)+AVERAGE('BS &amp; FCF'!BY7:BZ7)))^4-1</f>
        <v>0.17902462147367482</v>
      </c>
      <c r="CA25" s="399">
        <f>(1+(CA24)/(AVERAGE('BS &amp; FCF'!BZ6:CA6)+AVERAGE('BS &amp; FCF'!BZ7:CA7)))^4-1</f>
        <v>0.15348243798236894</v>
      </c>
      <c r="CB25" s="399">
        <f>(1+(CB24)/(AVERAGE('BS &amp; FCF'!CA6:CB6)+AVERAGE('BS &amp; FCF'!CA7:CB7)))^4-1</f>
        <v>0.15442266150995376</v>
      </c>
      <c r="CC25" s="400">
        <f>(CC24)/(AVERAGE('BS &amp; FCF'!BY6:CB6)+AVERAGE('BS &amp; FCF'!BY7:CB7))</f>
        <v>0.14724828283472158</v>
      </c>
      <c r="CD25" s="399">
        <f>(1+(CD24)/(AVERAGE('BS &amp; FCF'!CC6:CD6)+AVERAGE('BS &amp; FCF'!CC7:CD7)))^4-1</f>
        <v>0.15044737330181301</v>
      </c>
      <c r="CE25" s="399">
        <f>(1+(CE24)/(AVERAGE('BS &amp; FCF'!CD6:CE6)+AVERAGE('BS &amp; FCF'!CD7:CE7)))^4-1</f>
        <v>0.18407875642957294</v>
      </c>
      <c r="CF25" s="399">
        <f>Macro!CF12*1.1</f>
        <v>0.14300000000000002</v>
      </c>
      <c r="CG25" s="399">
        <f>Macro!CG12*1.1</f>
        <v>0.13566666666666669</v>
      </c>
      <c r="CH25" s="400">
        <f ca="1">(CH24)/(AVERAGE('BS &amp; FCF'!CD6:CG6)+AVERAGE('BS &amp; FCF'!CD7:CG7))</f>
        <v>0.1448172715742479</v>
      </c>
      <c r="CI25" s="399">
        <f>Macro!CI12*1.1</f>
        <v>0.16316666666666668</v>
      </c>
      <c r="CJ25" s="399">
        <f>Macro!CJ12*1.1</f>
        <v>0.15216666666666667</v>
      </c>
      <c r="CK25" s="399">
        <f>Macro!CK12*1.1</f>
        <v>0.14300000000000002</v>
      </c>
      <c r="CL25" s="399">
        <f>Macro!CL12*1.1</f>
        <v>0.13566666666666669</v>
      </c>
      <c r="CM25" s="400">
        <f ca="1">(CM24)/(AVERAGE('BS &amp; FCF'!CI6:CL6)+AVERAGE('BS &amp; FCF'!CI7:CL7))</f>
        <v>0.14674939751977487</v>
      </c>
      <c r="CN25" s="399">
        <f>Macro!CN12*1.1</f>
        <v>0.13566666666666669</v>
      </c>
      <c r="CO25" s="399">
        <f>Macro!CO12*1.1</f>
        <v>0.13566666666666669</v>
      </c>
      <c r="CP25" s="399">
        <f>Macro!CP12*1.1</f>
        <v>0.13566666666666669</v>
      </c>
      <c r="CQ25" s="399">
        <f>Macro!CQ12*1.1</f>
        <v>0.13566666666666669</v>
      </c>
      <c r="CR25" s="400">
        <f ca="1">(CR24)/(AVERAGE('BS &amp; FCF'!CN6:CQ6)+AVERAGE('BS &amp; FCF'!CN7:CQ7))</f>
        <v>0.13569421021885381</v>
      </c>
      <c r="CS25" s="399">
        <f>Macro!CS12*1.1</f>
        <v>0.11660000000000001</v>
      </c>
      <c r="CT25" s="399">
        <f>Macro!CT12*1.1</f>
        <v>0.11660000000000001</v>
      </c>
      <c r="CU25" s="399">
        <f>Macro!CU12*1.1</f>
        <v>0.11660000000000001</v>
      </c>
      <c r="CV25" s="399">
        <f>Macro!CV12*1.1</f>
        <v>0.11660000000000001</v>
      </c>
      <c r="CW25" s="400">
        <f ca="1">(CW24)/(AVERAGE('BS &amp; FCF'!CS6:CV6)+AVERAGE('BS &amp; FCF'!CS7:CV7))</f>
        <v>0.11613842918806451</v>
      </c>
      <c r="CX25" s="399">
        <f>Macro!CX12*1.1</f>
        <v>0.11660000000000001</v>
      </c>
      <c r="CY25" s="399">
        <f>Macro!CY12*1.1</f>
        <v>0.11660000000000001</v>
      </c>
      <c r="CZ25" s="399">
        <f>Macro!CZ12*1.1</f>
        <v>0.11660000000000001</v>
      </c>
      <c r="DA25" s="399">
        <f>Macro!DA12*1.1</f>
        <v>0.11660000000000001</v>
      </c>
      <c r="DB25" s="400">
        <f ca="1">(DB24)/(AVERAGE('BS &amp; FCF'!CX6:DA6)+AVERAGE('BS &amp; FCF'!CX7:DA7))</f>
        <v>0.11547128264842968</v>
      </c>
    </row>
    <row r="26" spans="1:106" ht="11.25" customHeight="1" x14ac:dyDescent="0.35">
      <c r="A26" s="162" t="s">
        <v>83</v>
      </c>
      <c r="B26" s="397">
        <v>-51881</v>
      </c>
      <c r="C26" s="397">
        <v>-58516</v>
      </c>
      <c r="D26" s="397">
        <v>-60211</v>
      </c>
      <c r="E26" s="397">
        <v>-51772</v>
      </c>
      <c r="F26" s="20">
        <f>SUM(B26:E26)</f>
        <v>-222380</v>
      </c>
      <c r="G26" s="397">
        <v>-56396</v>
      </c>
      <c r="H26" s="397">
        <f>-125958-G26</f>
        <v>-69562</v>
      </c>
      <c r="I26" s="397">
        <f>-220133-G26-H26</f>
        <v>-94175</v>
      </c>
      <c r="J26" s="397">
        <f>-313716-G26-H26-I26</f>
        <v>-93583</v>
      </c>
      <c r="K26" s="20">
        <f>SUM(G26:J26)</f>
        <v>-313716</v>
      </c>
      <c r="L26" s="397">
        <f>-145499-M26</f>
        <v>-70637</v>
      </c>
      <c r="M26" s="397">
        <v>-74862</v>
      </c>
      <c r="N26" s="397">
        <v>-45006</v>
      </c>
      <c r="O26" s="397">
        <f>-238711-L26-M26-N26</f>
        <v>-48206</v>
      </c>
      <c r="P26" s="20">
        <f>SUM(L26:O26)</f>
        <v>-238711</v>
      </c>
      <c r="Q26" s="397">
        <f>-80598-R26</f>
        <v>-40935</v>
      </c>
      <c r="R26" s="397">
        <v>-39663</v>
      </c>
      <c r="S26" s="397">
        <v>-45376</v>
      </c>
      <c r="T26" s="397">
        <f>-179288-Q26-R26-S26</f>
        <v>-53314</v>
      </c>
      <c r="U26" s="20">
        <f>SUM(Q26:T26)</f>
        <v>-179288</v>
      </c>
      <c r="V26" s="397">
        <v>-60450</v>
      </c>
      <c r="W26" s="397">
        <v>-68818</v>
      </c>
      <c r="X26" s="397">
        <v>-66703</v>
      </c>
      <c r="Y26" s="397">
        <f>-262499-V26-W26-X26</f>
        <v>-66528</v>
      </c>
      <c r="Z26" s="20">
        <f>SUM(V26:Y26)</f>
        <v>-262499</v>
      </c>
      <c r="AA26" s="397">
        <v>-64017</v>
      </c>
      <c r="AB26" s="397">
        <v>-88527</v>
      </c>
      <c r="AC26" s="397">
        <v>-87174</v>
      </c>
      <c r="AD26" s="397">
        <f>-313288-AA26-AB26-AC26</f>
        <v>-73570</v>
      </c>
      <c r="AE26" s="20">
        <f>SUM(AA26:AD26)</f>
        <v>-313288</v>
      </c>
      <c r="AF26" s="397">
        <v>-59283</v>
      </c>
      <c r="AG26" s="397">
        <v>-56918</v>
      </c>
      <c r="AH26" s="397">
        <v>-54208</v>
      </c>
      <c r="AI26" s="397">
        <f>-226550-AF26-AG26-AH26</f>
        <v>-56141</v>
      </c>
      <c r="AJ26" s="20">
        <f>SUM(AF26:AI26)</f>
        <v>-226550</v>
      </c>
      <c r="AK26" s="397">
        <v>-52000</v>
      </c>
      <c r="AL26" s="397">
        <v>-44369</v>
      </c>
      <c r="AM26" s="397">
        <v>-42056</v>
      </c>
      <c r="AN26" s="397">
        <f>-167580-AK26-AL26-AM26</f>
        <v>-29155</v>
      </c>
      <c r="AO26" s="20">
        <f>SUM(AK26:AN26)</f>
        <v>-167580</v>
      </c>
      <c r="AP26" s="397">
        <v>-29193</v>
      </c>
      <c r="AQ26" s="397">
        <v>-28597</v>
      </c>
      <c r="AR26" s="397">
        <v>-50050</v>
      </c>
      <c r="AS26" s="397">
        <f>-150888-AP26-AQ26-AR26</f>
        <v>-43048</v>
      </c>
      <c r="AT26" s="20">
        <f>SUM(AP26:AS26)</f>
        <v>-150888</v>
      </c>
      <c r="AU26" s="397">
        <v>-38236</v>
      </c>
      <c r="AV26" s="397">
        <v>-31414</v>
      </c>
      <c r="AW26" s="397">
        <v>-38901</v>
      </c>
      <c r="AX26" s="397">
        <f>-149929-AU26-AV26-AW26</f>
        <v>-41378</v>
      </c>
      <c r="AY26" s="20">
        <f>SUM(AU26:AX26)</f>
        <v>-149929</v>
      </c>
      <c r="AZ26" s="397">
        <v>-27890</v>
      </c>
      <c r="BA26" s="397">
        <v>-36054</v>
      </c>
      <c r="BB26" s="397">
        <v>-30983</v>
      </c>
      <c r="BC26" s="397">
        <f>-117930-AZ26-BA26-BB26</f>
        <v>-23003</v>
      </c>
      <c r="BD26" s="20">
        <f>SUM(AZ26:BC26)</f>
        <v>-117930</v>
      </c>
      <c r="BE26" s="397">
        <v>-43034</v>
      </c>
      <c r="BF26" s="397">
        <v>-42572</v>
      </c>
      <c r="BG26" s="397">
        <v>-62614</v>
      </c>
      <c r="BH26" s="397">
        <f>-228865-BE26-BF26-BG26</f>
        <v>-80645</v>
      </c>
      <c r="BI26" s="20">
        <f>SUM(BE26:BH26)</f>
        <v>-228865</v>
      </c>
      <c r="BJ26" s="397">
        <v>-86542</v>
      </c>
      <c r="BK26" s="397">
        <v>-104608</v>
      </c>
      <c r="BL26" s="397">
        <v>-123921</v>
      </c>
      <c r="BM26" s="397">
        <f>-504386-BJ26-BK26-BL26</f>
        <v>-189315</v>
      </c>
      <c r="BN26" s="20">
        <f>SUM(BJ26:BM26)</f>
        <v>-504386</v>
      </c>
      <c r="BO26" s="397">
        <v>-145233</v>
      </c>
      <c r="BP26" s="397">
        <v>-148849</v>
      </c>
      <c r="BQ26" s="397">
        <v>-128027</v>
      </c>
      <c r="BR26" s="397">
        <f>-557953-BO26-BP26-BQ26</f>
        <v>-135844</v>
      </c>
      <c r="BS26" s="20">
        <f>SUM(BO26:BR26)</f>
        <v>-557953</v>
      </c>
      <c r="BT26" s="397">
        <v>-144331</v>
      </c>
      <c r="BU26" s="397">
        <v>-137606</v>
      </c>
      <c r="BV26" s="397">
        <v>-130318</v>
      </c>
      <c r="BW26" s="397">
        <f>-569788-BT26-BU26-BV26</f>
        <v>-157533</v>
      </c>
      <c r="BX26" s="20">
        <f>SUM(BT26:BW26)</f>
        <v>-569788</v>
      </c>
      <c r="BY26" s="397">
        <v>-152617</v>
      </c>
      <c r="BZ26" s="397">
        <v>-186107</v>
      </c>
      <c r="CA26" s="397">
        <v>-190392</v>
      </c>
      <c r="CB26" s="397">
        <f>-728299-BY26-BZ26-CA26</f>
        <v>-199183</v>
      </c>
      <c r="CC26" s="20">
        <f>SUM(BY26:CB26)</f>
        <v>-728299</v>
      </c>
      <c r="CD26" s="397">
        <v>-223289</v>
      </c>
      <c r="CE26" s="397">
        <v>-263253</v>
      </c>
      <c r="CF26" s="161">
        <f>CF95+CF94</f>
        <v>-219671.72687800304</v>
      </c>
      <c r="CG26" s="161">
        <f>CG95+CG94</f>
        <v>-222371.61539890221</v>
      </c>
      <c r="CH26" s="20">
        <f>SUM(CD26:CG26)</f>
        <v>-928585.3422769052</v>
      </c>
      <c r="CI26" s="161">
        <f>CI95+CI94</f>
        <v>-256846.62099133967</v>
      </c>
      <c r="CJ26" s="161">
        <f>CJ95+CJ94</f>
        <v>-254066.80375502061</v>
      </c>
      <c r="CK26" s="161">
        <f>CK95+CK94</f>
        <v>-241000.40188381867</v>
      </c>
      <c r="CL26" s="161">
        <f>CL95+CL94</f>
        <v>-231429.68576261651</v>
      </c>
      <c r="CM26" s="20">
        <f>SUM(CI26:CL26)</f>
        <v>-983343.51239279541</v>
      </c>
      <c r="CN26" s="161">
        <f>CN95+CN94</f>
        <v>-232908.83932020556</v>
      </c>
      <c r="CO26" s="161">
        <f>CO95+CO94</f>
        <v>-233882.72670382028</v>
      </c>
      <c r="CP26" s="161">
        <f>CP95+CP94</f>
        <v>-235898.60064554616</v>
      </c>
      <c r="CQ26" s="161">
        <f>CQ95+CQ94</f>
        <v>-238856.71019551822</v>
      </c>
      <c r="CR26" s="20">
        <f>SUM(CN26:CQ26)</f>
        <v>-941546.87686509022</v>
      </c>
      <c r="CS26" s="161">
        <f>CS95+CS94</f>
        <v>-207511.6755857628</v>
      </c>
      <c r="CT26" s="161">
        <f>CT95+CT94</f>
        <v>-207277.89064372407</v>
      </c>
      <c r="CU26" s="161">
        <f>CU95+CU94</f>
        <v>-208237.43871353997</v>
      </c>
      <c r="CV26" s="161">
        <f>CV95+CV94</f>
        <v>-210514.37438456251</v>
      </c>
      <c r="CW26" s="20">
        <f>SUM(CS26:CV26)</f>
        <v>-833541.3793275893</v>
      </c>
      <c r="CX26" s="161">
        <f>CX95+CX94</f>
        <v>-212193.78127747771</v>
      </c>
      <c r="CY26" s="161">
        <f>CY95+CY94</f>
        <v>-212615.90906566958</v>
      </c>
      <c r="CZ26" s="161">
        <f>CZ95+CZ94</f>
        <v>-213815.73988762553</v>
      </c>
      <c r="DA26" s="161">
        <f>DA95+DA94</f>
        <v>-216582.10628691799</v>
      </c>
      <c r="DB26" s="20">
        <f>SUM(CX26:DA26)</f>
        <v>-855207.53651769087</v>
      </c>
    </row>
    <row r="27" spans="1:106" s="26" customFormat="1" ht="11.25" customHeight="1" outlineLevel="1" x14ac:dyDescent="0.35">
      <c r="A27" s="166" t="s">
        <v>151</v>
      </c>
      <c r="B27" s="399">
        <f>(1-B26/AVERAGE('BS &amp; FCF'!B51:B51))^4-1</f>
        <v>8.3135496732326342E-2</v>
      </c>
      <c r="C27" s="399">
        <f>(1-C26/AVERAGE('BS &amp; FCF'!B51:C51))^4-1</f>
        <v>9.0662521537531404E-2</v>
      </c>
      <c r="D27" s="399">
        <f>(1-D26/AVERAGE('BS &amp; FCF'!C51:D51))^4-1</f>
        <v>8.6546441404854679E-2</v>
      </c>
      <c r="E27" s="399">
        <f>(1-E26/AVERAGE('BS &amp; FCF'!D51:E51))^4-1</f>
        <v>6.616714132547763E-2</v>
      </c>
      <c r="F27" s="400">
        <f>-F26/AVERAGE('BS &amp; FCF'!B51:E51)</f>
        <v>7.5713031336914816E-2</v>
      </c>
      <c r="G27" s="399">
        <f>(1-G26/AVERAGE('BS &amp; FCF'!F51:G51))^4-1</f>
        <v>6.5319500056195912E-2</v>
      </c>
      <c r="H27" s="399">
        <f>(1-H26/AVERAGE('BS &amp; FCF'!G51:H51))^4-1</f>
        <v>7.3011851216379098E-2</v>
      </c>
      <c r="I27" s="399">
        <f>(1-I26/AVERAGE('BS &amp; FCF'!H51:I51))^4-1</f>
        <v>8.8362148802689999E-2</v>
      </c>
      <c r="J27" s="399">
        <f>(1-J26/AVERAGE('BS &amp; FCF'!I51:J51))^4-1</f>
        <v>8.3830796235315974E-2</v>
      </c>
      <c r="K27" s="400">
        <f>-K26/AVERAGE('BS &amp; FCF'!G51:J51)</f>
        <v>7.3666830747229933E-2</v>
      </c>
      <c r="L27" s="399">
        <f>(1-L26/AVERAGE('BS &amp; FCF'!K51:L51))^4-1</f>
        <v>6.2715170637301698E-2</v>
      </c>
      <c r="M27" s="399">
        <f>(1-M26/AVERAGE('BS &amp; FCF'!L51:M51))^4-1</f>
        <v>6.7486620124172614E-2</v>
      </c>
      <c r="N27" s="399">
        <f>(1-N26/AVERAGE('BS &amp; FCF'!M51:N51))^4-1</f>
        <v>4.1351301086082426E-2</v>
      </c>
      <c r="O27" s="399">
        <f>(1-O26/AVERAGE('BS &amp; FCF'!N51:O51))^4-1</f>
        <v>4.6382952993510029E-2</v>
      </c>
      <c r="P27" s="400">
        <f>-P26/AVERAGE('BS &amp; FCF'!L51:O51)</f>
        <v>5.4396189388685762E-2</v>
      </c>
      <c r="Q27" s="399">
        <f>(1-Q26/AVERAGE('BS &amp; FCF'!P51:Q51))^4-1</f>
        <v>4.2205846459478336E-2</v>
      </c>
      <c r="R27" s="399">
        <f>(1-R26/AVERAGE('BS &amp; FCF'!Q51:R51))^4-1</f>
        <v>4.2528533104398747E-2</v>
      </c>
      <c r="S27" s="399">
        <f>(1-S26/AVERAGE('BS &amp; FCF'!R51:S51))^4-1</f>
        <v>4.8268310626647715E-2</v>
      </c>
      <c r="T27" s="399">
        <f>(1-T26/AVERAGE('BS &amp; FCF'!S51:T51))^4-1</f>
        <v>5.3778068806800805E-2</v>
      </c>
      <c r="U27" s="400">
        <f>-U26/AVERAGE('BS &amp; FCF'!Q51:T51)</f>
        <v>4.577151287017444E-2</v>
      </c>
      <c r="V27" s="399">
        <f>(1-V26/AVERAGE('BS &amp; FCF'!U51:V51))^4-1</f>
        <v>5.6075974189703004E-2</v>
      </c>
      <c r="W27" s="399">
        <f>(1-W26/AVERAGE('BS &amp; FCF'!V51:W51))^4-1</f>
        <v>6.3527017967638155E-2</v>
      </c>
      <c r="X27" s="399">
        <f>(1-X26/AVERAGE('BS &amp; FCF'!W51:X51))^4-1</f>
        <v>6.4275051593630339E-2</v>
      </c>
      <c r="Y27" s="399">
        <f>(1-Y26/AVERAGE('BS &amp; FCF'!X51:Y51))^4-1</f>
        <v>6.739138857855953E-2</v>
      </c>
      <c r="Z27" s="400">
        <f>-Z26/AVERAGE('BS &amp; FCF'!V51:Y51)</f>
        <v>6.1893784908964508E-2</v>
      </c>
      <c r="AA27" s="399">
        <f>(1-AA26/AVERAGE('BS &amp; FCF'!Z51:AA51))^4-1</f>
        <v>6.841526739043835E-2</v>
      </c>
      <c r="AB27" s="399">
        <f>(1-AB26/AVERAGE('BS &amp; FCF'!AA51:AB51))^4-1</f>
        <v>9.4532785468193659E-2</v>
      </c>
      <c r="AC27" s="399">
        <f>(1-AC26/AVERAGE('BS &amp; FCF'!AB51:AC51))^4-1</f>
        <v>9.0261020465764119E-2</v>
      </c>
      <c r="AD27" s="399">
        <f>(1-AD26/AVERAGE('BS &amp; FCF'!AC51:AD51))^4-1</f>
        <v>7.7902312922368155E-2</v>
      </c>
      <c r="AE27" s="400">
        <f>-AE26/AVERAGE('BS &amp; FCF'!AA51:AD51)</f>
        <v>8.071989548524551E-2</v>
      </c>
      <c r="AF27" s="399">
        <f>(1-AF26/AVERAGE('BS &amp; FCF'!AE51:AF51))^4-1</f>
        <v>6.5511099770006354E-2</v>
      </c>
      <c r="AG27" s="399">
        <f>(1-AG26/AVERAGE('BS &amp; FCF'!AF51:AG51))^4-1</f>
        <v>6.4664455076563376E-2</v>
      </c>
      <c r="AH27" s="399">
        <f>(1-AH26/AVERAGE('BS &amp; FCF'!AG51:AH51))^4-1</f>
        <v>6.3320593399047942E-2</v>
      </c>
      <c r="AI27" s="399">
        <f>(1-AI26/AVERAGE('BS &amp; FCF'!AH51:AI51))^4-1</f>
        <v>6.6736012227291308E-2</v>
      </c>
      <c r="AJ27" s="400">
        <f>-AJ26/AVERAGE('BS &amp; FCF'!AF51:AI51)</f>
        <v>6.4241055237666378E-2</v>
      </c>
      <c r="AK27" s="399">
        <f>(1-AK26/AVERAGE('BS &amp; FCF'!AJ51:AK51))^4-1</f>
        <v>6.0858316496945619E-2</v>
      </c>
      <c r="AL27" s="399">
        <f>(1-AL26/AVERAGE('BS &amp; FCF'!AK51:AL51))^4-1</f>
        <v>5.2111202997684014E-2</v>
      </c>
      <c r="AM27" s="399">
        <f>(1-AM26/AVERAGE('BS &amp; FCF'!AL51:AM51))^4-1</f>
        <v>5.3105410331609093E-2</v>
      </c>
      <c r="AN27" s="399">
        <f>(1-AN26/AVERAGE('BS &amp; FCF'!AM51:AN51))^4-1</f>
        <v>4.1871031149914417E-2</v>
      </c>
      <c r="AO27" s="400">
        <f>-AO26/AVERAGE('BS &amp; FCF'!AK51:AN51)</f>
        <v>5.3198784027793648E-2</v>
      </c>
      <c r="AP27" s="399">
        <f>(1-AP26/AVERAGE('BS &amp; FCF'!AO51:AP51))^4-1</f>
        <v>5.041612561678166E-2</v>
      </c>
      <c r="AQ27" s="399">
        <f>(1-AQ26/AVERAGE('BS &amp; FCF'!AP51:AQ51))^4-1</f>
        <v>5.1701492797146642E-2</v>
      </c>
      <c r="AR27" s="399">
        <f>(1-AR26/AVERAGE('BS &amp; FCF'!AQ51:AR51))^4-1</f>
        <v>7.8418202998928654E-2</v>
      </c>
      <c r="AS27" s="399">
        <f>(1-AS26/AVERAGE('BS &amp; FCF'!AR51:AS51))^4-1</f>
        <v>6.709247539317631E-2</v>
      </c>
      <c r="AT27" s="400">
        <f>-AT26/AVERAGE('BS &amp; FCF'!AP51:AS51)</f>
        <v>6.1774771903385414E-2</v>
      </c>
      <c r="AU27" s="399">
        <f>(1-AU26/AVERAGE('BS &amp; FCF'!AT51:AU51))^4-1</f>
        <v>7.0087410260366134E-2</v>
      </c>
      <c r="AV27" s="399">
        <f>(1-AV26/AVERAGE('BS &amp; FCF'!AU51:AV51))^4-1</f>
        <v>6.2756333107881979E-2</v>
      </c>
      <c r="AW27" s="399">
        <f>(1-AW26/AVERAGE('BS &amp; FCF'!AV51:AW51))^4-1</f>
        <v>7.2152182821435984E-2</v>
      </c>
      <c r="AX27" s="399">
        <f>(1-AX26/AVERAGE('BS &amp; FCF'!AW51:AX51))^4-1</f>
        <v>6.8699254179571678E-2</v>
      </c>
      <c r="AY27" s="400">
        <f>-AY26/AVERAGE('BS &amp; FCF'!AU51:AX51)</f>
        <v>6.6351407238516374E-2</v>
      </c>
      <c r="AZ27" s="399">
        <f>(1-AZ26/AVERAGE('BS &amp; FCF'!AY51:AZ51))^4-1</f>
        <v>4.52101519001471E-2</v>
      </c>
      <c r="BA27" s="399">
        <f>(1-BA26/AVERAGE('BS &amp; FCF'!AZ51:BA51))^4-1</f>
        <v>5.4243222027958726E-2</v>
      </c>
      <c r="BB27" s="399">
        <f>(1-BB26/AVERAGE('BS &amp; FCF'!BA51:BB51))^4-1</f>
        <v>4.7184600827920198E-2</v>
      </c>
      <c r="BC27" s="399">
        <f>(1-BC26/AVERAGE('BS &amp; FCF'!BB51:BC51))^4-1</f>
        <v>3.6303236911486181E-2</v>
      </c>
      <c r="BD27" s="400">
        <f>-BD26/AVERAGE('BS &amp; FCF'!AZ51:BC51)</f>
        <v>4.4662287606309872E-2</v>
      </c>
      <c r="BE27" s="399">
        <f>(1-BE26/AVERAGE('BS &amp; FCF'!BD51:BE51))^4-1</f>
        <v>6.5327747640378853E-2</v>
      </c>
      <c r="BF27" s="399">
        <f>(1-BF26/AVERAGE('BS &amp; FCF'!BE51:BF51))^4-1</f>
        <v>5.7551556770616408E-2</v>
      </c>
      <c r="BG27" s="399">
        <f>(1-BG26/AVERAGE('BS &amp; FCF'!BF51:BG51))^4-1</f>
        <v>7.6269453760676287E-2</v>
      </c>
      <c r="BH27" s="399">
        <f>(1-BH26/AVERAGE('BS &amp; FCF'!BG51:BH51))^4-1</f>
        <v>9.4881630614243262E-2</v>
      </c>
      <c r="BI27" s="400">
        <f>-BI26/AVERAGE('BS &amp; FCF'!BE51:BH51)</f>
        <v>6.9984058532622059E-2</v>
      </c>
      <c r="BJ27" s="399">
        <f>(1-BJ26/AVERAGE('BS &amp; FCF'!BI51:BJ51))^4-1</f>
        <v>9.8095106040007041E-2</v>
      </c>
      <c r="BK27" s="399">
        <f>(1-BK26/AVERAGE('BS &amp; FCF'!BJ51:BK51))^4-1</f>
        <v>0.11304660645328468</v>
      </c>
      <c r="BL27" s="399">
        <f>(1-BL26/AVERAGE('BS &amp; FCF'!BK51:BL51))^4-1</f>
        <v>0.12319031922340584</v>
      </c>
      <c r="BM27" s="399">
        <f>(1-BM26/AVERAGE('BS &amp; FCF'!BL51:BM51))^4-1</f>
        <v>0.17198645471539775</v>
      </c>
      <c r="BN27" s="400">
        <f>-BN26/AVERAGE('BS &amp; FCF'!BJ51:BM51)</f>
        <v>0.11822795657791355</v>
      </c>
      <c r="BO27" s="399">
        <f>(1-BO26/AVERAGE('BS &amp; FCF'!BN51:BO51))^4-1</f>
        <v>0.12418006338375953</v>
      </c>
      <c r="BP27" s="399">
        <f>(1-BP26/AVERAGE('BS &amp; FCF'!BO51:BP51))^4-1</f>
        <v>0.12755878592045455</v>
      </c>
      <c r="BQ27" s="399">
        <f>(1-BQ26/AVERAGE('BS &amp; FCF'!BP51:BQ51))^4-1</f>
        <v>0.10721686142409959</v>
      </c>
      <c r="BR27" s="399">
        <f>(1-BR26/AVERAGE('BS &amp; FCF'!BQ51:BR51))^4-1</f>
        <v>0.11178149837005824</v>
      </c>
      <c r="BS27" s="400">
        <f>-BS26/AVERAGE('BS &amp; FCF'!BO51:BR51)</f>
        <v>0.11220058408540953</v>
      </c>
      <c r="BT27" s="399">
        <f>(1-BT26/AVERAGE('BS &amp; FCF'!BS51:BT51))^4-1</f>
        <v>0.11989416793804453</v>
      </c>
      <c r="BU27" s="399">
        <f>(1-BU26/AVERAGE('BS &amp; FCF'!BT51:BU51))^4-1</f>
        <v>0.11298220330676489</v>
      </c>
      <c r="BV27" s="399">
        <f>(1-BV26/AVERAGE('BS &amp; FCF'!BU51:BV51))^4-1</f>
        <v>0.10087937263361746</v>
      </c>
      <c r="BW27" s="399">
        <f>(1-BW26/AVERAGE('BS &amp; FCF'!BV51:BW51))^4-1</f>
        <v>0.11478856826356321</v>
      </c>
      <c r="BX27" s="400">
        <f>-BX26/AVERAGE('BS &amp; FCF'!BT51:BW51)</f>
        <v>0.10557460182523951</v>
      </c>
      <c r="BY27" s="399">
        <f>(1-BY26/AVERAGE('BS &amp; FCF'!BX51:BY51))^4-1</f>
        <v>0.10576574663662286</v>
      </c>
      <c r="BZ27" s="399">
        <f>(1-BZ26/AVERAGE('BS &amp; FCF'!BY51:BZ51))^4-1</f>
        <v>0.12043765448824528</v>
      </c>
      <c r="CA27" s="399">
        <f>(1-CA26/AVERAGE('BS &amp; FCF'!BZ51:CA51))^4-1</f>
        <v>0.11015390622999299</v>
      </c>
      <c r="CB27" s="399">
        <f>(1-CB26/AVERAGE('BS &amp; FCF'!CA51:CB51))^4-1</f>
        <v>0.10196077009650151</v>
      </c>
      <c r="CC27" s="400">
        <f>-CC26/AVERAGE('BS &amp; FCF'!BY51:CB51)</f>
        <v>0.10003827159370368</v>
      </c>
      <c r="CD27" s="399">
        <f>(1-CD26/AVERAGE('BS &amp; FCF'!CC51:CD51))^4-1</f>
        <v>0.10597926528086044</v>
      </c>
      <c r="CE27" s="399">
        <f>(1-CE26/AVERAGE('BS &amp; FCF'!CD51:CE51))^4-1</f>
        <v>0.12463877764550602</v>
      </c>
      <c r="CF27" s="399">
        <f>(1-CF26/AVERAGE('BS &amp; FCF'!CE51:CF51))^4-1</f>
        <v>0.1017976349883718</v>
      </c>
      <c r="CG27" s="399">
        <f>(1-CG26/AVERAGE('BS &amp; FCF'!CF51:CG51))^4-1</f>
        <v>0.10137615404227462</v>
      </c>
      <c r="CH27" s="400">
        <f>-CH26/AVERAGE('BS &amp; FCF'!CD51:CG51)</f>
        <v>0.10355183141325</v>
      </c>
      <c r="CI27" s="399">
        <f>(1-CI26/AVERAGE('BS &amp; FCF'!CH51:CI51))^4-1</f>
        <v>0.11593012075141829</v>
      </c>
      <c r="CJ27" s="399">
        <f>(1-CJ26/AVERAGE('BS &amp; FCF'!CI51:CJ51))^4-1</f>
        <v>0.11352394738802807</v>
      </c>
      <c r="CK27" s="399">
        <f>(1-CK26/AVERAGE('BS &amp; FCF'!CJ51:CK51))^4-1</f>
        <v>0.10673734430519666</v>
      </c>
      <c r="CL27" s="399">
        <f>(1-CL26/AVERAGE('BS &amp; FCF'!CK51:CL51))^4-1</f>
        <v>0.10129431508326592</v>
      </c>
      <c r="CM27" s="400">
        <f>-CM26/AVERAGE('BS &amp; FCF'!CI51:CL51)</f>
        <v>0.10459075694371647</v>
      </c>
      <c r="CN27" s="399">
        <f>(1-CN26/AVERAGE('BS &amp; FCF'!CM51:CN51))^4-1</f>
        <v>0.10128156755648177</v>
      </c>
      <c r="CO27" s="399">
        <f>(1-CO26/AVERAGE('BS &amp; FCF'!CN51:CO51))^4-1</f>
        <v>0.10127326422977156</v>
      </c>
      <c r="CP27" s="399">
        <f>(1-CP26/AVERAGE('BS &amp; FCF'!CO51:CP51))^4-1</f>
        <v>0.10125629902623223</v>
      </c>
      <c r="CQ27" s="399">
        <f>(1-CQ26/AVERAGE('BS &amp; FCF'!CP51:CQ51))^4-1</f>
        <v>0.10123193250663443</v>
      </c>
      <c r="CR27" s="400">
        <f>-CR26/AVERAGE('BS &amp; FCF'!CN51:CQ51)</f>
        <v>9.7214260380313791E-2</v>
      </c>
      <c r="CS27" s="399">
        <f>(1-CS26/AVERAGE('BS &amp; FCF'!CR51:CS51))^4-1</f>
        <v>8.7111102366540516E-2</v>
      </c>
      <c r="CT27" s="399">
        <f>(1-CT26/AVERAGE('BS &amp; FCF'!CS51:CT51))^4-1</f>
        <v>8.7112970288314662E-2</v>
      </c>
      <c r="CU27" s="399">
        <f>(1-CU26/AVERAGE('BS &amp; FCF'!CT51:CU51))^4-1</f>
        <v>8.710533080741456E-2</v>
      </c>
      <c r="CV27" s="399">
        <f>(1-CV26/AVERAGE('BS &amp; FCF'!CU51:CV51))^4-1</f>
        <v>8.7087486812084336E-2</v>
      </c>
      <c r="CW27" s="400">
        <f>-CW26/AVERAGE('BS &amp; FCF'!CS51:CV51)</f>
        <v>8.4185282439292991E-2</v>
      </c>
      <c r="CX27" s="399">
        <f>(1-CX26/AVERAGE('BS &amp; FCF'!CW51:CX51))^4-1</f>
        <v>8.7074575506967733E-2</v>
      </c>
      <c r="CY27" s="399">
        <f>(1-CY26/AVERAGE('BS &amp; FCF'!CX51:CY51))^4-1</f>
        <v>8.7071362854263201E-2</v>
      </c>
      <c r="CZ27" s="399">
        <f>(1-CZ26/AVERAGE('BS &amp; FCF'!CY51:CZ51))^4-1</f>
        <v>8.706230194788156E-2</v>
      </c>
      <c r="DA27" s="399">
        <f>(1-DA26/AVERAGE('BS &amp; FCF'!CZ51:DA51))^4-1</f>
        <v>8.704180037813658E-2</v>
      </c>
      <c r="DB27" s="400">
        <f>-DB26/AVERAGE('BS &amp; FCF'!CX51:DA51)</f>
        <v>8.4037282471694549E-2</v>
      </c>
    </row>
    <row r="28" spans="1:106" ht="11.25" customHeight="1" x14ac:dyDescent="0.35">
      <c r="A28" s="162" t="s">
        <v>193</v>
      </c>
      <c r="B28" s="397">
        <v>0</v>
      </c>
      <c r="C28" s="397">
        <v>0</v>
      </c>
      <c r="D28" s="397">
        <v>0</v>
      </c>
      <c r="E28" s="397">
        <v>0</v>
      </c>
      <c r="F28" s="20">
        <f>SUM(B28:E28)</f>
        <v>0</v>
      </c>
      <c r="G28" s="397">
        <v>0</v>
      </c>
      <c r="H28" s="397">
        <v>0</v>
      </c>
      <c r="I28" s="397">
        <v>0</v>
      </c>
      <c r="J28" s="397">
        <v>0</v>
      </c>
      <c r="K28" s="20">
        <f>SUM(G28:J28)</f>
        <v>0</v>
      </c>
      <c r="L28" s="397">
        <v>0</v>
      </c>
      <c r="M28" s="397">
        <v>0</v>
      </c>
      <c r="N28" s="397">
        <v>0</v>
      </c>
      <c r="O28" s="397">
        <v>0</v>
      </c>
      <c r="P28" s="20">
        <f>SUM(L28:O28)</f>
        <v>0</v>
      </c>
      <c r="Q28" s="397">
        <v>0</v>
      </c>
      <c r="R28" s="397">
        <v>0</v>
      </c>
      <c r="S28" s="397">
        <v>0</v>
      </c>
      <c r="T28" s="397">
        <v>0</v>
      </c>
      <c r="U28" s="20">
        <f>SUM(Q28:T28)</f>
        <v>0</v>
      </c>
      <c r="V28" s="397">
        <v>0</v>
      </c>
      <c r="W28" s="397">
        <v>0</v>
      </c>
      <c r="X28" s="397">
        <v>0</v>
      </c>
      <c r="Y28" s="397">
        <v>0</v>
      </c>
      <c r="Z28" s="20">
        <f>SUM(V28:Y28)</f>
        <v>0</v>
      </c>
      <c r="AA28" s="397">
        <v>0</v>
      </c>
      <c r="AB28" s="397">
        <v>0</v>
      </c>
      <c r="AC28" s="397">
        <v>0</v>
      </c>
      <c r="AD28" s="397">
        <v>0</v>
      </c>
      <c r="AE28" s="20">
        <f>SUM(AA28:AD28)</f>
        <v>0</v>
      </c>
      <c r="AF28" s="397">
        <v>0</v>
      </c>
      <c r="AG28" s="397">
        <v>0</v>
      </c>
      <c r="AH28" s="397">
        <v>0</v>
      </c>
      <c r="AI28" s="397">
        <v>0</v>
      </c>
      <c r="AJ28" s="20">
        <f>SUM(AF28:AI28)</f>
        <v>0</v>
      </c>
      <c r="AK28" s="397">
        <v>0</v>
      </c>
      <c r="AL28" s="397">
        <v>0</v>
      </c>
      <c r="AM28" s="397">
        <v>0</v>
      </c>
      <c r="AN28" s="397">
        <v>0</v>
      </c>
      <c r="AO28" s="20">
        <f>SUM(AK28:AN28)</f>
        <v>0</v>
      </c>
      <c r="AP28" s="397">
        <v>0</v>
      </c>
      <c r="AQ28" s="397">
        <v>0</v>
      </c>
      <c r="AR28" s="397">
        <v>0</v>
      </c>
      <c r="AS28" s="397">
        <v>0</v>
      </c>
      <c r="AT28" s="20">
        <f>SUM(AP28:AS28)</f>
        <v>0</v>
      </c>
      <c r="AU28" s="397">
        <v>0</v>
      </c>
      <c r="AV28" s="397">
        <v>0</v>
      </c>
      <c r="AW28" s="397">
        <v>0</v>
      </c>
      <c r="AX28" s="397">
        <v>0</v>
      </c>
      <c r="AY28" s="20">
        <f>SUM(AU28:AX28)</f>
        <v>0</v>
      </c>
      <c r="AZ28" s="397">
        <v>0</v>
      </c>
      <c r="BA28" s="397">
        <v>0</v>
      </c>
      <c r="BB28" s="397">
        <v>0</v>
      </c>
      <c r="BC28" s="397">
        <v>0</v>
      </c>
      <c r="BD28" s="20">
        <f>SUM(AZ28:BC28)</f>
        <v>0</v>
      </c>
      <c r="BE28" s="397">
        <v>0</v>
      </c>
      <c r="BF28" s="397">
        <v>0</v>
      </c>
      <c r="BG28" s="397">
        <v>0</v>
      </c>
      <c r="BH28" s="397">
        <v>0</v>
      </c>
      <c r="BI28" s="20">
        <f>SUM(BE28:BH28)</f>
        <v>0</v>
      </c>
      <c r="BJ28" s="397">
        <v>0</v>
      </c>
      <c r="BK28" s="397">
        <v>0</v>
      </c>
      <c r="BL28" s="397">
        <v>0</v>
      </c>
      <c r="BM28" s="397">
        <v>0</v>
      </c>
      <c r="BN28" s="20">
        <f>SUM(BJ28:BM28)</f>
        <v>0</v>
      </c>
      <c r="BO28" s="397">
        <v>0</v>
      </c>
      <c r="BP28" s="397">
        <v>0</v>
      </c>
      <c r="BQ28" s="397">
        <v>0</v>
      </c>
      <c r="BR28" s="397">
        <v>0</v>
      </c>
      <c r="BS28" s="20">
        <f>SUM(BO28:BR28)</f>
        <v>0</v>
      </c>
      <c r="BT28" s="397">
        <v>0</v>
      </c>
      <c r="BU28" s="397">
        <v>0</v>
      </c>
      <c r="BV28" s="397">
        <v>0</v>
      </c>
      <c r="BW28" s="397">
        <v>0</v>
      </c>
      <c r="BX28" s="20">
        <f>SUM(BT28:BW28)</f>
        <v>0</v>
      </c>
      <c r="BY28" s="397">
        <v>0</v>
      </c>
      <c r="BZ28" s="397">
        <v>0</v>
      </c>
      <c r="CA28" s="397">
        <v>0</v>
      </c>
      <c r="CB28" s="397">
        <v>0</v>
      </c>
      <c r="CC28" s="20">
        <f>SUM(BY28:CB28)</f>
        <v>0</v>
      </c>
      <c r="CD28" s="397">
        <v>0</v>
      </c>
      <c r="CE28" s="397">
        <v>0</v>
      </c>
      <c r="CF28" s="422">
        <f>((1+AVERAGE('BS &amp; FCF'!CE11:CF11))^1/4)*CF29</f>
        <v>0</v>
      </c>
      <c r="CG28" s="422">
        <f>((1+AVERAGE('BS &amp; FCF'!CF11:CG11))^1/4)*CG29</f>
        <v>0</v>
      </c>
      <c r="CH28" s="20">
        <f>SUM(CD28:CG28)</f>
        <v>0</v>
      </c>
      <c r="CI28" s="422">
        <f>((1+AVERAGE('BS &amp; FCF'!CH11:CI11))^1/4)*CI29</f>
        <v>0</v>
      </c>
      <c r="CJ28" s="422">
        <f>((1+AVERAGE('BS &amp; FCF'!CI11:CJ11))^1/4)*CJ29</f>
        <v>0</v>
      </c>
      <c r="CK28" s="422">
        <f>((1+AVERAGE('BS &amp; FCF'!CJ11:CK11))^1/4)*CK29</f>
        <v>0</v>
      </c>
      <c r="CL28" s="422">
        <f>((1+AVERAGE('BS &amp; FCF'!CK11:CL11))^1/4)*CL29</f>
        <v>0</v>
      </c>
      <c r="CM28" s="20">
        <f>SUM(CI28:CL28)</f>
        <v>0</v>
      </c>
      <c r="CN28" s="422">
        <f>((1+AVERAGE('BS &amp; FCF'!CM11:CN11))^1/4)*CN29</f>
        <v>0</v>
      </c>
      <c r="CO28" s="422">
        <f>((1+AVERAGE('BS &amp; FCF'!CN11:CO11))^1/4)*CO29</f>
        <v>0</v>
      </c>
      <c r="CP28" s="422">
        <f>((1+AVERAGE('BS &amp; FCF'!CO11:CP11))^1/4)*CP29</f>
        <v>0</v>
      </c>
      <c r="CQ28" s="422">
        <f>((1+AVERAGE('BS &amp; FCF'!CP11:CQ11))^1/4)*CQ29</f>
        <v>0</v>
      </c>
      <c r="CR28" s="20">
        <f>SUM(CN28:CQ28)</f>
        <v>0</v>
      </c>
      <c r="CS28" s="422">
        <f>((1+AVERAGE('BS &amp; FCF'!CR11:CS11))^1/4)*CS29</f>
        <v>0</v>
      </c>
      <c r="CT28" s="422">
        <f>((1+AVERAGE('BS &amp; FCF'!CS11:CT11))^1/4)*CT29</f>
        <v>0</v>
      </c>
      <c r="CU28" s="422">
        <f>((1+AVERAGE('BS &amp; FCF'!CT11:CU11))^1/4)*CU29</f>
        <v>0</v>
      </c>
      <c r="CV28" s="422">
        <f>((1+AVERAGE('BS &amp; FCF'!CU11:CV11))^1/4)*CV29</f>
        <v>0</v>
      </c>
      <c r="CW28" s="20">
        <f>SUM(CS28:CV28)</f>
        <v>0</v>
      </c>
      <c r="CX28" s="422">
        <f>((1+AVERAGE('BS &amp; FCF'!CW11:CX11))^1/4)*CX29</f>
        <v>0</v>
      </c>
      <c r="CY28" s="422">
        <f>((1+AVERAGE('BS &amp; FCF'!CX11:CY11))^1/4)*CY29</f>
        <v>0</v>
      </c>
      <c r="CZ28" s="422">
        <f>((1+AVERAGE('BS &amp; FCF'!CY11:CZ11))^1/4)*CZ29</f>
        <v>0</v>
      </c>
      <c r="DA28" s="422">
        <f>((1+AVERAGE('BS &amp; FCF'!CZ11:DA11))^1/4)*DA29</f>
        <v>0</v>
      </c>
      <c r="DB28" s="20">
        <f>SUM(CX28:DA28)</f>
        <v>0</v>
      </c>
    </row>
    <row r="29" spans="1:106" s="26" customFormat="1" ht="11.25" customHeight="1" outlineLevel="1" x14ac:dyDescent="0.35">
      <c r="A29" s="166" t="s">
        <v>194</v>
      </c>
      <c r="B29" s="399">
        <f>IFERROR((1-B28/AVERAGE('BS &amp; FCF'!A11:B11))^4-1,0)</f>
        <v>0</v>
      </c>
      <c r="C29" s="399">
        <f>IFERROR((1-C28/AVERAGE('BS &amp; FCF'!B11:C11))^4-1,0)</f>
        <v>0</v>
      </c>
      <c r="D29" s="399">
        <f>IFERROR((1-D28/AVERAGE('BS &amp; FCF'!C11:D11))^4-1,0)</f>
        <v>0</v>
      </c>
      <c r="E29" s="399">
        <f>IFERROR((1-E28/AVERAGE('BS &amp; FCF'!D11:E11))^4-1,0)</f>
        <v>0</v>
      </c>
      <c r="F29" s="400">
        <f>IFERROR(-F28/AVERAGE('BS &amp; FCF'!B11:E11),0)</f>
        <v>0</v>
      </c>
      <c r="G29" s="399">
        <f>IFERROR((1-G28/AVERAGE('BS &amp; FCF'!F11:G11))^4-1,0)</f>
        <v>0</v>
      </c>
      <c r="H29" s="399">
        <f>IFERROR((1-H28/AVERAGE('BS &amp; FCF'!G11:H11))^4-1,0)</f>
        <v>0</v>
      </c>
      <c r="I29" s="399">
        <f>IFERROR((1-I28/AVERAGE('BS &amp; FCF'!H11:I11))^4-1,0)</f>
        <v>0</v>
      </c>
      <c r="J29" s="399">
        <f>IFERROR((1-J28/AVERAGE('BS &amp; FCF'!I11:J11))^4-1,0)</f>
        <v>0</v>
      </c>
      <c r="K29" s="400">
        <f>IFERROR(-K28/AVERAGE('BS &amp; FCF'!G11:J11),0)</f>
        <v>0</v>
      </c>
      <c r="L29" s="399">
        <f>IFERROR((1-L28/AVERAGE('BS &amp; FCF'!K11:L11))^4-1,0)</f>
        <v>0</v>
      </c>
      <c r="M29" s="399">
        <f>IFERROR((1-M28/AVERAGE('BS &amp; FCF'!L11:M11))^4-1,0)</f>
        <v>0</v>
      </c>
      <c r="N29" s="399">
        <f>IFERROR((1-N28/AVERAGE('BS &amp; FCF'!M11:N11))^4-1,0)</f>
        <v>0</v>
      </c>
      <c r="O29" s="399">
        <f>IFERROR((1-O28/AVERAGE('BS &amp; FCF'!N11:O11))^4-1,0)</f>
        <v>0</v>
      </c>
      <c r="P29" s="400">
        <f>IFERROR(-P28/AVERAGE('BS &amp; FCF'!L11:O11),0)</f>
        <v>0</v>
      </c>
      <c r="Q29" s="399">
        <f>IFERROR((1-Q28/AVERAGE('BS &amp; FCF'!P11:Q11))^4-1,0)</f>
        <v>0</v>
      </c>
      <c r="R29" s="399">
        <f>IFERROR((1-R28/AVERAGE('BS &amp; FCF'!Q11:R11))^4-1,0)</f>
        <v>0</v>
      </c>
      <c r="S29" s="399">
        <f>IFERROR((1-S28/AVERAGE('BS &amp; FCF'!R11:S11))^4-1,0)</f>
        <v>0</v>
      </c>
      <c r="T29" s="399">
        <f>IFERROR((1-T28/AVERAGE('BS &amp; FCF'!S11:T11))^4-1,0)</f>
        <v>0</v>
      </c>
      <c r="U29" s="400">
        <f>IFERROR(-U28/AVERAGE('BS &amp; FCF'!Q11:T11),0)</f>
        <v>0</v>
      </c>
      <c r="V29" s="399">
        <f>IFERROR((1-V28/AVERAGE('BS &amp; FCF'!U11:V11))^4-1,0)</f>
        <v>0</v>
      </c>
      <c r="W29" s="399">
        <f>IFERROR((1-W28/AVERAGE('BS &amp; FCF'!V11:W11))^4-1,0)</f>
        <v>0</v>
      </c>
      <c r="X29" s="399">
        <f>IFERROR((1-X28/AVERAGE('BS &amp; FCF'!W11:X11))^4-1,0)</f>
        <v>0</v>
      </c>
      <c r="Y29" s="399">
        <f>IFERROR((1-Y28/AVERAGE('BS &amp; FCF'!X11:Y11))^4-1,0)</f>
        <v>0</v>
      </c>
      <c r="Z29" s="400">
        <f>IFERROR(-Z28/AVERAGE('BS &amp; FCF'!V11:Y11),0)</f>
        <v>0</v>
      </c>
      <c r="AA29" s="399">
        <f>IFERROR((1-AA28/AVERAGE('BS &amp; FCF'!Z11:AA11))^4-1,0)</f>
        <v>0</v>
      </c>
      <c r="AB29" s="399">
        <f>IFERROR((1-AB28/AVERAGE('BS &amp; FCF'!AA11:AB11))^4-1,0)</f>
        <v>0</v>
      </c>
      <c r="AC29" s="399">
        <f>IFERROR((1-AC28/AVERAGE('BS &amp; FCF'!AB11:AC11))^4-1,0)</f>
        <v>0</v>
      </c>
      <c r="AD29" s="399">
        <f>IFERROR((1-AD28/AVERAGE('BS &amp; FCF'!AC11:AD11))^4-1,0)</f>
        <v>0</v>
      </c>
      <c r="AE29" s="400">
        <f>IFERROR(-AE28/AVERAGE('BS &amp; FCF'!AA11:AD11),0)</f>
        <v>0</v>
      </c>
      <c r="AF29" s="399">
        <f>IFERROR((1-AF28/AVERAGE('BS &amp; FCF'!AE11:AF11))^4-1,0)</f>
        <v>0</v>
      </c>
      <c r="AG29" s="399">
        <f>IFERROR((1-AG28/AVERAGE('BS &amp; FCF'!AF11:AG11))^4-1,0)</f>
        <v>0</v>
      </c>
      <c r="AH29" s="399">
        <f>IFERROR((1-AH28/AVERAGE('BS &amp; FCF'!AG11:AH11))^4-1,0)</f>
        <v>0</v>
      </c>
      <c r="AI29" s="399">
        <f>IFERROR((1-AI28/AVERAGE('BS &amp; FCF'!AH11:AI11))^4-1,0)</f>
        <v>0</v>
      </c>
      <c r="AJ29" s="400">
        <f>IFERROR(-AJ28/AVERAGE('BS &amp; FCF'!AF11:AI11),0)</f>
        <v>0</v>
      </c>
      <c r="AK29" s="399">
        <f>IFERROR((1-AK28/AVERAGE('BS &amp; FCF'!AJ11:AK11))^4-1,0)</f>
        <v>0</v>
      </c>
      <c r="AL29" s="399">
        <f>IFERROR((1-AL28/AVERAGE('BS &amp; FCF'!AK11:AL11))^4-1,0)</f>
        <v>0</v>
      </c>
      <c r="AM29" s="399">
        <f>IFERROR((1-AM28/AVERAGE('BS &amp; FCF'!AL11:AM11))^4-1,0)</f>
        <v>0</v>
      </c>
      <c r="AN29" s="399">
        <f>IFERROR((1-AN28/AVERAGE('BS &amp; FCF'!AM11:AN11))^4-1,0)</f>
        <v>0</v>
      </c>
      <c r="AO29" s="400">
        <f>IFERROR(-AO28/AVERAGE('BS &amp; FCF'!AK11:AN11),0)</f>
        <v>0</v>
      </c>
      <c r="AP29" s="399">
        <f>IFERROR((1-AP28/AVERAGE('BS &amp; FCF'!AO11:AP11))^4-1,0)</f>
        <v>0</v>
      </c>
      <c r="AQ29" s="399">
        <f>IFERROR((1-AQ28/AVERAGE('BS &amp; FCF'!AP11:AQ11))^4-1,0)</f>
        <v>0</v>
      </c>
      <c r="AR29" s="399">
        <f>IFERROR((1-AR28/AVERAGE('BS &amp; FCF'!AQ11:AR11))^4-1,0)</f>
        <v>0</v>
      </c>
      <c r="AS29" s="399">
        <f>IFERROR((1-AS28/AVERAGE('BS &amp; FCF'!AR11:AS11))^4-1,0)</f>
        <v>0</v>
      </c>
      <c r="AT29" s="400">
        <f>IFERROR(-AT28/AVERAGE('BS &amp; FCF'!AP11:AS11),0)</f>
        <v>0</v>
      </c>
      <c r="AU29" s="399">
        <f>IFERROR((1-AU28/AVERAGE('BS &amp; FCF'!AT11:AU11))^4-1,0)</f>
        <v>0</v>
      </c>
      <c r="AV29" s="399">
        <f>IFERROR((1-AV28/AVERAGE('BS &amp; FCF'!AU11:AV11))^4-1,0)</f>
        <v>0</v>
      </c>
      <c r="AW29" s="399">
        <f>IFERROR((1-AW28/AVERAGE('BS &amp; FCF'!AV11:AW11))^4-1,0)</f>
        <v>0</v>
      </c>
      <c r="AX29" s="399">
        <f>IFERROR((1-AX28/AVERAGE('BS &amp; FCF'!AW11:AX11))^4-1,0)</f>
        <v>0</v>
      </c>
      <c r="AY29" s="400">
        <f>IFERROR(-AY28/AVERAGE('BS &amp; FCF'!AU11:AX11),0)</f>
        <v>0</v>
      </c>
      <c r="AZ29" s="399">
        <f>IFERROR((1-AZ28/AVERAGE('BS &amp; FCF'!AY11:AZ11))^4-1,0)</f>
        <v>0</v>
      </c>
      <c r="BA29" s="399">
        <f>IFERROR((1-BA28/AVERAGE('BS &amp; FCF'!AZ11:BA11))^4-1,0)</f>
        <v>0</v>
      </c>
      <c r="BB29" s="399">
        <f>IFERROR((1-BB28/AVERAGE('BS &amp; FCF'!BA11:BB11))^4-1,0)</f>
        <v>0</v>
      </c>
      <c r="BC29" s="399">
        <f>IFERROR((1-BC28/AVERAGE('BS &amp; FCF'!BB11:BC11))^4-1,0)</f>
        <v>0</v>
      </c>
      <c r="BD29" s="400">
        <f>IFERROR(-BD28/AVERAGE('BS &amp; FCF'!AZ11:BC11),0)</f>
        <v>0</v>
      </c>
      <c r="BE29" s="399">
        <f>IFERROR((1-BE28/AVERAGE('BS &amp; FCF'!BD11:BE11))^4-1,0)</f>
        <v>0</v>
      </c>
      <c r="BF29" s="399">
        <f>IFERROR((1-BF28/AVERAGE('BS &amp; FCF'!BE11:BF11))^4-1,0)</f>
        <v>0</v>
      </c>
      <c r="BG29" s="399">
        <f>IFERROR((1-BG28/AVERAGE('BS &amp; FCF'!BF11:BG11))^4-1,0)</f>
        <v>0</v>
      </c>
      <c r="BH29" s="399">
        <f>IFERROR((1-BH28/AVERAGE('BS &amp; FCF'!BG11:BH11))^4-1,0)</f>
        <v>0</v>
      </c>
      <c r="BI29" s="400">
        <f>IFERROR(-BI28/AVERAGE('BS &amp; FCF'!BE11:BH11),0)</f>
        <v>0</v>
      </c>
      <c r="BJ29" s="399">
        <f>IFERROR((1-BJ28/AVERAGE('BS &amp; FCF'!BI11:BJ11))^4-1,0)</f>
        <v>0</v>
      </c>
      <c r="BK29" s="399">
        <f>IFERROR((1-BK28/AVERAGE('BS &amp; FCF'!BJ11:BK11))^4-1,0)</f>
        <v>0</v>
      </c>
      <c r="BL29" s="399">
        <f>IFERROR((1-BL28/AVERAGE('BS &amp; FCF'!BK11:BL11))^4-1,0)</f>
        <v>0</v>
      </c>
      <c r="BM29" s="399">
        <f>IFERROR((1-BM28/AVERAGE('BS &amp; FCF'!BL11:BM11))^4-1,0)</f>
        <v>0</v>
      </c>
      <c r="BN29" s="400">
        <f>IFERROR(-BN28/AVERAGE('BS &amp; FCF'!BJ11:BM11),0)</f>
        <v>0</v>
      </c>
      <c r="BO29" s="399">
        <f>IFERROR((1-BO28/AVERAGE('BS &amp; FCF'!BN11:BO11))^4-1,0)</f>
        <v>0</v>
      </c>
      <c r="BP29" s="399">
        <f>IFERROR((1-BP28/AVERAGE('BS &amp; FCF'!BO11:BP11))^4-1,0)</f>
        <v>0</v>
      </c>
      <c r="BQ29" s="399">
        <f>IFERROR((1-BQ28/AVERAGE('BS &amp; FCF'!BP11:BQ11))^4-1,0)</f>
        <v>0</v>
      </c>
      <c r="BR29" s="399">
        <f>IFERROR((1-BR28/AVERAGE('BS &amp; FCF'!BQ11:BR11))^4-1,0)</f>
        <v>0</v>
      </c>
      <c r="BS29" s="400">
        <f>IFERROR(-BS28/AVERAGE('BS &amp; FCF'!BO11:BR11),0)</f>
        <v>0</v>
      </c>
      <c r="BT29" s="399">
        <f>IFERROR((1-BT28/AVERAGE('BS &amp; FCF'!BS11:BT11))^4-1,0)</f>
        <v>0</v>
      </c>
      <c r="BU29" s="399">
        <f>IFERROR((1-BU28/AVERAGE('BS &amp; FCF'!BT11:BU11))^4-1,0)</f>
        <v>0</v>
      </c>
      <c r="BV29" s="399">
        <f>IFERROR((1-BV28/AVERAGE('BS &amp; FCF'!BU11:BV11))^4-1,0)</f>
        <v>0</v>
      </c>
      <c r="BW29" s="399">
        <f>IFERROR((1-BW28/AVERAGE('BS &amp; FCF'!BV11:BW11))^4-1,0)</f>
        <v>0</v>
      </c>
      <c r="BX29" s="400">
        <f>IFERROR(-BX28/AVERAGE('BS &amp; FCF'!BT11:BW11),0)</f>
        <v>0</v>
      </c>
      <c r="BY29" s="399">
        <f>IFERROR((1+BY28/AVERAGE('BS &amp; FCF'!BX11:BY11))^4-1,0)</f>
        <v>0</v>
      </c>
      <c r="BZ29" s="399">
        <f>IFERROR((1-BZ28/AVERAGE('BS &amp; FCF'!BY11:BZ11))^4-1,0)</f>
        <v>0</v>
      </c>
      <c r="CA29" s="399">
        <f>IFERROR((1-CA28/AVERAGE('BS &amp; FCF'!BZ11:CA11))^4-1,0)</f>
        <v>0</v>
      </c>
      <c r="CB29" s="399">
        <f>IFERROR((1-CB28/AVERAGE('BS &amp; FCF'!CA11:CB11))^4-1,0)</f>
        <v>0</v>
      </c>
      <c r="CC29" s="400">
        <f>IFERROR(CC28/AVERAGE('BS &amp; FCF'!BY11:CB11),0)</f>
        <v>0</v>
      </c>
      <c r="CD29" s="399">
        <f>IFERROR((1+CD28/AVERAGE('BS &amp; FCF'!CC11:CD11))^4-1,0)</f>
        <v>0</v>
      </c>
      <c r="CE29" s="399">
        <f>IFERROR((1-CE28/AVERAGE('BS &amp; FCF'!CD11:CE11))^4-1,0)</f>
        <v>0</v>
      </c>
      <c r="CF29" s="399">
        <f>CE29</f>
        <v>0</v>
      </c>
      <c r="CG29" s="399">
        <f>CF29</f>
        <v>0</v>
      </c>
      <c r="CH29" s="400">
        <f>IFERROR(CH28/AVERAGE('BS &amp; FCF'!CD11:CG11),0)</f>
        <v>0</v>
      </c>
      <c r="CI29" s="399">
        <f>CG29</f>
        <v>0</v>
      </c>
      <c r="CJ29" s="399">
        <f t="shared" ref="CJ29:DA29" si="47">CI29</f>
        <v>0</v>
      </c>
      <c r="CK29" s="399">
        <f t="shared" si="47"/>
        <v>0</v>
      </c>
      <c r="CL29" s="399">
        <f t="shared" si="47"/>
        <v>0</v>
      </c>
      <c r="CM29" s="400">
        <f>IFERROR(CM28/AVERAGE('BS &amp; FCF'!CI11:CL11),0)</f>
        <v>0</v>
      </c>
      <c r="CN29" s="399">
        <f>CL29</f>
        <v>0</v>
      </c>
      <c r="CO29" s="399">
        <f>CN29</f>
        <v>0</v>
      </c>
      <c r="CP29" s="399">
        <f t="shared" si="47"/>
        <v>0</v>
      </c>
      <c r="CQ29" s="399">
        <f t="shared" si="47"/>
        <v>0</v>
      </c>
      <c r="CR29" s="400">
        <f>IFERROR(CR28/AVERAGE('BS &amp; FCF'!CN11:CQ11),0)</f>
        <v>0</v>
      </c>
      <c r="CS29" s="399">
        <f>CQ29</f>
        <v>0</v>
      </c>
      <c r="CT29" s="399">
        <f>CS29</f>
        <v>0</v>
      </c>
      <c r="CU29" s="399">
        <f t="shared" si="47"/>
        <v>0</v>
      </c>
      <c r="CV29" s="399">
        <f t="shared" si="47"/>
        <v>0</v>
      </c>
      <c r="CW29" s="400">
        <f>IFERROR(CW28/AVERAGE('BS &amp; FCF'!CS11:CV11),0)</f>
        <v>0</v>
      </c>
      <c r="CX29" s="399">
        <f>CV29</f>
        <v>0</v>
      </c>
      <c r="CY29" s="399">
        <f>CX29</f>
        <v>0</v>
      </c>
      <c r="CZ29" s="399">
        <f t="shared" si="47"/>
        <v>0</v>
      </c>
      <c r="DA29" s="399">
        <f t="shared" si="47"/>
        <v>0</v>
      </c>
      <c r="DB29" s="400">
        <f>IFERROR(DB28/AVERAGE('BS &amp; FCF'!CX11:DA11),0)</f>
        <v>0</v>
      </c>
    </row>
    <row r="30" spans="1:106" ht="11.15" customHeight="1" x14ac:dyDescent="0.35">
      <c r="A30" s="16" t="s">
        <v>11</v>
      </c>
      <c r="B30" s="160">
        <f>B31+B32+B33</f>
        <v>-18319</v>
      </c>
      <c r="C30" s="160">
        <f>C31+C32+C33</f>
        <v>-10848</v>
      </c>
      <c r="D30" s="160">
        <f>D31+D32+D33</f>
        <v>-11262</v>
      </c>
      <c r="E30" s="160">
        <f>E31+E32+E33</f>
        <v>-19250</v>
      </c>
      <c r="F30" s="18">
        <f>SUM(B30:E30)</f>
        <v>-59679</v>
      </c>
      <c r="G30" s="160">
        <f>G31+G32+G33</f>
        <v>-2558</v>
      </c>
      <c r="H30" s="160">
        <f>H31+H32+H33</f>
        <v>-2360</v>
      </c>
      <c r="I30" s="160">
        <f>I31+I32+I33</f>
        <v>-5676</v>
      </c>
      <c r="J30" s="160">
        <f>J31+J32+J33</f>
        <v>-36765</v>
      </c>
      <c r="K30" s="18">
        <f t="shared" ref="K30:K38" si="48">SUM(G30:J30)</f>
        <v>-47359</v>
      </c>
      <c r="L30" s="160">
        <f>L31+L32+L33</f>
        <v>-26056</v>
      </c>
      <c r="M30" s="160">
        <f>M31+M32+M33</f>
        <v>-14249</v>
      </c>
      <c r="N30" s="160">
        <f>N31+N32+N33</f>
        <v>-12641</v>
      </c>
      <c r="O30" s="160">
        <f>O31+O32+O33</f>
        <v>-2202</v>
      </c>
      <c r="P30" s="18">
        <f t="shared" ref="P30:P38" si="49">SUM(L30:O30)</f>
        <v>-55148</v>
      </c>
      <c r="Q30" s="160">
        <f>Q31+Q32+Q33</f>
        <v>-15625</v>
      </c>
      <c r="R30" s="160">
        <f>R31+R32+R33</f>
        <v>-20556</v>
      </c>
      <c r="S30" s="160">
        <f>S31+S32+S33</f>
        <v>-11063</v>
      </c>
      <c r="T30" s="160">
        <f>T31+T32+T33</f>
        <v>-9794</v>
      </c>
      <c r="U30" s="18">
        <f t="shared" ref="U30:U38" si="50">SUM(Q30:T30)</f>
        <v>-57038</v>
      </c>
      <c r="V30" s="160">
        <f>V31+V32+V33</f>
        <v>-14758</v>
      </c>
      <c r="W30" s="160">
        <f>W31+W32+W33</f>
        <v>-16717</v>
      </c>
      <c r="X30" s="160">
        <f>X31+X32+X33</f>
        <v>-32302</v>
      </c>
      <c r="Y30" s="160">
        <f>Y31+Y32+Y33</f>
        <v>-51022</v>
      </c>
      <c r="Z30" s="18">
        <f t="shared" ref="Z30:Z38" si="51">SUM(V30:Y30)</f>
        <v>-114799</v>
      </c>
      <c r="AA30" s="160">
        <f>AA31+AA32+AA33</f>
        <v>-28353</v>
      </c>
      <c r="AB30" s="160">
        <f>AB31+AB32+AB33</f>
        <v>3216</v>
      </c>
      <c r="AC30" s="160">
        <f>AC31+AC32+AC33</f>
        <v>-1513</v>
      </c>
      <c r="AD30" s="160">
        <f>AD31+AD32+AD33</f>
        <v>-26931</v>
      </c>
      <c r="AE30" s="18">
        <f t="shared" ref="AE30:AE38" si="52">SUM(AA30:AD30)</f>
        <v>-53581</v>
      </c>
      <c r="AF30" s="160">
        <f>AF31+AF32+AF33</f>
        <v>-11807</v>
      </c>
      <c r="AG30" s="160">
        <f>AG31+AG32+AG33</f>
        <v>-18604</v>
      </c>
      <c r="AH30" s="160">
        <f>AH31+AH32+AH33</f>
        <v>-19828</v>
      </c>
      <c r="AI30" s="160">
        <f>AI31+AI32+AI33</f>
        <v>-50573</v>
      </c>
      <c r="AJ30" s="18">
        <f t="shared" ref="AJ30:AJ38" si="53">SUM(AF30:AI30)</f>
        <v>-100812</v>
      </c>
      <c r="AK30" s="160">
        <f>AK31+AK32+AK33</f>
        <v>-14495</v>
      </c>
      <c r="AL30" s="160">
        <f>AL31+AL32+AL33</f>
        <v>-149746</v>
      </c>
      <c r="AM30" s="160">
        <f>AM31+AM32+AM33</f>
        <v>16317</v>
      </c>
      <c r="AN30" s="160">
        <f>AN31+AN32+AN33</f>
        <v>-23157</v>
      </c>
      <c r="AO30" s="18">
        <f t="shared" ref="AO30:AO38" si="54">SUM(AK30:AN30)</f>
        <v>-171081</v>
      </c>
      <c r="AP30" s="160">
        <f>AP31+AP32+AP33</f>
        <v>-4672</v>
      </c>
      <c r="AQ30" s="160">
        <f>AQ31+AQ32+AQ33</f>
        <v>-36070</v>
      </c>
      <c r="AR30" s="160">
        <f>AR31+AR32+AR33</f>
        <v>-133002</v>
      </c>
      <c r="AS30" s="160">
        <f>AS31+AS32+AS33</f>
        <v>-54971</v>
      </c>
      <c r="AT30" s="18">
        <f t="shared" ref="AT30:AT38" si="55">SUM(AP30:AS30)</f>
        <v>-228715</v>
      </c>
      <c r="AU30" s="160">
        <f>AU31+AU32+AU33</f>
        <v>-27820</v>
      </c>
      <c r="AV30" s="160">
        <f>AV31+AV32+AV33</f>
        <v>1272</v>
      </c>
      <c r="AW30" s="160">
        <f>AW31+AW32+AW33</f>
        <v>-22314</v>
      </c>
      <c r="AX30" s="160">
        <f>AX31+AX32+AX33</f>
        <v>19528</v>
      </c>
      <c r="AY30" s="18">
        <f t="shared" ref="AY30:AY38" si="56">SUM(AU30:AX30)</f>
        <v>-29334</v>
      </c>
      <c r="AZ30" s="160">
        <f>AZ31+AZ32+AZ33</f>
        <v>-40355</v>
      </c>
      <c r="BA30" s="160">
        <f>BA31+BA32+BA33</f>
        <v>-20788</v>
      </c>
      <c r="BB30" s="160">
        <f>BB31+BB32+BB33</f>
        <v>1123896</v>
      </c>
      <c r="BC30" s="160">
        <f>BC31+BC32+BC33</f>
        <v>26862</v>
      </c>
      <c r="BD30" s="18">
        <f t="shared" ref="BD30:BD38" si="57">SUM(AZ30:BC30)</f>
        <v>1089615</v>
      </c>
      <c r="BE30" s="160">
        <f>BE31+BE32+BE33</f>
        <v>-31171</v>
      </c>
      <c r="BF30" s="160">
        <f>BF31+BF32+BF33</f>
        <v>-14738</v>
      </c>
      <c r="BG30" s="160">
        <f>BG31+BG32+BG33</f>
        <v>-35335</v>
      </c>
      <c r="BH30" s="160">
        <f>BH31+BH32+BH33</f>
        <v>-9530</v>
      </c>
      <c r="BI30" s="18">
        <f t="shared" ref="BI30:BI38" si="58">SUM(BE30:BH30)</f>
        <v>-90774</v>
      </c>
      <c r="BJ30" s="160">
        <f>BJ31+BJ32+BJ33</f>
        <v>-30483</v>
      </c>
      <c r="BK30" s="160">
        <f>BK31+BK32+BK33</f>
        <v>-21795</v>
      </c>
      <c r="BL30" s="160">
        <f>BL31+BL32+BL33</f>
        <v>27790</v>
      </c>
      <c r="BM30" s="160">
        <f>BM31+BM32+BM33</f>
        <v>13030</v>
      </c>
      <c r="BN30" s="18">
        <f t="shared" ref="BN30:BN38" si="59">SUM(BJ30:BM30)</f>
        <v>-11458</v>
      </c>
      <c r="BO30" s="160">
        <f>BO31+BO32+BO33</f>
        <v>-37625</v>
      </c>
      <c r="BP30" s="160">
        <f>BP31+BP32+BP33</f>
        <v>16531</v>
      </c>
      <c r="BQ30" s="160">
        <f>BQ31+BQ32+BQ33</f>
        <v>-54025</v>
      </c>
      <c r="BR30" s="160">
        <f>BR31+BR32+BR33</f>
        <v>-25956</v>
      </c>
      <c r="BS30" s="18">
        <f t="shared" ref="BS30:BS38" si="60">SUM(BO30:BR30)</f>
        <v>-101075</v>
      </c>
      <c r="BT30" s="160">
        <f>BT31+BT32+BT33</f>
        <v>-18668</v>
      </c>
      <c r="BU30" s="160">
        <f>BU31+BU32+BU33</f>
        <v>-10492</v>
      </c>
      <c r="BV30" s="160">
        <f>BV31+BV32+BV33</f>
        <v>-3423</v>
      </c>
      <c r="BW30" s="160">
        <f>BW31+BW32+BW33</f>
        <v>58296</v>
      </c>
      <c r="BX30" s="18">
        <f t="shared" ref="BX30:BX38" si="61">SUM(BT30:BW30)</f>
        <v>25713</v>
      </c>
      <c r="BY30" s="160">
        <f>BY31+BY32+BY33</f>
        <v>-70720</v>
      </c>
      <c r="BZ30" s="160">
        <f>BZ31+BZ32+BZ33</f>
        <v>-38346</v>
      </c>
      <c r="CA30" s="160">
        <f>CA31+CA32+CA33</f>
        <v>188788</v>
      </c>
      <c r="CB30" s="160">
        <f>CB31+CB32+CB33</f>
        <v>-71050</v>
      </c>
      <c r="CC30" s="18">
        <f t="shared" ref="CC30:CC38" si="62">SUM(BY30:CB30)</f>
        <v>8672</v>
      </c>
      <c r="CD30" s="160">
        <f>CD31+CD32+CD33</f>
        <v>-64455</v>
      </c>
      <c r="CE30" s="160">
        <f>CE31+CE32+CE33</f>
        <v>-68131</v>
      </c>
      <c r="CF30" s="160">
        <f>CF31+CF32+CF33</f>
        <v>-82962.331762318136</v>
      </c>
      <c r="CG30" s="160">
        <f>CG31+CG32+CG33</f>
        <v>-86310.81190767065</v>
      </c>
      <c r="CH30" s="18">
        <f t="shared" ref="CH30:CH38" si="63">SUM(CD30:CG30)</f>
        <v>-301859.14366998879</v>
      </c>
      <c r="CI30" s="160">
        <f>CI31+CI32+CI33</f>
        <v>-83916.933190111129</v>
      </c>
      <c r="CJ30" s="160">
        <f>CJ31+CJ32+CJ33</f>
        <v>-84989.256693244504</v>
      </c>
      <c r="CK30" s="160">
        <f>CK31+CK32+CK33</f>
        <v>-87374.493749505622</v>
      </c>
      <c r="CL30" s="160">
        <f>CL31+CL32+CL33</f>
        <v>-90036.435523738735</v>
      </c>
      <c r="CM30" s="18">
        <f t="shared" ref="CM30:CM38" si="64">SUM(CI30:CL30)</f>
        <v>-346317.11915659998</v>
      </c>
      <c r="CN30" s="160">
        <f>CN31+CN32+CN33</f>
        <v>-90087.213952290476</v>
      </c>
      <c r="CO30" s="160">
        <f>CO31+CO32+CO33</f>
        <v>-90887.30554966809</v>
      </c>
      <c r="CP30" s="160">
        <f>CP31+CP32+CP33</f>
        <v>-93064.880547231209</v>
      </c>
      <c r="CQ30" s="160">
        <f>CQ31+CQ32+CQ33</f>
        <v>-96595.341235103857</v>
      </c>
      <c r="CR30" s="18">
        <f t="shared" ref="CR30:CR38" si="65">SUM(CN30:CQ30)</f>
        <v>-370634.74128429365</v>
      </c>
      <c r="CS30" s="160">
        <f>CS31+CS32+CS33</f>
        <v>-95646.202219465311</v>
      </c>
      <c r="CT30" s="160">
        <f>CT31+CT32+CT33</f>
        <v>-96201.711483474326</v>
      </c>
      <c r="CU30" s="160">
        <f>CU31+CU32+CU33</f>
        <v>-98218.100822800276</v>
      </c>
      <c r="CV30" s="160">
        <f>CV31+CV32+CV33</f>
        <v>-101701.94463967194</v>
      </c>
      <c r="CW30" s="18">
        <f t="shared" ref="CW30:CW38" si="66">SUM(CS30:CV30)</f>
        <v>-391767.95916541188</v>
      </c>
      <c r="CX30" s="160">
        <f>CX31+CX32+CX33</f>
        <v>-100651.90518647723</v>
      </c>
      <c r="CY30" s="160">
        <f>CY31+CY32+CY33</f>
        <v>-101074.24504837813</v>
      </c>
      <c r="CZ30" s="160">
        <f>CZ31+CZ32+CZ33</f>
        <v>-103073.52469460927</v>
      </c>
      <c r="DA30" s="160">
        <f>DA31+DA32+DA33</f>
        <v>-106572.20576942539</v>
      </c>
      <c r="DB30" s="18">
        <f t="shared" ref="DB30:DB38" si="67">SUM(CX30:DA30)</f>
        <v>-411371.88069889002</v>
      </c>
    </row>
    <row r="31" spans="1:106" ht="11.25" customHeight="1" x14ac:dyDescent="0.35">
      <c r="A31" s="162" t="s">
        <v>58</v>
      </c>
      <c r="B31" s="397">
        <f>1</f>
        <v>1</v>
      </c>
      <c r="C31" s="397">
        <f>68</f>
        <v>68</v>
      </c>
      <c r="D31" s="397">
        <v>60</v>
      </c>
      <c r="E31" s="397">
        <v>-275</v>
      </c>
      <c r="F31" s="20">
        <f t="shared" ref="F31:F38" si="68">SUM(B31:E31)</f>
        <v>-146</v>
      </c>
      <c r="G31" s="397">
        <v>828</v>
      </c>
      <c r="H31" s="397">
        <v>1171</v>
      </c>
      <c r="I31" s="397">
        <v>198</v>
      </c>
      <c r="J31" s="397">
        <v>0</v>
      </c>
      <c r="K31" s="20">
        <f t="shared" si="48"/>
        <v>2197</v>
      </c>
      <c r="L31" s="397">
        <f>-13127-M31</f>
        <v>-5149</v>
      </c>
      <c r="M31" s="397">
        <v>-7978</v>
      </c>
      <c r="N31" s="397">
        <v>-10333</v>
      </c>
      <c r="O31" s="397">
        <f>-18739-N31-M31-L31</f>
        <v>4721</v>
      </c>
      <c r="P31" s="20">
        <f t="shared" si="49"/>
        <v>-18739</v>
      </c>
      <c r="Q31" s="397">
        <f>-19410-R31</f>
        <v>-9467</v>
      </c>
      <c r="R31" s="397">
        <f>-15943-R33</f>
        <v>-9943</v>
      </c>
      <c r="S31" s="397">
        <v>-8785</v>
      </c>
      <c r="T31" s="397">
        <f>-31457-S31-R31-Q31</f>
        <v>-3262</v>
      </c>
      <c r="U31" s="20">
        <f t="shared" si="50"/>
        <v>-31457</v>
      </c>
      <c r="V31" s="397">
        <v>-10095</v>
      </c>
      <c r="W31" s="397">
        <v>-10485</v>
      </c>
      <c r="X31" s="397">
        <v>-26960</v>
      </c>
      <c r="Y31" s="397">
        <f>-93195-X31-W31-V31</f>
        <v>-45655</v>
      </c>
      <c r="Z31" s="20">
        <f t="shared" si="51"/>
        <v>-93195</v>
      </c>
      <c r="AA31" s="397">
        <v>-23928</v>
      </c>
      <c r="AB31" s="397">
        <v>8873</v>
      </c>
      <c r="AC31" s="397">
        <v>3183</v>
      </c>
      <c r="AD31" s="397">
        <f>-31977-AC31-AB31-AA31</f>
        <v>-20105</v>
      </c>
      <c r="AE31" s="20">
        <f t="shared" si="52"/>
        <v>-31977</v>
      </c>
      <c r="AF31" s="397">
        <v>-4807</v>
      </c>
      <c r="AG31" s="397">
        <v>-10914</v>
      </c>
      <c r="AH31" s="397">
        <v>-8575</v>
      </c>
      <c r="AI31" s="397">
        <f>-43869-AH31-AG31-AF31</f>
        <v>-19573</v>
      </c>
      <c r="AJ31" s="20">
        <f t="shared" si="53"/>
        <v>-43869</v>
      </c>
      <c r="AK31" s="397">
        <v>6847</v>
      </c>
      <c r="AL31" s="397">
        <v>-121085</v>
      </c>
      <c r="AM31" s="397">
        <f>12013+15179</f>
        <v>27192</v>
      </c>
      <c r="AN31" s="397">
        <f>89804-194350-AM31-AL31-AK31</f>
        <v>-17500</v>
      </c>
      <c r="AO31" s="20">
        <f t="shared" si="54"/>
        <v>-104546</v>
      </c>
      <c r="AP31" s="397">
        <f>52786-41771+180</f>
        <v>11195</v>
      </c>
      <c r="AQ31" s="397">
        <f>20547-47033</f>
        <v>-26486</v>
      </c>
      <c r="AR31" s="397">
        <f>35318-157445</f>
        <v>-122127</v>
      </c>
      <c r="AS31" s="397">
        <f>27831-263185-AR31-AQ31-AP31+48008</f>
        <v>-49928</v>
      </c>
      <c r="AT31" s="20">
        <f t="shared" si="55"/>
        <v>-187346</v>
      </c>
      <c r="AU31" s="397">
        <f>6551-10012</f>
        <v>-3461</v>
      </c>
      <c r="AV31" s="397">
        <f>8726-15335</f>
        <v>-6609</v>
      </c>
      <c r="AW31" s="397">
        <f>34431-25207</f>
        <v>9224</v>
      </c>
      <c r="AX31" s="397">
        <f>-24458+110587-46506+5721-AW31-AV31-AU31</f>
        <v>46190</v>
      </c>
      <c r="AY31" s="20">
        <f t="shared" si="56"/>
        <v>45344</v>
      </c>
      <c r="AZ31" s="397">
        <f>44875-68031</f>
        <v>-23156</v>
      </c>
      <c r="BA31" s="397">
        <f>10194-17257</f>
        <v>-7063</v>
      </c>
      <c r="BB31" s="397">
        <f>1367584-109725-(1403000-250000+375000-250000)</f>
        <v>-20141</v>
      </c>
      <c r="BC31" s="397">
        <f>1492096-226318-BB31-BA31-AZ31-(1403000-250000+375000-250000)</f>
        <v>38138</v>
      </c>
      <c r="BD31" s="20">
        <f t="shared" si="57"/>
        <v>-12222</v>
      </c>
      <c r="BE31" s="397">
        <f>2155-22394</f>
        <v>-20239</v>
      </c>
      <c r="BF31" s="397">
        <f>5674-9950</f>
        <v>-4276</v>
      </c>
      <c r="BG31" s="397">
        <f>47195-71510</f>
        <v>-24315</v>
      </c>
      <c r="BH31" s="397">
        <f>79487-130238-BG31-BF31-BE31</f>
        <v>-1921</v>
      </c>
      <c r="BI31" s="20">
        <f t="shared" si="58"/>
        <v>-50751</v>
      </c>
      <c r="BJ31" s="397">
        <f>13339-35290</f>
        <v>-21951</v>
      </c>
      <c r="BK31" s="397">
        <f>18890-31434</f>
        <v>-12544</v>
      </c>
      <c r="BL31" s="397">
        <f>201308-150686</f>
        <v>50622</v>
      </c>
      <c r="BM31" s="397">
        <f>325209-293193-BL31-BK31-BJ31</f>
        <v>15889</v>
      </c>
      <c r="BN31" s="20">
        <f t="shared" si="59"/>
        <v>32016</v>
      </c>
      <c r="BO31" s="397">
        <f>8303-16644</f>
        <v>-8341</v>
      </c>
      <c r="BP31" s="397">
        <f>90079-57477</f>
        <v>32602</v>
      </c>
      <c r="BQ31" s="397">
        <f>26088-37811</f>
        <v>-11723</v>
      </c>
      <c r="BR31" s="397">
        <f>123166-157153-BQ31-BP31-BO31</f>
        <v>-46525</v>
      </c>
      <c r="BS31" s="20">
        <f t="shared" si="60"/>
        <v>-33987</v>
      </c>
      <c r="BT31" s="397">
        <f>50588-45618</f>
        <v>4970</v>
      </c>
      <c r="BU31" s="397">
        <f>90642-84769</f>
        <v>5873</v>
      </c>
      <c r="BV31" s="397">
        <f>111059-74483-BV33</f>
        <v>-55424</v>
      </c>
      <c r="BW31" s="650">
        <f>405906-372134-BV31-BU31-BT31</f>
        <v>78353</v>
      </c>
      <c r="BX31" s="20">
        <f t="shared" si="61"/>
        <v>33772</v>
      </c>
      <c r="BY31" s="397">
        <f>3278-43726</f>
        <v>-40448</v>
      </c>
      <c r="BZ31" s="397">
        <f>26238-40782</f>
        <v>-14544</v>
      </c>
      <c r="CA31" s="650">
        <f>270767-53350-CA33</f>
        <v>4417</v>
      </c>
      <c r="CB31" s="650">
        <f>424091-282844-CA31-BZ31-BY31-SUM(BY33:CB33)</f>
        <v>-91178</v>
      </c>
      <c r="CC31" s="20">
        <f t="shared" si="62"/>
        <v>-141753</v>
      </c>
      <c r="CD31" s="650">
        <f>21481-31353</f>
        <v>-9872</v>
      </c>
      <c r="CE31" s="397">
        <f>8744-35709</f>
        <v>-26965</v>
      </c>
      <c r="CF31" s="493">
        <f t="shared" ref="CF31:CG31" si="69">-1.5%*CF5</f>
        <v>-40166.661261108973</v>
      </c>
      <c r="CG31" s="493">
        <f t="shared" si="69"/>
        <v>-43236.682403845152</v>
      </c>
      <c r="CH31" s="20">
        <f t="shared" si="63"/>
        <v>-120240.34366495413</v>
      </c>
      <c r="CI31" s="493">
        <f t="shared" ref="CI31:DA31" si="70">-1.5%*CI5</f>
        <v>-40562.532831787321</v>
      </c>
      <c r="CJ31" s="493">
        <f t="shared" si="70"/>
        <v>-41352.761839346262</v>
      </c>
      <c r="CK31" s="493">
        <f t="shared" si="70"/>
        <v>-43454.068893053831</v>
      </c>
      <c r="CL31" s="493">
        <f t="shared" si="70"/>
        <v>-45830.233214643267</v>
      </c>
      <c r="CM31" s="20">
        <f t="shared" si="64"/>
        <v>-171199.59677883069</v>
      </c>
      <c r="CN31" s="493">
        <f t="shared" ref="CN31" si="71">-1.5%*CN5</f>
        <v>-45593.374719639884</v>
      </c>
      <c r="CO31" s="493">
        <f t="shared" si="70"/>
        <v>-46103.957823513585</v>
      </c>
      <c r="CP31" s="493">
        <f t="shared" si="70"/>
        <v>-47990.140579861698</v>
      </c>
      <c r="CQ31" s="493">
        <f t="shared" si="70"/>
        <v>-51227.313021808877</v>
      </c>
      <c r="CR31" s="20">
        <f t="shared" si="65"/>
        <v>-190914.78614482406</v>
      </c>
      <c r="CS31" s="493">
        <f t="shared" ref="CS31" si="72">-1.5%*CS5</f>
        <v>-49982.977418782197</v>
      </c>
      <c r="CT31" s="493">
        <f t="shared" si="70"/>
        <v>-50241.369336916585</v>
      </c>
      <c r="CU31" s="493">
        <f t="shared" si="70"/>
        <v>-51958.708074063659</v>
      </c>
      <c r="CV31" s="493">
        <f t="shared" si="70"/>
        <v>-55141.555453314686</v>
      </c>
      <c r="CW31" s="20">
        <f t="shared" si="66"/>
        <v>-207324.61028307711</v>
      </c>
      <c r="CX31" s="493">
        <f t="shared" ref="CX31" si="73">-1.5%*CX5</f>
        <v>-53788.561066071336</v>
      </c>
      <c r="CY31" s="493">
        <f t="shared" si="70"/>
        <v>-53905.97475412795</v>
      </c>
      <c r="CZ31" s="493">
        <f t="shared" si="70"/>
        <v>-55598.344160434164</v>
      </c>
      <c r="DA31" s="493">
        <f t="shared" si="70"/>
        <v>-58788.118019502763</v>
      </c>
      <c r="DB31" s="20">
        <f t="shared" si="67"/>
        <v>-222080.9980001362</v>
      </c>
    </row>
    <row r="32" spans="1:106" ht="11.25" customHeight="1" x14ac:dyDescent="0.35">
      <c r="A32" s="162" t="s">
        <v>84</v>
      </c>
      <c r="B32" s="70">
        <f>-B64</f>
        <v>-18320</v>
      </c>
      <c r="C32" s="70">
        <f>-C64</f>
        <v>-10916</v>
      </c>
      <c r="D32" s="70">
        <f>-D64</f>
        <v>-11322</v>
      </c>
      <c r="E32" s="70">
        <f>-E64</f>
        <v>-18975</v>
      </c>
      <c r="F32" s="29">
        <f>SUM(B32:E32)</f>
        <v>-59533</v>
      </c>
      <c r="G32" s="70">
        <f>-741-2645</f>
        <v>-3386</v>
      </c>
      <c r="H32" s="70">
        <f>-1940-4977-G32</f>
        <v>-3531</v>
      </c>
      <c r="I32" s="70">
        <f>-5926-6865-G32-H32</f>
        <v>-5874</v>
      </c>
      <c r="J32" s="70">
        <f>-6826-6510-G32-H32-I32</f>
        <v>-545</v>
      </c>
      <c r="K32" s="29">
        <f>SUM(G32:J32)</f>
        <v>-13336</v>
      </c>
      <c r="L32" s="70">
        <f>-4139-5039-M32</f>
        <v>-2907</v>
      </c>
      <c r="M32" s="70">
        <f>-2562-3709</f>
        <v>-6271</v>
      </c>
      <c r="N32" s="70">
        <v>-2308</v>
      </c>
      <c r="O32" s="70">
        <f>-9228-9181-L32-M32-N32</f>
        <v>-6923</v>
      </c>
      <c r="P32" s="29">
        <f>SUM(L32:O32)</f>
        <v>-18409</v>
      </c>
      <c r="Q32" s="70">
        <f>-6024-4747-R32</f>
        <v>-6158</v>
      </c>
      <c r="R32" s="70">
        <f>-2286-2327</f>
        <v>-4613</v>
      </c>
      <c r="S32" s="70">
        <v>-2278</v>
      </c>
      <c r="T32" s="70">
        <f>-10186-9395-SUM(Q32:S32)</f>
        <v>-6532</v>
      </c>
      <c r="U32" s="29">
        <f>SUM(Q32:T32)</f>
        <v>-19581</v>
      </c>
      <c r="V32" s="70">
        <f>-2303-2360</f>
        <v>-4663</v>
      </c>
      <c r="W32" s="70">
        <v>-6232</v>
      </c>
      <c r="X32" s="70">
        <v>-5342</v>
      </c>
      <c r="Y32" s="70">
        <f>-21604-SUM(V32:X32)</f>
        <v>-5367</v>
      </c>
      <c r="Z32" s="29">
        <f>SUM(V32:Y32)</f>
        <v>-21604</v>
      </c>
      <c r="AA32" s="70">
        <v>-4425</v>
      </c>
      <c r="AB32" s="70">
        <v>-5657</v>
      </c>
      <c r="AC32" s="70">
        <v>-4696</v>
      </c>
      <c r="AD32" s="70">
        <f>-21604-SUM(AA32:AC32)</f>
        <v>-6826</v>
      </c>
      <c r="AE32" s="29">
        <f>SUM(AA32:AD32)</f>
        <v>-21604</v>
      </c>
      <c r="AF32" s="70">
        <v>-7000</v>
      </c>
      <c r="AG32" s="70">
        <v>-7690</v>
      </c>
      <c r="AH32" s="70">
        <v>-11253</v>
      </c>
      <c r="AI32" s="70">
        <v>-31000</v>
      </c>
      <c r="AJ32" s="29">
        <f>SUM(AF32:AI32)</f>
        <v>-56943</v>
      </c>
      <c r="AK32" s="70">
        <f>-AK64</f>
        <v>-21342</v>
      </c>
      <c r="AL32" s="70">
        <f>-AL64</f>
        <v>-28661</v>
      </c>
      <c r="AM32" s="70">
        <v>-10875</v>
      </c>
      <c r="AN32" s="70">
        <f>-55495-11040-SUM(AK32:AM32)</f>
        <v>-5657</v>
      </c>
      <c r="AO32" s="29">
        <f>SUM(AK32:AN32)</f>
        <v>-66535</v>
      </c>
      <c r="AP32" s="70">
        <f>-AP64</f>
        <v>-15867</v>
      </c>
      <c r="AQ32" s="70">
        <f>-AQ64</f>
        <v>-9584</v>
      </c>
      <c r="AR32" s="70">
        <v>-10875</v>
      </c>
      <c r="AS32" s="70">
        <f>-61369-SUM(AP32:AR32)</f>
        <v>-25043</v>
      </c>
      <c r="AT32" s="29">
        <f>SUM(AP32:AS32)</f>
        <v>-61369</v>
      </c>
      <c r="AU32" s="70">
        <f>-AU64</f>
        <v>-24359</v>
      </c>
      <c r="AV32" s="70">
        <f>-AV64</f>
        <v>7881</v>
      </c>
      <c r="AW32" s="70">
        <f>-AW64</f>
        <v>-31538</v>
      </c>
      <c r="AX32" s="70">
        <f>-74678-SUM(AU32:AW32)</f>
        <v>-26662</v>
      </c>
      <c r="AY32" s="29">
        <f>SUM(AU32:AX32)</f>
        <v>-74678</v>
      </c>
      <c r="AZ32" s="70">
        <f>-AZ64</f>
        <v>-17199</v>
      </c>
      <c r="BA32" s="70">
        <f>-BA64</f>
        <v>-13725</v>
      </c>
      <c r="BB32" s="70">
        <f>-BB64</f>
        <v>-8963</v>
      </c>
      <c r="BC32" s="70">
        <f>-51163-SUM(AZ32:BB32)</f>
        <v>-11276</v>
      </c>
      <c r="BD32" s="29">
        <f>SUM(AZ32:BC32)</f>
        <v>-51163</v>
      </c>
      <c r="BE32" s="70">
        <f>-BE64</f>
        <v>-10932</v>
      </c>
      <c r="BF32" s="70">
        <f>-BF64</f>
        <v>-10462</v>
      </c>
      <c r="BG32" s="70">
        <f>-BG64</f>
        <v>-11020</v>
      </c>
      <c r="BH32" s="70">
        <f>-40023-SUM(BE32:BG32)</f>
        <v>-7609</v>
      </c>
      <c r="BI32" s="29">
        <f>SUM(BE32:BH32)</f>
        <v>-40023</v>
      </c>
      <c r="BJ32" s="70">
        <f>-BJ64</f>
        <v>-8532</v>
      </c>
      <c r="BK32" s="70">
        <f>-BK64</f>
        <v>-9251</v>
      </c>
      <c r="BL32" s="70">
        <f>-BL64</f>
        <v>-22832</v>
      </c>
      <c r="BM32" s="70">
        <f>-43474-SUM(BJ32:BL32)</f>
        <v>-2859</v>
      </c>
      <c r="BN32" s="29">
        <f>SUM(BJ32:BM32)</f>
        <v>-43474</v>
      </c>
      <c r="BO32" s="70">
        <f>-BO64</f>
        <v>-29284</v>
      </c>
      <c r="BP32" s="70">
        <f>-BP64</f>
        <v>-16071</v>
      </c>
      <c r="BQ32" s="70">
        <f>-BQ64</f>
        <v>-42302</v>
      </c>
      <c r="BR32" s="70">
        <f>-67088-SUM(BO32:BQ32)</f>
        <v>20569</v>
      </c>
      <c r="BS32" s="29">
        <f>SUM(BO32:BR32)</f>
        <v>-67088</v>
      </c>
      <c r="BT32" s="70">
        <f>-BT64</f>
        <v>-23638</v>
      </c>
      <c r="BU32" s="70">
        <f>-BU64</f>
        <v>-16365</v>
      </c>
      <c r="BV32" s="70">
        <f>-BV64</f>
        <v>-39999</v>
      </c>
      <c r="BW32" s="70">
        <f>-BW64</f>
        <v>-20057</v>
      </c>
      <c r="BX32" s="29">
        <f>SUM(BT32:BW32)</f>
        <v>-100059</v>
      </c>
      <c r="BY32" s="70">
        <f>-BY64</f>
        <v>-30272</v>
      </c>
      <c r="BZ32" s="70">
        <f>-BZ64</f>
        <v>-23802</v>
      </c>
      <c r="CA32" s="70">
        <f>-CA64</f>
        <v>-28629</v>
      </c>
      <c r="CB32" s="70">
        <f>-CB64</f>
        <v>-49872</v>
      </c>
      <c r="CC32" s="20">
        <f>SUM(BY32:CB32)</f>
        <v>-132575</v>
      </c>
      <c r="CD32" s="70">
        <f>-CD64</f>
        <v>-54583</v>
      </c>
      <c r="CE32" s="70">
        <f>-CE64</f>
        <v>-41166</v>
      </c>
      <c r="CF32" s="161">
        <f>CE32*CF64/CE64</f>
        <v>-42795.670501209162</v>
      </c>
      <c r="CG32" s="161">
        <f>CF32*CG64/CF64</f>
        <v>-43074.129503825498</v>
      </c>
      <c r="CH32" s="20">
        <f>SUM(CD32:CG32)</f>
        <v>-181618.80000503466</v>
      </c>
      <c r="CI32" s="161">
        <f>CH32*CI64/CH64</f>
        <v>-43354.400358323808</v>
      </c>
      <c r="CJ32" s="161">
        <f>CI32*CJ64/CI64</f>
        <v>-43636.494853898243</v>
      </c>
      <c r="CK32" s="161">
        <f>CJ32*CK64/CJ64</f>
        <v>-43920.424856451791</v>
      </c>
      <c r="CL32" s="161">
        <f>CK32*CL64/CK64</f>
        <v>-44206.202309095461</v>
      </c>
      <c r="CM32" s="20">
        <f>SUM(CI32:CL32)</f>
        <v>-175117.52237776929</v>
      </c>
      <c r="CN32" s="161">
        <f>CM32*CN64/CM64</f>
        <v>-44493.839232650585</v>
      </c>
      <c r="CO32" s="161">
        <f>CN32*CO64/CN64</f>
        <v>-44783.347726154512</v>
      </c>
      <c r="CP32" s="161">
        <f>CO32*CP64/CO64</f>
        <v>-45074.739967369504</v>
      </c>
      <c r="CQ32" s="161">
        <f>CP32*CQ64/CP64</f>
        <v>-45368.02821329498</v>
      </c>
      <c r="CR32" s="20">
        <f>SUM(CN32:CQ32)</f>
        <v>-179719.95513946959</v>
      </c>
      <c r="CS32" s="161">
        <f>CR32*CS64/CR64</f>
        <v>-45663.224800683121</v>
      </c>
      <c r="CT32" s="161">
        <f>CS32*CT64/CS64</f>
        <v>-45960.342146557734</v>
      </c>
      <c r="CU32" s="161">
        <f>CT32*CU64/CT64</f>
        <v>-46259.392748736624</v>
      </c>
      <c r="CV32" s="161">
        <f>CU32*CV64/CU64</f>
        <v>-46560.38918635725</v>
      </c>
      <c r="CW32" s="20">
        <f>SUM(CS32:CV32)</f>
        <v>-184443.34888233471</v>
      </c>
      <c r="CX32" s="161">
        <f>CW32*CX64/CW64</f>
        <v>-46863.344120405891</v>
      </c>
      <c r="CY32" s="161">
        <f>CX32*CY64/CX64</f>
        <v>-47168.270294250178</v>
      </c>
      <c r="CZ32" s="161">
        <f>CY32*CZ64/CY64</f>
        <v>-47475.180534175102</v>
      </c>
      <c r="DA32" s="161">
        <f>CZ32*DA64/CZ64</f>
        <v>-47784.087749922626</v>
      </c>
      <c r="DB32" s="20">
        <f>SUM(CX32:DA32)</f>
        <v>-189290.88269875379</v>
      </c>
    </row>
    <row r="33" spans="1:106" ht="11.25" customHeight="1" x14ac:dyDescent="0.35">
      <c r="A33" s="162" t="s">
        <v>53</v>
      </c>
      <c r="B33" s="397">
        <v>0</v>
      </c>
      <c r="C33" s="397"/>
      <c r="D33" s="397">
        <v>0</v>
      </c>
      <c r="E33" s="397">
        <v>0</v>
      </c>
      <c r="F33" s="20">
        <f t="shared" si="68"/>
        <v>0</v>
      </c>
      <c r="G33" s="397">
        <v>0</v>
      </c>
      <c r="H33" s="397">
        <v>0</v>
      </c>
      <c r="I33" s="397">
        <v>0</v>
      </c>
      <c r="J33" s="397">
        <f>-34023-G31-H31-I31</f>
        <v>-36220</v>
      </c>
      <c r="K33" s="20">
        <f t="shared" si="48"/>
        <v>-36220</v>
      </c>
      <c r="L33" s="397">
        <v>-18000</v>
      </c>
      <c r="M33" s="397">
        <v>0</v>
      </c>
      <c r="N33" s="397">
        <v>0</v>
      </c>
      <c r="O33" s="397">
        <v>0</v>
      </c>
      <c r="P33" s="20">
        <f t="shared" si="49"/>
        <v>-18000</v>
      </c>
      <c r="Q33" s="397">
        <v>0</v>
      </c>
      <c r="R33" s="397">
        <v>-6000</v>
      </c>
      <c r="S33" s="397">
        <v>0</v>
      </c>
      <c r="T33" s="397">
        <v>0</v>
      </c>
      <c r="U33" s="20">
        <f t="shared" si="50"/>
        <v>-6000</v>
      </c>
      <c r="V33" s="397">
        <v>0</v>
      </c>
      <c r="W33" s="397">
        <v>0</v>
      </c>
      <c r="X33" s="397">
        <v>0</v>
      </c>
      <c r="Y33" s="397">
        <v>0</v>
      </c>
      <c r="Z33" s="20">
        <f t="shared" si="51"/>
        <v>0</v>
      </c>
      <c r="AA33" s="397">
        <v>0</v>
      </c>
      <c r="AB33" s="397">
        <v>0</v>
      </c>
      <c r="AC33" s="397">
        <v>0</v>
      </c>
      <c r="AD33" s="397">
        <v>0</v>
      </c>
      <c r="AE33" s="20">
        <f t="shared" si="52"/>
        <v>0</v>
      </c>
      <c r="AF33" s="397">
        <v>0</v>
      </c>
      <c r="AG33" s="397">
        <v>0</v>
      </c>
      <c r="AH33" s="397">
        <v>0</v>
      </c>
      <c r="AI33" s="397">
        <v>0</v>
      </c>
      <c r="AJ33" s="20">
        <f t="shared" si="53"/>
        <v>0</v>
      </c>
      <c r="AK33" s="397">
        <v>0</v>
      </c>
      <c r="AL33" s="397">
        <v>0</v>
      </c>
      <c r="AM33" s="397">
        <v>0</v>
      </c>
      <c r="AN33" s="397">
        <v>0</v>
      </c>
      <c r="AO33" s="20">
        <f t="shared" si="54"/>
        <v>0</v>
      </c>
      <c r="AP33" s="397">
        <v>0</v>
      </c>
      <c r="AQ33" s="397">
        <v>0</v>
      </c>
      <c r="AR33" s="397">
        <v>0</v>
      </c>
      <c r="AS33" s="397">
        <f>254000-167000-67000</f>
        <v>20000</v>
      </c>
      <c r="AT33" s="20">
        <f t="shared" si="55"/>
        <v>20000</v>
      </c>
      <c r="AU33" s="397">
        <v>0</v>
      </c>
      <c r="AV33" s="397">
        <v>0</v>
      </c>
      <c r="AW33" s="397">
        <v>0</v>
      </c>
      <c r="AX33" s="397">
        <v>0</v>
      </c>
      <c r="AY33" s="20">
        <f t="shared" si="56"/>
        <v>0</v>
      </c>
      <c r="AZ33" s="397">
        <v>0</v>
      </c>
      <c r="BA33" s="397">
        <v>0</v>
      </c>
      <c r="BB33" s="397">
        <f>1403000-250000</f>
        <v>1153000</v>
      </c>
      <c r="BC33" s="397">
        <v>0</v>
      </c>
      <c r="BD33" s="20">
        <f t="shared" si="57"/>
        <v>1153000</v>
      </c>
      <c r="BE33" s="397">
        <v>0</v>
      </c>
      <c r="BF33" s="397">
        <v>0</v>
      </c>
      <c r="BG33" s="397">
        <v>0</v>
      </c>
      <c r="BH33" s="397">
        <v>0</v>
      </c>
      <c r="BI33" s="20">
        <f t="shared" si="58"/>
        <v>0</v>
      </c>
      <c r="BJ33" s="397">
        <v>0</v>
      </c>
      <c r="BK33" s="397">
        <v>0</v>
      </c>
      <c r="BL33" s="397">
        <v>0</v>
      </c>
      <c r="BM33" s="397">
        <v>0</v>
      </c>
      <c r="BN33" s="20">
        <f t="shared" si="59"/>
        <v>0</v>
      </c>
      <c r="BO33" s="397">
        <v>0</v>
      </c>
      <c r="BP33" s="397">
        <v>0</v>
      </c>
      <c r="BQ33" s="397">
        <v>0</v>
      </c>
      <c r="BR33" s="397">
        <v>0</v>
      </c>
      <c r="BS33" s="20">
        <f t="shared" si="60"/>
        <v>0</v>
      </c>
      <c r="BT33" s="397">
        <v>0</v>
      </c>
      <c r="BU33" s="397">
        <v>0</v>
      </c>
      <c r="BV33" s="397">
        <f>115000*0.8</f>
        <v>92000</v>
      </c>
      <c r="BW33" s="397">
        <v>0</v>
      </c>
      <c r="BX33" s="20">
        <f t="shared" si="61"/>
        <v>92000</v>
      </c>
      <c r="BY33" s="397">
        <v>0</v>
      </c>
      <c r="BZ33" s="397">
        <v>0</v>
      </c>
      <c r="CA33" s="397">
        <v>213000</v>
      </c>
      <c r="CB33" s="650">
        <v>70000</v>
      </c>
      <c r="CC33" s="20">
        <f t="shared" si="62"/>
        <v>283000</v>
      </c>
      <c r="CD33" s="397">
        <v>0</v>
      </c>
      <c r="CE33" s="397">
        <v>0</v>
      </c>
      <c r="CF33" s="493">
        <v>0</v>
      </c>
      <c r="CG33" s="493">
        <v>0</v>
      </c>
      <c r="CH33" s="20">
        <f t="shared" si="63"/>
        <v>0</v>
      </c>
      <c r="CI33" s="493">
        <v>0</v>
      </c>
      <c r="CJ33" s="493">
        <v>0</v>
      </c>
      <c r="CK33" s="493">
        <v>0</v>
      </c>
      <c r="CL33" s="493">
        <v>0</v>
      </c>
      <c r="CM33" s="20">
        <f t="shared" si="64"/>
        <v>0</v>
      </c>
      <c r="CN33" s="493">
        <v>0</v>
      </c>
      <c r="CO33" s="493">
        <v>0</v>
      </c>
      <c r="CP33" s="493">
        <v>0</v>
      </c>
      <c r="CQ33" s="493">
        <v>0</v>
      </c>
      <c r="CR33" s="20">
        <f t="shared" si="65"/>
        <v>0</v>
      </c>
      <c r="CS33" s="493">
        <v>0</v>
      </c>
      <c r="CT33" s="493">
        <v>0</v>
      </c>
      <c r="CU33" s="493">
        <v>0</v>
      </c>
      <c r="CV33" s="493">
        <v>0</v>
      </c>
      <c r="CW33" s="20">
        <f t="shared" si="66"/>
        <v>0</v>
      </c>
      <c r="CX33" s="493">
        <v>0</v>
      </c>
      <c r="CY33" s="493">
        <v>0</v>
      </c>
      <c r="CZ33" s="493">
        <v>0</v>
      </c>
      <c r="DA33" s="493">
        <v>0</v>
      </c>
      <c r="DB33" s="20">
        <f t="shared" si="67"/>
        <v>0</v>
      </c>
    </row>
    <row r="34" spans="1:106" ht="11.25" customHeight="1" x14ac:dyDescent="0.35">
      <c r="A34" s="170" t="s">
        <v>12</v>
      </c>
      <c r="B34" s="402">
        <f>236-15877</f>
        <v>-15641</v>
      </c>
      <c r="C34" s="402">
        <v>0</v>
      </c>
      <c r="D34" s="402">
        <f>167-10921</f>
        <v>-10754</v>
      </c>
      <c r="E34" s="402">
        <f>579-7314</f>
        <v>-6735</v>
      </c>
      <c r="F34" s="171">
        <f>SUM(B34:E34)</f>
        <v>-33130</v>
      </c>
      <c r="G34" s="402">
        <f>-3193+250</f>
        <v>-2943</v>
      </c>
      <c r="H34" s="402">
        <f>-3293+491</f>
        <v>-2802</v>
      </c>
      <c r="I34" s="402">
        <f>-4399+183</f>
        <v>-4216</v>
      </c>
      <c r="J34" s="402">
        <f>-54858+1449-G34-H34-I34</f>
        <v>-43448</v>
      </c>
      <c r="K34" s="171">
        <f>SUM(G34:J34)</f>
        <v>-53409</v>
      </c>
      <c r="L34" s="402">
        <f>41443-M34</f>
        <v>2108</v>
      </c>
      <c r="M34" s="402">
        <f>39335</f>
        <v>39335</v>
      </c>
      <c r="N34" s="402">
        <f>9719-13751</f>
        <v>-4032</v>
      </c>
      <c r="O34" s="402">
        <f>-31731+64027-N34-M34-L34-L33</f>
        <v>12885</v>
      </c>
      <c r="P34" s="171">
        <f>SUM(L34:O34)</f>
        <v>50296</v>
      </c>
      <c r="Q34" s="402">
        <f>25968+15648-R34</f>
        <v>21718</v>
      </c>
      <c r="R34" s="402">
        <f>12865+7033</f>
        <v>19898</v>
      </c>
      <c r="S34" s="402">
        <f>23195-2231</f>
        <v>20964</v>
      </c>
      <c r="T34" s="402">
        <f>90094+16536-SUM(Q34:S34)</f>
        <v>44050</v>
      </c>
      <c r="U34" s="171">
        <f>SUM(Q34:T34)</f>
        <v>106630</v>
      </c>
      <c r="V34" s="402">
        <f>6853-2545</f>
        <v>4308</v>
      </c>
      <c r="W34" s="402">
        <f>28886+2882</f>
        <v>31768</v>
      </c>
      <c r="X34" s="402">
        <f>35253+2528</f>
        <v>37781</v>
      </c>
      <c r="Y34" s="402">
        <f>118221+436-SUM(V34:X34)</f>
        <v>44800</v>
      </c>
      <c r="Z34" s="171">
        <f>SUM(V34:Y34)</f>
        <v>118657</v>
      </c>
      <c r="AA34" s="402">
        <f>8606+2814</f>
        <v>11420</v>
      </c>
      <c r="AB34" s="402">
        <f>22274-6292</f>
        <v>15982</v>
      </c>
      <c r="AC34" s="402">
        <f>28608+2422</f>
        <v>31030</v>
      </c>
      <c r="AD34" s="402">
        <f>73645+6-SUM(AA34:AC34)</f>
        <v>15219</v>
      </c>
      <c r="AE34" s="171">
        <f t="shared" si="52"/>
        <v>73651</v>
      </c>
      <c r="AF34" s="402">
        <f>6821+61</f>
        <v>6882</v>
      </c>
      <c r="AG34" s="402">
        <f>13992-1256</f>
        <v>12736</v>
      </c>
      <c r="AH34" s="402">
        <f>-1606+7401</f>
        <v>5795</v>
      </c>
      <c r="AI34" s="402">
        <f>49438+10288-SUM(AF34:AH34)</f>
        <v>34313</v>
      </c>
      <c r="AJ34" s="171">
        <f t="shared" si="53"/>
        <v>59726</v>
      </c>
      <c r="AK34" s="402">
        <v>1752</v>
      </c>
      <c r="AL34" s="402">
        <f>19303+15047</f>
        <v>34350</v>
      </c>
      <c r="AM34" s="402">
        <f>25084</f>
        <v>25084</v>
      </c>
      <c r="AN34" s="402">
        <f>73690+53675-SUM(AK34:AM34)</f>
        <v>66179</v>
      </c>
      <c r="AO34" s="171">
        <f t="shared" si="54"/>
        <v>127365</v>
      </c>
      <c r="AP34" s="402">
        <v>10149</v>
      </c>
      <c r="AQ34" s="402">
        <v>14024</v>
      </c>
      <c r="AR34" s="402">
        <v>22686</v>
      </c>
      <c r="AS34" s="402">
        <f>107654-SUM(AP34:AR34)</f>
        <v>60795</v>
      </c>
      <c r="AT34" s="171">
        <f t="shared" si="55"/>
        <v>107654</v>
      </c>
      <c r="AU34" s="402">
        <v>-842</v>
      </c>
      <c r="AV34" s="402">
        <v>51491</v>
      </c>
      <c r="AW34" s="402">
        <f>86429-SUM(AU34:AV34)</f>
        <v>35780</v>
      </c>
      <c r="AX34" s="402">
        <f>104200-SUM(AU34:AW34)</f>
        <v>17771</v>
      </c>
      <c r="AY34" s="171">
        <f t="shared" si="56"/>
        <v>104200</v>
      </c>
      <c r="AZ34" s="402">
        <v>10692</v>
      </c>
      <c r="BA34" s="402">
        <v>21467</v>
      </c>
      <c r="BB34" s="402">
        <f>314800-250000</f>
        <v>64800</v>
      </c>
      <c r="BC34" s="402">
        <f>405712-SUM(AZ34:BB34)-250000</f>
        <v>58753</v>
      </c>
      <c r="BD34" s="171">
        <f t="shared" si="57"/>
        <v>155712</v>
      </c>
      <c r="BE34" s="402">
        <v>79017</v>
      </c>
      <c r="BF34" s="402">
        <v>74405</v>
      </c>
      <c r="BG34" s="402">
        <v>78321</v>
      </c>
      <c r="BH34" s="402">
        <f>297167-SUM(BE34:BG34)</f>
        <v>65424</v>
      </c>
      <c r="BI34" s="171">
        <f t="shared" si="58"/>
        <v>297167</v>
      </c>
      <c r="BJ34" s="402">
        <v>60334</v>
      </c>
      <c r="BK34" s="402">
        <v>38724</v>
      </c>
      <c r="BL34" s="402">
        <v>59701</v>
      </c>
      <c r="BM34" s="402">
        <f>217085-SUM(BJ34:BL34)</f>
        <v>58326</v>
      </c>
      <c r="BN34" s="171">
        <f t="shared" si="59"/>
        <v>217085</v>
      </c>
      <c r="BO34" s="402">
        <v>47138</v>
      </c>
      <c r="BP34" s="402">
        <v>33021</v>
      </c>
      <c r="BQ34" s="402">
        <v>89430</v>
      </c>
      <c r="BR34" s="402">
        <f>262059-SUM(BO34:BQ34)</f>
        <v>92470</v>
      </c>
      <c r="BS34" s="171">
        <f t="shared" si="60"/>
        <v>262059</v>
      </c>
      <c r="BT34" s="402">
        <v>100891</v>
      </c>
      <c r="BU34" s="402">
        <v>116467</v>
      </c>
      <c r="BV34" s="402">
        <v>135914</v>
      </c>
      <c r="BW34" s="402">
        <f>500880-SUM(BT34:BV34)</f>
        <v>147608</v>
      </c>
      <c r="BX34" s="171">
        <f t="shared" si="61"/>
        <v>500880</v>
      </c>
      <c r="BY34" s="402">
        <v>112558</v>
      </c>
      <c r="BZ34" s="402">
        <v>139609</v>
      </c>
      <c r="CA34" s="402">
        <v>131891</v>
      </c>
      <c r="CB34" s="402">
        <f>548106-SUM(BY34:CA34)</f>
        <v>164048</v>
      </c>
      <c r="CC34" s="554">
        <f t="shared" si="62"/>
        <v>548106</v>
      </c>
      <c r="CD34" s="402">
        <v>128141</v>
      </c>
      <c r="CE34" s="402">
        <v>106557</v>
      </c>
      <c r="CF34" s="555">
        <f>'Joint-Ventures'!CF8</f>
        <v>154463.81171802973</v>
      </c>
      <c r="CG34" s="555">
        <f>'Joint-Ventures'!CG8</f>
        <v>188103.31338163698</v>
      </c>
      <c r="CH34" s="554">
        <f t="shared" si="63"/>
        <v>577265.12509966665</v>
      </c>
      <c r="CI34" s="555">
        <f>'Joint-Ventures'!CI8</f>
        <v>173748.47330537115</v>
      </c>
      <c r="CJ34" s="555">
        <f>'Joint-Ventures'!CJ8</f>
        <v>163141.6190489954</v>
      </c>
      <c r="CK34" s="555">
        <f>'Joint-Ventures'!CK8</f>
        <v>194877.06425683227</v>
      </c>
      <c r="CL34" s="555">
        <f>'Joint-Ventures'!CL8</f>
        <v>207115.09806536284</v>
      </c>
      <c r="CM34" s="554">
        <f t="shared" si="64"/>
        <v>738882.25467656157</v>
      </c>
      <c r="CN34" s="555">
        <f>'Joint-Ventures'!CN8</f>
        <v>204977.08595358167</v>
      </c>
      <c r="CO34" s="555">
        <f>'Joint-Ventures'!CO8</f>
        <v>185908.0462986177</v>
      </c>
      <c r="CP34" s="555">
        <f>'Joint-Ventures'!CP8</f>
        <v>217881.71626190571</v>
      </c>
      <c r="CQ34" s="555">
        <f>'Joint-Ventures'!CQ8</f>
        <v>229813.33127642304</v>
      </c>
      <c r="CR34" s="554">
        <f t="shared" si="65"/>
        <v>838580.17979052814</v>
      </c>
      <c r="CS34" s="555">
        <f>'Joint-Ventures'!CS8</f>
        <v>228042.67649778494</v>
      </c>
      <c r="CT34" s="555">
        <f>'Joint-Ventures'!CT8</f>
        <v>200901.72858721323</v>
      </c>
      <c r="CU34" s="555">
        <f>'Joint-Ventures'!CU8</f>
        <v>232629.3067947104</v>
      </c>
      <c r="CV34" s="555">
        <f>'Joint-Ventures'!CV8</f>
        <v>241939.13208085339</v>
      </c>
      <c r="CW34" s="554">
        <f t="shared" si="66"/>
        <v>903512.84396056202</v>
      </c>
      <c r="CX34" s="555">
        <f>'Joint-Ventures'!CX8</f>
        <v>240504.27652857837</v>
      </c>
      <c r="CY34" s="555">
        <f>'Joint-Ventures'!CY8</f>
        <v>210186.1660594196</v>
      </c>
      <c r="CZ34" s="555">
        <f>'Joint-Ventures'!CZ8</f>
        <v>245975.78034542644</v>
      </c>
      <c r="DA34" s="555">
        <f>'Joint-Ventures'!DA8</f>
        <v>256061.66570271234</v>
      </c>
      <c r="DB34" s="554">
        <f t="shared" si="67"/>
        <v>952727.88863613678</v>
      </c>
    </row>
    <row r="35" spans="1:106" ht="11.25" customHeight="1" x14ac:dyDescent="0.35">
      <c r="A35" s="16" t="s">
        <v>89</v>
      </c>
      <c r="B35" s="160">
        <f>B16+B17</f>
        <v>215784</v>
      </c>
      <c r="C35" s="160">
        <f>C16+C17</f>
        <v>236231</v>
      </c>
      <c r="D35" s="160">
        <f>D16+D17</f>
        <v>235747</v>
      </c>
      <c r="E35" s="160">
        <f>E16+E17</f>
        <v>140148</v>
      </c>
      <c r="F35" s="18">
        <f t="shared" si="68"/>
        <v>827910</v>
      </c>
      <c r="G35" s="160">
        <f>G16+G17</f>
        <v>131959</v>
      </c>
      <c r="H35" s="160">
        <f>H16+H17</f>
        <v>153995</v>
      </c>
      <c r="I35" s="160">
        <f>I16+I17</f>
        <v>224935</v>
      </c>
      <c r="J35" s="160">
        <f>J16+J17</f>
        <v>269509</v>
      </c>
      <c r="K35" s="18">
        <f t="shared" si="48"/>
        <v>780398</v>
      </c>
      <c r="L35" s="160">
        <f>L16+L17</f>
        <v>226921</v>
      </c>
      <c r="M35" s="160">
        <f>M16+M17</f>
        <v>231469</v>
      </c>
      <c r="N35" s="160">
        <f>N16+N17</f>
        <v>214094</v>
      </c>
      <c r="O35" s="160">
        <f>O16+O17</f>
        <v>315885</v>
      </c>
      <c r="P35" s="18">
        <f t="shared" si="49"/>
        <v>988369</v>
      </c>
      <c r="Q35" s="160">
        <f>Q16+Q17</f>
        <v>235437</v>
      </c>
      <c r="R35" s="160">
        <f>R16+R17</f>
        <v>258296</v>
      </c>
      <c r="S35" s="160">
        <f>S16+S17</f>
        <v>260600</v>
      </c>
      <c r="T35" s="160">
        <f>T16+T17</f>
        <v>269557</v>
      </c>
      <c r="U35" s="18">
        <f t="shared" si="50"/>
        <v>1023890</v>
      </c>
      <c r="V35" s="160">
        <f>V16+V17</f>
        <v>228596</v>
      </c>
      <c r="W35" s="160">
        <f>W16+W17</f>
        <v>250828</v>
      </c>
      <c r="X35" s="160">
        <f>X16+X17</f>
        <v>260340</v>
      </c>
      <c r="Y35" s="160">
        <f>Y16+Y17</f>
        <v>236643</v>
      </c>
      <c r="Z35" s="18">
        <f t="shared" si="51"/>
        <v>976407</v>
      </c>
      <c r="AA35" s="160">
        <f>AA16+AA17</f>
        <v>141254</v>
      </c>
      <c r="AB35" s="160">
        <f>AB16+AB17</f>
        <v>208977</v>
      </c>
      <c r="AC35" s="160">
        <f>AC16+AC17</f>
        <v>198409</v>
      </c>
      <c r="AD35" s="160">
        <f>AD16+AD17</f>
        <v>141764</v>
      </c>
      <c r="AE35" s="18">
        <f t="shared" si="52"/>
        <v>690404</v>
      </c>
      <c r="AF35" s="160">
        <f>AF16+AF17</f>
        <v>107117</v>
      </c>
      <c r="AG35" s="160">
        <f>AG16+AG17</f>
        <v>71337</v>
      </c>
      <c r="AH35" s="160">
        <f>AH16+AH17</f>
        <v>61473</v>
      </c>
      <c r="AI35" s="160">
        <f>AI16+AI17</f>
        <v>78416</v>
      </c>
      <c r="AJ35" s="18">
        <f t="shared" si="53"/>
        <v>318343</v>
      </c>
      <c r="AK35" s="160">
        <f>AK16+AK17</f>
        <v>49697</v>
      </c>
      <c r="AL35" s="160">
        <f>AL16+AL17</f>
        <v>-119981</v>
      </c>
      <c r="AM35" s="160">
        <f>AM16+AM17</f>
        <v>28451</v>
      </c>
      <c r="AN35" s="160">
        <f>AN16+AN17</f>
        <v>96463</v>
      </c>
      <c r="AO35" s="18">
        <f t="shared" si="54"/>
        <v>54630</v>
      </c>
      <c r="AP35" s="160">
        <f>AP16+AP17</f>
        <v>-22900</v>
      </c>
      <c r="AQ35" s="160">
        <f>AQ16+AQ17</f>
        <v>-4938</v>
      </c>
      <c r="AR35" s="160">
        <f>AR16+AR17</f>
        <v>-78688</v>
      </c>
      <c r="AS35" s="160">
        <f>AS16+AS17</f>
        <v>181086</v>
      </c>
      <c r="AT35" s="18">
        <f t="shared" si="55"/>
        <v>74560</v>
      </c>
      <c r="AU35" s="160">
        <f>AU16+AU17</f>
        <v>79512</v>
      </c>
      <c r="AV35" s="160">
        <f>AV16+AV17</f>
        <v>161495</v>
      </c>
      <c r="AW35" s="160">
        <f>AW16+AW17</f>
        <v>142930</v>
      </c>
      <c r="AX35" s="160">
        <f>AX16+AX17</f>
        <v>236554</v>
      </c>
      <c r="AY35" s="18">
        <f t="shared" si="56"/>
        <v>620491</v>
      </c>
      <c r="AZ35" s="160">
        <f>AZ16+AZ17</f>
        <v>65085</v>
      </c>
      <c r="BA35" s="160">
        <f>BA16+BA17</f>
        <v>109257</v>
      </c>
      <c r="BB35" s="160">
        <f>BB16+BB17</f>
        <v>1436163</v>
      </c>
      <c r="BC35" s="160">
        <f>BC16+BC17</f>
        <v>303874</v>
      </c>
      <c r="BD35" s="18">
        <f t="shared" si="57"/>
        <v>1914379</v>
      </c>
      <c r="BE35" s="160">
        <f>BE16+BE17</f>
        <v>226040</v>
      </c>
      <c r="BF35" s="160">
        <f>BF16+BF17</f>
        <v>311399</v>
      </c>
      <c r="BG35" s="160">
        <f>BG16+BG17</f>
        <v>292827</v>
      </c>
      <c r="BH35" s="160">
        <f>BH16+BH17</f>
        <v>275668</v>
      </c>
      <c r="BI35" s="18">
        <f t="shared" si="58"/>
        <v>1105934</v>
      </c>
      <c r="BJ35" s="160">
        <f>BJ16+BJ17</f>
        <v>197071</v>
      </c>
      <c r="BK35" s="160">
        <f>BK16+BK17</f>
        <v>192122</v>
      </c>
      <c r="BL35" s="160">
        <f>BL16+BL17</f>
        <v>342107</v>
      </c>
      <c r="BM35" s="160">
        <f>BM16+BM17</f>
        <v>250316</v>
      </c>
      <c r="BN35" s="18">
        <f t="shared" si="59"/>
        <v>981616</v>
      </c>
      <c r="BO35" s="160">
        <f>BO16+BO17</f>
        <v>223037</v>
      </c>
      <c r="BP35" s="160">
        <f>BP16+BP17</f>
        <v>347849</v>
      </c>
      <c r="BQ35" s="160">
        <f>BQ16+BQ17</f>
        <v>345646</v>
      </c>
      <c r="BR35" s="160">
        <f>BR16+BR17</f>
        <v>345679</v>
      </c>
      <c r="BS35" s="18">
        <f t="shared" si="60"/>
        <v>1262211</v>
      </c>
      <c r="BT35" s="160">
        <f>BT16+BT17</f>
        <v>351844</v>
      </c>
      <c r="BU35" s="160">
        <f>BU16+BU17</f>
        <v>519244</v>
      </c>
      <c r="BV35" s="160">
        <f>BV16+BV17</f>
        <v>592708</v>
      </c>
      <c r="BW35" s="160">
        <f>BW16+BW17</f>
        <v>734686</v>
      </c>
      <c r="BX35" s="18">
        <f t="shared" si="61"/>
        <v>2198482</v>
      </c>
      <c r="BY35" s="160">
        <f>BY16+BY17</f>
        <v>437963</v>
      </c>
      <c r="BZ35" s="160">
        <f>BZ16+BZ17</f>
        <v>528736</v>
      </c>
      <c r="CA35" s="160">
        <f>CA16+CA17</f>
        <v>738803</v>
      </c>
      <c r="CB35" s="160">
        <f>CB16+CB17</f>
        <v>838358</v>
      </c>
      <c r="CC35" s="18">
        <f t="shared" si="62"/>
        <v>2543860</v>
      </c>
      <c r="CD35" s="160">
        <f>CD16+CD17</f>
        <v>411281</v>
      </c>
      <c r="CE35" s="160">
        <f>CE16+CE17</f>
        <v>573733</v>
      </c>
      <c r="CF35" s="160">
        <f ca="1">CF16+CF17</f>
        <v>657821.88583732012</v>
      </c>
      <c r="CG35" s="160">
        <f ca="1">CG16+CG17</f>
        <v>749234.72640819487</v>
      </c>
      <c r="CH35" s="18">
        <f t="shared" ca="1" si="63"/>
        <v>2392070.612245515</v>
      </c>
      <c r="CI35" s="160">
        <f ca="1">CI16+CI17</f>
        <v>742687.03962193104</v>
      </c>
      <c r="CJ35" s="160">
        <f ca="1">CJ16+CJ17</f>
        <v>698995.47150376358</v>
      </c>
      <c r="CK35" s="160">
        <f ca="1">CK16+CK17</f>
        <v>723474.76176116476</v>
      </c>
      <c r="CL35" s="160">
        <f ca="1">CL16+CL17</f>
        <v>799065.12486087577</v>
      </c>
      <c r="CM35" s="18">
        <f t="shared" ca="1" si="64"/>
        <v>2964222.397747735</v>
      </c>
      <c r="CN35" s="160">
        <f ca="1">CN16+CN17</f>
        <v>853691.37509002688</v>
      </c>
      <c r="CO35" s="160">
        <f ca="1">CO16+CO17</f>
        <v>789888.91046594607</v>
      </c>
      <c r="CP35" s="160">
        <f ca="1">CP16+CP17</f>
        <v>794820.55855325179</v>
      </c>
      <c r="CQ35" s="160">
        <f ca="1">CQ16+CQ17</f>
        <v>870150.64371916477</v>
      </c>
      <c r="CR35" s="18">
        <f t="shared" ca="1" si="65"/>
        <v>3308551.4878283893</v>
      </c>
      <c r="CS35" s="160">
        <f ca="1">CS16+CS17</f>
        <v>918191.78965658951</v>
      </c>
      <c r="CT35" s="160">
        <f ca="1">CT16+CT17</f>
        <v>849177.92577228975</v>
      </c>
      <c r="CU35" s="160">
        <f ca="1">CU16+CU17</f>
        <v>855683.03018016741</v>
      </c>
      <c r="CV35" s="160">
        <f ca="1">CV16+CV17</f>
        <v>928080.82541895192</v>
      </c>
      <c r="CW35" s="18">
        <f t="shared" ca="1" si="66"/>
        <v>3551133.5710279988</v>
      </c>
      <c r="CX35" s="160">
        <f ca="1">CX16+CX17</f>
        <v>1003306.3150781041</v>
      </c>
      <c r="CY35" s="160">
        <f ca="1">CY16+CY17</f>
        <v>923626.51893918414</v>
      </c>
      <c r="CZ35" s="160">
        <f ca="1">CZ16+CZ17</f>
        <v>933041.15146732528</v>
      </c>
      <c r="DA35" s="160">
        <f ca="1">DA16+DA17</f>
        <v>1011752.0550165374</v>
      </c>
      <c r="DB35" s="18">
        <f t="shared" ca="1" si="67"/>
        <v>3871726.0405011512</v>
      </c>
    </row>
    <row r="36" spans="1:106" ht="11.25" customHeight="1" x14ac:dyDescent="0.35">
      <c r="A36" s="19" t="s">
        <v>97</v>
      </c>
      <c r="B36" s="395">
        <v>-4987</v>
      </c>
      <c r="C36" s="395">
        <v>-3544</v>
      </c>
      <c r="D36" s="395">
        <v>-5038</v>
      </c>
      <c r="E36" s="395">
        <v>0</v>
      </c>
      <c r="F36" s="20">
        <f t="shared" si="68"/>
        <v>-13569</v>
      </c>
      <c r="G36" s="395">
        <v>0</v>
      </c>
      <c r="H36" s="395">
        <v>0</v>
      </c>
      <c r="I36" s="395">
        <v>0</v>
      </c>
      <c r="J36" s="395">
        <v>0</v>
      </c>
      <c r="K36" s="20">
        <f t="shared" si="48"/>
        <v>0</v>
      </c>
      <c r="L36" s="395">
        <v>0</v>
      </c>
      <c r="M36" s="395">
        <v>0</v>
      </c>
      <c r="N36" s="395">
        <v>0</v>
      </c>
      <c r="O36" s="395">
        <v>0</v>
      </c>
      <c r="P36" s="20">
        <f t="shared" si="49"/>
        <v>0</v>
      </c>
      <c r="Q36" s="395">
        <v>0</v>
      </c>
      <c r="R36" s="395">
        <v>0</v>
      </c>
      <c r="S36" s="395">
        <v>0</v>
      </c>
      <c r="T36" s="395">
        <v>0</v>
      </c>
      <c r="U36" s="20">
        <f t="shared" si="50"/>
        <v>0</v>
      </c>
      <c r="V36" s="395">
        <v>0</v>
      </c>
      <c r="W36" s="395">
        <v>0</v>
      </c>
      <c r="X36" s="395">
        <v>0</v>
      </c>
      <c r="Y36" s="395">
        <v>0</v>
      </c>
      <c r="Z36" s="20">
        <f t="shared" si="51"/>
        <v>0</v>
      </c>
      <c r="AA36" s="395">
        <v>0</v>
      </c>
      <c r="AB36" s="395">
        <v>0</v>
      </c>
      <c r="AC36" s="395">
        <v>0</v>
      </c>
      <c r="AD36" s="395">
        <v>0</v>
      </c>
      <c r="AE36" s="20">
        <f t="shared" si="52"/>
        <v>0</v>
      </c>
      <c r="AF36" s="395">
        <v>0</v>
      </c>
      <c r="AG36" s="395">
        <v>0</v>
      </c>
      <c r="AH36" s="395">
        <v>0</v>
      </c>
      <c r="AI36" s="395">
        <v>0</v>
      </c>
      <c r="AJ36" s="20">
        <f t="shared" si="53"/>
        <v>0</v>
      </c>
      <c r="AK36" s="395">
        <v>0</v>
      </c>
      <c r="AL36" s="395">
        <v>0</v>
      </c>
      <c r="AM36" s="395">
        <v>0</v>
      </c>
      <c r="AN36" s="395">
        <v>0</v>
      </c>
      <c r="AO36" s="20">
        <f t="shared" si="54"/>
        <v>0</v>
      </c>
      <c r="AP36" s="395">
        <v>0</v>
      </c>
      <c r="AQ36" s="395">
        <v>0</v>
      </c>
      <c r="AR36" s="395">
        <v>0</v>
      </c>
      <c r="AS36" s="395">
        <v>0</v>
      </c>
      <c r="AT36" s="20">
        <f t="shared" si="55"/>
        <v>0</v>
      </c>
      <c r="AU36" s="395">
        <v>0</v>
      </c>
      <c r="AV36" s="395">
        <v>0</v>
      </c>
      <c r="AW36" s="395">
        <v>0</v>
      </c>
      <c r="AX36" s="395">
        <v>0</v>
      </c>
      <c r="AY36" s="20">
        <f t="shared" si="56"/>
        <v>0</v>
      </c>
      <c r="AZ36" s="395">
        <v>0</v>
      </c>
      <c r="BA36" s="395">
        <v>0</v>
      </c>
      <c r="BB36" s="395">
        <v>0</v>
      </c>
      <c r="BC36" s="395">
        <v>0</v>
      </c>
      <c r="BD36" s="20">
        <f t="shared" si="57"/>
        <v>0</v>
      </c>
      <c r="BE36" s="395">
        <v>0</v>
      </c>
      <c r="BF36" s="395">
        <v>0</v>
      </c>
      <c r="BG36" s="395">
        <v>0</v>
      </c>
      <c r="BH36" s="395">
        <v>0</v>
      </c>
      <c r="BI36" s="20">
        <f t="shared" si="58"/>
        <v>0</v>
      </c>
      <c r="BJ36" s="395">
        <v>0</v>
      </c>
      <c r="BK36" s="395">
        <v>0</v>
      </c>
      <c r="BL36" s="395">
        <v>0</v>
      </c>
      <c r="BM36" s="395">
        <v>0</v>
      </c>
      <c r="BN36" s="20">
        <f t="shared" si="59"/>
        <v>0</v>
      </c>
      <c r="BO36" s="395">
        <v>0</v>
      </c>
      <c r="BP36" s="395">
        <v>0</v>
      </c>
      <c r="BQ36" s="395">
        <v>0</v>
      </c>
      <c r="BR36" s="395">
        <v>0</v>
      </c>
      <c r="BS36" s="20">
        <f t="shared" si="60"/>
        <v>0</v>
      </c>
      <c r="BT36" s="395">
        <v>0</v>
      </c>
      <c r="BU36" s="395">
        <v>0</v>
      </c>
      <c r="BV36" s="395">
        <v>0</v>
      </c>
      <c r="BW36" s="395">
        <v>0</v>
      </c>
      <c r="BX36" s="20">
        <f t="shared" si="61"/>
        <v>0</v>
      </c>
      <c r="BY36" s="395">
        <v>0</v>
      </c>
      <c r="BZ36" s="395">
        <v>0</v>
      </c>
      <c r="CA36" s="395">
        <v>0</v>
      </c>
      <c r="CB36" s="395">
        <v>0</v>
      </c>
      <c r="CC36" s="20">
        <f t="shared" si="62"/>
        <v>0</v>
      </c>
      <c r="CD36" s="395">
        <v>0</v>
      </c>
      <c r="CE36" s="395">
        <v>0</v>
      </c>
      <c r="CF36" s="195">
        <v>0</v>
      </c>
      <c r="CG36" s="195">
        <v>0</v>
      </c>
      <c r="CH36" s="20">
        <f t="shared" si="63"/>
        <v>0</v>
      </c>
      <c r="CI36" s="195">
        <v>0</v>
      </c>
      <c r="CJ36" s="195">
        <v>0</v>
      </c>
      <c r="CK36" s="195">
        <v>0</v>
      </c>
      <c r="CL36" s="195">
        <v>0</v>
      </c>
      <c r="CM36" s="20">
        <f t="shared" si="64"/>
        <v>0</v>
      </c>
      <c r="CN36" s="195">
        <v>0</v>
      </c>
      <c r="CO36" s="195">
        <v>0</v>
      </c>
      <c r="CP36" s="195">
        <v>0</v>
      </c>
      <c r="CQ36" s="195">
        <v>0</v>
      </c>
      <c r="CR36" s="20">
        <f t="shared" si="65"/>
        <v>0</v>
      </c>
      <c r="CS36" s="195">
        <v>0</v>
      </c>
      <c r="CT36" s="195">
        <v>0</v>
      </c>
      <c r="CU36" s="195">
        <v>0</v>
      </c>
      <c r="CV36" s="195">
        <v>0</v>
      </c>
      <c r="CW36" s="20">
        <f t="shared" si="66"/>
        <v>0</v>
      </c>
      <c r="CX36" s="195">
        <v>0</v>
      </c>
      <c r="CY36" s="195">
        <v>0</v>
      </c>
      <c r="CZ36" s="195">
        <v>0</v>
      </c>
      <c r="DA36" s="195">
        <v>0</v>
      </c>
      <c r="DB36" s="20">
        <f t="shared" si="67"/>
        <v>0</v>
      </c>
    </row>
    <row r="37" spans="1:106" ht="11.25" customHeight="1" x14ac:dyDescent="0.35">
      <c r="A37" s="16" t="s">
        <v>90</v>
      </c>
      <c r="B37" s="17">
        <f>B35+B36</f>
        <v>210797</v>
      </c>
      <c r="C37" s="17">
        <f>C35+C36</f>
        <v>232687</v>
      </c>
      <c r="D37" s="17">
        <f>D35+D36</f>
        <v>230709</v>
      </c>
      <c r="E37" s="17">
        <f>E35+E36</f>
        <v>140148</v>
      </c>
      <c r="F37" s="18">
        <f t="shared" si="68"/>
        <v>814341</v>
      </c>
      <c r="G37" s="17">
        <f>G35+G36</f>
        <v>131959</v>
      </c>
      <c r="H37" s="17">
        <f>H35+H36</f>
        <v>153995</v>
      </c>
      <c r="I37" s="17">
        <f>I35+I36</f>
        <v>224935</v>
      </c>
      <c r="J37" s="17">
        <f>J35+J36</f>
        <v>269509</v>
      </c>
      <c r="K37" s="586">
        <f t="shared" si="48"/>
        <v>780398</v>
      </c>
      <c r="L37" s="17">
        <f>L35+L36</f>
        <v>226921</v>
      </c>
      <c r="M37" s="17">
        <f>M35+M36</f>
        <v>231469</v>
      </c>
      <c r="N37" s="17">
        <f>N35+N36</f>
        <v>214094</v>
      </c>
      <c r="O37" s="17">
        <f>O35+O36</f>
        <v>315885</v>
      </c>
      <c r="P37" s="18">
        <f t="shared" si="49"/>
        <v>988369</v>
      </c>
      <c r="Q37" s="17">
        <f>Q35+Q36</f>
        <v>235437</v>
      </c>
      <c r="R37" s="17">
        <f>R35+R36</f>
        <v>258296</v>
      </c>
      <c r="S37" s="17">
        <f>S35+S36</f>
        <v>260600</v>
      </c>
      <c r="T37" s="17">
        <f>T35+T36</f>
        <v>269557</v>
      </c>
      <c r="U37" s="18">
        <f t="shared" si="50"/>
        <v>1023890</v>
      </c>
      <c r="V37" s="17">
        <f>V35+V36</f>
        <v>228596</v>
      </c>
      <c r="W37" s="17">
        <f>W35+W36</f>
        <v>250828</v>
      </c>
      <c r="X37" s="17">
        <f>X35+X36</f>
        <v>260340</v>
      </c>
      <c r="Y37" s="17">
        <f>Y35+Y36</f>
        <v>236643</v>
      </c>
      <c r="Z37" s="586">
        <f t="shared" si="51"/>
        <v>976407</v>
      </c>
      <c r="AA37" s="17">
        <f>AA35+AA36</f>
        <v>141254</v>
      </c>
      <c r="AB37" s="17">
        <f>AB35+AB36</f>
        <v>208977</v>
      </c>
      <c r="AC37" s="17">
        <f>AC35+AC36</f>
        <v>198409</v>
      </c>
      <c r="AD37" s="17">
        <f>AD35+AD36</f>
        <v>141764</v>
      </c>
      <c r="AE37" s="586">
        <f t="shared" si="52"/>
        <v>690404</v>
      </c>
      <c r="AF37" s="17">
        <f>AF35+AF36</f>
        <v>107117</v>
      </c>
      <c r="AG37" s="17">
        <f>AG35+AG36</f>
        <v>71337</v>
      </c>
      <c r="AH37" s="17">
        <f>AH35+AH36</f>
        <v>61473</v>
      </c>
      <c r="AI37" s="17">
        <f>AI35+AI36</f>
        <v>78416</v>
      </c>
      <c r="AJ37" s="586">
        <f t="shared" si="53"/>
        <v>318343</v>
      </c>
      <c r="AK37" s="17">
        <f>AK35+AK36</f>
        <v>49697</v>
      </c>
      <c r="AL37" s="17">
        <f>AL35+AL36</f>
        <v>-119981</v>
      </c>
      <c r="AM37" s="17">
        <f>AM35+AM36</f>
        <v>28451</v>
      </c>
      <c r="AN37" s="17">
        <f>AN35+AN36</f>
        <v>96463</v>
      </c>
      <c r="AO37" s="586">
        <f t="shared" si="54"/>
        <v>54630</v>
      </c>
      <c r="AP37" s="17">
        <f>AP35+AP36</f>
        <v>-22900</v>
      </c>
      <c r="AQ37" s="17">
        <f>AQ35+AQ36</f>
        <v>-4938</v>
      </c>
      <c r="AR37" s="17">
        <f>AR35+AR36</f>
        <v>-78688</v>
      </c>
      <c r="AS37" s="17">
        <f>AS35+AS36</f>
        <v>181086</v>
      </c>
      <c r="AT37" s="586">
        <f t="shared" si="55"/>
        <v>74560</v>
      </c>
      <c r="AU37" s="17">
        <f>AU35+AU36</f>
        <v>79512</v>
      </c>
      <c r="AV37" s="17">
        <f>AV35+AV36</f>
        <v>161495</v>
      </c>
      <c r="AW37" s="17">
        <f>AW35+AW36</f>
        <v>142930</v>
      </c>
      <c r="AX37" s="17">
        <f>AX35+AX36</f>
        <v>236554</v>
      </c>
      <c r="AY37" s="18">
        <f t="shared" si="56"/>
        <v>620491</v>
      </c>
      <c r="AZ37" s="17">
        <f>AZ35+AZ36</f>
        <v>65085</v>
      </c>
      <c r="BA37" s="17">
        <f>BA35+BA36</f>
        <v>109257</v>
      </c>
      <c r="BB37" s="17">
        <f>BB35+BB36</f>
        <v>1436163</v>
      </c>
      <c r="BC37" s="17">
        <f>BC35+BC36</f>
        <v>303874</v>
      </c>
      <c r="BD37" s="18">
        <f t="shared" si="57"/>
        <v>1914379</v>
      </c>
      <c r="BE37" s="17">
        <f>BE35+BE36</f>
        <v>226040</v>
      </c>
      <c r="BF37" s="17">
        <f>BF35+BF36</f>
        <v>311399</v>
      </c>
      <c r="BG37" s="17">
        <f>BG35+BG36</f>
        <v>292827</v>
      </c>
      <c r="BH37" s="17">
        <f>BH35+BH36</f>
        <v>275668</v>
      </c>
      <c r="BI37" s="586">
        <f t="shared" si="58"/>
        <v>1105934</v>
      </c>
      <c r="BJ37" s="17">
        <f>BJ35+BJ36</f>
        <v>197071</v>
      </c>
      <c r="BK37" s="17">
        <f>BK35+BK36</f>
        <v>192122</v>
      </c>
      <c r="BL37" s="17">
        <f>BL35+BL36</f>
        <v>342107</v>
      </c>
      <c r="BM37" s="17">
        <f>BM35+BM36</f>
        <v>250316</v>
      </c>
      <c r="BN37" s="586">
        <f t="shared" si="59"/>
        <v>981616</v>
      </c>
      <c r="BO37" s="17">
        <f>BO35+BO36</f>
        <v>223037</v>
      </c>
      <c r="BP37" s="17">
        <f>BP35+BP36</f>
        <v>347849</v>
      </c>
      <c r="BQ37" s="17">
        <f>BQ35+BQ36</f>
        <v>345646</v>
      </c>
      <c r="BR37" s="17">
        <f>BR35+BR36</f>
        <v>345679</v>
      </c>
      <c r="BS37" s="586">
        <f t="shared" si="60"/>
        <v>1262211</v>
      </c>
      <c r="BT37" s="17">
        <f>BT35+BT36</f>
        <v>351844</v>
      </c>
      <c r="BU37" s="17">
        <f>BU35+BU36</f>
        <v>519244</v>
      </c>
      <c r="BV37" s="17">
        <f>BV35+BV36</f>
        <v>592708</v>
      </c>
      <c r="BW37" s="17">
        <f>BW35+BW36</f>
        <v>734686</v>
      </c>
      <c r="BX37" s="586">
        <f t="shared" si="61"/>
        <v>2198482</v>
      </c>
      <c r="BY37" s="588">
        <f>BY35+BY36</f>
        <v>437963</v>
      </c>
      <c r="BZ37" s="588">
        <f>BZ35+BZ36</f>
        <v>528736</v>
      </c>
      <c r="CA37" s="588">
        <f>CA35+CA36</f>
        <v>738803</v>
      </c>
      <c r="CB37" s="17">
        <f>CB35+CB36</f>
        <v>838358</v>
      </c>
      <c r="CC37" s="18">
        <f t="shared" si="62"/>
        <v>2543860</v>
      </c>
      <c r="CD37" s="588">
        <f>CD35+CD36</f>
        <v>411281</v>
      </c>
      <c r="CE37" s="588">
        <f>CE35+CE36</f>
        <v>573733</v>
      </c>
      <c r="CF37" s="17">
        <f ca="1">CF35+CF36</f>
        <v>657821.88583732012</v>
      </c>
      <c r="CG37" s="17">
        <f ca="1">CG35+CG36</f>
        <v>749234.72640819487</v>
      </c>
      <c r="CH37" s="18">
        <f t="shared" ca="1" si="63"/>
        <v>2392070.612245515</v>
      </c>
      <c r="CI37" s="17">
        <f ca="1">CI35+CI36</f>
        <v>742687.03962193104</v>
      </c>
      <c r="CJ37" s="17">
        <f ca="1">CJ35+CJ36</f>
        <v>698995.47150376358</v>
      </c>
      <c r="CK37" s="17">
        <f ca="1">CK35+CK36</f>
        <v>723474.76176116476</v>
      </c>
      <c r="CL37" s="17">
        <f ca="1">CL35+CL36</f>
        <v>799065.12486087577</v>
      </c>
      <c r="CM37" s="18">
        <f t="shared" ca="1" si="64"/>
        <v>2964222.397747735</v>
      </c>
      <c r="CN37" s="17">
        <f ca="1">CN35+CN36</f>
        <v>853691.37509002688</v>
      </c>
      <c r="CO37" s="17">
        <f ca="1">CO35+CO36</f>
        <v>789888.91046594607</v>
      </c>
      <c r="CP37" s="17">
        <f ca="1">CP35+CP36</f>
        <v>794820.55855325179</v>
      </c>
      <c r="CQ37" s="17">
        <f ca="1">CQ35+CQ36</f>
        <v>870150.64371916477</v>
      </c>
      <c r="CR37" s="18">
        <f t="shared" ca="1" si="65"/>
        <v>3308551.4878283893</v>
      </c>
      <c r="CS37" s="17">
        <f ca="1">CS35+CS36</f>
        <v>918191.78965658951</v>
      </c>
      <c r="CT37" s="17">
        <f ca="1">CT35+CT36</f>
        <v>849177.92577228975</v>
      </c>
      <c r="CU37" s="17">
        <f ca="1">CU35+CU36</f>
        <v>855683.03018016741</v>
      </c>
      <c r="CV37" s="17">
        <f ca="1">CV35+CV36</f>
        <v>928080.82541895192</v>
      </c>
      <c r="CW37" s="18">
        <f t="shared" ca="1" si="66"/>
        <v>3551133.5710279988</v>
      </c>
      <c r="CX37" s="17">
        <f ca="1">CX35+CX36</f>
        <v>1003306.3150781041</v>
      </c>
      <c r="CY37" s="17">
        <f ca="1">CY35+CY36</f>
        <v>923626.51893918414</v>
      </c>
      <c r="CZ37" s="17">
        <f ca="1">CZ35+CZ36</f>
        <v>933041.15146732528</v>
      </c>
      <c r="DA37" s="17">
        <f ca="1">DA35+DA36</f>
        <v>1011752.0550165374</v>
      </c>
      <c r="DB37" s="18">
        <f t="shared" ca="1" si="67"/>
        <v>3871726.0405011512</v>
      </c>
    </row>
    <row r="38" spans="1:106" ht="11.25" customHeight="1" x14ac:dyDescent="0.35">
      <c r="A38" s="16" t="s">
        <v>91</v>
      </c>
      <c r="B38" s="396">
        <v>-23931</v>
      </c>
      <c r="C38" s="396">
        <v>-15687</v>
      </c>
      <c r="D38" s="396">
        <v>-29101</v>
      </c>
      <c r="E38" s="396">
        <v>-33848</v>
      </c>
      <c r="F38" s="18">
        <f t="shared" si="68"/>
        <v>-102567</v>
      </c>
      <c r="G38" s="396">
        <v>-34565</v>
      </c>
      <c r="H38" s="396">
        <v>-39626</v>
      </c>
      <c r="I38" s="396">
        <v>-49893</v>
      </c>
      <c r="J38" s="396">
        <f>-178073-G38-H38-I38</f>
        <v>-53989</v>
      </c>
      <c r="K38" s="18">
        <f t="shared" si="48"/>
        <v>-178073</v>
      </c>
      <c r="L38" s="396">
        <f>-90450-M38</f>
        <v>-42616</v>
      </c>
      <c r="M38" s="396">
        <v>-47834</v>
      </c>
      <c r="N38" s="396">
        <v>-41335</v>
      </c>
      <c r="O38" s="396">
        <f>-183130-L38-M38-N38</f>
        <v>-51345</v>
      </c>
      <c r="P38" s="18">
        <f t="shared" si="49"/>
        <v>-183130</v>
      </c>
      <c r="Q38" s="396">
        <f>-65574-R38</f>
        <v>-29418</v>
      </c>
      <c r="R38" s="396">
        <f>-33111-R40</f>
        <v>-36156</v>
      </c>
      <c r="S38" s="396">
        <v>-33193</v>
      </c>
      <c r="T38" s="396">
        <f>-142835-SUM(Q38:S38)</f>
        <v>-44068</v>
      </c>
      <c r="U38" s="18">
        <f t="shared" si="50"/>
        <v>-142835</v>
      </c>
      <c r="V38" s="396">
        <v>-35647</v>
      </c>
      <c r="W38" s="396">
        <f>-42613-W40</f>
        <v>-34983</v>
      </c>
      <c r="X38" s="396">
        <v>-36586</v>
      </c>
      <c r="Y38" s="396">
        <f>-139210-SUM(V38:X38)</f>
        <v>-31994</v>
      </c>
      <c r="Z38" s="18">
        <f t="shared" si="51"/>
        <v>-139210</v>
      </c>
      <c r="AA38" s="396">
        <v>-32913</v>
      </c>
      <c r="AB38" s="396">
        <f>-23918-AB40</f>
        <v>-31110</v>
      </c>
      <c r="AC38" s="396">
        <v>-29243</v>
      </c>
      <c r="AD38" s="396">
        <f>-118474-SUM(AA38:AC38)</f>
        <v>-25208</v>
      </c>
      <c r="AE38" s="18">
        <f t="shared" si="52"/>
        <v>-118474</v>
      </c>
      <c r="AF38" s="396">
        <v>-20775</v>
      </c>
      <c r="AG38" s="396">
        <v>-20557</v>
      </c>
      <c r="AH38" s="396">
        <v>-17757</v>
      </c>
      <c r="AI38" s="396">
        <f>-83164-SUM(AF38:AH38)</f>
        <v>-24075</v>
      </c>
      <c r="AJ38" s="18">
        <f t="shared" si="53"/>
        <v>-83164</v>
      </c>
      <c r="AK38" s="396">
        <v>-21610</v>
      </c>
      <c r="AL38" s="396">
        <v>-19338</v>
      </c>
      <c r="AM38" s="396">
        <v>-20444</v>
      </c>
      <c r="AN38" s="396">
        <f>-82764-SUM(AK38:AM38)</f>
        <v>-21372</v>
      </c>
      <c r="AO38" s="18">
        <f t="shared" si="54"/>
        <v>-82764</v>
      </c>
      <c r="AP38" s="396">
        <v>-14173</v>
      </c>
      <c r="AQ38" s="396">
        <v>-16481</v>
      </c>
      <c r="AR38" s="396">
        <v>-18051</v>
      </c>
      <c r="AS38" s="396">
        <f>-67433-SUM(AP38:AR38)</f>
        <v>-18728</v>
      </c>
      <c r="AT38" s="18">
        <f t="shared" si="55"/>
        <v>-67433</v>
      </c>
      <c r="AU38" s="396">
        <v>-174</v>
      </c>
      <c r="AV38" s="396">
        <v>401</v>
      </c>
      <c r="AW38" s="396">
        <v>-21871</v>
      </c>
      <c r="AX38" s="396">
        <f>-83217-SUM(AU38:AW38)</f>
        <v>-61573</v>
      </c>
      <c r="AY38" s="18">
        <f t="shared" si="56"/>
        <v>-83217</v>
      </c>
      <c r="AZ38" s="396">
        <v>-18306</v>
      </c>
      <c r="BA38" s="396">
        <v>-13360</v>
      </c>
      <c r="BB38" s="396">
        <f>-129743-266545+375000</f>
        <v>-21288</v>
      </c>
      <c r="BC38" s="396">
        <f>-197539-SUM(AZ38:BB38)+(-266545+375000)</f>
        <v>-36130</v>
      </c>
      <c r="BD38" s="18">
        <f t="shared" si="57"/>
        <v>-89084</v>
      </c>
      <c r="BE38" s="396">
        <v>-17832</v>
      </c>
      <c r="BF38" s="396">
        <v>-24464</v>
      </c>
      <c r="BG38" s="396">
        <v>-24110</v>
      </c>
      <c r="BH38" s="396">
        <f>-93019-SUM(BE38:BG38)</f>
        <v>-26613</v>
      </c>
      <c r="BI38" s="18">
        <f t="shared" si="58"/>
        <v>-93019</v>
      </c>
      <c r="BJ38" s="396">
        <v>-25176</v>
      </c>
      <c r="BK38" s="396">
        <v>-27899</v>
      </c>
      <c r="BL38" s="396">
        <v>-35365</v>
      </c>
      <c r="BM38" s="396">
        <f>-121158-SUM(BJ38:BL38)</f>
        <v>-32718</v>
      </c>
      <c r="BN38" s="18">
        <f t="shared" si="59"/>
        <v>-121158</v>
      </c>
      <c r="BO38" s="396">
        <v>-35951</v>
      </c>
      <c r="BP38" s="396">
        <v>-33981</v>
      </c>
      <c r="BQ38" s="396">
        <v>-35936</v>
      </c>
      <c r="BR38" s="396">
        <f>-143963-SUM(BO38:BQ38)</f>
        <v>-38095</v>
      </c>
      <c r="BS38" s="18">
        <f t="shared" si="60"/>
        <v>-143963</v>
      </c>
      <c r="BT38" s="396">
        <v>-34290</v>
      </c>
      <c r="BU38" s="396">
        <v>-34111</v>
      </c>
      <c r="BV38" s="396">
        <v>-44362</v>
      </c>
      <c r="BW38" s="396">
        <f>-158483-SUM(BT38:BV38)</f>
        <v>-45720</v>
      </c>
      <c r="BX38" s="18">
        <f t="shared" si="61"/>
        <v>-158483</v>
      </c>
      <c r="BY38" s="396">
        <v>-43072</v>
      </c>
      <c r="BZ38" s="396">
        <v>-43481</v>
      </c>
      <c r="CA38" s="396">
        <v>-54825</v>
      </c>
      <c r="CB38" s="396">
        <f>-197741-SUM(BY38:CA38)</f>
        <v>-56363</v>
      </c>
      <c r="CC38" s="18">
        <f t="shared" si="62"/>
        <v>-197741</v>
      </c>
      <c r="CD38" s="396">
        <v>-46053</v>
      </c>
      <c r="CE38" s="396">
        <v>-52535</v>
      </c>
      <c r="CF38" s="461">
        <f>-CF39*(CF4+'BS &amp; FCF'!CF96)</f>
        <v>-45970.68551411431</v>
      </c>
      <c r="CG38" s="461">
        <f>-CG39*(CG4+'BS &amp; FCF'!CG96)</f>
        <v>-50385.999036704758</v>
      </c>
      <c r="CH38" s="18">
        <f t="shared" si="63"/>
        <v>-194944.68455081905</v>
      </c>
      <c r="CI38" s="461">
        <f>-CI39*(CI4+'BS &amp; FCF'!CI96)</f>
        <v>-43076.287664287876</v>
      </c>
      <c r="CJ38" s="461">
        <f>-CJ39*(CJ4+'BS &amp; FCF'!CJ96)</f>
        <v>-52258.595610904442</v>
      </c>
      <c r="CK38" s="461">
        <f>-CK39*(CK4+'BS &amp; FCF'!CK96)</f>
        <v>-54564.29464942652</v>
      </c>
      <c r="CL38" s="461">
        <f>-CL39*(CL4+'BS &amp; FCF'!CL96)</f>
        <v>-58424.93519957659</v>
      </c>
      <c r="CM38" s="18">
        <f t="shared" si="64"/>
        <v>-208324.11312419543</v>
      </c>
      <c r="CN38" s="461">
        <f>-CN39*(CN4+'BS &amp; FCF'!CN96)</f>
        <v>-52825.117586113942</v>
      </c>
      <c r="CO38" s="461">
        <f>-CO39*(CO4+'BS &amp; FCF'!CO96)</f>
        <v>-57037.790758831798</v>
      </c>
      <c r="CP38" s="461">
        <f>-CP39*(CP4+'BS &amp; FCF'!CP96)</f>
        <v>-58968.998511211299</v>
      </c>
      <c r="CQ38" s="461">
        <f>-CQ39*(CQ4+'BS &amp; FCF'!CQ96)</f>
        <v>-65361.195618353762</v>
      </c>
      <c r="CR38" s="18">
        <f t="shared" si="65"/>
        <v>-234193.10247451079</v>
      </c>
      <c r="CS38" s="461">
        <f>-CS39*(CS4+'BS &amp; FCF'!CS96)</f>
        <v>-61764.980730828203</v>
      </c>
      <c r="CT38" s="461">
        <f>-CT39*(CT4+'BS &amp; FCF'!CT96)</f>
        <v>-63646.101287520818</v>
      </c>
      <c r="CU38" s="461">
        <f>-CU39*(CU4+'BS &amp; FCF'!CU96)</f>
        <v>-65818.062704735654</v>
      </c>
      <c r="CV38" s="461">
        <f>-CV39*(CV4+'BS &amp; FCF'!CV96)</f>
        <v>-69404.975524747366</v>
      </c>
      <c r="CW38" s="18">
        <f t="shared" si="66"/>
        <v>-260634.12024783206</v>
      </c>
      <c r="CX38" s="461">
        <f>-CX39*(CX4+'BS &amp; FCF'!CX96)</f>
        <v>-63879.525616487357</v>
      </c>
      <c r="CY38" s="461">
        <f>-CY39*(CY4+'BS &amp; FCF'!CY96)</f>
        <v>-68494.16784703928</v>
      </c>
      <c r="CZ38" s="461">
        <f>-CZ39*(CZ4+'BS &amp; FCF'!CZ96)</f>
        <v>-70037.722474292619</v>
      </c>
      <c r="DA38" s="461">
        <f>-DA39*(DA4+'BS &amp; FCF'!DA96)</f>
        <v>-73044.088962562309</v>
      </c>
      <c r="DB38" s="18">
        <f t="shared" si="67"/>
        <v>-275455.50490038155</v>
      </c>
    </row>
    <row r="39" spans="1:106" ht="11.25" customHeight="1" outlineLevel="1" x14ac:dyDescent="0.35">
      <c r="A39" s="30" t="s">
        <v>99</v>
      </c>
      <c r="B39" s="403">
        <f>-B38/(B4+'BS &amp; FCF'!B96)</f>
        <v>2.0450892136093163E-2</v>
      </c>
      <c r="C39" s="403">
        <f>-C38/(C4+'BS &amp; FCF'!C96)</f>
        <v>1.6940037644528099E-2</v>
      </c>
      <c r="D39" s="403">
        <f>-D38/(D4+'BS &amp; FCF'!D96)</f>
        <v>3.2212716169231603E-2</v>
      </c>
      <c r="E39" s="403">
        <f>-E38/(E4+'BS &amp; FCF'!E96)</f>
        <v>2.6535608814576082E-2</v>
      </c>
      <c r="F39" s="400">
        <f>-F38/(F4+'BS &amp; FCF'!F96)</f>
        <v>2.0296025507608412E-2</v>
      </c>
      <c r="G39" s="403">
        <f>-G38/(G4+'BS &amp; FCF'!G96)</f>
        <v>3.0884246398476027E-2</v>
      </c>
      <c r="H39" s="403">
        <f>-H38/(H4+'BS &amp; FCF'!H96)</f>
        <v>2.9040908354702751E-2</v>
      </c>
      <c r="I39" s="403">
        <f>-I38/(I4+'BS &amp; FCF'!I96)</f>
        <v>3.1336162985982796E-2</v>
      </c>
      <c r="J39" s="403">
        <f>-J38/(J4+'BS &amp; FCF'!J96)</f>
        <v>2.8476397487026094E-2</v>
      </c>
      <c r="K39" s="400">
        <f>-K38/(K4+'BS &amp; FCF'!K96)</f>
        <v>2.9819107384320406E-2</v>
      </c>
      <c r="L39" s="403">
        <f>-L38/(L4+'BS &amp; FCF'!L96)</f>
        <v>3.1218385853564557E-2</v>
      </c>
      <c r="M39" s="403">
        <f>-M38/(M4+'BS &amp; FCF'!M96)</f>
        <v>3.1829451525197262E-2</v>
      </c>
      <c r="N39" s="403">
        <f>-N38/(N4+'BS &amp; FCF'!N96)</f>
        <v>2.7951906626363446E-2</v>
      </c>
      <c r="O39" s="403">
        <f>-O38/(O4+'BS &amp; FCF'!O96)</f>
        <v>2.6136900447144871E-2</v>
      </c>
      <c r="P39" s="400">
        <f>-P38/(P4+'BS &amp; FCF'!P96)</f>
        <v>2.90168113070653E-2</v>
      </c>
      <c r="Q39" s="403">
        <f>-Q38/(Q4+'BS &amp; FCF'!Q96)</f>
        <v>2.0388771413304058E-2</v>
      </c>
      <c r="R39" s="403">
        <f>-R38/(R4+'BS &amp; FCF'!R96)</f>
        <v>2.6335954594588293E-2</v>
      </c>
      <c r="S39" s="403">
        <f>-S38/(S4+'BS &amp; FCF'!S96)</f>
        <v>2.4359153120757347E-2</v>
      </c>
      <c r="T39" s="403">
        <f>-T38/(T4+'BS &amp; FCF'!T96)</f>
        <v>2.6998331749628887E-2</v>
      </c>
      <c r="U39" s="400">
        <f>-U38/(U4+'BS &amp; FCF'!U96)</f>
        <v>2.4581680327840638E-2</v>
      </c>
      <c r="V39" s="403">
        <f>-V38/(V4+'BS &amp; FCF'!V96)</f>
        <v>2.240949010190418E-2</v>
      </c>
      <c r="W39" s="403">
        <f>-W38/(W4+'BS &amp; FCF'!W96)</f>
        <v>2.4512627334911313E-2</v>
      </c>
      <c r="X39" s="403">
        <f>-X38/(X4+'BS &amp; FCF'!X96)</f>
        <v>1.9196281002576223E-2</v>
      </c>
      <c r="Y39" s="403">
        <f>-Y38/(Y4+'BS &amp; FCF'!Y96)</f>
        <v>1.8653294410599857E-2</v>
      </c>
      <c r="Z39" s="400">
        <f>-Z38/(Z4+'BS &amp; FCF'!Z96)</f>
        <v>2.0968724652372709E-2</v>
      </c>
      <c r="AA39" s="403">
        <f>-AA38/(AA4+'BS &amp; FCF'!AA96)</f>
        <v>2.1923438155694846E-2</v>
      </c>
      <c r="AB39" s="403">
        <f>-AB38/(AB4+'BS &amp; FCF'!AB96)</f>
        <v>2.0663393910974048E-2</v>
      </c>
      <c r="AC39" s="403">
        <f>-AC38/(AC4+'BS &amp; FCF'!AC96)</f>
        <v>2.242525235406485E-2</v>
      </c>
      <c r="AD39" s="403">
        <f>-AD38/(AD4+'BS &amp; FCF'!AD96)</f>
        <v>2.0351287375549393E-2</v>
      </c>
      <c r="AE39" s="400">
        <f>-AE38/(AE4+'BS &amp; FCF'!AE96)</f>
        <v>2.1348605350828255E-2</v>
      </c>
      <c r="AF39" s="403">
        <f>-AF38/(AF4+'BS &amp; FCF'!AF96)</f>
        <v>2.7854424931822021E-2</v>
      </c>
      <c r="AG39" s="403">
        <f>-AG38/(AG4+'BS &amp; FCF'!AG96)</f>
        <v>2.0239443137177682E-2</v>
      </c>
      <c r="AH39" s="403">
        <f>-AH38/(AH4+'BS &amp; FCF'!AH96)</f>
        <v>2.0622304188568016E-2</v>
      </c>
      <c r="AI39" s="403">
        <f>-AI38/(AI4+'BS &amp; FCF'!AI96)</f>
        <v>2.1218669961766735E-2</v>
      </c>
      <c r="AJ39" s="400">
        <f>-AJ38/(AJ4+'BS &amp; FCF'!AJ96)</f>
        <v>2.2134544730602862E-2</v>
      </c>
      <c r="AK39" s="403">
        <f>-AK38/(AK4+'BS &amp; FCF'!AK96)</f>
        <v>2.6024449253528235E-2</v>
      </c>
      <c r="AL39" s="403">
        <f>-AL38/(AL4+'BS &amp; FCF'!AL96)</f>
        <v>2.1163662151868812E-2</v>
      </c>
      <c r="AM39" s="403">
        <f>-AM38/(AM4+'BS &amp; FCF'!AM96)</f>
        <v>2.392213487852882E-2</v>
      </c>
      <c r="AN39" s="403">
        <f>-AN38/(AN4+'BS &amp; FCF'!AN96)</f>
        <v>2.4742869580116792E-2</v>
      </c>
      <c r="AO39" s="400">
        <f>-AO38/(AO4+'BS &amp; FCF'!AO96)</f>
        <v>2.3903105260710607E-2</v>
      </c>
      <c r="AP39" s="403">
        <f>-AP38/(AP4+'BS &amp; FCF'!AP96)</f>
        <v>1.6468608784265058E-2</v>
      </c>
      <c r="AQ39" s="403">
        <f>-AQ38/(AQ4+'BS &amp; FCF'!AQ96)</f>
        <v>2.0947858503767972E-2</v>
      </c>
      <c r="AR39" s="403">
        <f>-AR38/(AR4+'BS &amp; FCF'!AR96)</f>
        <v>2.3719263574091327E-2</v>
      </c>
      <c r="AS39" s="403">
        <f>-AS38/(AS4+'BS &amp; FCF'!AS96)</f>
        <v>1.4547725597332192E-2</v>
      </c>
      <c r="AT39" s="400">
        <f>-AT38/(AT4+'BS &amp; FCF'!AT96)</f>
        <v>1.8246113233972249E-2</v>
      </c>
      <c r="AU39" s="403">
        <f>-AU38/(AU4+'BS &amp; FCF'!AU96)</f>
        <v>2.1033239771680557E-4</v>
      </c>
      <c r="AV39" s="403">
        <f>-AV38/(AV4+'BS &amp; FCF'!AV96)</f>
        <v>-4.100560887193672E-4</v>
      </c>
      <c r="AW39" s="403">
        <f>-AW38/(AW4+'BS &amp; FCF'!AW96)</f>
        <v>2.2756264189499924E-2</v>
      </c>
      <c r="AX39" s="403">
        <f>-AX38/(AX4+'BS &amp; FCF'!AX96)</f>
        <v>5.3738703159842381E-2</v>
      </c>
      <c r="AY39" s="400">
        <f>-AY38/(AY4+'BS &amp; FCF'!AY96)</f>
        <v>2.1271913007469209E-2</v>
      </c>
      <c r="AZ39" s="403">
        <f>-AZ38/(AZ4+'BS &amp; FCF'!AZ96)</f>
        <v>2.3162798819210975E-2</v>
      </c>
      <c r="BA39" s="403">
        <f>-BA38/(BA4+'BS &amp; FCF'!BA96)</f>
        <v>1.8039135201698055E-2</v>
      </c>
      <c r="BB39" s="403">
        <f>-BB38/(BB4+'BS &amp; FCF'!BB96)</f>
        <v>1.6249166092918238E-2</v>
      </c>
      <c r="BC39" s="403">
        <f>-BC38/(BC4+'BS &amp; FCF'!BC96)</f>
        <v>3.3125880178382819E-2</v>
      </c>
      <c r="BD39" s="400">
        <f>-BD38/(BD4+'BS &amp; FCF'!BD96)</f>
        <v>2.2657785389945409E-2</v>
      </c>
      <c r="BE39" s="403">
        <f>-BE38/(BE4+'BS &amp; FCF'!BE96)</f>
        <v>1.8487243366643962E-2</v>
      </c>
      <c r="BF39" s="403">
        <f>-BF38/(BF4+'BS &amp; FCF'!BF96)</f>
        <v>2.070087139295947E-2</v>
      </c>
      <c r="BG39" s="403">
        <f>-BG38/(BG4+'BS &amp; FCF'!BG96)</f>
        <v>1.9735522713040916E-2</v>
      </c>
      <c r="BH39" s="403">
        <f>-BH38/(BH4+'BS &amp; FCF'!BH96)</f>
        <v>2.0798360701859683E-2</v>
      </c>
      <c r="BI39" s="400">
        <f>-BI38/(BI4+'BS &amp; FCF'!BI96)</f>
        <v>2.0014545235467137E-2</v>
      </c>
      <c r="BJ39" s="403">
        <f>-BJ38/(BJ4+'BS &amp; FCF'!BJ96)</f>
        <v>2.1148216438252602E-2</v>
      </c>
      <c r="BK39" s="403">
        <f>-BK38/(BK4+'BS &amp; FCF'!BK96)</f>
        <v>2.3515737143637416E-2</v>
      </c>
      <c r="BL39" s="403">
        <f>-BL38/(BL4+'BS &amp; FCF'!BL96)</f>
        <v>2.5465584916366454E-2</v>
      </c>
      <c r="BM39" s="403">
        <f>-BM38/(BM4+'BS &amp; FCF'!BM96)</f>
        <v>2.3123977397616076E-2</v>
      </c>
      <c r="BN39" s="400">
        <f>-BN38/(BN4+'BS &amp; FCF'!BN96)</f>
        <v>2.338739005853507E-2</v>
      </c>
      <c r="BO39" s="403">
        <f>-BO38/(BO4+'BS &amp; FCF'!BO96)</f>
        <v>2.6429175822277374E-2</v>
      </c>
      <c r="BP39" s="403">
        <f>-BP38/(BP4+'BS &amp; FCF'!BP96)</f>
        <v>2.4549109416596531E-2</v>
      </c>
      <c r="BQ39" s="403">
        <f>-BQ38/(BQ4+'BS &amp; FCF'!BQ96)</f>
        <v>2.5053245816151173E-2</v>
      </c>
      <c r="BR39" s="403">
        <f>-BR38/(BR4+'BS &amp; FCF'!BR96)</f>
        <v>2.5310560141066758E-2</v>
      </c>
      <c r="BS39" s="400">
        <f>-BS38/(BS4+'BS &amp; FCF'!BS96)</f>
        <v>2.5327895819295315E-2</v>
      </c>
      <c r="BT39" s="403">
        <f>-BT38/(BT4+'BS &amp; FCF'!BT96)</f>
        <v>2.3909266113130084E-2</v>
      </c>
      <c r="BU39" s="403">
        <f>-BU38/(BU4+'BS &amp; FCF'!BU96)</f>
        <v>2.1987974329421896E-2</v>
      </c>
      <c r="BV39" s="403">
        <f>-BV38/(BV4+'BS &amp; FCF'!BV96)</f>
        <v>2.5132910617892738E-2</v>
      </c>
      <c r="BW39" s="403">
        <f>-BW38/(BW4+'BS &amp; FCF'!BW96)</f>
        <v>2.1637011215089496E-2</v>
      </c>
      <c r="BX39" s="400">
        <f>-BX38/(BX4+'BS &amp; FCF'!BX96)</f>
        <v>2.3090152166583961E-2</v>
      </c>
      <c r="BY39" s="403">
        <f>-BY38/(BY4+'BS &amp; FCF'!BY96)</f>
        <v>2.2814949003779363E-2</v>
      </c>
      <c r="BZ39" s="403">
        <f>-BZ38/(BZ4+'BS &amp; FCF'!BZ96)</f>
        <v>2.4557420287645043E-2</v>
      </c>
      <c r="CA39" s="403">
        <f>-CA38/(CA4+'BS &amp; FCF'!CA96)</f>
        <v>2.5960970232367851E-2</v>
      </c>
      <c r="CB39" s="403">
        <f>-CB38/(CB4+'BS &amp; FCF'!CB96)</f>
        <v>2.1916119700127541E-2</v>
      </c>
      <c r="CC39" s="400">
        <f>-CC38/(CC4+'BS &amp; FCF'!CC96)</f>
        <v>2.3704114118657107E-2</v>
      </c>
      <c r="CD39" s="403">
        <f>-CD38/(CD4+'BS &amp; FCF'!CD96)</f>
        <v>2.4441115079106041E-2</v>
      </c>
      <c r="CE39" s="403">
        <f>-CE38/(CE4+'BS &amp; FCF'!CE96)</f>
        <v>2.2490376250916141E-2</v>
      </c>
      <c r="CF39" s="494">
        <v>1.9199999999999998E-2</v>
      </c>
      <c r="CG39" s="494">
        <v>1.9199999999999998E-2</v>
      </c>
      <c r="CH39" s="400">
        <f>-CH38/(CH4+'BS &amp; FCF'!CH96)</f>
        <v>2.1100859318321338E-2</v>
      </c>
      <c r="CI39" s="494">
        <v>1.9199999999999998E-2</v>
      </c>
      <c r="CJ39" s="494">
        <v>1.9199999999999998E-2</v>
      </c>
      <c r="CK39" s="494">
        <v>1.9199999999999998E-2</v>
      </c>
      <c r="CL39" s="494">
        <v>1.9199999999999998E-2</v>
      </c>
      <c r="CM39" s="400">
        <f>-CM38/(CM4+'BS &amp; FCF'!CM96)</f>
        <v>1.9199999999999995E-2</v>
      </c>
      <c r="CN39" s="494">
        <v>1.9199999999999998E-2</v>
      </c>
      <c r="CO39" s="494">
        <v>1.9199999999999998E-2</v>
      </c>
      <c r="CP39" s="494">
        <v>1.9199999999999998E-2</v>
      </c>
      <c r="CQ39" s="494">
        <v>1.9199999999999998E-2</v>
      </c>
      <c r="CR39" s="400">
        <f>-CR38/(CR4+'BS &amp; FCF'!CR96)</f>
        <v>1.9199999999999998E-2</v>
      </c>
      <c r="CS39" s="494">
        <v>1.9199999999999998E-2</v>
      </c>
      <c r="CT39" s="494">
        <v>1.9199999999999998E-2</v>
      </c>
      <c r="CU39" s="494">
        <v>1.9199999999999998E-2</v>
      </c>
      <c r="CV39" s="494">
        <v>1.9199999999999998E-2</v>
      </c>
      <c r="CW39" s="400">
        <f>-CW38/(CW4+'BS &amp; FCF'!CW96)</f>
        <v>1.9199999999999998E-2</v>
      </c>
      <c r="CX39" s="494">
        <v>1.9199999999999998E-2</v>
      </c>
      <c r="CY39" s="494">
        <v>1.9199999999999998E-2</v>
      </c>
      <c r="CZ39" s="494">
        <v>1.9199999999999998E-2</v>
      </c>
      <c r="DA39" s="494">
        <v>1.9199999999999998E-2</v>
      </c>
      <c r="DB39" s="400">
        <f>-DB38/(DB4+'BS &amp; FCF'!DB96)</f>
        <v>1.9199999999999998E-2</v>
      </c>
    </row>
    <row r="40" spans="1:106" ht="11.25" customHeight="1" x14ac:dyDescent="0.35">
      <c r="A40" s="16" t="s">
        <v>92</v>
      </c>
      <c r="B40" s="396">
        <v>-593</v>
      </c>
      <c r="C40" s="396">
        <v>-19909</v>
      </c>
      <c r="D40" s="396">
        <v>-5466</v>
      </c>
      <c r="E40" s="396">
        <v>-395</v>
      </c>
      <c r="F40" s="18">
        <f>SUM(B40:E40)</f>
        <v>-26363</v>
      </c>
      <c r="G40" s="396">
        <v>-7319</v>
      </c>
      <c r="H40" s="396">
        <v>4572</v>
      </c>
      <c r="I40" s="396">
        <v>2519</v>
      </c>
      <c r="J40" s="396">
        <f>-10139-G40-H40-I40</f>
        <v>-9911</v>
      </c>
      <c r="K40" s="18">
        <f>SUM(G40:J40)</f>
        <v>-10139</v>
      </c>
      <c r="L40" s="396">
        <f>-20103-M40</f>
        <v>-6080</v>
      </c>
      <c r="M40" s="396">
        <v>-14023</v>
      </c>
      <c r="N40" s="396">
        <v>-6910</v>
      </c>
      <c r="O40" s="396">
        <f>30450-L40-M40-N40</f>
        <v>57463</v>
      </c>
      <c r="P40" s="18">
        <f>SUM(L40:O40)</f>
        <v>30450</v>
      </c>
      <c r="Q40" s="396">
        <f>5483-R40</f>
        <v>2438</v>
      </c>
      <c r="R40" s="396">
        <v>3045</v>
      </c>
      <c r="S40" s="396">
        <v>687</v>
      </c>
      <c r="T40" s="396">
        <f>6944-SUM(Q40:S40)</f>
        <v>774</v>
      </c>
      <c r="U40" s="18">
        <f>SUM(Q40:T40)</f>
        <v>6944</v>
      </c>
      <c r="V40" s="396">
        <v>-5605</v>
      </c>
      <c r="W40" s="396">
        <v>-7630</v>
      </c>
      <c r="X40" s="396">
        <v>6039</v>
      </c>
      <c r="Y40" s="396">
        <f>-5811-SUM(V40:X40)</f>
        <v>1385</v>
      </c>
      <c r="Z40" s="18">
        <f>SUM(V40:Y40)</f>
        <v>-5811</v>
      </c>
      <c r="AA40" s="396">
        <v>9591</v>
      </c>
      <c r="AB40" s="396">
        <v>7192</v>
      </c>
      <c r="AC40" s="396">
        <v>-140</v>
      </c>
      <c r="AD40" s="396">
        <f>21223-SUM(AA40:AC40)</f>
        <v>4580</v>
      </c>
      <c r="AE40" s="18">
        <f>SUM(AA40:AD40)</f>
        <v>21223</v>
      </c>
      <c r="AF40" s="396">
        <v>2525</v>
      </c>
      <c r="AG40" s="396">
        <v>5723</v>
      </c>
      <c r="AH40" s="396">
        <v>-741</v>
      </c>
      <c r="AI40" s="396">
        <f>9441-SUM(AF40:AH40)</f>
        <v>1934</v>
      </c>
      <c r="AJ40" s="18">
        <f>SUM(AF40:AI40)</f>
        <v>9441</v>
      </c>
      <c r="AK40" s="396">
        <v>6159</v>
      </c>
      <c r="AL40" s="396">
        <v>4999</v>
      </c>
      <c r="AM40" s="396">
        <v>6156</v>
      </c>
      <c r="AN40" s="396">
        <f>17595-SUM(AK40:AM40)</f>
        <v>281</v>
      </c>
      <c r="AO40" s="18">
        <f>SUM(AK40:AN40)</f>
        <v>17595</v>
      </c>
      <c r="AP40" s="396">
        <v>2418</v>
      </c>
      <c r="AQ40" s="396">
        <v>2288</v>
      </c>
      <c r="AR40" s="396">
        <v>2662</v>
      </c>
      <c r="AS40" s="396">
        <f>-1099-SUM(AP40:AR40)</f>
        <v>-8467</v>
      </c>
      <c r="AT40" s="18">
        <f>SUM(AP40:AS40)</f>
        <v>-1099</v>
      </c>
      <c r="AU40" s="396">
        <v>-17937</v>
      </c>
      <c r="AV40" s="396">
        <v>-19605</v>
      </c>
      <c r="AW40" s="396">
        <v>202</v>
      </c>
      <c r="AX40" s="396">
        <f>-2956-SUM(AU40:AW40)</f>
        <v>34384</v>
      </c>
      <c r="AY40" s="18">
        <f>SUM(AU40:AX40)</f>
        <v>-2956</v>
      </c>
      <c r="AZ40" s="396">
        <v>1457</v>
      </c>
      <c r="BA40" s="396">
        <v>-2972</v>
      </c>
      <c r="BB40" s="396">
        <v>0</v>
      </c>
      <c r="BC40" s="396">
        <f>-262343-SUM(AZ40:BB40)+266545</f>
        <v>5717</v>
      </c>
      <c r="BD40" s="18">
        <f>SUM(AZ40:BC40)</f>
        <v>4202</v>
      </c>
      <c r="BE40" s="396">
        <v>-15</v>
      </c>
      <c r="BF40" s="396">
        <v>3417</v>
      </c>
      <c r="BG40" s="396">
        <v>-2474</v>
      </c>
      <c r="BH40" s="396">
        <f>4399-SUM(BE40:BG40)</f>
        <v>3471</v>
      </c>
      <c r="BI40" s="18">
        <f>SUM(BE40:BH40)</f>
        <v>4399</v>
      </c>
      <c r="BJ40" s="396">
        <v>-1238</v>
      </c>
      <c r="BK40" s="396">
        <v>-2609</v>
      </c>
      <c r="BL40" s="396">
        <v>2855</v>
      </c>
      <c r="BM40" s="396">
        <f>-1867-SUM(BJ40:BL40)</f>
        <v>-875</v>
      </c>
      <c r="BN40" s="18">
        <f>SUM(BJ40:BM40)</f>
        <v>-1867</v>
      </c>
      <c r="BO40" s="396">
        <v>3974</v>
      </c>
      <c r="BP40" s="396">
        <v>-5843</v>
      </c>
      <c r="BQ40" s="396">
        <v>-5072</v>
      </c>
      <c r="BR40" s="396">
        <f>-12548-SUM(BO40:BQ40)</f>
        <v>-5607</v>
      </c>
      <c r="BS40" s="18">
        <f>SUM(BO40:BR40)</f>
        <v>-12548</v>
      </c>
      <c r="BT40" s="396">
        <v>-2751</v>
      </c>
      <c r="BU40" s="396">
        <v>-7190</v>
      </c>
      <c r="BV40" s="396">
        <v>-7334</v>
      </c>
      <c r="BW40" s="396">
        <f>-26947-SUM(BT40:BV40)</f>
        <v>-9672</v>
      </c>
      <c r="BX40" s="18">
        <f>SUM(BT40:BW40)</f>
        <v>-26947</v>
      </c>
      <c r="BY40" s="396">
        <v>-1078</v>
      </c>
      <c r="BZ40" s="396">
        <v>-6252</v>
      </c>
      <c r="CA40" s="396">
        <v>-1015</v>
      </c>
      <c r="CB40" s="745">
        <f>49710-SUM(BY40:CA40)</f>
        <v>58055</v>
      </c>
      <c r="CC40" s="18">
        <f>SUM(BY40:CB40)</f>
        <v>49710</v>
      </c>
      <c r="CD40" s="396">
        <v>-5169</v>
      </c>
      <c r="CE40" s="396">
        <v>-2441</v>
      </c>
      <c r="CF40" s="48">
        <f>-CF41*CF9-CF38</f>
        <v>-5044.730952668986</v>
      </c>
      <c r="CG40" s="48">
        <f>-CG41*CG9-CG38</f>
        <v>-4528.631411056369</v>
      </c>
      <c r="CH40" s="18">
        <f>SUM(CD40:CG40)</f>
        <v>-17183.362363725355</v>
      </c>
      <c r="CI40" s="48">
        <f>-CI41*CI9-CI38</f>
        <v>-8663.8473205028276</v>
      </c>
      <c r="CJ40" s="48">
        <f>-CJ41*CJ9-CJ38</f>
        <v>-489.52760010361817</v>
      </c>
      <c r="CK40" s="48">
        <f>-CK41*CK9-CK38</f>
        <v>-864.18166118190129</v>
      </c>
      <c r="CL40" s="48">
        <f>-CL41*CL9-CL38</f>
        <v>-34.492438823057455</v>
      </c>
      <c r="CM40" s="18">
        <f>SUM(CI40:CL40)</f>
        <v>-10052.049020611405</v>
      </c>
      <c r="CN40" s="48">
        <f>-CN41*CN9-CN38</f>
        <v>-5332.1817173863237</v>
      </c>
      <c r="CO40" s="48">
        <f>-CO41*CO9-CO38</f>
        <v>-1770.7903279075108</v>
      </c>
      <c r="CP40" s="48">
        <f>-CP41*CP9-CP38</f>
        <v>-2245.5307155060364</v>
      </c>
      <c r="CQ40" s="48">
        <f>-CQ41*CQ9-CQ38</f>
        <v>17.443499910732498</v>
      </c>
      <c r="CR40" s="18">
        <f>SUM(CN40:CQ40)</f>
        <v>-9331.0592608891384</v>
      </c>
      <c r="CS40" s="48">
        <f>-CS41*CS9-CS38</f>
        <v>-1991.5408186073764</v>
      </c>
      <c r="CT40" s="48">
        <f>-CT41*CT9-CT38</f>
        <v>-440.01587121002376</v>
      </c>
      <c r="CU40" s="48">
        <f>-CU41*CU9-CU38</f>
        <v>-458.63112343254033</v>
      </c>
      <c r="CV40" s="48">
        <f>-CV41*CV9-CV38</f>
        <v>-931.64606289695075</v>
      </c>
      <c r="CW40" s="18">
        <f>SUM(CS40:CV40)</f>
        <v>-3821.8338761468913</v>
      </c>
      <c r="CX40" s="48">
        <f>-CX41*CX9-CX38</f>
        <v>-4731.2640927596949</v>
      </c>
      <c r="CY40" s="48">
        <f>-CY41*CY9-CY38</f>
        <v>-266.39061787951505</v>
      </c>
      <c r="CZ40" s="48">
        <f>-CZ41*CZ9-CZ38</f>
        <v>-881.56266308370687</v>
      </c>
      <c r="DA40" s="48">
        <f>-DA41*DA9-DA38</f>
        <v>-1943.959107434217</v>
      </c>
      <c r="DB40" s="18">
        <f>SUM(CX40:DA40)</f>
        <v>-7823.1764811571338</v>
      </c>
    </row>
    <row r="41" spans="1:106" ht="11.25" customHeight="1" outlineLevel="1" x14ac:dyDescent="0.35">
      <c r="A41" s="30" t="s">
        <v>98</v>
      </c>
      <c r="B41" s="24">
        <f t="shared" ref="B41:AG41" si="74">-(B38+B40)/B9</f>
        <v>2.165574048433129E-2</v>
      </c>
      <c r="C41" s="24">
        <f t="shared" si="74"/>
        <v>2.951979333822621E-2</v>
      </c>
      <c r="D41" s="24">
        <f t="shared" si="74"/>
        <v>2.9733800467765231E-2</v>
      </c>
      <c r="E41" s="24">
        <f t="shared" si="74"/>
        <v>2.464814330948633E-2</v>
      </c>
      <c r="F41" s="25">
        <f t="shared" si="74"/>
        <v>2.6365487039644343E-2</v>
      </c>
      <c r="G41" s="24">
        <f t="shared" si="74"/>
        <v>3.4881764775447181E-2</v>
      </c>
      <c r="H41" s="24">
        <f t="shared" si="74"/>
        <v>2.5348474637062832E-2</v>
      </c>
      <c r="I41" s="24">
        <f t="shared" si="74"/>
        <v>3.0375698415364947E-2</v>
      </c>
      <c r="J41" s="24">
        <f t="shared" si="74"/>
        <v>3.2214919389600381E-2</v>
      </c>
      <c r="K41" s="25">
        <f t="shared" si="74"/>
        <v>3.0719557300970934E-2</v>
      </c>
      <c r="L41" s="24">
        <f t="shared" si="74"/>
        <v>3.3209146836722374E-2</v>
      </c>
      <c r="M41" s="24">
        <f t="shared" si="74"/>
        <v>4.4653614512190104E-2</v>
      </c>
      <c r="N41" s="24">
        <f t="shared" si="74"/>
        <v>3.5738307732423077E-2</v>
      </c>
      <c r="O41" s="24">
        <f t="shared" si="74"/>
        <v>-4.2749704602196457E-3</v>
      </c>
      <c r="P41" s="25">
        <f t="shared" si="74"/>
        <v>2.7106107058470757E-2</v>
      </c>
      <c r="Q41" s="24">
        <f t="shared" si="74"/>
        <v>2.2199001127228744E-2</v>
      </c>
      <c r="R41" s="24">
        <f t="shared" si="74"/>
        <v>2.4126013994268513E-2</v>
      </c>
      <c r="S41" s="24">
        <f t="shared" si="74"/>
        <v>2.3311016258763324E-2</v>
      </c>
      <c r="T41" s="24">
        <f t="shared" si="74"/>
        <v>3.1154719370774551E-2</v>
      </c>
      <c r="U41" s="25">
        <f t="shared" si="74"/>
        <v>2.5296720962969775E-2</v>
      </c>
      <c r="V41" s="24">
        <f t="shared" si="74"/>
        <v>3.1361708791952332E-2</v>
      </c>
      <c r="W41" s="24">
        <f t="shared" si="74"/>
        <v>3.1371587632175076E-2</v>
      </c>
      <c r="X41" s="24">
        <f t="shared" si="74"/>
        <v>1.8929835607202346E-2</v>
      </c>
      <c r="Y41" s="24">
        <f t="shared" si="74"/>
        <v>1.999885007755443E-2</v>
      </c>
      <c r="Z41" s="25">
        <f t="shared" si="74"/>
        <v>2.4926576081136805E-2</v>
      </c>
      <c r="AA41" s="24">
        <f t="shared" si="74"/>
        <v>2.2528675230435447E-2</v>
      </c>
      <c r="AB41" s="24">
        <f t="shared" si="74"/>
        <v>2.1023430955723166E-2</v>
      </c>
      <c r="AC41" s="24">
        <f t="shared" si="74"/>
        <v>2.582591873488771E-2</v>
      </c>
      <c r="AD41" s="24">
        <f t="shared" si="74"/>
        <v>2.0016418353623392E-2</v>
      </c>
      <c r="AE41" s="25">
        <f t="shared" si="74"/>
        <v>2.2401953015582846E-2</v>
      </c>
      <c r="AF41" s="24">
        <f t="shared" si="74"/>
        <v>2.251124328671553E-2</v>
      </c>
      <c r="AG41" s="24">
        <f t="shared" si="74"/>
        <v>2.3140774343910531E-2</v>
      </c>
      <c r="AH41" s="24">
        <f t="shared" ref="AH41:BM41" si="75">-(AH38+AH40)/AH9</f>
        <v>2.2427064755754983E-2</v>
      </c>
      <c r="AI41" s="24">
        <f t="shared" si="75"/>
        <v>2.4098680401060554E-2</v>
      </c>
      <c r="AJ41" s="25">
        <f t="shared" si="75"/>
        <v>2.3072252770466716E-2</v>
      </c>
      <c r="AK41" s="24">
        <f t="shared" si="75"/>
        <v>2.2315554740340301E-2</v>
      </c>
      <c r="AL41" s="24">
        <f t="shared" si="75"/>
        <v>2.4947977924545374E-2</v>
      </c>
      <c r="AM41" s="24">
        <f t="shared" si="75"/>
        <v>2.3899890771075915E-2</v>
      </c>
      <c r="AN41" s="24">
        <f t="shared" si="75"/>
        <v>2.6076904055390704E-2</v>
      </c>
      <c r="AO41" s="25">
        <f t="shared" si="75"/>
        <v>2.4373450221971224E-2</v>
      </c>
      <c r="AP41" s="24">
        <f t="shared" si="75"/>
        <v>2.608616534479009E-2</v>
      </c>
      <c r="AQ41" s="24">
        <f t="shared" si="75"/>
        <v>2.2192548069781513E-2</v>
      </c>
      <c r="AR41" s="24">
        <f t="shared" si="75"/>
        <v>2.1231331700755356E-2</v>
      </c>
      <c r="AS41" s="24">
        <f t="shared" si="75"/>
        <v>2.5246687851789549E-2</v>
      </c>
      <c r="AT41" s="25">
        <f t="shared" si="75"/>
        <v>2.3695809044944654E-2</v>
      </c>
      <c r="AU41" s="24">
        <f t="shared" si="75"/>
        <v>2.1919887296123625E-2</v>
      </c>
      <c r="AV41" s="24">
        <f t="shared" si="75"/>
        <v>2.0503468848692429E-2</v>
      </c>
      <c r="AW41" s="24">
        <f t="shared" si="75"/>
        <v>2.3181376162197957E-2</v>
      </c>
      <c r="AX41" s="24">
        <f t="shared" si="75"/>
        <v>2.2047411381391269E-2</v>
      </c>
      <c r="AY41" s="25">
        <f t="shared" si="75"/>
        <v>2.1922381140030981E-2</v>
      </c>
      <c r="AZ41" s="24">
        <f t="shared" si="75"/>
        <v>2.203189256690051E-2</v>
      </c>
      <c r="BA41" s="24">
        <f t="shared" si="75"/>
        <v>1.9470486690637188E-2</v>
      </c>
      <c r="BB41" s="24">
        <f t="shared" si="75"/>
        <v>1.8296471947214576E-2</v>
      </c>
      <c r="BC41" s="24">
        <f t="shared" si="75"/>
        <v>2.8783017707239053E-2</v>
      </c>
      <c r="BD41" s="25">
        <f t="shared" si="75"/>
        <v>2.2198940501546149E-2</v>
      </c>
      <c r="BE41" s="24">
        <f t="shared" si="75"/>
        <v>1.7780642641661321E-2</v>
      </c>
      <c r="BF41" s="24">
        <f t="shared" si="75"/>
        <v>1.7805974354050146E-2</v>
      </c>
      <c r="BG41" s="24">
        <f t="shared" si="75"/>
        <v>2.0634320625239164E-2</v>
      </c>
      <c r="BH41" s="24">
        <f t="shared" si="75"/>
        <v>1.7575183615937202E-2</v>
      </c>
      <c r="BI41" s="25">
        <f t="shared" si="75"/>
        <v>1.8497826995848111E-2</v>
      </c>
      <c r="BJ41" s="24">
        <f t="shared" si="75"/>
        <v>2.1445992861620002E-2</v>
      </c>
      <c r="BK41" s="24">
        <f t="shared" si="75"/>
        <v>2.4404779522639697E-2</v>
      </c>
      <c r="BL41" s="24">
        <f t="shared" si="75"/>
        <v>2.0844500411632397E-2</v>
      </c>
      <c r="BM41" s="24">
        <f t="shared" si="75"/>
        <v>2.4504054223599404E-2</v>
      </c>
      <c r="BN41" s="25">
        <f t="shared" ref="BN41:BY41" si="76">-(BN38+BN40)/BN9</f>
        <v>2.2730653077853297E-2</v>
      </c>
      <c r="BO41" s="24">
        <f t="shared" si="76"/>
        <v>2.4915343775176752E-2</v>
      </c>
      <c r="BP41" s="24">
        <f t="shared" si="76"/>
        <v>2.4386196423268048E-2</v>
      </c>
      <c r="BQ41" s="24">
        <f t="shared" si="76"/>
        <v>2.5220373840627263E-2</v>
      </c>
      <c r="BR41" s="24">
        <f t="shared" si="76"/>
        <v>2.5553273212799908E-2</v>
      </c>
      <c r="BS41" s="25">
        <f t="shared" si="76"/>
        <v>2.5030950634278095E-2</v>
      </c>
      <c r="BT41" s="24">
        <f t="shared" si="76"/>
        <v>2.3549329873082458E-2</v>
      </c>
      <c r="BU41" s="24">
        <f t="shared" si="76"/>
        <v>2.2242423622282168E-2</v>
      </c>
      <c r="BV41" s="24">
        <f t="shared" si="76"/>
        <v>2.5470388751563693E-2</v>
      </c>
      <c r="BW41" s="24">
        <f t="shared" si="76"/>
        <v>2.2101378583065105E-2</v>
      </c>
      <c r="BX41" s="25">
        <f t="shared" si="76"/>
        <v>2.3278591880575791E-2</v>
      </c>
      <c r="BY41" s="24">
        <f t="shared" si="76"/>
        <v>2.2609210423895812E-2</v>
      </c>
      <c r="BZ41" s="24">
        <f>-(BZ38+BZ40)/BZ9</f>
        <v>2.3602245708617884E-2</v>
      </c>
      <c r="CA41" s="24">
        <f>-(CA38+CA40)/CA9</f>
        <v>2.6235102981236075E-2</v>
      </c>
      <c r="CB41" s="24">
        <f t="shared" ref="CB41" si="77">-(CB38+CB40)/CB9</f>
        <v>-5.2300123579133615E-4</v>
      </c>
      <c r="CC41" s="25">
        <f>-(CC38+CC40)/CC9</f>
        <v>1.5708716957850241E-2</v>
      </c>
      <c r="CD41" s="24">
        <f t="shared" ref="CD41" si="78">-(CD38+CD40)/CD9</f>
        <v>2.5294402609735249E-2</v>
      </c>
      <c r="CE41" s="24">
        <f>-(CE38+CE40)/CE9</f>
        <v>2.2159959143381498E-2</v>
      </c>
      <c r="CF41" s="494">
        <v>1.9199999999999998E-2</v>
      </c>
      <c r="CG41" s="494">
        <v>1.9199999999999998E-2</v>
      </c>
      <c r="CH41" s="25">
        <f>-(CH38+CH40)/CH9</f>
        <v>2.1163928833853998E-2</v>
      </c>
      <c r="CI41" s="494">
        <v>1.9199999999999998E-2</v>
      </c>
      <c r="CJ41" s="494">
        <v>1.9199999999999998E-2</v>
      </c>
      <c r="CK41" s="494">
        <v>1.9199999999999998E-2</v>
      </c>
      <c r="CL41" s="494">
        <v>1.9199999999999998E-2</v>
      </c>
      <c r="CM41" s="25">
        <f>-(CM38+CM40)/CM9</f>
        <v>1.9199999999999998E-2</v>
      </c>
      <c r="CN41" s="494">
        <v>1.9199999999999998E-2</v>
      </c>
      <c r="CO41" s="494">
        <v>1.9199999999999998E-2</v>
      </c>
      <c r="CP41" s="494">
        <v>1.9199999999999998E-2</v>
      </c>
      <c r="CQ41" s="494">
        <v>1.9199999999999998E-2</v>
      </c>
      <c r="CR41" s="25">
        <f>-(CR38+CR40)/CR9</f>
        <v>1.9199999999999995E-2</v>
      </c>
      <c r="CS41" s="494">
        <v>1.9199999999999998E-2</v>
      </c>
      <c r="CT41" s="494">
        <v>1.9199999999999998E-2</v>
      </c>
      <c r="CU41" s="494">
        <v>1.9199999999999998E-2</v>
      </c>
      <c r="CV41" s="494">
        <v>1.9199999999999998E-2</v>
      </c>
      <c r="CW41" s="25">
        <f>-(CW38+CW40)/CW9</f>
        <v>1.9200000000000002E-2</v>
      </c>
      <c r="CX41" s="494">
        <v>1.9199999999999998E-2</v>
      </c>
      <c r="CY41" s="494">
        <v>1.9199999999999998E-2</v>
      </c>
      <c r="CZ41" s="494">
        <v>1.9199999999999998E-2</v>
      </c>
      <c r="DA41" s="494">
        <v>1.9199999999999998E-2</v>
      </c>
      <c r="DB41" s="25">
        <f>-(DB38+DB40)/DB9</f>
        <v>1.9199999999999998E-2</v>
      </c>
    </row>
    <row r="42" spans="1:106" ht="11.25" customHeight="1" x14ac:dyDescent="0.35">
      <c r="A42" s="16" t="s">
        <v>96</v>
      </c>
      <c r="B42" s="17">
        <f>B37+B38+B40</f>
        <v>186273</v>
      </c>
      <c r="C42" s="17">
        <f>C37+C38+C40</f>
        <v>197091</v>
      </c>
      <c r="D42" s="17">
        <f>D37+D38+D40</f>
        <v>196142</v>
      </c>
      <c r="E42" s="17">
        <f>E37+E38+E40</f>
        <v>105905</v>
      </c>
      <c r="F42" s="18">
        <f>SUM(B42:E42)</f>
        <v>685411</v>
      </c>
      <c r="G42" s="17">
        <f>G37+G38+G40</f>
        <v>90075</v>
      </c>
      <c r="H42" s="17">
        <f>H37+H38+H40</f>
        <v>118941</v>
      </c>
      <c r="I42" s="17">
        <f>I37+I38+I40</f>
        <v>177561</v>
      </c>
      <c r="J42" s="17">
        <f>J37+J38+J40</f>
        <v>205609</v>
      </c>
      <c r="K42" s="18">
        <f>SUM(G42:J42)</f>
        <v>592186</v>
      </c>
      <c r="L42" s="17">
        <f>L37+L38+L40</f>
        <v>178225</v>
      </c>
      <c r="M42" s="17">
        <f>M37+M38+M40</f>
        <v>169612</v>
      </c>
      <c r="N42" s="17">
        <f>N37+N38+N40</f>
        <v>165849</v>
      </c>
      <c r="O42" s="17">
        <f>O37+O38+O40</f>
        <v>322003</v>
      </c>
      <c r="P42" s="18">
        <f>SUM(L42:O42)</f>
        <v>835689</v>
      </c>
      <c r="Q42" s="17">
        <f>Q37+Q38+Q40</f>
        <v>208457</v>
      </c>
      <c r="R42" s="17">
        <f>R37+R38+R40</f>
        <v>225185</v>
      </c>
      <c r="S42" s="17">
        <f>S37+S38+S40</f>
        <v>228094</v>
      </c>
      <c r="T42" s="17">
        <f>T37+T38+T40</f>
        <v>226263</v>
      </c>
      <c r="U42" s="18">
        <f>SUM(Q42:T42)</f>
        <v>887999</v>
      </c>
      <c r="V42" s="17">
        <f>V37+V38+V40</f>
        <v>187344</v>
      </c>
      <c r="W42" s="17">
        <f>W37+W38+W40</f>
        <v>208215</v>
      </c>
      <c r="X42" s="17">
        <f>X37+X38+X40</f>
        <v>229793</v>
      </c>
      <c r="Y42" s="17">
        <f>Y37+Y38+Y40</f>
        <v>206034</v>
      </c>
      <c r="Z42" s="18">
        <f>SUM(V42:Y42)</f>
        <v>831386</v>
      </c>
      <c r="AA42" s="17">
        <f>AA37+AA38+AA40</f>
        <v>117932</v>
      </c>
      <c r="AB42" s="17">
        <f>AB37+AB38+AB40</f>
        <v>185059</v>
      </c>
      <c r="AC42" s="17">
        <f>AC37+AC38+AC40</f>
        <v>169026</v>
      </c>
      <c r="AD42" s="17">
        <f>AD37+AD38+AD40</f>
        <v>121136</v>
      </c>
      <c r="AE42" s="18">
        <f>SUM(AA42:AD42)</f>
        <v>593153</v>
      </c>
      <c r="AF42" s="17">
        <f>AF37+AF38+AF40</f>
        <v>88867</v>
      </c>
      <c r="AG42" s="17">
        <f>AG37+AG38+AG40</f>
        <v>56503</v>
      </c>
      <c r="AH42" s="17">
        <f>AH37+AH38+AH40</f>
        <v>42975</v>
      </c>
      <c r="AI42" s="17">
        <f>AI37+AI38+AI40</f>
        <v>56275</v>
      </c>
      <c r="AJ42" s="18">
        <f>SUM(AF42:AI42)</f>
        <v>244620</v>
      </c>
      <c r="AK42" s="17">
        <f>AK37+AK38+AK40</f>
        <v>34246</v>
      </c>
      <c r="AL42" s="17">
        <f>AL37+AL38+AL40</f>
        <v>-134320</v>
      </c>
      <c r="AM42" s="17">
        <f>AM37+AM38+AM40</f>
        <v>14163</v>
      </c>
      <c r="AN42" s="17">
        <f>AN37+AN38+AN40</f>
        <v>75372</v>
      </c>
      <c r="AO42" s="18">
        <f>SUM(AK42:AN42)</f>
        <v>-10539</v>
      </c>
      <c r="AP42" s="17">
        <f>AP37+AP38+AP40</f>
        <v>-34655</v>
      </c>
      <c r="AQ42" s="17">
        <f>AQ37+AQ38+AQ40</f>
        <v>-19131</v>
      </c>
      <c r="AR42" s="17">
        <f>AR37+AR38+AR40</f>
        <v>-94077</v>
      </c>
      <c r="AS42" s="17">
        <f>AS37+AS38+AS40</f>
        <v>153891</v>
      </c>
      <c r="AT42" s="18">
        <f>SUM(AP42:AS42)</f>
        <v>6028</v>
      </c>
      <c r="AU42" s="17">
        <f>AU37+AU38+AU40</f>
        <v>61401</v>
      </c>
      <c r="AV42" s="17">
        <f>AV37+AV38+AV40</f>
        <v>142291</v>
      </c>
      <c r="AW42" s="17">
        <f>AW37+AW38+AW40</f>
        <v>121261</v>
      </c>
      <c r="AX42" s="17">
        <f>AX37+AX38+AX40</f>
        <v>209365</v>
      </c>
      <c r="AY42" s="18">
        <f>SUM(AU42:AX42)</f>
        <v>534318</v>
      </c>
      <c r="AZ42" s="17">
        <f>AZ37+AZ38+AZ40</f>
        <v>48236</v>
      </c>
      <c r="BA42" s="17">
        <f>BA37+BA38+BA40</f>
        <v>92925</v>
      </c>
      <c r="BB42" s="17">
        <f>BB37+BB38+BB40</f>
        <v>1414875</v>
      </c>
      <c r="BC42" s="17">
        <f>BC37+BC38+BC40</f>
        <v>273461</v>
      </c>
      <c r="BD42" s="18">
        <f>SUM(AZ42:BC42)</f>
        <v>1829497</v>
      </c>
      <c r="BE42" s="17">
        <f>BE37+BE38+BE40</f>
        <v>208193</v>
      </c>
      <c r="BF42" s="17">
        <f>BF37+BF38+BF40</f>
        <v>290352</v>
      </c>
      <c r="BG42" s="17">
        <f>BG37+BG38+BG40</f>
        <v>266243</v>
      </c>
      <c r="BH42" s="17">
        <f>BH37+BH38+BH40</f>
        <v>252526</v>
      </c>
      <c r="BI42" s="18">
        <f>SUM(BE42:BH42)</f>
        <v>1017314</v>
      </c>
      <c r="BJ42" s="17">
        <f>BJ37+BJ38+BJ40</f>
        <v>170657</v>
      </c>
      <c r="BK42" s="17">
        <f>BK37+BK38+BK40</f>
        <v>161614</v>
      </c>
      <c r="BL42" s="17">
        <f>BL37+BL38+BL40</f>
        <v>309597</v>
      </c>
      <c r="BM42" s="17">
        <f>BM37+BM38+BM40</f>
        <v>216723</v>
      </c>
      <c r="BN42" s="18">
        <f>SUM(BJ42:BM42)</f>
        <v>858591</v>
      </c>
      <c r="BO42" s="17">
        <f>BO37+BO38+BO40</f>
        <v>191060</v>
      </c>
      <c r="BP42" s="17">
        <f>BP37+BP38+BP40</f>
        <v>308025</v>
      </c>
      <c r="BQ42" s="17">
        <f>BQ37+BQ38+BQ40</f>
        <v>304638</v>
      </c>
      <c r="BR42" s="17">
        <f>BR37+BR38+BR40</f>
        <v>301977</v>
      </c>
      <c r="BS42" s="18">
        <f>SUM(BO42:BR42)</f>
        <v>1105700</v>
      </c>
      <c r="BT42" s="17">
        <f>BT37+BT38+BT40</f>
        <v>314803</v>
      </c>
      <c r="BU42" s="17">
        <f>BU37+BU38+BU40</f>
        <v>477943</v>
      </c>
      <c r="BV42" s="17">
        <f>BV37+BV38+BV40</f>
        <v>541012</v>
      </c>
      <c r="BW42" s="17">
        <f>BW37+BW38+BW40</f>
        <v>679294</v>
      </c>
      <c r="BX42" s="18">
        <f>SUM(BT42:BW42)</f>
        <v>2013052</v>
      </c>
      <c r="BY42" s="17">
        <f>BY37+BY38+BY40</f>
        <v>393813</v>
      </c>
      <c r="BZ42" s="17">
        <f>BZ37+BZ38+BZ40</f>
        <v>479003</v>
      </c>
      <c r="CA42" s="17">
        <f>CA37+CA38+CA40</f>
        <v>682963</v>
      </c>
      <c r="CB42" s="17">
        <f>CB37+CB38+CB40</f>
        <v>840050</v>
      </c>
      <c r="CC42" s="18">
        <f>SUM(BY42:CB42)</f>
        <v>2395829</v>
      </c>
      <c r="CD42" s="17">
        <f>CD37+CD38+CD40</f>
        <v>360059</v>
      </c>
      <c r="CE42" s="17">
        <f>CE37+CE38+CE40</f>
        <v>518757</v>
      </c>
      <c r="CF42" s="17">
        <f ca="1">CF37+CF38+CF40</f>
        <v>606806.46937053686</v>
      </c>
      <c r="CG42" s="17">
        <f ca="1">CG37+CG38+CG40</f>
        <v>694320.09596043371</v>
      </c>
      <c r="CH42" s="18">
        <f ca="1">SUM(CD42:CG42)</f>
        <v>2179942.5653309706</v>
      </c>
      <c r="CI42" s="17">
        <f ca="1">CI37+CI38+CI40</f>
        <v>690946.90463714034</v>
      </c>
      <c r="CJ42" s="17">
        <f ca="1">CJ37+CJ38+CJ40</f>
        <v>646247.34829275555</v>
      </c>
      <c r="CK42" s="17">
        <f ca="1">CK37+CK38+CK40</f>
        <v>668046.28545055643</v>
      </c>
      <c r="CL42" s="17">
        <f ca="1">CL37+CL38+CL40</f>
        <v>740605.69722247613</v>
      </c>
      <c r="CM42" s="18">
        <f ca="1">SUM(CI42:CL42)</f>
        <v>2745846.2356029283</v>
      </c>
      <c r="CN42" s="17">
        <f ca="1">CN37+CN38+CN40</f>
        <v>795534.07578652655</v>
      </c>
      <c r="CO42" s="17">
        <f ca="1">CO37+CO38+CO40</f>
        <v>731080.32937920676</v>
      </c>
      <c r="CP42" s="17">
        <f ca="1">CP37+CP38+CP40</f>
        <v>733606.02932653448</v>
      </c>
      <c r="CQ42" s="17">
        <f ca="1">CQ37+CQ38+CQ40</f>
        <v>804806.89160072175</v>
      </c>
      <c r="CR42" s="18">
        <f ca="1">SUM(CN42:CQ42)</f>
        <v>3065027.3260929892</v>
      </c>
      <c r="CS42" s="17">
        <f ca="1">CS37+CS38+CS40</f>
        <v>854435.26810715394</v>
      </c>
      <c r="CT42" s="17">
        <f ca="1">CT37+CT38+CT40</f>
        <v>785091.80861355888</v>
      </c>
      <c r="CU42" s="17">
        <f ca="1">CU37+CU38+CU40</f>
        <v>789406.3363519992</v>
      </c>
      <c r="CV42" s="17">
        <f ca="1">CV37+CV38+CV40</f>
        <v>857744.20383130759</v>
      </c>
      <c r="CW42" s="18">
        <f ca="1">SUM(CS42:CV42)</f>
        <v>3286677.6169040194</v>
      </c>
      <c r="CX42" s="17">
        <f ca="1">CX37+CX38+CX40</f>
        <v>934695.52536885708</v>
      </c>
      <c r="CY42" s="17">
        <f ca="1">CY37+CY38+CY40</f>
        <v>854865.96047426527</v>
      </c>
      <c r="CZ42" s="17">
        <f ca="1">CZ37+CZ38+CZ40</f>
        <v>862121.866329949</v>
      </c>
      <c r="DA42" s="17">
        <f ca="1">DA37+DA38+DA40</f>
        <v>936764.0069465409</v>
      </c>
      <c r="DB42" s="18">
        <f ca="1">SUM(CX42:DA42)</f>
        <v>3588447.3591196123</v>
      </c>
    </row>
    <row r="43" spans="1:106" ht="11.25" customHeight="1" x14ac:dyDescent="0.35">
      <c r="A43" s="16" t="s">
        <v>93</v>
      </c>
      <c r="B43" s="396">
        <v>-12033</v>
      </c>
      <c r="C43" s="396">
        <v>-29297</v>
      </c>
      <c r="D43" s="396">
        <v>-20108</v>
      </c>
      <c r="E43" s="396">
        <v>-23379</v>
      </c>
      <c r="F43" s="18">
        <f>SUM(B43:E43)</f>
        <v>-84817</v>
      </c>
      <c r="G43" s="396">
        <v>-15894</v>
      </c>
      <c r="H43" s="396">
        <v>-10068</v>
      </c>
      <c r="I43" s="396">
        <v>-30808</v>
      </c>
      <c r="J43" s="396">
        <f>-94015-G43-H43-I43</f>
        <v>-37245</v>
      </c>
      <c r="K43" s="18">
        <f>SUM(G43:J43)</f>
        <v>-94015</v>
      </c>
      <c r="L43" s="396">
        <f>-87186-M43</f>
        <v>-60319</v>
      </c>
      <c r="M43" s="396">
        <v>-26867</v>
      </c>
      <c r="N43" s="396">
        <v>-15454</v>
      </c>
      <c r="O43" s="396">
        <f>-175541-L43-M43-N43</f>
        <v>-72901</v>
      </c>
      <c r="P43" s="18">
        <f>SUM(L43:O43)</f>
        <v>-175541</v>
      </c>
      <c r="Q43" s="396">
        <f>-77936-R43</f>
        <v>-35528</v>
      </c>
      <c r="R43" s="396">
        <v>-42408</v>
      </c>
      <c r="S43" s="396">
        <v>-53490</v>
      </c>
      <c r="T43" s="396">
        <f>-175167-SUM(Q43:S43)</f>
        <v>-43741</v>
      </c>
      <c r="U43" s="18">
        <f>SUM(Q43:T43)</f>
        <v>-175167</v>
      </c>
      <c r="V43" s="396">
        <v>-23891</v>
      </c>
      <c r="W43" s="396">
        <v>-39321</v>
      </c>
      <c r="X43" s="396">
        <v>-50664</v>
      </c>
      <c r="Y43" s="396">
        <f>-169887-SUM(V43:X43)</f>
        <v>-56011</v>
      </c>
      <c r="Z43" s="18">
        <f>SUM(V43:Y43)</f>
        <v>-169887</v>
      </c>
      <c r="AA43" s="396">
        <v>-17391</v>
      </c>
      <c r="AB43" s="396">
        <v>-67053</v>
      </c>
      <c r="AC43" s="396">
        <v>-37794</v>
      </c>
      <c r="AD43" s="396">
        <f>-145353-SUM(AA43:AC43)</f>
        <v>-23115</v>
      </c>
      <c r="AE43" s="18">
        <f>SUM(AA43:AD43)</f>
        <v>-145353</v>
      </c>
      <c r="AF43" s="396">
        <v>-27595</v>
      </c>
      <c r="AG43" s="396">
        <v>-11800</v>
      </c>
      <c r="AH43" s="396">
        <v>-28531</v>
      </c>
      <c r="AI43" s="396">
        <f>-93268-SUM(AF43:AH43)</f>
        <v>-25342</v>
      </c>
      <c r="AJ43" s="18">
        <f>SUM(AF43:AI43)</f>
        <v>-93268</v>
      </c>
      <c r="AK43" s="396">
        <v>-30221</v>
      </c>
      <c r="AL43" s="396">
        <v>-6708</v>
      </c>
      <c r="AM43" s="396">
        <v>-20926</v>
      </c>
      <c r="AN43" s="396">
        <f>-84465-SUM(AK43:AM43)</f>
        <v>-26610</v>
      </c>
      <c r="AO43" s="18">
        <f>SUM(AK43:AN43)</f>
        <v>-84465</v>
      </c>
      <c r="AP43" s="396">
        <v>-16629</v>
      </c>
      <c r="AQ43" s="396">
        <v>-9306</v>
      </c>
      <c r="AR43" s="396">
        <v>-26676</v>
      </c>
      <c r="AS43" s="396">
        <f>-90391-SUM(AP43:AR43)</f>
        <v>-37780</v>
      </c>
      <c r="AT43" s="18">
        <f>SUM(AP43:AS43)</f>
        <v>-90391</v>
      </c>
      <c r="AU43" s="396">
        <v>-12991</v>
      </c>
      <c r="AV43" s="396">
        <v>-28456</v>
      </c>
      <c r="AW43" s="396">
        <v>-16878</v>
      </c>
      <c r="AX43" s="396">
        <f>-118475-SUM(AU43:AW43)</f>
        <v>-60150</v>
      </c>
      <c r="AY43" s="18">
        <f>SUM(AU43:AX43)</f>
        <v>-118475</v>
      </c>
      <c r="AZ43" s="396">
        <v>-20301</v>
      </c>
      <c r="BA43" s="396">
        <v>-25114</v>
      </c>
      <c r="BB43" s="396">
        <v>-11594</v>
      </c>
      <c r="BC43" s="396">
        <f>-69239-SUM(AZ43:BB43)</f>
        <v>-12230</v>
      </c>
      <c r="BD43" s="18">
        <f>SUM(AZ43:BC43)</f>
        <v>-69239</v>
      </c>
      <c r="BE43" s="396">
        <v>-15908</v>
      </c>
      <c r="BF43" s="396">
        <v>-23378</v>
      </c>
      <c r="BG43" s="396">
        <v>-28696</v>
      </c>
      <c r="BH43" s="396">
        <f>-102959-SUM(BE43:BG43)</f>
        <v>-34977</v>
      </c>
      <c r="BI43" s="18">
        <f>SUM(BE43:BH43)</f>
        <v>-102959</v>
      </c>
      <c r="BJ43" s="396">
        <v>-8906</v>
      </c>
      <c r="BK43" s="396">
        <v>-10817</v>
      </c>
      <c r="BL43" s="396">
        <v>-20969</v>
      </c>
      <c r="BM43" s="396">
        <f>-49711-SUM(BJ43:BL43)</f>
        <v>-9019</v>
      </c>
      <c r="BN43" s="18">
        <f>SUM(BJ43:BM43)</f>
        <v>-49711</v>
      </c>
      <c r="BO43" s="396">
        <v>-27484</v>
      </c>
      <c r="BP43" s="396">
        <v>-28640</v>
      </c>
      <c r="BQ43" s="396">
        <v>-53319</v>
      </c>
      <c r="BR43" s="396">
        <f>-163610-SUM(BO43:BQ43)</f>
        <v>-54167</v>
      </c>
      <c r="BS43" s="18">
        <f>SUM(BO43:BR43)</f>
        <v>-163610</v>
      </c>
      <c r="BT43" s="396">
        <v>-47545</v>
      </c>
      <c r="BU43" s="396">
        <v>-65938</v>
      </c>
      <c r="BV43" s="396">
        <v>-67911</v>
      </c>
      <c r="BW43" s="396">
        <f>-272056-SUM(BT43:BV43)</f>
        <v>-90662</v>
      </c>
      <c r="BX43" s="18">
        <f>SUM(BT43:BW43)</f>
        <v>-272056</v>
      </c>
      <c r="BY43" s="396">
        <v>-66181</v>
      </c>
      <c r="BZ43" s="396">
        <v>-91196</v>
      </c>
      <c r="CA43" s="396">
        <v>-73848</v>
      </c>
      <c r="CB43" s="396">
        <f>-389073-SUM(BY43:CA43)</f>
        <v>-157848</v>
      </c>
      <c r="CC43" s="18">
        <f>SUM(BY43:CB43)</f>
        <v>-389073</v>
      </c>
      <c r="CD43" s="396">
        <v>-63283</v>
      </c>
      <c r="CE43" s="396">
        <v>-67151</v>
      </c>
      <c r="CF43" s="495">
        <f>-25%/4*'BS &amp; FCF'!CE42</f>
        <v>-80216.875</v>
      </c>
      <c r="CG43" s="495">
        <f>-25%/4*'BS &amp; FCF'!CF42</f>
        <v>-82399.517267450734</v>
      </c>
      <c r="CH43" s="18">
        <f>SUM(CD43:CG43)</f>
        <v>-293050.39226745075</v>
      </c>
      <c r="CI43" s="495">
        <f>-27.5%/4*'BS &amp; FCF'!CH42</f>
        <v>-92760.440128405462</v>
      </c>
      <c r="CJ43" s="495">
        <f>-27.5%/4*'BS &amp; FCF'!CI42</f>
        <v>-96257.920725014657</v>
      </c>
      <c r="CK43" s="495">
        <f>-27.5%/4*'BS &amp; FCF'!CJ42</f>
        <v>-97097.01854009158</v>
      </c>
      <c r="CL43" s="495">
        <f>-27.5%/4*'BS &amp; FCF'!CK42</f>
        <v>-98064.720294716302</v>
      </c>
      <c r="CM43" s="18">
        <f t="shared" ref="CM43" si="79">SUM(CI43:CL43)</f>
        <v>-384180.09968822799</v>
      </c>
      <c r="CN43" s="495">
        <f>-30%/4*'BS &amp; FCF'!CM42</f>
        <v>-107674.7633960299</v>
      </c>
      <c r="CO43" s="495">
        <f>-30%/4*'BS &amp; FCF'!CN42</f>
        <v>-110322.50143714179</v>
      </c>
      <c r="CP43" s="495">
        <f>-30%/4*'BS &amp; FCF'!CO42</f>
        <v>-111968.17538323598</v>
      </c>
      <c r="CQ43" s="495">
        <f>-30%/4*'BS &amp; FCF'!CP42</f>
        <v>-113705.99136566227</v>
      </c>
      <c r="CR43" s="18">
        <f t="shared" ref="CR43" si="80">SUM(CN43:CQ43)</f>
        <v>-443671.4315820699</v>
      </c>
      <c r="CS43" s="495">
        <f>-30%/4*'BS &amp; FCF'!CR42</f>
        <v>-114302.37953415942</v>
      </c>
      <c r="CT43" s="495">
        <f>-30%/4*'BS &amp; FCF'!CS42</f>
        <v>-115668.70320734076</v>
      </c>
      <c r="CU43" s="495">
        <f>-30%/4*'BS &amp; FCF'!CT42</f>
        <v>-116659.95304619013</v>
      </c>
      <c r="CV43" s="495">
        <f>-30%/4*'BS &amp; FCF'!CU42</f>
        <v>-117576.3454035336</v>
      </c>
      <c r="CW43" s="18">
        <f t="shared" ref="CW43" si="81">SUM(CS43:CV43)</f>
        <v>-464207.38119122392</v>
      </c>
      <c r="CX43" s="495">
        <f>-30%/4*'BS &amp; FCF'!CW42</f>
        <v>-118375.99884215923</v>
      </c>
      <c r="CY43" s="495">
        <f>-30%/4*'BS &amp; FCF'!CX42</f>
        <v>-120941.20144398409</v>
      </c>
      <c r="CZ43" s="495">
        <f>-30%/4*'BS &amp; FCF'!CY42</f>
        <v>-121213.0519895201</v>
      </c>
      <c r="DA43" s="495">
        <f>-30%/4*'BS &amp; FCF'!CZ42</f>
        <v>-120337.55281862339</v>
      </c>
      <c r="DB43" s="18">
        <f t="shared" ref="DB43" si="82">SUM(CX43:DA43)</f>
        <v>-480867.8050942868</v>
      </c>
    </row>
    <row r="44" spans="1:106" s="31" customFormat="1" ht="11.25" customHeight="1" outlineLevel="1" x14ac:dyDescent="0.35">
      <c r="A44" s="30" t="s">
        <v>210</v>
      </c>
      <c r="B44" s="24">
        <f t="shared" ref="B44:AE44" si="83">-B43/B42</f>
        <v>6.4598734116055462E-2</v>
      </c>
      <c r="C44" s="24">
        <f t="shared" si="83"/>
        <v>0.14864707165725477</v>
      </c>
      <c r="D44" s="24">
        <f t="shared" si="83"/>
        <v>0.10251756380581416</v>
      </c>
      <c r="E44" s="24">
        <f t="shared" si="83"/>
        <v>0.22075444974269393</v>
      </c>
      <c r="F44" s="25">
        <f t="shared" si="83"/>
        <v>0.12374619024205914</v>
      </c>
      <c r="G44" s="24">
        <f t="shared" si="83"/>
        <v>0.17645295587010823</v>
      </c>
      <c r="H44" s="24">
        <f t="shared" si="83"/>
        <v>8.4647009862032441E-2</v>
      </c>
      <c r="I44" s="24">
        <f t="shared" si="83"/>
        <v>0.1735065695732734</v>
      </c>
      <c r="J44" s="24">
        <f t="shared" si="83"/>
        <v>0.1811447942453881</v>
      </c>
      <c r="K44" s="25">
        <f t="shared" si="83"/>
        <v>0.15875924118435761</v>
      </c>
      <c r="L44" s="24">
        <f t="shared" si="83"/>
        <v>0.33844297937999718</v>
      </c>
      <c r="M44" s="24">
        <f t="shared" si="83"/>
        <v>0.15840270735561163</v>
      </c>
      <c r="N44" s="24">
        <f t="shared" si="83"/>
        <v>9.3181146705738349E-2</v>
      </c>
      <c r="O44" s="24">
        <f t="shared" si="83"/>
        <v>0.22639851181510731</v>
      </c>
      <c r="P44" s="25">
        <f t="shared" si="83"/>
        <v>0.2100554153518833</v>
      </c>
      <c r="Q44" s="24">
        <f t="shared" si="83"/>
        <v>0.17043323083417683</v>
      </c>
      <c r="R44" s="24">
        <f t="shared" si="83"/>
        <v>0.18832515487266024</v>
      </c>
      <c r="S44" s="24">
        <f t="shared" si="83"/>
        <v>0.234508579796049</v>
      </c>
      <c r="T44" s="24">
        <f t="shared" si="83"/>
        <v>0.19331927889226255</v>
      </c>
      <c r="U44" s="25">
        <f t="shared" si="83"/>
        <v>0.1972603572751771</v>
      </c>
      <c r="V44" s="24">
        <f>-V43/V42</f>
        <v>0.12752476727303783</v>
      </c>
      <c r="W44" s="24">
        <f>-W43/W42</f>
        <v>0.18884806570131835</v>
      </c>
      <c r="X44" s="24">
        <f>-X43/X42</f>
        <v>0.22047668989046665</v>
      </c>
      <c r="Y44" s="24">
        <f t="shared" si="83"/>
        <v>0.2718531892794393</v>
      </c>
      <c r="Z44" s="25">
        <f t="shared" si="83"/>
        <v>0.20434190616632947</v>
      </c>
      <c r="AA44" s="24">
        <f t="shared" si="83"/>
        <v>0.14746633653291727</v>
      </c>
      <c r="AB44" s="24">
        <f t="shared" si="83"/>
        <v>0.36233309377009493</v>
      </c>
      <c r="AC44" s="24">
        <f t="shared" si="83"/>
        <v>0.22359873628909163</v>
      </c>
      <c r="AD44" s="24">
        <f>-AD43/AD42</f>
        <v>0.19081858407079647</v>
      </c>
      <c r="AE44" s="25">
        <f t="shared" si="83"/>
        <v>0.24505144541121768</v>
      </c>
      <c r="AF44" s="24">
        <f>-AF43/AF42</f>
        <v>0.31052021560309229</v>
      </c>
      <c r="AG44" s="24">
        <f>-AG43/AG42</f>
        <v>0.20883846875387146</v>
      </c>
      <c r="AH44" s="24">
        <f>-AH43/AH42</f>
        <v>0.66389761489237931</v>
      </c>
      <c r="AI44" s="24">
        <f>-AI43/AI42</f>
        <v>0.45032430031097292</v>
      </c>
      <c r="AJ44" s="25">
        <f t="shared" ref="AJ44:AY44" si="84">-AJ43/AJ42</f>
        <v>0.38127708282233669</v>
      </c>
      <c r="AK44" s="24">
        <f t="shared" si="84"/>
        <v>0.88246802546282777</v>
      </c>
      <c r="AL44" s="24">
        <f t="shared" si="84"/>
        <v>-4.994044073853484E-2</v>
      </c>
      <c r="AM44" s="24">
        <f t="shared" si="84"/>
        <v>1.4775118265904117</v>
      </c>
      <c r="AN44" s="24">
        <f t="shared" si="84"/>
        <v>0.35304887756726638</v>
      </c>
      <c r="AO44" s="25">
        <f t="shared" si="84"/>
        <v>-8.0145175064047827</v>
      </c>
      <c r="AP44" s="24">
        <f>-AP43/AP42</f>
        <v>-0.47984417832924542</v>
      </c>
      <c r="AQ44" s="24">
        <f>-AQ43/AQ42</f>
        <v>-0.48643562803826251</v>
      </c>
      <c r="AR44" s="24">
        <f>-AR43/AR42</f>
        <v>-0.28355496029847893</v>
      </c>
      <c r="AS44" s="24">
        <f>-AS43/AS42</f>
        <v>0.24549843720555459</v>
      </c>
      <c r="AT44" s="25">
        <f t="shared" si="84"/>
        <v>14.995189117451892</v>
      </c>
      <c r="AU44" s="24">
        <f t="shared" si="84"/>
        <v>0.21157635869122654</v>
      </c>
      <c r="AV44" s="24">
        <f t="shared" si="84"/>
        <v>0.199984538726975</v>
      </c>
      <c r="AW44" s="24">
        <f t="shared" si="84"/>
        <v>0.13918737269196196</v>
      </c>
      <c r="AX44" s="24">
        <f t="shared" si="84"/>
        <v>0.287297303751821</v>
      </c>
      <c r="AY44" s="25">
        <f t="shared" si="84"/>
        <v>0.22173125367290639</v>
      </c>
      <c r="AZ44" s="24">
        <f>-AZ43/AZ42</f>
        <v>0.42086823119661665</v>
      </c>
      <c r="BA44" s="24">
        <f>-BA43/BA42</f>
        <v>0.27026096314231907</v>
      </c>
      <c r="BB44" s="24">
        <f>-BB43/BB42</f>
        <v>8.1943634596695816E-3</v>
      </c>
      <c r="BC44" s="24">
        <f>-BC43/BC42</f>
        <v>4.4723013519295259E-2</v>
      </c>
      <c r="BD44" s="25">
        <f t="shared" ref="BD44:CC44" si="85">-BD43/BD42</f>
        <v>3.7845921583910772E-2</v>
      </c>
      <c r="BE44" s="24">
        <f t="shared" si="85"/>
        <v>7.6409869688221985E-2</v>
      </c>
      <c r="BF44" s="24">
        <f t="shared" si="85"/>
        <v>8.051606326114509E-2</v>
      </c>
      <c r="BG44" s="24">
        <f t="shared" si="85"/>
        <v>0.10778123744098436</v>
      </c>
      <c r="BH44" s="24">
        <f t="shared" si="85"/>
        <v>0.13850851001481035</v>
      </c>
      <c r="BI44" s="25">
        <f t="shared" si="85"/>
        <v>0.10120670707372552</v>
      </c>
      <c r="BJ44" s="24">
        <f>-BJ43/BJ42</f>
        <v>5.2186549628787569E-2</v>
      </c>
      <c r="BK44" s="24">
        <f>-BK43/BK42</f>
        <v>6.6931082703231157E-2</v>
      </c>
      <c r="BL44" s="24">
        <f>-BL43/BL42</f>
        <v>6.7729984463673745E-2</v>
      </c>
      <c r="BM44" s="24">
        <f>-BM43/BM42</f>
        <v>4.1615333859350415E-2</v>
      </c>
      <c r="BN44" s="25">
        <f t="shared" si="85"/>
        <v>5.7898347408719637E-2</v>
      </c>
      <c r="BO44" s="24">
        <f t="shared" si="85"/>
        <v>0.14385009944520047</v>
      </c>
      <c r="BP44" s="24">
        <f t="shared" si="85"/>
        <v>9.2979465952438931E-2</v>
      </c>
      <c r="BQ44" s="24">
        <f t="shared" si="85"/>
        <v>0.17502412699663206</v>
      </c>
      <c r="BR44" s="24">
        <f t="shared" si="85"/>
        <v>0.17937458813088414</v>
      </c>
      <c r="BS44" s="25">
        <f t="shared" si="85"/>
        <v>0.14796961201049108</v>
      </c>
      <c r="BT44" s="24">
        <f>-BT43/BT42</f>
        <v>0.15103096222081747</v>
      </c>
      <c r="BU44" s="24">
        <f>-BU43/BU42</f>
        <v>0.13796205823707011</v>
      </c>
      <c r="BV44" s="24">
        <f>-BV43/BV42</f>
        <v>0.12552586633937879</v>
      </c>
      <c r="BW44" s="24">
        <f>-BW43/BW42</f>
        <v>0.13346503870194643</v>
      </c>
      <c r="BX44" s="25">
        <f t="shared" si="85"/>
        <v>0.13514603696278088</v>
      </c>
      <c r="BY44" s="24">
        <f>-BY43/BY42</f>
        <v>0.16805184186403191</v>
      </c>
      <c r="BZ44" s="24">
        <f>-BZ43/BZ42</f>
        <v>0.19038711657338264</v>
      </c>
      <c r="CA44" s="24">
        <f>-CA43/CA42</f>
        <v>0.10812884446155942</v>
      </c>
      <c r="CB44" s="24">
        <f>-CB43/CB42</f>
        <v>0.1879031010058925</v>
      </c>
      <c r="CC44" s="25">
        <f t="shared" si="85"/>
        <v>0.16239598068142594</v>
      </c>
      <c r="CD44" s="24">
        <f>-CD43/CD42</f>
        <v>0.17575730644144433</v>
      </c>
      <c r="CE44" s="24">
        <f>-CE43/CE42</f>
        <v>0.12944596410265308</v>
      </c>
      <c r="CF44" s="24">
        <f ca="1">-CF43/CF42</f>
        <v>0.13219515454937714</v>
      </c>
      <c r="CG44" s="24">
        <f ca="1">-CG43/CG42</f>
        <v>0.11867655530475431</v>
      </c>
      <c r="CH44" s="25">
        <f ca="1">-CH43/CH42</f>
        <v>0.13443032716917397</v>
      </c>
      <c r="CI44" s="24">
        <f t="shared" ref="CI44:DB44" ca="1" si="86">-CI43/CI42</f>
        <v>0.13425118414434434</v>
      </c>
      <c r="CJ44" s="24">
        <f t="shared" ca="1" si="86"/>
        <v>0.14894903782476954</v>
      </c>
      <c r="CK44" s="24">
        <f t="shared" ca="1" si="86"/>
        <v>0.14534474729487579</v>
      </c>
      <c r="CL44" s="24">
        <f t="shared" ca="1" si="86"/>
        <v>0.13241151217509187</v>
      </c>
      <c r="CM44" s="25">
        <f t="shared" ca="1" si="86"/>
        <v>0.13991318767486277</v>
      </c>
      <c r="CN44" s="24">
        <f t="shared" ca="1" si="86"/>
        <v>0.13534902736827997</v>
      </c>
      <c r="CO44" s="24">
        <f t="shared" ca="1" si="86"/>
        <v>0.1509033918759948</v>
      </c>
      <c r="CP44" s="24">
        <f t="shared" ca="1" si="86"/>
        <v>0.15262711988071456</v>
      </c>
      <c r="CQ44" s="24">
        <f t="shared" ca="1" si="86"/>
        <v>0.14128357069545786</v>
      </c>
      <c r="CR44" s="25">
        <f t="shared" ca="1" si="86"/>
        <v>0.14475284699912311</v>
      </c>
      <c r="CS44" s="24">
        <f t="shared" ca="1" si="86"/>
        <v>0.13377535291511969</v>
      </c>
      <c r="CT44" s="24">
        <f t="shared" ca="1" si="86"/>
        <v>0.1473314355573358</v>
      </c>
      <c r="CU44" s="24">
        <f t="shared" ca="1" si="86"/>
        <v>0.14778188072988943</v>
      </c>
      <c r="CV44" s="24">
        <f t="shared" ca="1" si="86"/>
        <v>0.13707623424134185</v>
      </c>
      <c r="CW44" s="25">
        <f t="shared" ca="1" si="86"/>
        <v>0.14123909774530835</v>
      </c>
      <c r="CX44" s="24">
        <f t="shared" ca="1" si="86"/>
        <v>0.12664658771683404</v>
      </c>
      <c r="CY44" s="24">
        <f t="shared" ca="1" si="86"/>
        <v>0.1414738766494901</v>
      </c>
      <c r="CZ44" s="24">
        <f t="shared" ca="1" si="86"/>
        <v>0.14059851248817504</v>
      </c>
      <c r="DA44" s="24">
        <f t="shared" ca="1" si="86"/>
        <v>0.12846090576309982</v>
      </c>
      <c r="DB44" s="25">
        <f t="shared" ca="1" si="86"/>
        <v>0.13400441945239031</v>
      </c>
    </row>
    <row r="45" spans="1:106" s="11" customFormat="1" ht="11.25" customHeight="1" x14ac:dyDescent="0.35">
      <c r="A45" s="32" t="s">
        <v>95</v>
      </c>
      <c r="B45" s="49">
        <f>B42+B43</f>
        <v>174240</v>
      </c>
      <c r="C45" s="49">
        <f>C42+C43</f>
        <v>167794</v>
      </c>
      <c r="D45" s="49">
        <f>D42+D43</f>
        <v>176034</v>
      </c>
      <c r="E45" s="49">
        <f>E42+E43</f>
        <v>82526</v>
      </c>
      <c r="F45" s="50">
        <f>SUM(B45:E45)</f>
        <v>600594</v>
      </c>
      <c r="G45" s="49">
        <f>G42+G43</f>
        <v>74181</v>
      </c>
      <c r="H45" s="49">
        <f>H42+H43</f>
        <v>108873</v>
      </c>
      <c r="I45" s="49">
        <f>I42+I43</f>
        <v>146753</v>
      </c>
      <c r="J45" s="49">
        <f>J42+J43</f>
        <v>168364</v>
      </c>
      <c r="K45" s="589">
        <f>SUM(G45:J45)</f>
        <v>498171</v>
      </c>
      <c r="L45" s="49">
        <f>L42+L43</f>
        <v>117906</v>
      </c>
      <c r="M45" s="49">
        <f>M42+M43</f>
        <v>142745</v>
      </c>
      <c r="N45" s="49">
        <f>N42+N43</f>
        <v>150395</v>
      </c>
      <c r="O45" s="49">
        <f>O42+O43</f>
        <v>249102</v>
      </c>
      <c r="P45" s="589">
        <f>SUM(L45:O45)</f>
        <v>660148</v>
      </c>
      <c r="Q45" s="49">
        <f>Q42+Q43</f>
        <v>172929</v>
      </c>
      <c r="R45" s="49">
        <f>R42+R43</f>
        <v>182777</v>
      </c>
      <c r="S45" s="49">
        <f>S42+S43</f>
        <v>174604</v>
      </c>
      <c r="T45" s="49">
        <f>T42+T43</f>
        <v>182522</v>
      </c>
      <c r="U45" s="50">
        <f>SUM(Q45:T45)</f>
        <v>712832</v>
      </c>
      <c r="V45" s="49">
        <f>V42+V43</f>
        <v>163453</v>
      </c>
      <c r="W45" s="49">
        <f>W42+W43</f>
        <v>168894</v>
      </c>
      <c r="X45" s="49">
        <f>X42+X43</f>
        <v>179129</v>
      </c>
      <c r="Y45" s="49">
        <f>Y42+Y43</f>
        <v>150023</v>
      </c>
      <c r="Z45" s="589">
        <f>SUM(V45:Y45)</f>
        <v>661499</v>
      </c>
      <c r="AA45" s="49">
        <f>AA42+AA43</f>
        <v>100541</v>
      </c>
      <c r="AB45" s="49">
        <f>AB42+AB43</f>
        <v>118006</v>
      </c>
      <c r="AC45" s="49">
        <f>AC42+AC43</f>
        <v>131232</v>
      </c>
      <c r="AD45" s="49">
        <f>AD42+AD43</f>
        <v>98021</v>
      </c>
      <c r="AE45" s="589">
        <f>SUM(AA45:AD45)</f>
        <v>447800</v>
      </c>
      <c r="AF45" s="49">
        <f>AF42+AF43</f>
        <v>61272</v>
      </c>
      <c r="AG45" s="49">
        <f>AG42+AG43</f>
        <v>44703</v>
      </c>
      <c r="AH45" s="49">
        <f>AH42+AH43</f>
        <v>14444</v>
      </c>
      <c r="AI45" s="49">
        <f>AI42+AI43</f>
        <v>30933</v>
      </c>
      <c r="AJ45" s="589">
        <f>SUM(AF45:AI45)</f>
        <v>151352</v>
      </c>
      <c r="AK45" s="49">
        <f>AK42+AK43</f>
        <v>4025</v>
      </c>
      <c r="AL45" s="49">
        <f>AL42+AL43</f>
        <v>-141028</v>
      </c>
      <c r="AM45" s="49">
        <f>AM42+AM43</f>
        <v>-6763</v>
      </c>
      <c r="AN45" s="49">
        <f>AN42+AN43</f>
        <v>48762</v>
      </c>
      <c r="AO45" s="589">
        <f>SUM(AK45:AN45)</f>
        <v>-95004</v>
      </c>
      <c r="AP45" s="49">
        <f>AP42+AP43</f>
        <v>-51284</v>
      </c>
      <c r="AQ45" s="49">
        <f>AQ42+AQ43</f>
        <v>-28437</v>
      </c>
      <c r="AR45" s="49">
        <f>AR42+AR43</f>
        <v>-120753</v>
      </c>
      <c r="AS45" s="49">
        <f>AS42+AS43</f>
        <v>116111</v>
      </c>
      <c r="AT45" s="589">
        <f>SUM(AP45:AS45)</f>
        <v>-84363</v>
      </c>
      <c r="AU45" s="49">
        <f>AU42+AU43</f>
        <v>48410</v>
      </c>
      <c r="AV45" s="49">
        <f>AV42+AV43</f>
        <v>113835</v>
      </c>
      <c r="AW45" s="49">
        <f>AW42+AW43</f>
        <v>104383</v>
      </c>
      <c r="AX45" s="49">
        <f>AX42+AX43</f>
        <v>149215</v>
      </c>
      <c r="AY45" s="589">
        <f>SUM(AU45:AX45)</f>
        <v>415843</v>
      </c>
      <c r="AZ45" s="49">
        <f>AZ42+AZ43</f>
        <v>27935</v>
      </c>
      <c r="BA45" s="49">
        <f>BA42+BA43</f>
        <v>67811</v>
      </c>
      <c r="BB45" s="49">
        <f>BB42+BB43</f>
        <v>1403281</v>
      </c>
      <c r="BC45" s="49">
        <f>BC42+BC43</f>
        <v>261231</v>
      </c>
      <c r="BD45" s="589">
        <f>SUM(AZ45:BC45)</f>
        <v>1760258</v>
      </c>
      <c r="BE45" s="49">
        <f>BE42+BE43</f>
        <v>192285</v>
      </c>
      <c r="BF45" s="49">
        <f>BF42+BF43</f>
        <v>266974</v>
      </c>
      <c r="BG45" s="49">
        <f>BG42+BG43</f>
        <v>237547</v>
      </c>
      <c r="BH45" s="49">
        <f>BH42+BH43</f>
        <v>217549</v>
      </c>
      <c r="BI45" s="589">
        <f>SUM(BE45:BH45)</f>
        <v>914355</v>
      </c>
      <c r="BJ45" s="49">
        <f>BJ42+BJ43</f>
        <v>161751</v>
      </c>
      <c r="BK45" s="49">
        <f>BK42+BK43</f>
        <v>150797</v>
      </c>
      <c r="BL45" s="49">
        <f>BL42+BL43</f>
        <v>288628</v>
      </c>
      <c r="BM45" s="49">
        <f>BM42+BM43</f>
        <v>207704</v>
      </c>
      <c r="BN45" s="589">
        <f>SUM(BJ45:BM45)</f>
        <v>808880</v>
      </c>
      <c r="BO45" s="49">
        <f>BO42+BO43</f>
        <v>163576</v>
      </c>
      <c r="BP45" s="49">
        <f>BP42+BP43</f>
        <v>279385</v>
      </c>
      <c r="BQ45" s="49">
        <f>BQ42+BQ43</f>
        <v>251319</v>
      </c>
      <c r="BR45" s="49">
        <f>BR42+BR43</f>
        <v>247810</v>
      </c>
      <c r="BS45" s="589">
        <f>SUM(BO45:BR45)</f>
        <v>942090</v>
      </c>
      <c r="BT45" s="49">
        <f>BT42+BT43</f>
        <v>267258</v>
      </c>
      <c r="BU45" s="49">
        <f>BU42+BU43</f>
        <v>412005</v>
      </c>
      <c r="BV45" s="49">
        <f>BV42+BV43</f>
        <v>473101</v>
      </c>
      <c r="BW45" s="49">
        <f>BW42+BW43</f>
        <v>588632</v>
      </c>
      <c r="BX45" s="589">
        <f>SUM(BT45:BW45)</f>
        <v>1740996</v>
      </c>
      <c r="BY45" s="590">
        <f>BY42+BY43</f>
        <v>327632</v>
      </c>
      <c r="BZ45" s="590">
        <f>BZ42+BZ43</f>
        <v>387807</v>
      </c>
      <c r="CA45" s="590">
        <f>CA42+CA43</f>
        <v>609115</v>
      </c>
      <c r="CB45" s="49">
        <f>CB42+CB43</f>
        <v>682202</v>
      </c>
      <c r="CC45" s="50">
        <f>SUM(BY45:CB45)</f>
        <v>2006756</v>
      </c>
      <c r="CD45" s="590">
        <f>CD42+CD43</f>
        <v>296776</v>
      </c>
      <c r="CE45" s="590">
        <f>CE42+CE43</f>
        <v>451606</v>
      </c>
      <c r="CF45" s="49">
        <f ca="1">CF42+CF43</f>
        <v>526589.59437053686</v>
      </c>
      <c r="CG45" s="49">
        <f ca="1">CG42+CG43</f>
        <v>611920.57869298302</v>
      </c>
      <c r="CH45" s="50">
        <f ca="1">SUM(CD45:CG45)</f>
        <v>1886892.1730635199</v>
      </c>
      <c r="CI45" s="49">
        <f ca="1">CI42+CI43</f>
        <v>598186.46450873488</v>
      </c>
      <c r="CJ45" s="49">
        <f ca="1">CJ42+CJ43</f>
        <v>549989.4275677409</v>
      </c>
      <c r="CK45" s="49">
        <f ca="1">CK42+CK43</f>
        <v>570949.26691046485</v>
      </c>
      <c r="CL45" s="49">
        <f ca="1">CL42+CL43</f>
        <v>642540.97692775982</v>
      </c>
      <c r="CM45" s="50">
        <f ca="1">SUM(CI45:CL45)</f>
        <v>2361666.1359147001</v>
      </c>
      <c r="CN45" s="49">
        <f ca="1">CN42+CN43</f>
        <v>687859.31239049661</v>
      </c>
      <c r="CO45" s="49">
        <f ca="1">CO42+CO43</f>
        <v>620757.82794206496</v>
      </c>
      <c r="CP45" s="49">
        <f ca="1">CP42+CP43</f>
        <v>621637.85394329845</v>
      </c>
      <c r="CQ45" s="49">
        <f ca="1">CQ42+CQ43</f>
        <v>691100.90023505944</v>
      </c>
      <c r="CR45" s="50">
        <f ca="1">SUM(CN45:CQ45)</f>
        <v>2621355.8945109192</v>
      </c>
      <c r="CS45" s="49">
        <f ca="1">CS42+CS43</f>
        <v>740132.8885729945</v>
      </c>
      <c r="CT45" s="49">
        <f ca="1">CT42+CT43</f>
        <v>669423.10540621809</v>
      </c>
      <c r="CU45" s="49">
        <f ca="1">CU42+CU43</f>
        <v>672746.38330580911</v>
      </c>
      <c r="CV45" s="49">
        <f ca="1">CV42+CV43</f>
        <v>740167.85842777393</v>
      </c>
      <c r="CW45" s="50">
        <f ca="1">SUM(CS45:CV45)</f>
        <v>2822470.2357127955</v>
      </c>
      <c r="CX45" s="49">
        <f ca="1">CX42+CX43</f>
        <v>816319.52652669791</v>
      </c>
      <c r="CY45" s="49">
        <f ca="1">CY42+CY43</f>
        <v>733924.75903028122</v>
      </c>
      <c r="CZ45" s="49">
        <f ca="1">CZ42+CZ43</f>
        <v>740908.81434042891</v>
      </c>
      <c r="DA45" s="49">
        <f ca="1">DA42+DA43</f>
        <v>816426.45412791753</v>
      </c>
      <c r="DB45" s="50">
        <f ca="1">SUM(CX45:DA45)</f>
        <v>3107579.5540253255</v>
      </c>
    </row>
    <row r="46" spans="1:106" ht="11.25" customHeight="1" x14ac:dyDescent="0.35">
      <c r="B46" s="51"/>
      <c r="C46" s="51"/>
      <c r="D46" s="51"/>
      <c r="E46" s="52"/>
      <c r="F46" s="53"/>
      <c r="G46" s="51"/>
      <c r="H46" s="51"/>
      <c r="I46" s="51"/>
      <c r="J46" s="52"/>
      <c r="K46" s="53"/>
      <c r="L46" s="51"/>
      <c r="M46" s="51"/>
      <c r="N46" s="51"/>
      <c r="O46" s="52"/>
      <c r="P46" s="53"/>
      <c r="Q46" s="51"/>
      <c r="R46" s="51"/>
      <c r="S46" s="51"/>
      <c r="T46" s="52"/>
      <c r="U46" s="53"/>
      <c r="V46" s="51"/>
      <c r="W46" s="51"/>
      <c r="X46" s="51"/>
      <c r="Y46" s="52"/>
      <c r="Z46" s="53"/>
      <c r="AA46" s="51"/>
      <c r="AB46" s="51"/>
      <c r="AC46" s="51"/>
      <c r="AD46" s="52"/>
      <c r="AE46" s="53"/>
      <c r="AF46" s="51"/>
      <c r="AG46" s="51"/>
      <c r="AH46" s="51"/>
      <c r="AI46" s="52"/>
      <c r="AJ46" s="53"/>
      <c r="AK46" s="51"/>
      <c r="AL46" s="51"/>
      <c r="AM46" s="51"/>
      <c r="AN46" s="52"/>
      <c r="AO46" s="53"/>
      <c r="AP46" s="51"/>
      <c r="AQ46" s="51"/>
      <c r="AR46" s="51"/>
      <c r="AS46" s="52"/>
      <c r="AT46" s="53"/>
      <c r="AU46" s="51"/>
      <c r="AV46" s="51"/>
      <c r="AW46" s="51"/>
      <c r="AX46" s="52"/>
      <c r="AY46" s="53"/>
      <c r="AZ46" s="51"/>
      <c r="BA46" s="51"/>
      <c r="BB46" s="51"/>
      <c r="BC46" s="52"/>
      <c r="BD46" s="835"/>
      <c r="BE46" s="51"/>
      <c r="BF46" s="51"/>
      <c r="BG46" s="51"/>
      <c r="BH46" s="52"/>
      <c r="BI46" s="53"/>
      <c r="BJ46" s="51"/>
      <c r="BK46" s="51"/>
      <c r="BL46" s="51"/>
      <c r="BM46" s="52"/>
      <c r="BN46" s="53"/>
      <c r="BO46" s="51"/>
      <c r="BP46" s="51"/>
      <c r="BQ46" s="51"/>
      <c r="BR46" s="52"/>
      <c r="BS46" s="53"/>
      <c r="BT46" s="51"/>
      <c r="BU46" s="51"/>
      <c r="BV46" s="51"/>
      <c r="BW46" s="52"/>
      <c r="BX46" s="53"/>
      <c r="BY46" s="51"/>
      <c r="BZ46" s="51"/>
      <c r="CA46" s="656"/>
      <c r="CB46" s="51"/>
      <c r="CC46" s="605">
        <v>1800</v>
      </c>
      <c r="CD46" s="606"/>
      <c r="CE46" s="606"/>
      <c r="CF46" s="606"/>
      <c r="CG46" s="606"/>
      <c r="CH46" s="605">
        <v>2050</v>
      </c>
      <c r="CI46" s="51"/>
      <c r="CJ46" s="51"/>
      <c r="CK46" s="51"/>
      <c r="CL46" s="51"/>
      <c r="CM46" s="22"/>
      <c r="CN46" s="51"/>
      <c r="CO46" s="51"/>
      <c r="CP46" s="51"/>
      <c r="CQ46" s="51"/>
      <c r="CR46" s="22"/>
      <c r="CS46" s="51"/>
      <c r="CT46" s="51"/>
      <c r="CU46" s="51"/>
      <c r="CV46" s="51"/>
      <c r="CW46" s="22"/>
      <c r="CX46" s="51"/>
      <c r="CY46" s="51"/>
      <c r="CZ46" s="51"/>
      <c r="DA46" s="51"/>
      <c r="DB46" s="22"/>
    </row>
    <row r="47" spans="1:106" s="15" customFormat="1" ht="11.25" customHeight="1" thickBot="1" x14ac:dyDescent="0.4">
      <c r="A47" s="124" t="s">
        <v>108</v>
      </c>
      <c r="B47" s="129" t="str">
        <f>Macro!B$3</f>
        <v>1Q10</v>
      </c>
      <c r="C47" s="129" t="str">
        <f>Macro!C$3</f>
        <v>2Q10</v>
      </c>
      <c r="D47" s="129" t="str">
        <f>Macro!D$3</f>
        <v>3Q10</v>
      </c>
      <c r="E47" s="130" t="str">
        <f>Macro!E$3</f>
        <v>4Q10</v>
      </c>
      <c r="F47" s="131" t="str">
        <f>Macro!F$3</f>
        <v>2010</v>
      </c>
      <c r="G47" s="129" t="str">
        <f>Macro!G$3</f>
        <v>1Q11</v>
      </c>
      <c r="H47" s="129" t="str">
        <f>Macro!H$3</f>
        <v>2Q11</v>
      </c>
      <c r="I47" s="129" t="str">
        <f>Macro!I$3</f>
        <v>3Q11</v>
      </c>
      <c r="J47" s="130" t="str">
        <f>Macro!J$3</f>
        <v>4Q11</v>
      </c>
      <c r="K47" s="131" t="str">
        <f>Macro!K$3</f>
        <v>2011</v>
      </c>
      <c r="L47" s="129" t="str">
        <f>Macro!L$3</f>
        <v>1Q12</v>
      </c>
      <c r="M47" s="129" t="str">
        <f>Macro!M$3</f>
        <v>2Q12</v>
      </c>
      <c r="N47" s="129" t="str">
        <f>Macro!N$3</f>
        <v>3Q12</v>
      </c>
      <c r="O47" s="130" t="str">
        <f>Macro!O$3</f>
        <v>4Q12</v>
      </c>
      <c r="P47" s="131" t="str">
        <f>Macro!P$3</f>
        <v>2012</v>
      </c>
      <c r="Q47" s="129" t="str">
        <f>Macro!Q$3</f>
        <v>1Q13</v>
      </c>
      <c r="R47" s="129" t="str">
        <f>Macro!R$3</f>
        <v>2Q13</v>
      </c>
      <c r="S47" s="129" t="str">
        <f>Macro!S$3</f>
        <v>3Q13</v>
      </c>
      <c r="T47" s="130" t="str">
        <f>Macro!T$3</f>
        <v>4Q13</v>
      </c>
      <c r="U47" s="131" t="str">
        <f>Macro!U$3</f>
        <v>2013</v>
      </c>
      <c r="V47" s="129" t="str">
        <f>Macro!V$3</f>
        <v>1Q14</v>
      </c>
      <c r="W47" s="129" t="str">
        <f>Macro!W$3</f>
        <v>2Q14</v>
      </c>
      <c r="X47" s="129" t="str">
        <f>Macro!X$3</f>
        <v>3Q14</v>
      </c>
      <c r="Y47" s="130" t="str">
        <f>Macro!Y$3</f>
        <v>4Q14</v>
      </c>
      <c r="Z47" s="131" t="str">
        <f>Macro!Z$3</f>
        <v>2014</v>
      </c>
      <c r="AA47" s="129" t="str">
        <f>Macro!AA$3</f>
        <v>1Q15</v>
      </c>
      <c r="AB47" s="129" t="str">
        <f>Macro!AB$3</f>
        <v>2Q15</v>
      </c>
      <c r="AC47" s="129" t="str">
        <f>Macro!AC$3</f>
        <v>3Q15</v>
      </c>
      <c r="AD47" s="130" t="str">
        <f>Macro!AD$3</f>
        <v>4Q15</v>
      </c>
      <c r="AE47" s="131" t="str">
        <f>Macro!AE$3</f>
        <v>2015</v>
      </c>
      <c r="AF47" s="129" t="str">
        <f>Macro!AF$3</f>
        <v>1Q16</v>
      </c>
      <c r="AG47" s="129" t="str">
        <f>Macro!AG$3</f>
        <v>2Q16</v>
      </c>
      <c r="AH47" s="129" t="str">
        <f>Macro!AH$3</f>
        <v>3Q16</v>
      </c>
      <c r="AI47" s="130" t="str">
        <f>Macro!AI$3</f>
        <v>4Q16</v>
      </c>
      <c r="AJ47" s="131" t="str">
        <f>Macro!AJ$3</f>
        <v>2016</v>
      </c>
      <c r="AK47" s="129" t="str">
        <f>Macro!AK$3</f>
        <v>1Q17</v>
      </c>
      <c r="AL47" s="129" t="str">
        <f>Macro!AL$3</f>
        <v>2Q17</v>
      </c>
      <c r="AM47" s="129" t="str">
        <f>Macro!AM$3</f>
        <v>3Q17</v>
      </c>
      <c r="AN47" s="130" t="str">
        <f>Macro!AN$3</f>
        <v>4Q17</v>
      </c>
      <c r="AO47" s="131" t="str">
        <f>Macro!AO$3</f>
        <v>2017</v>
      </c>
      <c r="AP47" s="129" t="str">
        <f>Macro!AP$3</f>
        <v>1Q18</v>
      </c>
      <c r="AQ47" s="129" t="str">
        <f>Macro!AQ$3</f>
        <v>2Q18</v>
      </c>
      <c r="AR47" s="129" t="str">
        <f>Macro!AR$3</f>
        <v>3Q18</v>
      </c>
      <c r="AS47" s="130" t="str">
        <f>Macro!AS$3</f>
        <v>4Q18</v>
      </c>
      <c r="AT47" s="131" t="str">
        <f>Macro!AT$3</f>
        <v>2018</v>
      </c>
      <c r="AU47" s="129" t="str">
        <f>Macro!AU$3</f>
        <v>1Q19</v>
      </c>
      <c r="AV47" s="129" t="str">
        <f>Macro!AV$3</f>
        <v>2Q19</v>
      </c>
      <c r="AW47" s="129" t="str">
        <f>Macro!AW$3</f>
        <v>3Q19</v>
      </c>
      <c r="AX47" s="130" t="str">
        <f>Macro!AX$3</f>
        <v>4Q19</v>
      </c>
      <c r="AY47" s="131" t="str">
        <f>Macro!AY$3</f>
        <v>2019</v>
      </c>
      <c r="AZ47" s="129" t="str">
        <f>Macro!AZ$3</f>
        <v>1Q20</v>
      </c>
      <c r="BA47" s="129" t="str">
        <f>Macro!BA$3</f>
        <v>2Q20</v>
      </c>
      <c r="BB47" s="129" t="str">
        <f>Macro!BB$3</f>
        <v>3Q20</v>
      </c>
      <c r="BC47" s="130" t="str">
        <f>Macro!BC$3</f>
        <v>4Q20</v>
      </c>
      <c r="BD47" s="131" t="str">
        <f>Macro!BD$3</f>
        <v>2020</v>
      </c>
      <c r="BE47" s="129" t="str">
        <f>Macro!BE$3</f>
        <v>1Q21</v>
      </c>
      <c r="BF47" s="129" t="str">
        <f>Macro!BF$3</f>
        <v>2Q21</v>
      </c>
      <c r="BG47" s="129" t="str">
        <f>Macro!BG$3</f>
        <v>3Q21</v>
      </c>
      <c r="BH47" s="130" t="str">
        <f>Macro!BH$3</f>
        <v>4Q21</v>
      </c>
      <c r="BI47" s="131" t="str">
        <f>Macro!BI$3</f>
        <v>2021</v>
      </c>
      <c r="BJ47" s="129" t="str">
        <f>Macro!BJ$3</f>
        <v>1Q22</v>
      </c>
      <c r="BK47" s="129" t="str">
        <f>Macro!BK$3</f>
        <v>2Q22</v>
      </c>
      <c r="BL47" s="129" t="str">
        <f>Macro!BL$3</f>
        <v>3Q22</v>
      </c>
      <c r="BM47" s="130" t="str">
        <f>Macro!BM$3</f>
        <v>4Q22</v>
      </c>
      <c r="BN47" s="131" t="str">
        <f>Macro!BN$3</f>
        <v>2022</v>
      </c>
      <c r="BO47" s="129" t="str">
        <f>Macro!BO$3</f>
        <v>1Q23</v>
      </c>
      <c r="BP47" s="129" t="str">
        <f>Macro!BP$3</f>
        <v>2Q23</v>
      </c>
      <c r="BQ47" s="129" t="str">
        <f>Macro!BQ$3</f>
        <v>3Q23</v>
      </c>
      <c r="BR47" s="130" t="str">
        <f>Macro!BR$3</f>
        <v>4Q23</v>
      </c>
      <c r="BS47" s="131" t="str">
        <f>Macro!BS$3</f>
        <v>2023</v>
      </c>
      <c r="BT47" s="129" t="str">
        <f>Macro!BT$3</f>
        <v>1Q24</v>
      </c>
      <c r="BU47" s="129" t="str">
        <f>Macro!BU$3</f>
        <v>2Q24</v>
      </c>
      <c r="BV47" s="129" t="str">
        <f>Macro!BV$3</f>
        <v>3Q24</v>
      </c>
      <c r="BW47" s="130" t="str">
        <f>Macro!BW$3</f>
        <v>4Q24</v>
      </c>
      <c r="BX47" s="131" t="str">
        <f>Macro!BX$3</f>
        <v>2024</v>
      </c>
      <c r="BY47" s="129" t="str">
        <f>Macro!BY$3</f>
        <v>1Q25</v>
      </c>
      <c r="BZ47" s="129" t="str">
        <f>Macro!BZ$3</f>
        <v>2Q25</v>
      </c>
      <c r="CA47" s="125" t="str">
        <f>Macro!CA$3</f>
        <v>3Q25</v>
      </c>
      <c r="CB47" s="125" t="str">
        <f>Macro!CB$3</f>
        <v>4Q25</v>
      </c>
      <c r="CC47" s="126" t="str">
        <f>Macro!CC$3</f>
        <v>2025</v>
      </c>
      <c r="CD47" s="125" t="str">
        <f>Macro!CD$3</f>
        <v>1Q26</v>
      </c>
      <c r="CE47" s="125" t="str">
        <f>Macro!CE$3</f>
        <v>2Q26</v>
      </c>
      <c r="CF47" s="125" t="str">
        <f>Macro!CF$3</f>
        <v>3Q26E</v>
      </c>
      <c r="CG47" s="125" t="str">
        <f>Macro!CG$3</f>
        <v>4Q26E</v>
      </c>
      <c r="CH47" s="126" t="str">
        <f>Macro!CH$3</f>
        <v>2026E</v>
      </c>
      <c r="CI47" s="125" t="str">
        <f>Macro!CI$3</f>
        <v>1Q27E</v>
      </c>
      <c r="CJ47" s="125" t="str">
        <f>Macro!CJ$3</f>
        <v>2Q27E</v>
      </c>
      <c r="CK47" s="125" t="str">
        <f>Macro!CK$3</f>
        <v>3Q27E</v>
      </c>
      <c r="CL47" s="125" t="str">
        <f>Macro!CL$3</f>
        <v>4Q27E</v>
      </c>
      <c r="CM47" s="126" t="str">
        <f>Macro!CM$3</f>
        <v>2027E</v>
      </c>
      <c r="CN47" s="125" t="str">
        <f>Macro!CN$3</f>
        <v>1Q28E</v>
      </c>
      <c r="CO47" s="125" t="str">
        <f>Macro!CO$3</f>
        <v>2Q28E</v>
      </c>
      <c r="CP47" s="125" t="str">
        <f>Macro!CP$3</f>
        <v>3Q28E</v>
      </c>
      <c r="CQ47" s="125" t="str">
        <f>Macro!CQ$3</f>
        <v>4Q28E</v>
      </c>
      <c r="CR47" s="126" t="str">
        <f>Macro!CR$3</f>
        <v>2028E</v>
      </c>
      <c r="CS47" s="125" t="str">
        <f>Macro!CS$3</f>
        <v>1Q29E</v>
      </c>
      <c r="CT47" s="125" t="str">
        <f>Macro!CT$3</f>
        <v>2Q29E</v>
      </c>
      <c r="CU47" s="125" t="str">
        <f>Macro!CU$3</f>
        <v>3Q29E</v>
      </c>
      <c r="CV47" s="125" t="str">
        <f>Macro!CV$3</f>
        <v>4Q29E</v>
      </c>
      <c r="CW47" s="126" t="str">
        <f>Macro!CW$3</f>
        <v>2029E</v>
      </c>
      <c r="CX47" s="125" t="str">
        <f>Macro!CX$3</f>
        <v>1Q30E</v>
      </c>
      <c r="CY47" s="125" t="str">
        <f>Macro!CY$3</f>
        <v>2Q30E</v>
      </c>
      <c r="CZ47" s="125" t="str">
        <f>Macro!CZ$3</f>
        <v>3Q30E</v>
      </c>
      <c r="DA47" s="125" t="str">
        <f>Macro!DA$3</f>
        <v>4Q30E</v>
      </c>
      <c r="DB47" s="126" t="str">
        <f>Macro!DB$3</f>
        <v>2030E</v>
      </c>
    </row>
    <row r="48" spans="1:106" ht="11.25" customHeight="1" thickTop="1" x14ac:dyDescent="0.35">
      <c r="A48" s="132" t="s">
        <v>109</v>
      </c>
      <c r="B48" s="530">
        <v>422401</v>
      </c>
      <c r="C48" s="530">
        <v>422911.35600000003</v>
      </c>
      <c r="D48" s="530">
        <v>422944</v>
      </c>
      <c r="E48" s="530">
        <v>423003.88699999999</v>
      </c>
      <c r="F48" s="602">
        <f>E48</f>
        <v>423003.88699999999</v>
      </c>
      <c r="G48" s="530">
        <v>423003.88699999999</v>
      </c>
      <c r="H48" s="530">
        <v>423003.88699999999</v>
      </c>
      <c r="I48" s="530">
        <f>423003.887-9527</f>
        <v>413476.88699999999</v>
      </c>
      <c r="J48" s="530">
        <f>423003.887-12336</f>
        <v>410667.88699999999</v>
      </c>
      <c r="K48" s="602">
        <f>J48</f>
        <v>410667.88699999999</v>
      </c>
      <c r="L48" s="530">
        <f>423003.887-12336</f>
        <v>410667.88699999999</v>
      </c>
      <c r="M48" s="530">
        <f>416659-5453</f>
        <v>411206</v>
      </c>
      <c r="N48" s="530">
        <f>416659-5453</f>
        <v>411206</v>
      </c>
      <c r="O48" s="530">
        <f>416659-4552</f>
        <v>412107</v>
      </c>
      <c r="P48" s="602">
        <f>O48</f>
        <v>412107</v>
      </c>
      <c r="Q48" s="530">
        <f>416659-4541</f>
        <v>412118</v>
      </c>
      <c r="R48" s="530">
        <f>416659-2243</f>
        <v>414416</v>
      </c>
      <c r="S48" s="530">
        <v>414455</v>
      </c>
      <c r="T48" s="530">
        <f>416658.829-9398.459</f>
        <v>407260.37000000005</v>
      </c>
      <c r="U48" s="602">
        <f>T48</f>
        <v>407260.37000000005</v>
      </c>
      <c r="V48" s="530">
        <f>416859-13127</f>
        <v>403732</v>
      </c>
      <c r="W48" s="530">
        <f>399743-5722</f>
        <v>394021</v>
      </c>
      <c r="X48" s="530">
        <f>399743-11848</f>
        <v>387895</v>
      </c>
      <c r="Y48" s="530">
        <f>399743-16807</f>
        <v>382936</v>
      </c>
      <c r="Z48" s="602">
        <f>Y48</f>
        <v>382936</v>
      </c>
      <c r="AA48" s="530">
        <f>399743-21166</f>
        <v>378577</v>
      </c>
      <c r="AB48" s="530">
        <f>399743-21049</f>
        <v>378694</v>
      </c>
      <c r="AC48" s="530">
        <f>399743-20948</f>
        <v>378795</v>
      </c>
      <c r="AD48" s="530">
        <f>399742.799-20662</f>
        <v>379080.799</v>
      </c>
      <c r="AE48" s="602">
        <f>AD48</f>
        <v>379080.799</v>
      </c>
      <c r="AF48" s="530">
        <f>399743-18789</f>
        <v>380954</v>
      </c>
      <c r="AG48" s="530">
        <f>399743-18565</f>
        <v>381178</v>
      </c>
      <c r="AH48" s="530">
        <f>399743-18127</f>
        <v>381616</v>
      </c>
      <c r="AI48" s="530">
        <f>399743-17594</f>
        <v>382149</v>
      </c>
      <c r="AJ48" s="602">
        <f>AI48</f>
        <v>382149</v>
      </c>
      <c r="AK48" s="530">
        <f>399743-17594</f>
        <v>382149</v>
      </c>
      <c r="AL48" s="530">
        <f>399743-17182</f>
        <v>382561</v>
      </c>
      <c r="AM48" s="530">
        <f>399743-17084</f>
        <v>382659</v>
      </c>
      <c r="AN48" s="530">
        <f>399743-17035</f>
        <v>382708</v>
      </c>
      <c r="AO48" s="602">
        <f>AN48</f>
        <v>382708</v>
      </c>
      <c r="AP48" s="530">
        <f>399743-16846</f>
        <v>382897</v>
      </c>
      <c r="AQ48" s="530">
        <f>399743-15586</f>
        <v>384157</v>
      </c>
      <c r="AR48" s="530">
        <f>399743-15586</f>
        <v>384157</v>
      </c>
      <c r="AS48" s="530">
        <f>399815-15586</f>
        <v>384229</v>
      </c>
      <c r="AT48" s="602">
        <f>AS48</f>
        <v>384229</v>
      </c>
      <c r="AU48" s="530">
        <f>399743-15383</f>
        <v>384360</v>
      </c>
      <c r="AV48" s="530">
        <f>399743-15330</f>
        <v>384413</v>
      </c>
      <c r="AW48" s="530">
        <f>399743-15316</f>
        <v>384427</v>
      </c>
      <c r="AX48" s="530">
        <f>399743-15316</f>
        <v>384427</v>
      </c>
      <c r="AY48" s="602">
        <f>AX48</f>
        <v>384427</v>
      </c>
      <c r="AZ48" s="530">
        <f>399743-15316</f>
        <v>384427</v>
      </c>
      <c r="BA48" s="530">
        <f>399743-15316</f>
        <v>384427</v>
      </c>
      <c r="BB48" s="530">
        <f>399743-15239</f>
        <v>384504</v>
      </c>
      <c r="BC48" s="530">
        <f>399743-15239</f>
        <v>384504</v>
      </c>
      <c r="BD48" s="602">
        <f>BC48</f>
        <v>384504</v>
      </c>
      <c r="BE48" s="530">
        <f>399743-15239</f>
        <v>384504</v>
      </c>
      <c r="BF48" s="530">
        <f>399743-15239</f>
        <v>384504</v>
      </c>
      <c r="BG48" s="530">
        <f>399743-15239</f>
        <v>384504</v>
      </c>
      <c r="BH48" s="530">
        <f>399743-15239</f>
        <v>384504</v>
      </c>
      <c r="BI48" s="602">
        <f>BH48</f>
        <v>384504</v>
      </c>
      <c r="BJ48" s="530">
        <f>399743-15239</f>
        <v>384504</v>
      </c>
      <c r="BK48" s="530">
        <f>399743-16918</f>
        <v>382825</v>
      </c>
      <c r="BL48" s="530">
        <f>399743-20772</f>
        <v>378971</v>
      </c>
      <c r="BM48" s="530">
        <f>399743-24012</f>
        <v>375731</v>
      </c>
      <c r="BN48" s="602">
        <f>BM48</f>
        <v>375731</v>
      </c>
      <c r="BO48" s="530">
        <f>399743-24822</f>
        <v>374921</v>
      </c>
      <c r="BP48" s="530">
        <f>399743-24822</f>
        <v>374921</v>
      </c>
      <c r="BQ48" s="530">
        <f>399743-24822</f>
        <v>374921</v>
      </c>
      <c r="BR48" s="530">
        <f>399743-24822</f>
        <v>374921</v>
      </c>
      <c r="BS48" s="602">
        <f>BR48</f>
        <v>374921</v>
      </c>
      <c r="BT48" s="530">
        <f>399743-24822</f>
        <v>374921</v>
      </c>
      <c r="BU48" s="530">
        <f>399743-24822</f>
        <v>374921</v>
      </c>
      <c r="BV48" s="530">
        <f>399743-24822</f>
        <v>374921</v>
      </c>
      <c r="BW48" s="745">
        <f>399743-17468+72800</f>
        <v>455075</v>
      </c>
      <c r="BX48" s="602">
        <f>BW48</f>
        <v>455075</v>
      </c>
      <c r="BY48" s="745">
        <f>384000-17689+72800</f>
        <v>439111</v>
      </c>
      <c r="BZ48" s="745">
        <f>384000-17689+72800</f>
        <v>439111</v>
      </c>
      <c r="CA48" s="745">
        <f>384000-17689+72800</f>
        <v>439111</v>
      </c>
      <c r="CB48" s="745">
        <f>384000-17689+72800</f>
        <v>439111</v>
      </c>
      <c r="CC48" s="602">
        <f>CB48</f>
        <v>439111</v>
      </c>
      <c r="CD48" s="745">
        <f>384000+72800-17689-3354</f>
        <v>435757</v>
      </c>
      <c r="CE48" s="745">
        <f>384000-17689+69446.45</f>
        <v>435757.45</v>
      </c>
      <c r="CF48" s="603">
        <f>CE48+CF49+CF50</f>
        <v>435757.45</v>
      </c>
      <c r="CG48" s="603">
        <f>CF48+CG49+CG50</f>
        <v>435757.45</v>
      </c>
      <c r="CH48" s="602">
        <f>CG48</f>
        <v>435757.45</v>
      </c>
      <c r="CI48" s="603">
        <f>CH48+CI49+CI50</f>
        <v>435757.45</v>
      </c>
      <c r="CJ48" s="603">
        <f>CI48+CJ49+CJ50</f>
        <v>435757.45</v>
      </c>
      <c r="CK48" s="603">
        <f>CJ48+CK49+CK50</f>
        <v>435757.45</v>
      </c>
      <c r="CL48" s="603">
        <f>CK48+CL49+CL50</f>
        <v>435757.45</v>
      </c>
      <c r="CM48" s="602">
        <f>CL48</f>
        <v>435757.45</v>
      </c>
      <c r="CN48" s="603">
        <f>CM48+CN49+CN50</f>
        <v>435757.45</v>
      </c>
      <c r="CO48" s="603">
        <f>CN48+CO49+CO50</f>
        <v>435757.45</v>
      </c>
      <c r="CP48" s="603">
        <f>CO48+CP49+CP50</f>
        <v>435757.45</v>
      </c>
      <c r="CQ48" s="603">
        <f>CP48+CQ49+CQ50</f>
        <v>435757.45</v>
      </c>
      <c r="CR48" s="602">
        <f>CQ48</f>
        <v>435757.45</v>
      </c>
      <c r="CS48" s="603">
        <f>CR48+CS49+CS50</f>
        <v>435757.45</v>
      </c>
      <c r="CT48" s="603">
        <f>CS48+CT49+CT50</f>
        <v>435757.45</v>
      </c>
      <c r="CU48" s="603">
        <f>CT48+CU49+CU50</f>
        <v>435757.45</v>
      </c>
      <c r="CV48" s="603">
        <f>CU48+CV49+CV50</f>
        <v>435757.45</v>
      </c>
      <c r="CW48" s="602">
        <f>CV48</f>
        <v>435757.45</v>
      </c>
      <c r="CX48" s="603">
        <f>CW48+CX49+CX50</f>
        <v>435757.45</v>
      </c>
      <c r="CY48" s="603">
        <f>CX48+CY49+CY50</f>
        <v>435757.45</v>
      </c>
      <c r="CZ48" s="603">
        <f>CY48+CZ49+CZ50</f>
        <v>435757.45</v>
      </c>
      <c r="DA48" s="603">
        <f>CZ48+DA49+DA50</f>
        <v>435757.45</v>
      </c>
      <c r="DB48" s="602">
        <f>DA48</f>
        <v>435757.45</v>
      </c>
    </row>
    <row r="49" spans="1:106" ht="11.25" customHeight="1" x14ac:dyDescent="0.35">
      <c r="A49" s="162" t="s">
        <v>105</v>
      </c>
      <c r="B49" s="395">
        <v>0</v>
      </c>
      <c r="C49" s="395">
        <v>0</v>
      </c>
      <c r="D49" s="395">
        <v>0</v>
      </c>
      <c r="E49" s="395">
        <v>0</v>
      </c>
      <c r="F49" s="20">
        <f>SUM(B49:E49)</f>
        <v>0</v>
      </c>
      <c r="G49" s="395">
        <v>0</v>
      </c>
      <c r="H49" s="395">
        <v>0</v>
      </c>
      <c r="I49" s="395">
        <v>0</v>
      </c>
      <c r="J49" s="395">
        <v>0</v>
      </c>
      <c r="K49" s="20">
        <f>SUM(G49:J49)</f>
        <v>0</v>
      </c>
      <c r="L49" s="395">
        <v>0</v>
      </c>
      <c r="M49" s="395">
        <v>0</v>
      </c>
      <c r="N49" s="395">
        <v>0</v>
      </c>
      <c r="O49" s="395">
        <v>0</v>
      </c>
      <c r="P49" s="20">
        <f>SUM(L49:O49)</f>
        <v>0</v>
      </c>
      <c r="Q49" s="395">
        <v>0</v>
      </c>
      <c r="R49" s="395">
        <v>0</v>
      </c>
      <c r="S49" s="395">
        <v>0</v>
      </c>
      <c r="T49" s="395">
        <v>0</v>
      </c>
      <c r="U49" s="20">
        <f>SUM(Q49:T49)</f>
        <v>0</v>
      </c>
      <c r="V49" s="395">
        <v>0</v>
      </c>
      <c r="W49" s="395">
        <v>0</v>
      </c>
      <c r="X49" s="395">
        <v>0</v>
      </c>
      <c r="Y49" s="395">
        <v>0</v>
      </c>
      <c r="Z49" s="20">
        <f>SUM(V49:Y49)</f>
        <v>0</v>
      </c>
      <c r="AA49" s="395">
        <v>0</v>
      </c>
      <c r="AB49" s="395">
        <v>0</v>
      </c>
      <c r="AC49" s="395">
        <v>0</v>
      </c>
      <c r="AD49" s="395">
        <v>0</v>
      </c>
      <c r="AE49" s="20">
        <f>SUM(AA49:AD49)</f>
        <v>0</v>
      </c>
      <c r="AF49" s="395">
        <v>0</v>
      </c>
      <c r="AG49" s="395">
        <v>0</v>
      </c>
      <c r="AH49" s="395">
        <v>0</v>
      </c>
      <c r="AI49" s="395">
        <v>0</v>
      </c>
      <c r="AJ49" s="20">
        <f>SUM(AF49:AI49)</f>
        <v>0</v>
      </c>
      <c r="AK49" s="395">
        <v>0</v>
      </c>
      <c r="AL49" s="395">
        <v>0</v>
      </c>
      <c r="AM49" s="395">
        <v>0</v>
      </c>
      <c r="AN49" s="395">
        <v>0</v>
      </c>
      <c r="AO49" s="20">
        <f>SUM(AK49:AN49)</f>
        <v>0</v>
      </c>
      <c r="AP49" s="395">
        <v>0</v>
      </c>
      <c r="AQ49" s="395">
        <v>0</v>
      </c>
      <c r="AR49" s="395">
        <v>0</v>
      </c>
      <c r="AS49" s="395">
        <v>0</v>
      </c>
      <c r="AT49" s="20">
        <f>SUM(AP49:AS49)</f>
        <v>0</v>
      </c>
      <c r="AU49" s="395">
        <v>0</v>
      </c>
      <c r="AV49" s="395">
        <v>0</v>
      </c>
      <c r="AW49" s="395">
        <v>0</v>
      </c>
      <c r="AX49" s="395">
        <v>0</v>
      </c>
      <c r="AY49" s="20">
        <f>SUM(AU49:AX49)</f>
        <v>0</v>
      </c>
      <c r="AZ49" s="395">
        <v>0</v>
      </c>
      <c r="BA49" s="395">
        <v>0</v>
      </c>
      <c r="BB49" s="395">
        <v>0</v>
      </c>
      <c r="BC49" s="395">
        <v>0</v>
      </c>
      <c r="BD49" s="20">
        <f>SUM(AZ49:BC49)</f>
        <v>0</v>
      </c>
      <c r="BE49" s="395">
        <v>0</v>
      </c>
      <c r="BF49" s="395">
        <v>0</v>
      </c>
      <c r="BG49" s="395">
        <v>0</v>
      </c>
      <c r="BH49" s="395">
        <v>0</v>
      </c>
      <c r="BI49" s="20">
        <f>SUM(BE49:BH49)</f>
        <v>0</v>
      </c>
      <c r="BJ49" s="395">
        <v>0</v>
      </c>
      <c r="BK49" s="395">
        <v>0</v>
      </c>
      <c r="BL49" s="395">
        <v>0</v>
      </c>
      <c r="BM49" s="395">
        <v>0</v>
      </c>
      <c r="BN49" s="20">
        <f>SUM(BJ49:BM49)</f>
        <v>0</v>
      </c>
      <c r="BO49" s="395">
        <v>0</v>
      </c>
      <c r="BP49" s="395">
        <v>0</v>
      </c>
      <c r="BQ49" s="395">
        <v>0</v>
      </c>
      <c r="BR49" s="395">
        <v>0</v>
      </c>
      <c r="BS49" s="20">
        <f>SUM(BO49:BR49)</f>
        <v>0</v>
      </c>
      <c r="BT49" s="395">
        <v>0</v>
      </c>
      <c r="BU49" s="395">
        <v>0</v>
      </c>
      <c r="BV49" s="395">
        <v>0</v>
      </c>
      <c r="BW49" s="395">
        <v>0</v>
      </c>
      <c r="BX49" s="20">
        <f>SUM(BT49:BW49)</f>
        <v>0</v>
      </c>
      <c r="BY49" s="395">
        <v>0</v>
      </c>
      <c r="BZ49" s="395">
        <v>0</v>
      </c>
      <c r="CA49" s="395">
        <v>0</v>
      </c>
      <c r="CB49" s="395">
        <v>0</v>
      </c>
      <c r="CC49" s="20">
        <f>SUM(BY49:CB49)</f>
        <v>0</v>
      </c>
      <c r="CD49" s="395">
        <v>0</v>
      </c>
      <c r="CE49" s="395">
        <v>0</v>
      </c>
      <c r="CF49" s="28">
        <f>('BS &amp; FCF'!CF44-'BS &amp; FCF'!CE44)/Valuation!$B$6</f>
        <v>0</v>
      </c>
      <c r="CG49" s="28">
        <f>('BS &amp; FCF'!CG44-'BS &amp; FCF'!CF44)/Valuation!$B$6</f>
        <v>0</v>
      </c>
      <c r="CH49" s="20">
        <f>SUM(CD49:CG49)</f>
        <v>0</v>
      </c>
      <c r="CI49" s="28">
        <f>('BS &amp; FCF'!CI44-'BS &amp; FCF'!CG44)/Valuation!$B$6</f>
        <v>0</v>
      </c>
      <c r="CJ49" s="28">
        <f>('BS &amp; FCF'!CJ44-'BS &amp; FCF'!CI44)/Valuation!$B$6</f>
        <v>0</v>
      </c>
      <c r="CK49" s="28">
        <f>('BS &amp; FCF'!CK44-'BS &amp; FCF'!CJ44)/Valuation!$B$6</f>
        <v>0</v>
      </c>
      <c r="CL49" s="28">
        <f>('BS &amp; FCF'!CL44-'BS &amp; FCF'!CK44)/Valuation!$B$6</f>
        <v>0</v>
      </c>
      <c r="CM49" s="20">
        <f>SUM(CI49:CL49)</f>
        <v>0</v>
      </c>
      <c r="CN49" s="28">
        <f>('BS &amp; FCF'!CN44-'BS &amp; FCF'!CL44)/Valuation!$B$6</f>
        <v>0</v>
      </c>
      <c r="CO49" s="28">
        <f>('BS &amp; FCF'!CO44-'BS &amp; FCF'!CN44)/Valuation!$B$6</f>
        <v>0</v>
      </c>
      <c r="CP49" s="28">
        <f>('BS &amp; FCF'!CP44-'BS &amp; FCF'!CO44)/Valuation!$B$6</f>
        <v>0</v>
      </c>
      <c r="CQ49" s="28">
        <f>('BS &amp; FCF'!CQ44-'BS &amp; FCF'!CP44)/Valuation!$B$6</f>
        <v>0</v>
      </c>
      <c r="CR49" s="20">
        <f>SUM(CN49:CQ49)</f>
        <v>0</v>
      </c>
      <c r="CS49" s="28">
        <f>('BS &amp; FCF'!CS44-'BS &amp; FCF'!CQ44)/Valuation!$B$6</f>
        <v>0</v>
      </c>
      <c r="CT49" s="28">
        <f>('BS &amp; FCF'!CT44-'BS &amp; FCF'!CS44)/Valuation!$B$6</f>
        <v>0</v>
      </c>
      <c r="CU49" s="28">
        <f>('BS &amp; FCF'!CU44-'BS &amp; FCF'!CT44)/Valuation!$B$6</f>
        <v>0</v>
      </c>
      <c r="CV49" s="28">
        <f>('BS &amp; FCF'!CV44-'BS &amp; FCF'!CU44)/Valuation!$B$6</f>
        <v>0</v>
      </c>
      <c r="CW49" s="20">
        <f>SUM(CS49:CV49)</f>
        <v>0</v>
      </c>
      <c r="CX49" s="28">
        <f>('BS &amp; FCF'!CX44-'BS &amp; FCF'!CV44)/Valuation!$B$6</f>
        <v>0</v>
      </c>
      <c r="CY49" s="28">
        <f>('BS &amp; FCF'!CY44-'BS &amp; FCF'!CX44)/Valuation!$B$6</f>
        <v>0</v>
      </c>
      <c r="CZ49" s="28">
        <f>('BS &amp; FCF'!CZ44-'BS &amp; FCF'!CY44)/Valuation!$B$6</f>
        <v>0</v>
      </c>
      <c r="DA49" s="28">
        <f>('BS &amp; FCF'!DA44-'BS &amp; FCF'!CZ44)/Valuation!$B$6</f>
        <v>0</v>
      </c>
      <c r="DB49" s="20">
        <f>SUM(CX49:DA49)</f>
        <v>0</v>
      </c>
    </row>
    <row r="50" spans="1:106" ht="11.25" customHeight="1" x14ac:dyDescent="0.35">
      <c r="A50" s="213" t="s">
        <v>106</v>
      </c>
      <c r="B50" s="214"/>
      <c r="C50" s="214">
        <f>C48-B48-C49</f>
        <v>510.35600000002887</v>
      </c>
      <c r="D50" s="214">
        <f>D48-C48-D49</f>
        <v>32.643999999971129</v>
      </c>
      <c r="E50" s="214">
        <f>E48-D48-E49</f>
        <v>59.886999999987893</v>
      </c>
      <c r="F50" s="215">
        <f>SUM(B50:E50)</f>
        <v>602.88699999998789</v>
      </c>
      <c r="G50" s="214">
        <f>G48-E48-G49</f>
        <v>0</v>
      </c>
      <c r="H50" s="214">
        <f>H48-G48-H49</f>
        <v>0</v>
      </c>
      <c r="I50" s="214">
        <f>I48-H48-I49</f>
        <v>-9527</v>
      </c>
      <c r="J50" s="214">
        <f>J48-I48-J49</f>
        <v>-2809</v>
      </c>
      <c r="K50" s="215">
        <f>SUM(G50:J50)</f>
        <v>-12336</v>
      </c>
      <c r="L50" s="214">
        <f>L48-J48-L49</f>
        <v>0</v>
      </c>
      <c r="M50" s="214">
        <f>M48-L48-M49</f>
        <v>538.11300000001211</v>
      </c>
      <c r="N50" s="214">
        <f>N48-M48-N49</f>
        <v>0</v>
      </c>
      <c r="O50" s="214">
        <f>O48-N48-O49</f>
        <v>901</v>
      </c>
      <c r="P50" s="215">
        <f>SUM(L50:O50)</f>
        <v>1439.1130000000121</v>
      </c>
      <c r="Q50" s="214">
        <f>Q48-O48-Q49</f>
        <v>11</v>
      </c>
      <c r="R50" s="214">
        <f>R48-Q48-R49</f>
        <v>2298</v>
      </c>
      <c r="S50" s="214">
        <f>S48-R48-S49</f>
        <v>39</v>
      </c>
      <c r="T50" s="214">
        <f>T48-S48-T49</f>
        <v>-7194.6299999999464</v>
      </c>
      <c r="U50" s="215">
        <f>SUM(Q50:T50)</f>
        <v>-4846.6299999999464</v>
      </c>
      <c r="V50" s="214">
        <f>V48-T48-V49</f>
        <v>-3528.3700000000536</v>
      </c>
      <c r="W50" s="214">
        <f>W48-V48-W49</f>
        <v>-9711</v>
      </c>
      <c r="X50" s="214">
        <f>X48-W48-X49</f>
        <v>-6126</v>
      </c>
      <c r="Y50" s="214">
        <f>Y48-X48-Y49</f>
        <v>-4959</v>
      </c>
      <c r="Z50" s="215">
        <f>SUM(V50:Y50)</f>
        <v>-24324.370000000054</v>
      </c>
      <c r="AA50" s="214">
        <f>AA48-Y48-AA49</f>
        <v>-4359</v>
      </c>
      <c r="AB50" s="214">
        <f>AB48-AA48-AB49</f>
        <v>117</v>
      </c>
      <c r="AC50" s="214">
        <f>AC48-AB48-AC49</f>
        <v>101</v>
      </c>
      <c r="AD50" s="214">
        <f>AD48-AC48-AD49</f>
        <v>285.79899999999907</v>
      </c>
      <c r="AE50" s="215">
        <f>SUM(AA50:AD50)</f>
        <v>-3855.2010000000009</v>
      </c>
      <c r="AF50" s="214">
        <f>AF48-AD48-AF49</f>
        <v>1873.2010000000009</v>
      </c>
      <c r="AG50" s="214">
        <f>AG48-AF48-AG49</f>
        <v>224</v>
      </c>
      <c r="AH50" s="214">
        <f>AH48-AG48-AH49</f>
        <v>438</v>
      </c>
      <c r="AI50" s="214">
        <f>AI48-AH48-AI49</f>
        <v>533</v>
      </c>
      <c r="AJ50" s="215">
        <f>SUM(AF50:AI50)</f>
        <v>3068.2010000000009</v>
      </c>
      <c r="AK50" s="214">
        <f>AK48-AI48-AK49</f>
        <v>0</v>
      </c>
      <c r="AL50" s="214">
        <f>AL48-AK48-AL49</f>
        <v>412</v>
      </c>
      <c r="AM50" s="214">
        <f>AM48-AL48-AM49</f>
        <v>98</v>
      </c>
      <c r="AN50" s="214">
        <f>AN48-AM48-AN49</f>
        <v>49</v>
      </c>
      <c r="AO50" s="215">
        <f>SUM(AK50:AN50)</f>
        <v>559</v>
      </c>
      <c r="AP50" s="214">
        <f>AP48-AN48-AP49</f>
        <v>189</v>
      </c>
      <c r="AQ50" s="214">
        <f>AQ48-AP48-AQ49</f>
        <v>1260</v>
      </c>
      <c r="AR50" s="214">
        <f>AR48-AQ48-AR49</f>
        <v>0</v>
      </c>
      <c r="AS50" s="214">
        <f>AS48-AR48-AS49</f>
        <v>72</v>
      </c>
      <c r="AT50" s="215">
        <f>SUM(AP50:AS50)</f>
        <v>1521</v>
      </c>
      <c r="AU50" s="214">
        <f>AU48-AS48-AU49</f>
        <v>131</v>
      </c>
      <c r="AV50" s="214">
        <f>AV48-AU48-AV49</f>
        <v>53</v>
      </c>
      <c r="AW50" s="214">
        <f>AW48-AV48-AW49</f>
        <v>14</v>
      </c>
      <c r="AX50" s="214">
        <f>AX48-AW48-AX49</f>
        <v>0</v>
      </c>
      <c r="AY50" s="215">
        <f>SUM(AU50:AX50)</f>
        <v>198</v>
      </c>
      <c r="AZ50" s="214">
        <f>AZ48-AX48-AZ49</f>
        <v>0</v>
      </c>
      <c r="BA50" s="214">
        <f>BA48-AZ48-BA49</f>
        <v>0</v>
      </c>
      <c r="BB50" s="214">
        <f>BB48-BA48-BB49</f>
        <v>77</v>
      </c>
      <c r="BC50" s="214">
        <f>BC48-BB48-BC49</f>
        <v>0</v>
      </c>
      <c r="BD50" s="215">
        <f>SUM(AZ50:BC50)</f>
        <v>77</v>
      </c>
      <c r="BE50" s="214">
        <f>BE48-BC48-BE49</f>
        <v>0</v>
      </c>
      <c r="BF50" s="214">
        <f>BF48-BE48-BF49</f>
        <v>0</v>
      </c>
      <c r="BG50" s="214">
        <f>BG48-BF48-BG49</f>
        <v>0</v>
      </c>
      <c r="BH50" s="214">
        <f>BH48-BG48-BH49</f>
        <v>0</v>
      </c>
      <c r="BI50" s="215">
        <f>SUM(BE50:BH50)</f>
        <v>0</v>
      </c>
      <c r="BJ50" s="214">
        <f>BJ48-BH48-BJ49</f>
        <v>0</v>
      </c>
      <c r="BK50" s="214">
        <f>BK48-BJ48-BK49</f>
        <v>-1679</v>
      </c>
      <c r="BL50" s="214">
        <f>BL48-BK48-BL49</f>
        <v>-3854</v>
      </c>
      <c r="BM50" s="214">
        <f>BM48-BL48-BM49</f>
        <v>-3240</v>
      </c>
      <c r="BN50" s="215">
        <f>SUM(BJ50:BM50)</f>
        <v>-8773</v>
      </c>
      <c r="BO50" s="214">
        <f>BO48-BM48-BO49</f>
        <v>-810</v>
      </c>
      <c r="BP50" s="214">
        <f>BP48-BO48-BP49</f>
        <v>0</v>
      </c>
      <c r="BQ50" s="214">
        <f>BQ48-BP48-BQ49</f>
        <v>0</v>
      </c>
      <c r="BR50" s="214">
        <f>BR48-BQ48-BR49</f>
        <v>0</v>
      </c>
      <c r="BS50" s="215">
        <f>SUM(BO50:BR50)</f>
        <v>-810</v>
      </c>
      <c r="BT50" s="214">
        <f>BT48-BR48-BT49</f>
        <v>0</v>
      </c>
      <c r="BU50" s="214">
        <f>BU48-BT48-BU49</f>
        <v>0</v>
      </c>
      <c r="BV50" s="214">
        <f>BV48-BU48-BV49</f>
        <v>0</v>
      </c>
      <c r="BW50" s="746">
        <f>BW48-BV48-BW49</f>
        <v>80154</v>
      </c>
      <c r="BX50" s="215">
        <f>SUM(BT50:BW50)</f>
        <v>80154</v>
      </c>
      <c r="BY50" s="746">
        <f>BY48-BW48-BY49</f>
        <v>-15964</v>
      </c>
      <c r="BZ50" s="746">
        <f>BZ48-BY48-BZ49</f>
        <v>0</v>
      </c>
      <c r="CA50" s="746">
        <f>CA48-BZ48-CA49</f>
        <v>0</v>
      </c>
      <c r="CB50" s="746">
        <f>CB48-CA48-CB49</f>
        <v>0</v>
      </c>
      <c r="CC50" s="215">
        <f>SUM(BY50:CB50)</f>
        <v>-15964</v>
      </c>
      <c r="CD50" s="746">
        <f>CD48-CB48-CD49</f>
        <v>-3354</v>
      </c>
      <c r="CE50" s="746">
        <v>0</v>
      </c>
      <c r="CF50" s="214">
        <v>0</v>
      </c>
      <c r="CG50" s="214">
        <v>0</v>
      </c>
      <c r="CH50" s="215">
        <f>SUM(CD50:CG50)</f>
        <v>-3354</v>
      </c>
      <c r="CI50" s="214">
        <v>0</v>
      </c>
      <c r="CJ50" s="214">
        <v>0</v>
      </c>
      <c r="CK50" s="214">
        <v>0</v>
      </c>
      <c r="CL50" s="214">
        <v>0</v>
      </c>
      <c r="CM50" s="215">
        <f>SUM(CI50:CL50)</f>
        <v>0</v>
      </c>
      <c r="CN50" s="214">
        <v>0</v>
      </c>
      <c r="CO50" s="214">
        <v>0</v>
      </c>
      <c r="CP50" s="214">
        <v>0</v>
      </c>
      <c r="CQ50" s="214">
        <v>0</v>
      </c>
      <c r="CR50" s="215">
        <f>SUM(CN50:CQ50)</f>
        <v>0</v>
      </c>
      <c r="CS50" s="214">
        <v>0</v>
      </c>
      <c r="CT50" s="214">
        <v>0</v>
      </c>
      <c r="CU50" s="214">
        <v>0</v>
      </c>
      <c r="CV50" s="214">
        <v>0</v>
      </c>
      <c r="CW50" s="215">
        <f>SUM(CS50:CV50)</f>
        <v>0</v>
      </c>
      <c r="CX50" s="214">
        <v>0</v>
      </c>
      <c r="CY50" s="214">
        <v>0</v>
      </c>
      <c r="CZ50" s="214">
        <v>0</v>
      </c>
      <c r="DA50" s="214">
        <v>0</v>
      </c>
      <c r="DB50" s="215">
        <f>SUM(CX50:DA50)</f>
        <v>0</v>
      </c>
    </row>
    <row r="51" spans="1:106" s="11" customFormat="1" ht="11.25" customHeight="1" x14ac:dyDescent="0.35">
      <c r="A51" s="16" t="s">
        <v>15</v>
      </c>
      <c r="B51" s="41"/>
      <c r="C51" s="41">
        <f>C73/AVERAGE(B48,C48)</f>
        <v>0.39699881069761622</v>
      </c>
      <c r="D51" s="41">
        <f>D73/AVERAGE(C48,D48)</f>
        <v>0.41622719239481887</v>
      </c>
      <c r="E51" s="41">
        <f>E73/AVERAGE(D48,E48)</f>
        <v>0.1951089452866025</v>
      </c>
      <c r="F51" s="42">
        <f>F73/AVERAGE(B48:E48)</f>
        <v>1.4204650111910657</v>
      </c>
      <c r="G51" s="41">
        <f>G73/AVERAGE(E48,G48)</f>
        <v>0.17536718285522515</v>
      </c>
      <c r="H51" s="41">
        <f>H73/AVERAGE(G48,H48)</f>
        <v>0.25738061362069709</v>
      </c>
      <c r="I51" s="41">
        <f>I73/AVERAGE(H48,I48)</f>
        <v>0.35088194388075677</v>
      </c>
      <c r="J51" s="41">
        <f>J73/AVERAGE(I48,J48)</f>
        <v>0.40857869954775689</v>
      </c>
      <c r="K51" s="42">
        <f>K73/AVERAGE(G48:J48)</f>
        <v>1.1931149656875535</v>
      </c>
      <c r="L51" s="41">
        <f>L73/AVERAGE(J48,L48)</f>
        <v>0.28710791306650185</v>
      </c>
      <c r="M51" s="41">
        <f>M73/AVERAGE(L48,M48)</f>
        <v>0.34736472896358123</v>
      </c>
      <c r="N51" s="41">
        <f>N73/AVERAGE(M48,N48)</f>
        <v>0.36574125863922219</v>
      </c>
      <c r="O51" s="41">
        <f>O73/AVERAGE(N48,O48)</f>
        <v>0.60512101715872335</v>
      </c>
      <c r="P51" s="42">
        <f>P73/AVERAGE(L48:O48)</f>
        <v>1.605040753038776</v>
      </c>
      <c r="Q51" s="41">
        <f>Q73/AVERAGE(O48,Q48)</f>
        <v>0.41961600291182627</v>
      </c>
      <c r="R51" s="41">
        <f>R73/AVERAGE(Q48,R48)</f>
        <v>0.44227339710163166</v>
      </c>
      <c r="S51" s="41">
        <f>S73/AVERAGE(R48,S48)</f>
        <v>0.42130560726578681</v>
      </c>
      <c r="T51" s="41">
        <f>T73/AVERAGE(S48,T48)</f>
        <v>0.44424628445248621</v>
      </c>
      <c r="U51" s="42">
        <f>U73/AVERAGE(Q48:T48)</f>
        <v>1.7299129924739483</v>
      </c>
      <c r="V51" s="41">
        <f>V73/AVERAGE(T48,V48)</f>
        <v>0.40309380469263845</v>
      </c>
      <c r="W51" s="41">
        <f>W73/AVERAGE(V48,W48)</f>
        <v>0.42342429298291578</v>
      </c>
      <c r="X51" s="41">
        <f>X73/AVERAGE(W48,X48)</f>
        <v>0.45817965101110603</v>
      </c>
      <c r="Y51" s="41">
        <f>Y73/AVERAGE(X48,Y48)</f>
        <v>0.38925004313526573</v>
      </c>
      <c r="Z51" s="42">
        <f>Z73/AVERAGE(V48:Y48)</f>
        <v>1.6868691762761829</v>
      </c>
      <c r="AA51" s="41">
        <f>AA73/AVERAGE(Y48,AA48)</f>
        <v>0.26405589924269185</v>
      </c>
      <c r="AB51" s="41">
        <f>AB73/AVERAGE(AA48,AB48)</f>
        <v>0.31166121507359978</v>
      </c>
      <c r="AC51" s="41">
        <f>AC73/AVERAGE(AB48,AC48)</f>
        <v>0.34649216028219554</v>
      </c>
      <c r="AD51" s="41">
        <f>AD73/AVERAGE(AC48,AD48)</f>
        <v>0.25867299135118577</v>
      </c>
      <c r="AE51" s="42">
        <f>AE73/AVERAGE(AA48:AD48)</f>
        <v>1.1821956797732045</v>
      </c>
      <c r="AF51" s="41">
        <f>AF73/AVERAGE(AD48,AF48)</f>
        <v>0.16123472262222036</v>
      </c>
      <c r="AG51" s="41">
        <f>AG73/AVERAGE(AF48,AG48)</f>
        <v>0.11731038717702445</v>
      </c>
      <c r="AH51" s="41">
        <f>AH73/AVERAGE(AG48,AH48)</f>
        <v>3.7871299459618195E-2</v>
      </c>
      <c r="AI51" s="41">
        <f>AI73/AVERAGE(AH48,AI48)</f>
        <v>8.1001355128868177E-2</v>
      </c>
      <c r="AJ51" s="42">
        <f>AJ73/AVERAGE(AF48:AI48)</f>
        <v>0.39675548218523271</v>
      </c>
      <c r="AK51" s="41">
        <f>AK73/AVERAGE(AI48,AK48)</f>
        <v>1.0532540972238578E-2</v>
      </c>
      <c r="AL51" s="41">
        <f>AL73/AVERAGE(AK48,AL48)</f>
        <v>-0.36884047547436283</v>
      </c>
      <c r="AM51" s="41">
        <f>AM73/AVERAGE(AL48,AM48)</f>
        <v>-1.7675962468309766E-2</v>
      </c>
      <c r="AN51" s="41">
        <f>AN73/AVERAGE(AM48,AN48)</f>
        <v>0.12742122406636294</v>
      </c>
      <c r="AO51" s="42">
        <f>AO73/AVERAGE(AK48:AN48)</f>
        <v>-0.24836397122497755</v>
      </c>
      <c r="AP51" s="41">
        <f>AP73/AVERAGE(AN48,AP48)</f>
        <v>-0.13396986696795346</v>
      </c>
      <c r="AQ51" s="41">
        <f>AQ73/AVERAGE(AP48,AQ48)</f>
        <v>-7.4146018402876462E-2</v>
      </c>
      <c r="AR51" s="41">
        <f>AR73/AVERAGE(AQ48,AR48)</f>
        <v>-0.31433242137980044</v>
      </c>
      <c r="AS51" s="41">
        <f>AS73/AVERAGE(AR48,AS48)</f>
        <v>0.30222049855150929</v>
      </c>
      <c r="AT51" s="42">
        <f>AT73/AVERAGE(AP48:AS48)</f>
        <v>-0.21977543896212159</v>
      </c>
      <c r="AU51" s="41">
        <f>AU73/AVERAGE(AS48,AU48)</f>
        <v>0.12597109768680009</v>
      </c>
      <c r="AV51" s="41">
        <f>AV73/AVERAGE(AU48,AV48)</f>
        <v>0.29614723722087016</v>
      </c>
      <c r="AW51" s="41">
        <f>AW73/AVERAGE(AV48,AW48)</f>
        <v>0.27153373913948287</v>
      </c>
      <c r="AX51" s="41">
        <f>AX73/AVERAGE(AW48,AX48)</f>
        <v>0.38814911543674091</v>
      </c>
      <c r="AY51" s="42">
        <f>AY73/AVERAGE(AU48:AX48)</f>
        <v>1.0817786108074325</v>
      </c>
      <c r="AZ51" s="41">
        <f>AZ73/AVERAGE(AX48,AZ48)</f>
        <v>7.2666592096809021E-2</v>
      </c>
      <c r="BA51" s="41">
        <f>BA73/AVERAGE(AZ48,BA48)</f>
        <v>0.17639499827015273</v>
      </c>
      <c r="BB51" s="41">
        <f>BB73/AVERAGE(BA48,BB48)</f>
        <v>3.6499529866789087</v>
      </c>
      <c r="BC51" s="41">
        <f>BC73/AVERAGE(BB48,BC48)</f>
        <v>0.67939735347356589</v>
      </c>
      <c r="BD51" s="42">
        <f>BD73/AVERAGE(AZ48:BC48)</f>
        <v>4.5784550239228228</v>
      </c>
      <c r="BE51" s="41">
        <f>BE73/AVERAGE(BC48,BE48)</f>
        <v>0.50008582485487796</v>
      </c>
      <c r="BF51" s="41">
        <f>BF73/AVERAGE(BD48,BF48)</f>
        <v>0.69433347897551134</v>
      </c>
      <c r="BG51" s="41">
        <f>BG73/AVERAGE(BE48,BG48)</f>
        <v>0.61780111520296277</v>
      </c>
      <c r="BH51" s="41">
        <f>BH73/AVERAGE(BG48,BH48)</f>
        <v>0.56579125314691137</v>
      </c>
      <c r="BI51" s="42">
        <f>BI73/AVERAGE(BE48:BH48)</f>
        <v>2.3780116721802633</v>
      </c>
      <c r="BJ51" s="41">
        <f>BJ73/AVERAGE(BH48,BJ48)</f>
        <v>0.42067442731415017</v>
      </c>
      <c r="BK51" s="41">
        <f>BK73/AVERAGE(BI48,BK48)</f>
        <v>0.39304392248957098</v>
      </c>
      <c r="BL51" s="41">
        <f>BL73/AVERAGE(BJ48,BL48)</f>
        <v>0.75609024526015911</v>
      </c>
      <c r="BM51" s="41">
        <f>BM73/AVERAGE(BL48,BM48)</f>
        <v>0.5504265259665404</v>
      </c>
      <c r="BN51" s="42">
        <f>BN73/AVERAGE(BJ48:BM48)</f>
        <v>2.1257911304040458</v>
      </c>
      <c r="BO51" s="41">
        <f>BO73/AVERAGE(BM48,BO48)</f>
        <v>0.4358237905181096</v>
      </c>
      <c r="BP51" s="41">
        <f>BP73/AVERAGE(BN48,BP48)</f>
        <v>0.74437955270884515</v>
      </c>
      <c r="BQ51" s="41">
        <f>BQ73/AVERAGE(BP48,BQ48)</f>
        <v>0.67032521517866428</v>
      </c>
      <c r="BR51" s="41">
        <f>BR73/AVERAGE(BQ48,BR48)</f>
        <v>0.66096591015173867</v>
      </c>
      <c r="BS51" s="42">
        <f>BS73/AVERAGE(BO48:BR48)</f>
        <v>2.5127693567444873</v>
      </c>
      <c r="BT51" s="41">
        <f>BT73/AVERAGE(BR48,BT48)</f>
        <v>0.71283817124140814</v>
      </c>
      <c r="BU51" s="41">
        <f>BU73/AVERAGE(BT48,BU48)</f>
        <v>1.0989115040235142</v>
      </c>
      <c r="BV51" s="41">
        <f>BV73/AVERAGE(BU48,BV48)</f>
        <v>1.2618685002973959</v>
      </c>
      <c r="BW51" s="41">
        <f>BW73/AVERAGE(BV48,BW48)</f>
        <v>1.4183971970949258</v>
      </c>
      <c r="BX51" s="42">
        <f>BX73/AVERAGE(BT48:BW48)</f>
        <v>4.4080367733906893</v>
      </c>
      <c r="BY51" s="41">
        <f>BY73/AVERAGE(BW48,BY48)</f>
        <v>0.73280503161534627</v>
      </c>
      <c r="BZ51" s="41">
        <f>BZ73/AVERAGE(BY48,BZ48)</f>
        <v>0.88316393804755522</v>
      </c>
      <c r="CA51" s="41">
        <f>CA73/AVERAGE(BZ48,CA48)</f>
        <v>1.3871549562639058</v>
      </c>
      <c r="CB51" s="41">
        <f>CB73/AVERAGE(CA48,CB48)</f>
        <v>1.5535980651816967</v>
      </c>
      <c r="CC51" s="42">
        <f>CC73/AVERAGE(BY48:CB48)</f>
        <v>4.5700426543630197</v>
      </c>
      <c r="CD51" s="41">
        <f>CD73/AVERAGE(CB48,CD48)</f>
        <v>0.67844749150729022</v>
      </c>
      <c r="CE51" s="41">
        <f>CE73/AVERAGE(CD48,CE48)</f>
        <v>1.0363706534068369</v>
      </c>
      <c r="CF51" s="41">
        <f ca="1">CF73/AVERAGE(CE48,CF48)</f>
        <v>1.2084465667093858</v>
      </c>
      <c r="CG51" s="41">
        <f ca="1">CG73/AVERAGE(CF48,CG48)</f>
        <v>1.4042687708333685</v>
      </c>
      <c r="CH51" s="42">
        <f ca="1">CH73/AVERAGE(CD48:CG48)</f>
        <v>4.3301443502681582</v>
      </c>
      <c r="CI51" s="41">
        <f ca="1">CI73/AVERAGE(CG48,CI48)</f>
        <v>1.3727509753619471</v>
      </c>
      <c r="CJ51" s="41">
        <f ca="1">CJ73/AVERAGE(CI48,CJ48)</f>
        <v>1.2621457821724926</v>
      </c>
      <c r="CK51" s="41">
        <f ca="1">CK73/AVERAGE(CJ48,CK48)</f>
        <v>1.3102455664509347</v>
      </c>
      <c r="CL51" s="41">
        <f ca="1">CL73/AVERAGE(CK48,CL48)</f>
        <v>1.4745381333761702</v>
      </c>
      <c r="CM51" s="42">
        <f ca="1">CM73/AVERAGE(CI48:CL48)</f>
        <v>5.4196804573615438</v>
      </c>
      <c r="CN51" s="41">
        <f ca="1">CN73/AVERAGE(CL48,CN48)</f>
        <v>1.5785371251610192</v>
      </c>
      <c r="CO51" s="41">
        <f ca="1">CO73/AVERAGE(CN48,CO48)</f>
        <v>1.4245489731548249</v>
      </c>
      <c r="CP51" s="41">
        <f ca="1">CP73/AVERAGE(CO48,CP48)</f>
        <v>1.426568504894864</v>
      </c>
      <c r="CQ51" s="41">
        <f ca="1">CQ73/AVERAGE(CP48,CQ48)</f>
        <v>1.5859760980220978</v>
      </c>
      <c r="CR51" s="42">
        <f ca="1">CR73/AVERAGE(CN48:CQ48)</f>
        <v>6.0156307012328059</v>
      </c>
      <c r="CS51" s="41">
        <f ca="1">CS73/AVERAGE(CQ48,CS48)</f>
        <v>1.6984973832874102</v>
      </c>
      <c r="CT51" s="41">
        <f ca="1">CT73/AVERAGE(CS48,CT48)</f>
        <v>1.5362287102749892</v>
      </c>
      <c r="CU51" s="41">
        <f ca="1">CU73/AVERAGE(CT48,CU48)</f>
        <v>1.5438551499367574</v>
      </c>
      <c r="CV51" s="41">
        <f ca="1">CV73/AVERAGE(CU48,CV48)</f>
        <v>1.6985776340204255</v>
      </c>
      <c r="CW51" s="42">
        <f ca="1">CW73/AVERAGE(CS48:CV48)</f>
        <v>6.4771588775195825</v>
      </c>
      <c r="CX51" s="41">
        <f ca="1">CX73/AVERAGE(CV48,CX48)</f>
        <v>1.8733346418442138</v>
      </c>
      <c r="CY51" s="41">
        <f ca="1">CY73/AVERAGE(CX48,CY48)</f>
        <v>1.6842506284867447</v>
      </c>
      <c r="CZ51" s="41">
        <f ca="1">CZ73/AVERAGE(CY48,CZ48)</f>
        <v>1.700278020124335</v>
      </c>
      <c r="DA51" s="41">
        <f ca="1">DA73/AVERAGE(CZ48,DA48)</f>
        <v>1.8735800251445329</v>
      </c>
      <c r="DB51" s="42">
        <f ca="1">DB73/AVERAGE(CX48:DA48)</f>
        <v>7.1314433155998262</v>
      </c>
    </row>
    <row r="52" spans="1:106" s="11" customFormat="1" ht="11.25" customHeight="1" x14ac:dyDescent="0.35">
      <c r="A52" s="16" t="s">
        <v>16</v>
      </c>
      <c r="B52" s="41"/>
      <c r="C52" s="41">
        <f>C74/AVERAGE(B48,C48)</f>
        <v>0.40538387682103155</v>
      </c>
      <c r="D52" s="41">
        <f>D74/AVERAGE(C48,D48)</f>
        <v>0.42813939455624844</v>
      </c>
      <c r="E52" s="41">
        <f>E74/AVERAGE(D48,E48)</f>
        <v>0.1951089452866025</v>
      </c>
      <c r="F52" s="42">
        <f>F74/AVERAGE(B48:E48)</f>
        <v>1.4525570562944994</v>
      </c>
      <c r="G52" s="41">
        <f>G74/AVERAGE(E48,G48)</f>
        <v>0.17536718285522515</v>
      </c>
      <c r="H52" s="41">
        <f>H74/AVERAGE(G48,H48)</f>
        <v>0.25738061362069709</v>
      </c>
      <c r="I52" s="41">
        <f>I74/AVERAGE(H48,I48)</f>
        <v>0.35088194388075677</v>
      </c>
      <c r="J52" s="41">
        <f>J74/AVERAGE(I48,J48)</f>
        <v>0.49647587767146362</v>
      </c>
      <c r="K52" s="42">
        <f>K74/AVERAGE(G48:J48)</f>
        <v>1.2798615327442533</v>
      </c>
      <c r="L52" s="41">
        <f>L74/AVERAGE(J48,L48)</f>
        <v>0.3309389516497549</v>
      </c>
      <c r="M52" s="41">
        <f>M74/AVERAGE(L48,M48)</f>
        <v>0.34736472896358123</v>
      </c>
      <c r="N52" s="41">
        <f>N74/AVERAGE(M48,N48)</f>
        <v>0.36574125863922219</v>
      </c>
      <c r="O52" s="41">
        <f>O74/AVERAGE(N48,O48)</f>
        <v>0.60512101715872335</v>
      </c>
      <c r="P52" s="42">
        <f>P74/AVERAGE(L48:O48)</f>
        <v>1.6488047780069619</v>
      </c>
      <c r="Q52" s="41">
        <f>Q74/AVERAGE(O48,Q48)</f>
        <v>0.41961600291182627</v>
      </c>
      <c r="R52" s="41">
        <f>R74/AVERAGE(Q48,R48)</f>
        <v>0.45679185611239226</v>
      </c>
      <c r="S52" s="41">
        <f>S74/AVERAGE(R48,S48)</f>
        <v>0.42130560726578681</v>
      </c>
      <c r="T52" s="41">
        <f>T74/AVERAGE(S48,T48)</f>
        <v>0.44424628445248621</v>
      </c>
      <c r="U52" s="42">
        <f>U74/AVERAGE(Q48:T48)</f>
        <v>1.7444738959615071</v>
      </c>
      <c r="V52" s="41">
        <f>V74/AVERAGE(T48,V48)</f>
        <v>0.40309380469263845</v>
      </c>
      <c r="W52" s="41">
        <f>W74/AVERAGE(V48,W48)</f>
        <v>0.42342429298291578</v>
      </c>
      <c r="X52" s="41">
        <f>X74/AVERAGE(W48,X48)</f>
        <v>0.45817965101110603</v>
      </c>
      <c r="Y52" s="41">
        <f>Y74/AVERAGE(X48,Y48)</f>
        <v>0.38925004313526573</v>
      </c>
      <c r="Z52" s="42">
        <f>Z74/AVERAGE(V48:Y48)</f>
        <v>1.6868691762761829</v>
      </c>
      <c r="AA52" s="41">
        <f>AA74/AVERAGE(Y48,AA48)</f>
        <v>0.26405589924269185</v>
      </c>
      <c r="AB52" s="41">
        <f>AB74/AVERAGE(AA48,AB48)</f>
        <v>0.31166121507359978</v>
      </c>
      <c r="AC52" s="41">
        <f>AC74/AVERAGE(AB48,AC48)</f>
        <v>0.34649216028219554</v>
      </c>
      <c r="AD52" s="41">
        <f>AD74/AVERAGE(AC48,AD48)</f>
        <v>0.25867299135118577</v>
      </c>
      <c r="AE52" s="42">
        <f>AE74/AVERAGE(AA48:AD48)</f>
        <v>1.1821956797732045</v>
      </c>
      <c r="AF52" s="41">
        <f>AF74/AVERAGE(AD48,AF48)</f>
        <v>0.16123472262222036</v>
      </c>
      <c r="AG52" s="41">
        <f>AG74/AVERAGE(AF48,AG48)</f>
        <v>0.11731038717702445</v>
      </c>
      <c r="AH52" s="41">
        <f>AH74/AVERAGE(AG48,AH48)</f>
        <v>3.7871299459618195E-2</v>
      </c>
      <c r="AI52" s="41">
        <f>AI74/AVERAGE(AH48,AI48)</f>
        <v>8.1001355128868177E-2</v>
      </c>
      <c r="AJ52" s="42">
        <f>AJ74/AVERAGE(AF48:AI48)</f>
        <v>0.39675548218523271</v>
      </c>
      <c r="AK52" s="41">
        <f>AK74/AVERAGE(AI48,AK48)</f>
        <v>1.0532540972238578E-2</v>
      </c>
      <c r="AL52" s="41">
        <f>AL74/AVERAGE(AK48,AL48)</f>
        <v>-0.36884047547436283</v>
      </c>
      <c r="AM52" s="41">
        <f>AM74/AVERAGE(AL48,AM48)</f>
        <v>-1.7675962468309766E-2</v>
      </c>
      <c r="AN52" s="41">
        <f>AN74/AVERAGE(AM48,AN48)</f>
        <v>0.12742122406636294</v>
      </c>
      <c r="AO52" s="42">
        <f>AO74/AVERAGE(AK48:AN48)</f>
        <v>-0.24836397122497755</v>
      </c>
      <c r="AP52" s="41">
        <f>AP74/AVERAGE(AN48,AP48)</f>
        <v>-0.13396986696795346</v>
      </c>
      <c r="AQ52" s="41">
        <f>AQ74/AVERAGE(AP48,AQ48)</f>
        <v>-7.4146018402876462E-2</v>
      </c>
      <c r="AR52" s="41">
        <f>AR74/AVERAGE(AQ48,AR48)</f>
        <v>-0.31433242137980044</v>
      </c>
      <c r="AS52" s="41">
        <f>AS74/AVERAGE(AR48,AS48)</f>
        <v>0.25016332936831226</v>
      </c>
      <c r="AT52" s="42">
        <f>AT74/AVERAGE(AP48:AS48)</f>
        <v>-0.27187776793622676</v>
      </c>
      <c r="AU52" s="41">
        <f>AU74/AVERAGE(AS48,AU48)</f>
        <v>0.12597109768680009</v>
      </c>
      <c r="AV52" s="41">
        <f>AV74/AVERAGE(AU48,AV48)</f>
        <v>0.29614723722087016</v>
      </c>
      <c r="AW52" s="41">
        <f>AW74/AVERAGE(AV48,AW48)</f>
        <v>0.27153373913948287</v>
      </c>
      <c r="AX52" s="41">
        <f>AX74/AVERAGE(AW48,AX48)</f>
        <v>0.38814911543674091</v>
      </c>
      <c r="AY52" s="42">
        <f>AY74/AVERAGE(AU48:AX48)</f>
        <v>1.0817786108074325</v>
      </c>
      <c r="AZ52" s="41">
        <f>AZ74/AVERAGE(AX48,AZ48)</f>
        <v>7.2666592096809021E-2</v>
      </c>
      <c r="BA52" s="41">
        <f>BA74/AVERAGE(AZ48,BA48)</f>
        <v>0.17639499827015273</v>
      </c>
      <c r="BB52" s="41">
        <f>BB74/AVERAGE(BA48,BB48)</f>
        <v>0.65098428857725854</v>
      </c>
      <c r="BC52" s="41">
        <f>BC74/AVERAGE(BB48,BC48)</f>
        <v>0.67939735347356589</v>
      </c>
      <c r="BD52" s="42">
        <f>BD74/AVERAGE(AZ48:BC48)</f>
        <v>1.5794863258211724</v>
      </c>
      <c r="BE52" s="41">
        <f>BE74/AVERAGE(BC48,BE48)</f>
        <v>0.50008582485487796</v>
      </c>
      <c r="BF52" s="41">
        <f>BF74/AVERAGE(BD48,BF48)</f>
        <v>0.69433347897551134</v>
      </c>
      <c r="BG52" s="41">
        <f>BG74/AVERAGE(BE48,BG48)</f>
        <v>0.61780111520296277</v>
      </c>
      <c r="BH52" s="41">
        <f>BH74/AVERAGE(BG48,BH48)</f>
        <v>0.56579125314691137</v>
      </c>
      <c r="BI52" s="42">
        <f>BI74/AVERAGE(BE48:BH48)</f>
        <v>2.3780116721802633</v>
      </c>
      <c r="BJ52" s="41">
        <f>BJ74/AVERAGE(BH48,BJ48)</f>
        <v>0.42067442731415017</v>
      </c>
      <c r="BK52" s="41">
        <f>BK74/AVERAGE(BI48,BK48)</f>
        <v>0.39304392248957098</v>
      </c>
      <c r="BL52" s="41">
        <f>BL74/AVERAGE(BJ48,BL48)</f>
        <v>0.75609024526015911</v>
      </c>
      <c r="BM52" s="41">
        <f>BM74/AVERAGE(BL48,BM48)</f>
        <v>0.5504265259665404</v>
      </c>
      <c r="BN52" s="42">
        <f>BN74/AVERAGE(BJ48:BM48)</f>
        <v>2.1257911304040458</v>
      </c>
      <c r="BO52" s="41">
        <f>BO74/AVERAGE(BM48,BO48)</f>
        <v>0.4358237905181096</v>
      </c>
      <c r="BP52" s="41">
        <f>BP74/AVERAGE(BN48,BP48)</f>
        <v>0.74437955270884515</v>
      </c>
      <c r="BQ52" s="41">
        <f>BQ74/AVERAGE(BP48,BQ48)</f>
        <v>0.67032521517866428</v>
      </c>
      <c r="BR52" s="41">
        <f>BR74/AVERAGE(BQ48,BR48)</f>
        <v>0.66096591015173867</v>
      </c>
      <c r="BS52" s="42">
        <f>BS74/AVERAGE(BO48:BR48)</f>
        <v>2.5127693567444873</v>
      </c>
      <c r="BT52" s="41">
        <f>BT74/AVERAGE(BR48,BT48)</f>
        <v>0.71283817124140814</v>
      </c>
      <c r="BU52" s="41">
        <f>BU74/AVERAGE(BT48,BU48)</f>
        <v>1.0989115040235142</v>
      </c>
      <c r="BV52" s="41">
        <f>BV74/AVERAGE(BU48,BV48)</f>
        <v>1.0164834725182106</v>
      </c>
      <c r="BW52" s="41">
        <f>BW74/AVERAGE(BV48,BW48)</f>
        <v>1.4183971970949258</v>
      </c>
      <c r="BX52" s="42">
        <f>BX74/AVERAGE(BT48:BW48)</f>
        <v>4.1751014977485035</v>
      </c>
      <c r="BY52" s="41">
        <f>BY74/AVERAGE(BW48,BY48)</f>
        <v>0.73280503161534627</v>
      </c>
      <c r="BZ52" s="41">
        <f>BZ74/AVERAGE(BY48,BZ48)</f>
        <v>0.88316393804755522</v>
      </c>
      <c r="CA52" s="41">
        <f>CA74/AVERAGE(BZ48,CA48)</f>
        <v>0.90208398332084594</v>
      </c>
      <c r="CB52" s="41">
        <f>CB74/AVERAGE(CA48,CB48)</f>
        <v>1.3941850693788131</v>
      </c>
      <c r="CC52" s="42">
        <f>CC74/AVERAGE(BY48:CB48)</f>
        <v>3.9255586856170761</v>
      </c>
      <c r="CD52" s="41">
        <f>CD74/AVERAGE(CB48,CD48)</f>
        <v>0.67844749150729022</v>
      </c>
      <c r="CE52" s="41">
        <f>CE74/AVERAGE(CD48,CE48)</f>
        <v>1.0363706534068369</v>
      </c>
      <c r="CF52" s="41">
        <f ca="1">CF74/AVERAGE(CE48,CF48)</f>
        <v>1.2084465667093858</v>
      </c>
      <c r="CG52" s="41">
        <f ca="1">CG74/AVERAGE(CF48,CG48)</f>
        <v>1.4042687708333685</v>
      </c>
      <c r="CH52" s="42">
        <f ca="1">CH74/AVERAGE(CD48:CG48)</f>
        <v>4.3301443502681582</v>
      </c>
      <c r="CI52" s="41">
        <f ca="1">CI74/AVERAGE(CG48,CI48)</f>
        <v>1.3727509753619471</v>
      </c>
      <c r="CJ52" s="41">
        <f ca="1">CJ74/AVERAGE(CI48,CJ48)</f>
        <v>1.2621457821724926</v>
      </c>
      <c r="CK52" s="41">
        <f ca="1">CK74/AVERAGE(CJ48,CK48)</f>
        <v>1.3102455664509347</v>
      </c>
      <c r="CL52" s="41">
        <f ca="1">CL74/AVERAGE(CK48,CL48)</f>
        <v>1.4745381333761702</v>
      </c>
      <c r="CM52" s="42">
        <f ca="1">CM74/AVERAGE(CI48:CL48)</f>
        <v>5.4196804573615438</v>
      </c>
      <c r="CN52" s="41">
        <f ca="1">CN74/AVERAGE(CL48,CN48)</f>
        <v>1.5785371251610192</v>
      </c>
      <c r="CO52" s="41">
        <f ca="1">CO74/AVERAGE(CN48,CO48)</f>
        <v>1.4245489731548249</v>
      </c>
      <c r="CP52" s="41">
        <f ca="1">CP74/AVERAGE(CO48,CP48)</f>
        <v>1.426568504894864</v>
      </c>
      <c r="CQ52" s="41">
        <f ca="1">CQ74/AVERAGE(CP48,CQ48)</f>
        <v>1.5859760980220978</v>
      </c>
      <c r="CR52" s="42">
        <f ca="1">CR74/AVERAGE(CN48:CQ48)</f>
        <v>6.0156307012328059</v>
      </c>
      <c r="CS52" s="41">
        <f ca="1">CS74/AVERAGE(CQ48,CS48)</f>
        <v>1.6984973832874102</v>
      </c>
      <c r="CT52" s="41">
        <f ca="1">CT74/AVERAGE(CS48,CT48)</f>
        <v>1.5362287102749892</v>
      </c>
      <c r="CU52" s="41">
        <f ca="1">CU74/AVERAGE(CT48,CU48)</f>
        <v>1.5438551499367574</v>
      </c>
      <c r="CV52" s="41">
        <f ca="1">CV74/AVERAGE(CU48,CV48)</f>
        <v>1.6985776340204255</v>
      </c>
      <c r="CW52" s="42">
        <f ca="1">CW74/AVERAGE(CS48:CV48)</f>
        <v>6.4771588775195825</v>
      </c>
      <c r="CX52" s="41">
        <f ca="1">CX74/AVERAGE(CV48,CX48)</f>
        <v>1.8733346418442138</v>
      </c>
      <c r="CY52" s="41">
        <f ca="1">CY74/AVERAGE(CX48,CY48)</f>
        <v>1.6842506284867447</v>
      </c>
      <c r="CZ52" s="41">
        <f ca="1">CZ74/AVERAGE(CY48,CZ48)</f>
        <v>1.700278020124335</v>
      </c>
      <c r="DA52" s="41">
        <f ca="1">DA74/AVERAGE(CZ48,DA48)</f>
        <v>1.8735800251445329</v>
      </c>
      <c r="DB52" s="42">
        <f ca="1">DB74/AVERAGE(CX48:DA48)</f>
        <v>7.1314433155998262</v>
      </c>
    </row>
    <row r="53" spans="1:106" s="11" customFormat="1" ht="11.25" customHeight="1" x14ac:dyDescent="0.35">
      <c r="A53" s="32" t="s">
        <v>17</v>
      </c>
      <c r="B53" s="111"/>
      <c r="C53" s="111">
        <f>C55/AVERAGE(B48,C48)</f>
        <v>0</v>
      </c>
      <c r="D53" s="111">
        <f>D55/AVERAGE(C48,D48)</f>
        <v>0</v>
      </c>
      <c r="E53" s="111">
        <f>E55/AVERAGE(D48,E48)</f>
        <v>0.33703967393442996</v>
      </c>
      <c r="F53" s="112">
        <f>F55/AVERAGE(B48:E48)</f>
        <v>0.33716632455600148</v>
      </c>
      <c r="G53" s="111">
        <f>G55/AVERAGE(E48,G48)</f>
        <v>0</v>
      </c>
      <c r="H53" s="111">
        <f>H55/AVERAGE(G48,H48)</f>
        <v>0</v>
      </c>
      <c r="I53" s="111">
        <f>I55/AVERAGE(H48,I48)</f>
        <v>0</v>
      </c>
      <c r="J53" s="111">
        <f>J55/AVERAGE(I48,J48)</f>
        <v>0.28712188375776804</v>
      </c>
      <c r="K53" s="112">
        <f>K55/AVERAGE(G48:J48)</f>
        <v>0.28336333741892422</v>
      </c>
      <c r="L53" s="111">
        <f>L55/AVERAGE(J48,L48)</f>
        <v>0</v>
      </c>
      <c r="M53" s="111">
        <f>M55/AVERAGE(L48,M48)</f>
        <v>0</v>
      </c>
      <c r="N53" s="111">
        <f>N55/AVERAGE(M48,N48)</f>
        <v>0</v>
      </c>
      <c r="O53" s="111">
        <f>O55/AVERAGE(N48,O48)</f>
        <v>0.3809438208797869</v>
      </c>
      <c r="P53" s="112">
        <f>P55/AVERAGE(L48:O48)</f>
        <v>0.38127704819227626</v>
      </c>
      <c r="Q53" s="111">
        <f>Q55/AVERAGE(O48,Q48)</f>
        <v>0.12132609420971216</v>
      </c>
      <c r="R53" s="111">
        <f>R55/AVERAGE(Q48,R48)</f>
        <v>0</v>
      </c>
      <c r="S53" s="111">
        <f>S55/AVERAGE(R48,S48)</f>
        <v>0</v>
      </c>
      <c r="T53" s="111">
        <f>T55/AVERAGE(S48,T48)</f>
        <v>0.41577900629995512</v>
      </c>
      <c r="U53" s="112">
        <f>U55/AVERAGE(Q48:T48)</f>
        <v>0.53590434559061895</v>
      </c>
      <c r="V53" s="111">
        <f>V55/AVERAGE(T48,V48)</f>
        <v>0</v>
      </c>
      <c r="W53" s="111">
        <f>W55/AVERAGE(V48,W48)</f>
        <v>0</v>
      </c>
      <c r="X53" s="111">
        <f>X55/AVERAGE(W48,X48)</f>
        <v>0</v>
      </c>
      <c r="Y53" s="111">
        <f>Y55/AVERAGE(X48,Y48)</f>
        <v>0.40762761227817773</v>
      </c>
      <c r="Z53" s="112">
        <f>Z55/AVERAGE(V48:Y48)</f>
        <v>0.40063139748971044</v>
      </c>
      <c r="AA53" s="111">
        <f>AA55/AVERAGE(Y48,AA48)</f>
        <v>0</v>
      </c>
      <c r="AB53" s="111">
        <f>AB55/AVERAGE(AA48,AB48)</f>
        <v>0</v>
      </c>
      <c r="AC53" s="111">
        <f>AC55/AVERAGE(AB48,AC48)</f>
        <v>0</v>
      </c>
      <c r="AD53" s="111">
        <f>AD55/AVERAGE(AC48,AD48)</f>
        <v>0.28066076299132492</v>
      </c>
      <c r="AE53" s="112">
        <f>AE55/AVERAGE(AA48:AD48)</f>
        <v>0.28077279395024479</v>
      </c>
      <c r="AF53" s="111">
        <f>AF55/AVERAGE(AD48,AF48)</f>
        <v>0</v>
      </c>
      <c r="AG53" s="111">
        <f>AG55/AVERAGE(AF48,AG48)</f>
        <v>0</v>
      </c>
      <c r="AH53" s="111">
        <f>AH55/AVERAGE(AG48,AH48)</f>
        <v>0</v>
      </c>
      <c r="AI53" s="111">
        <f>AI55/AVERAGE(AH48,AI48)</f>
        <v>9.4128642676739566E-2</v>
      </c>
      <c r="AJ53" s="112">
        <f>AJ55/AVERAGE(AF48:AI48)</f>
        <v>9.4229378226708613E-2</v>
      </c>
      <c r="AK53" s="111">
        <f>AK55/AVERAGE(AI48,AK48)</f>
        <v>0</v>
      </c>
      <c r="AL53" s="111">
        <f>AL55/AVERAGE(AK48,AL48)</f>
        <v>0</v>
      </c>
      <c r="AM53" s="111">
        <f>AM55/AVERAGE(AL48,AM48)</f>
        <v>0</v>
      </c>
      <c r="AN53" s="111">
        <f>AN55/AVERAGE(AM48,AN48)</f>
        <v>0</v>
      </c>
      <c r="AO53" s="112">
        <f>AO55/AVERAGE(AK48:AN48)</f>
        <v>0</v>
      </c>
      <c r="AP53" s="111">
        <f>AP55/AVERAGE(AN48,AP48)</f>
        <v>0</v>
      </c>
      <c r="AQ53" s="111">
        <f>AQ55/AVERAGE(AP48,AQ48)</f>
        <v>0.52147567185621868</v>
      </c>
      <c r="AR53" s="111">
        <f>AR55/AVERAGE(AQ48,AR48)</f>
        <v>0</v>
      </c>
      <c r="AS53" s="111">
        <f>AS55/AVERAGE(AR48,AS48)</f>
        <v>0.59865744560676537</v>
      </c>
      <c r="AT53" s="112">
        <f>AT55/AVERAGE(AP48:AS48)</f>
        <v>1.1202000729432606</v>
      </c>
      <c r="AU53" s="111">
        <f>AU55/AVERAGE(AS48,AU48)</f>
        <v>0</v>
      </c>
      <c r="AV53" s="111">
        <f>AV55/AVERAGE(AU48,AV48)</f>
        <v>0</v>
      </c>
      <c r="AW53" s="111">
        <f>AW55/AVERAGE(AV48,AW48)</f>
        <v>0.7803964413922273</v>
      </c>
      <c r="AX53" s="111">
        <f>AX55/AVERAGE(AW48,AX48)</f>
        <v>1.0405096416224666</v>
      </c>
      <c r="AY53" s="112">
        <f>AY55/AVERAGE(AU48:AX48)</f>
        <v>1.8209877948293052</v>
      </c>
      <c r="AZ53" s="111">
        <f>AZ55/AVERAGE(AX48,AZ48)</f>
        <v>0</v>
      </c>
      <c r="BA53" s="111">
        <f>BA55/AVERAGE(AZ48,BA48)</f>
        <v>0</v>
      </c>
      <c r="BB53" s="111">
        <f>BB55/AVERAGE(BA48,BB48)</f>
        <v>0.2568821287215628</v>
      </c>
      <c r="BC53" s="111">
        <f>BC55/AVERAGE(BB48,BC48)</f>
        <v>1.5604519068722302</v>
      </c>
      <c r="BD53" s="112">
        <f>BD55/AVERAGE(AZ48:BC48)</f>
        <v>1.8174902977250234</v>
      </c>
      <c r="BE53" s="111">
        <f>BE55/AVERAGE(BC48,BE48)</f>
        <v>0</v>
      </c>
      <c r="BF53" s="111">
        <f>BF55/AVERAGE(BD48,BF48)</f>
        <v>1.0872734184819925</v>
      </c>
      <c r="BG53" s="111">
        <f>BG55/AVERAGE(BE48,BG48)</f>
        <v>0</v>
      </c>
      <c r="BH53" s="111">
        <f>BH55/AVERAGE(BG48,BH48)</f>
        <v>0</v>
      </c>
      <c r="BI53" s="112">
        <f>BI55/AVERAGE(BE48:BH48)</f>
        <v>1.0872734184819925</v>
      </c>
      <c r="BJ53" s="111">
        <f>BJ55/AVERAGE(BH48,BJ48)</f>
        <v>0</v>
      </c>
      <c r="BK53" s="111">
        <f>BK55/AVERAGE(BI48,BK48)</f>
        <v>0.56601449456491282</v>
      </c>
      <c r="BL53" s="111">
        <f>BL55/AVERAGE(BJ48,BL48)</f>
        <v>0</v>
      </c>
      <c r="BM53" s="111">
        <f>BM55/AVERAGE(BL48,BM48)</f>
        <v>0</v>
      </c>
      <c r="BN53" s="112">
        <f>BN55/AVERAGE(BJ48:BM48)</f>
        <v>0.57071023665089604</v>
      </c>
      <c r="BO53" s="111">
        <f>BO55/AVERAGE(BM48,BO48)</f>
        <v>0</v>
      </c>
      <c r="BP53" s="111">
        <f>BP55/AVERAGE(BN48,BP48)</f>
        <v>0.51184551086255681</v>
      </c>
      <c r="BQ53" s="111">
        <f>BQ55/AVERAGE(BP48,BQ48)</f>
        <v>0</v>
      </c>
      <c r="BR53" s="111">
        <f>BR55/AVERAGE(BQ48,BR48)</f>
        <v>0.33340357035215418</v>
      </c>
      <c r="BS53" s="112">
        <f>BS55/AVERAGE(BO48:BR48)</f>
        <v>0.84580199084607166</v>
      </c>
      <c r="BT53" s="111">
        <f>BT55/AVERAGE(BR48,BT48)</f>
        <v>0</v>
      </c>
      <c r="BU53" s="111">
        <f>BU55/AVERAGE(BT48,BU48)</f>
        <v>0.59678279957644409</v>
      </c>
      <c r="BV53" s="111">
        <f>BV55/AVERAGE(BU48,BV48)</f>
        <v>0</v>
      </c>
      <c r="BW53" s="111">
        <f>BW55/AVERAGE(BV48,BW48)</f>
        <v>0</v>
      </c>
      <c r="BX53" s="112">
        <f>BX55/AVERAGE(BT48:BW48)</f>
        <v>0.56650467706182539</v>
      </c>
      <c r="BY53" s="111">
        <f>BY55/AVERAGE(BW48,BY48)</f>
        <v>0</v>
      </c>
      <c r="BZ53" s="111">
        <f>BZ55/AVERAGE(BY48,BZ48)</f>
        <v>0.89188515038338823</v>
      </c>
      <c r="CA53" s="111">
        <f>CA55/AVERAGE(BZ48,CA48)</f>
        <v>0</v>
      </c>
      <c r="CB53" s="111">
        <f>CB55/AVERAGE(CA48,CB48)</f>
        <v>2.277328511469765</v>
      </c>
      <c r="CC53" s="112">
        <f>CC55/AVERAGE(BY48:CB48)</f>
        <v>3.1692136618531532</v>
      </c>
      <c r="CD53" s="111">
        <f>CD55/AVERAGE(CB48,CD48)</f>
        <v>0</v>
      </c>
      <c r="CE53" s="111">
        <f>CE55/AVERAGE(CD48,CE48)</f>
        <v>0</v>
      </c>
      <c r="CF53" s="111">
        <f>CF55/AVERAGE(CE48,CF48)</f>
        <v>0</v>
      </c>
      <c r="CG53" s="111">
        <f>CG55/AVERAGE(CF48,CG48)</f>
        <v>0</v>
      </c>
      <c r="CH53" s="112">
        <f>CH55/AVERAGE(CD48:CG48)</f>
        <v>0</v>
      </c>
      <c r="CI53" s="111">
        <f ca="1">CI55/AVERAGE(CG48,CI48)</f>
        <v>2.1650716161749153</v>
      </c>
      <c r="CJ53" s="111">
        <f>CJ55/AVERAGE(CI48,CJ48)</f>
        <v>0</v>
      </c>
      <c r="CK53" s="111">
        <f>CK55/AVERAGE(CJ48,CK48)</f>
        <v>0</v>
      </c>
      <c r="CL53" s="111">
        <f>CL55/AVERAGE(CK48,CL48)</f>
        <v>0</v>
      </c>
      <c r="CM53" s="112">
        <f ca="1">CM55/AVERAGE(CI48:CL48)</f>
        <v>2.1650716161749153</v>
      </c>
      <c r="CN53" s="111">
        <f ca="1">CN55/AVERAGE(CL48,CN48)</f>
        <v>4.3357443658892354</v>
      </c>
      <c r="CO53" s="111">
        <f>CO55/AVERAGE(CN48,CO48)</f>
        <v>0</v>
      </c>
      <c r="CP53" s="111">
        <f>CP55/AVERAGE(CO48,CP48)</f>
        <v>0</v>
      </c>
      <c r="CQ53" s="111">
        <f>CQ55/AVERAGE(CP48,CQ48)</f>
        <v>0</v>
      </c>
      <c r="CR53" s="112">
        <f ca="1">CR55/AVERAGE(CN48:CQ48)</f>
        <v>4.3357443658892354</v>
      </c>
      <c r="CS53" s="111">
        <f ca="1">CS55/AVERAGE(CQ48,CS48)</f>
        <v>4.8125045609862447</v>
      </c>
      <c r="CT53" s="111">
        <f>CT55/AVERAGE(CS48,CT48)</f>
        <v>0</v>
      </c>
      <c r="CU53" s="111">
        <f>CU55/AVERAGE(CT48,CU48)</f>
        <v>0</v>
      </c>
      <c r="CV53" s="111">
        <f>CV55/AVERAGE(CU48,CV48)</f>
        <v>0</v>
      </c>
      <c r="CW53" s="112">
        <f ca="1">CW55/AVERAGE(CS48:CV48)</f>
        <v>4.8125045609862447</v>
      </c>
      <c r="CX53" s="111">
        <f ca="1">CX55/AVERAGE(CV48,CX48)</f>
        <v>5.1817271020156657</v>
      </c>
      <c r="CY53" s="111">
        <f>CY55/AVERAGE(CX48,CY48)</f>
        <v>0</v>
      </c>
      <c r="CZ53" s="111">
        <f>CZ55/AVERAGE(CY48,CZ48)</f>
        <v>0</v>
      </c>
      <c r="DA53" s="111">
        <f>DA55/AVERAGE(CZ48,DA48)</f>
        <v>0</v>
      </c>
      <c r="DB53" s="112">
        <f ca="1">DB55/AVERAGE(CX48:DA48)</f>
        <v>5.1817271020156657</v>
      </c>
    </row>
    <row r="54" spans="1:106" ht="11.25" customHeight="1" thickBot="1" x14ac:dyDescent="0.4">
      <c r="A54" s="124" t="s">
        <v>107</v>
      </c>
      <c r="B54" s="129" t="str">
        <f>Macro!B$3</f>
        <v>1Q10</v>
      </c>
      <c r="C54" s="129" t="str">
        <f>Macro!C$3</f>
        <v>2Q10</v>
      </c>
      <c r="D54" s="129" t="str">
        <f>Macro!D$3</f>
        <v>3Q10</v>
      </c>
      <c r="E54" s="130" t="str">
        <f>Macro!E$3</f>
        <v>4Q10</v>
      </c>
      <c r="F54" s="131"/>
      <c r="G54" s="129"/>
      <c r="H54" s="129"/>
      <c r="I54" s="129"/>
      <c r="J54" s="130"/>
      <c r="K54" s="131"/>
      <c r="L54" s="129"/>
      <c r="M54" s="129"/>
      <c r="N54" s="129"/>
      <c r="O54" s="130"/>
      <c r="P54" s="131"/>
      <c r="Q54" s="129"/>
      <c r="R54" s="129"/>
      <c r="S54" s="129"/>
      <c r="T54" s="130"/>
      <c r="U54" s="131"/>
      <c r="V54" s="129"/>
      <c r="W54" s="129"/>
      <c r="X54" s="129"/>
      <c r="Y54" s="130"/>
      <c r="Z54" s="131"/>
      <c r="AA54" s="129"/>
      <c r="AB54" s="129"/>
      <c r="AC54" s="129"/>
      <c r="AD54" s="130"/>
      <c r="AE54" s="131"/>
      <c r="AF54" s="129"/>
      <c r="AG54" s="129"/>
      <c r="AH54" s="129"/>
      <c r="AI54" s="130"/>
      <c r="AJ54" s="131"/>
      <c r="AK54" s="129"/>
      <c r="AL54" s="129"/>
      <c r="AM54" s="129"/>
      <c r="AN54" s="130"/>
      <c r="AO54" s="131"/>
      <c r="AP54" s="129"/>
      <c r="AQ54" s="129"/>
      <c r="AR54" s="129"/>
      <c r="AS54" s="130"/>
      <c r="AT54" s="131"/>
      <c r="AU54" s="129"/>
      <c r="AV54" s="129"/>
      <c r="AW54" s="129"/>
      <c r="AX54" s="130"/>
      <c r="AY54" s="131"/>
      <c r="AZ54" s="129"/>
      <c r="BA54" s="129"/>
      <c r="BB54" s="129"/>
      <c r="BC54" s="130"/>
      <c r="BD54" s="131"/>
      <c r="BE54" s="129"/>
      <c r="BF54" s="129"/>
      <c r="BG54" s="129"/>
      <c r="BH54" s="130"/>
      <c r="BI54" s="131"/>
      <c r="BJ54" s="129"/>
      <c r="BK54" s="129"/>
      <c r="BL54" s="129"/>
      <c r="BM54" s="130"/>
      <c r="BN54" s="131"/>
      <c r="BO54" s="129"/>
      <c r="BP54" s="129"/>
      <c r="BQ54" s="129"/>
      <c r="BR54" s="130"/>
      <c r="BS54" s="131"/>
      <c r="BT54" s="129"/>
      <c r="BU54" s="129"/>
      <c r="BV54" s="129"/>
      <c r="BW54" s="130"/>
      <c r="BX54" s="131"/>
      <c r="BY54" s="129"/>
      <c r="BZ54" s="129"/>
      <c r="CA54" s="125"/>
      <c r="CB54" s="125"/>
      <c r="CC54" s="126"/>
      <c r="CD54" s="125"/>
      <c r="CE54" s="125"/>
      <c r="CF54" s="125"/>
      <c r="CG54" s="125"/>
      <c r="CH54" s="126"/>
      <c r="CI54" s="125"/>
      <c r="CJ54" s="125"/>
      <c r="CK54" s="125"/>
      <c r="CL54" s="125"/>
      <c r="CM54" s="126"/>
      <c r="CN54" s="125"/>
      <c r="CO54" s="125"/>
      <c r="CP54" s="125"/>
      <c r="CQ54" s="125"/>
      <c r="CR54" s="126"/>
      <c r="CS54" s="125"/>
      <c r="CT54" s="125"/>
      <c r="CU54" s="125"/>
      <c r="CV54" s="125"/>
      <c r="CW54" s="126"/>
      <c r="CX54" s="125"/>
      <c r="CY54" s="125"/>
      <c r="CZ54" s="125"/>
      <c r="DA54" s="125"/>
      <c r="DB54" s="126"/>
    </row>
    <row r="55" spans="1:106" ht="11.25" customHeight="1" thickTop="1" x14ac:dyDescent="0.35">
      <c r="A55" s="132" t="s">
        <v>94</v>
      </c>
      <c r="B55" s="530">
        <v>0</v>
      </c>
      <c r="C55" s="530">
        <v>0</v>
      </c>
      <c r="D55" s="530">
        <v>0</v>
      </c>
      <c r="E55" s="530">
        <v>142559</v>
      </c>
      <c r="F55" s="602">
        <f>SUM(B55:E55)</f>
        <v>142559</v>
      </c>
      <c r="G55" s="530">
        <v>0</v>
      </c>
      <c r="H55" s="530">
        <v>0</v>
      </c>
      <c r="I55" s="530">
        <v>0</v>
      </c>
      <c r="J55" s="530">
        <v>118315</v>
      </c>
      <c r="K55" s="602">
        <f>SUM(G55:J55)</f>
        <v>118315</v>
      </c>
      <c r="L55" s="530">
        <v>0</v>
      </c>
      <c r="M55" s="530">
        <v>0</v>
      </c>
      <c r="N55" s="530">
        <v>0</v>
      </c>
      <c r="O55" s="530">
        <f>'BS &amp; FCF'!O39</f>
        <v>156818</v>
      </c>
      <c r="P55" s="602">
        <f>SUM(L55:O55)</f>
        <v>156818</v>
      </c>
      <c r="Q55" s="530">
        <v>50000</v>
      </c>
      <c r="R55" s="530">
        <v>0</v>
      </c>
      <c r="S55" s="530">
        <v>0</v>
      </c>
      <c r="T55" s="530">
        <f>'BS &amp; FCF'!U39</f>
        <v>170826</v>
      </c>
      <c r="U55" s="602">
        <f>SUM(Q55:T55)</f>
        <v>220826</v>
      </c>
      <c r="V55" s="530">
        <v>0</v>
      </c>
      <c r="W55" s="530">
        <v>0</v>
      </c>
      <c r="X55" s="530">
        <v>0</v>
      </c>
      <c r="Y55" s="530">
        <v>157106</v>
      </c>
      <c r="Z55" s="602">
        <f>SUM(V55:Y55)</f>
        <v>157106</v>
      </c>
      <c r="AA55" s="530">
        <v>0</v>
      </c>
      <c r="AB55" s="530">
        <v>0</v>
      </c>
      <c r="AC55" s="530">
        <v>0</v>
      </c>
      <c r="AD55" s="530">
        <v>106353</v>
      </c>
      <c r="AE55" s="602">
        <f>SUM(AA55:AD55)</f>
        <v>106353</v>
      </c>
      <c r="AF55" s="530">
        <v>0</v>
      </c>
      <c r="AG55" s="530">
        <v>0</v>
      </c>
      <c r="AH55" s="530">
        <v>0</v>
      </c>
      <c r="AI55" s="530">
        <f>0.094063*AI48</f>
        <v>35946.081386999998</v>
      </c>
      <c r="AJ55" s="602">
        <f>SUM(AF55:AI55)</f>
        <v>35946.081386999998</v>
      </c>
      <c r="AK55" s="530">
        <v>0</v>
      </c>
      <c r="AL55" s="530">
        <v>0</v>
      </c>
      <c r="AM55" s="530">
        <v>0</v>
      </c>
      <c r="AN55" s="530">
        <v>0</v>
      </c>
      <c r="AO55" s="602">
        <f>SUM(AK55:AN55)</f>
        <v>0</v>
      </c>
      <c r="AP55" s="530">
        <v>0</v>
      </c>
      <c r="AQ55" s="530">
        <v>200000</v>
      </c>
      <c r="AR55" s="530">
        <v>0</v>
      </c>
      <c r="AS55" s="530">
        <v>230000</v>
      </c>
      <c r="AT55" s="602">
        <f>SUM(AP55:AS55)</f>
        <v>430000</v>
      </c>
      <c r="AU55" s="530">
        <v>0</v>
      </c>
      <c r="AV55" s="530">
        <v>0</v>
      </c>
      <c r="AW55" s="530">
        <v>300000</v>
      </c>
      <c r="AX55" s="530">
        <v>400000</v>
      </c>
      <c r="AY55" s="602">
        <f>SUM(AU55:AX55)</f>
        <v>700000</v>
      </c>
      <c r="AZ55" s="530">
        <v>0</v>
      </c>
      <c r="BA55" s="530">
        <v>0</v>
      </c>
      <c r="BB55" s="530">
        <v>98762.316059999997</v>
      </c>
      <c r="BC55" s="530">
        <v>600000</v>
      </c>
      <c r="BD55" s="602">
        <f>SUM(AZ55:BC55)</f>
        <v>698762.31605999998</v>
      </c>
      <c r="BE55" s="530">
        <v>0</v>
      </c>
      <c r="BF55" s="530">
        <v>418060.97850000003</v>
      </c>
      <c r="BG55" s="530">
        <v>0</v>
      </c>
      <c r="BH55" s="530">
        <v>0</v>
      </c>
      <c r="BI55" s="602">
        <f>SUM(BE55:BH55)</f>
        <v>418060.97850000003</v>
      </c>
      <c r="BJ55" s="530">
        <v>0</v>
      </c>
      <c r="BK55" s="530">
        <v>217159.66805000001</v>
      </c>
      <c r="BL55" s="530">
        <v>0</v>
      </c>
      <c r="BM55" s="530">
        <v>0</v>
      </c>
      <c r="BN55" s="602">
        <f>SUM(BJ55:BM55)</f>
        <v>217159.66805000001</v>
      </c>
      <c r="BO55" s="530">
        <v>0</v>
      </c>
      <c r="BP55" s="530">
        <v>192108.92821000001</v>
      </c>
      <c r="BQ55" s="530">
        <v>0</v>
      </c>
      <c r="BR55" s="530">
        <v>125000</v>
      </c>
      <c r="BS55" s="602">
        <f>SUM(BO55:BR55)</f>
        <v>317108.92821000004</v>
      </c>
      <c r="BT55" s="530">
        <v>0</v>
      </c>
      <c r="BU55" s="530">
        <v>223746.40400000001</v>
      </c>
      <c r="BV55" s="530">
        <v>0</v>
      </c>
      <c r="BW55" s="530">
        <v>0</v>
      </c>
      <c r="BX55" s="602">
        <f>SUM(BT55:BW55)</f>
        <v>223746.40400000001</v>
      </c>
      <c r="BY55" s="530">
        <v>0</v>
      </c>
      <c r="BZ55" s="530">
        <v>391636.58026999998</v>
      </c>
      <c r="CA55" s="530">
        <v>0</v>
      </c>
      <c r="CB55" s="530">
        <v>1000000</v>
      </c>
      <c r="CC55" s="602">
        <f>SUM(BY55:CB55)</f>
        <v>1391636.58027</v>
      </c>
      <c r="CD55" s="530">
        <v>0</v>
      </c>
      <c r="CE55" s="530">
        <v>0</v>
      </c>
      <c r="CF55" s="604">
        <v>0</v>
      </c>
      <c r="CG55" s="604">
        <v>0</v>
      </c>
      <c r="CH55" s="602">
        <f>SUM(CD55:CG55)</f>
        <v>0</v>
      </c>
      <c r="CI55" s="604">
        <f ca="1">50%*CH45</f>
        <v>943446.08653175994</v>
      </c>
      <c r="CJ55" s="604">
        <v>0</v>
      </c>
      <c r="CK55" s="604">
        <v>0</v>
      </c>
      <c r="CL55" s="604">
        <v>0</v>
      </c>
      <c r="CM55" s="602">
        <f ca="1">SUM(CI55:CL55)</f>
        <v>943446.08653175994</v>
      </c>
      <c r="CN55" s="604">
        <f ca="1">CM45*80%</f>
        <v>1889332.9087317602</v>
      </c>
      <c r="CO55" s="604">
        <v>0</v>
      </c>
      <c r="CP55" s="604">
        <v>0</v>
      </c>
      <c r="CQ55" s="604">
        <v>0</v>
      </c>
      <c r="CR55" s="602">
        <f ca="1">SUM(CN55:CQ55)</f>
        <v>1889332.9087317602</v>
      </c>
      <c r="CS55" s="604">
        <f ca="1">CR45*80%</f>
        <v>2097084.7156087356</v>
      </c>
      <c r="CT55" s="604">
        <v>0</v>
      </c>
      <c r="CU55" s="604">
        <v>0</v>
      </c>
      <c r="CV55" s="604">
        <v>0</v>
      </c>
      <c r="CW55" s="602">
        <f t="shared" ref="CW55" ca="1" si="87">SUM(CS55:CV55)</f>
        <v>2097084.7156087356</v>
      </c>
      <c r="CX55" s="604">
        <f ca="1">CW45*80%</f>
        <v>2257976.1885702363</v>
      </c>
      <c r="CY55" s="604">
        <v>0</v>
      </c>
      <c r="CZ55" s="604">
        <v>0</v>
      </c>
      <c r="DA55" s="604">
        <v>0</v>
      </c>
      <c r="DB55" s="602">
        <f t="shared" ref="DB55" ca="1" si="88">SUM(CX55:DA55)</f>
        <v>2257976.1885702363</v>
      </c>
    </row>
    <row r="56" spans="1:106" ht="11.25" customHeight="1" x14ac:dyDescent="0.35">
      <c r="A56" s="72" t="s">
        <v>13</v>
      </c>
      <c r="B56" s="104">
        <f t="shared" ref="B56:AG56" si="89">B55/B45</f>
        <v>0</v>
      </c>
      <c r="C56" s="104">
        <f t="shared" si="89"/>
        <v>0</v>
      </c>
      <c r="D56" s="104">
        <f t="shared" si="89"/>
        <v>0</v>
      </c>
      <c r="E56" s="104">
        <f t="shared" si="89"/>
        <v>1.7274434723602259</v>
      </c>
      <c r="F56" s="105">
        <f t="shared" si="89"/>
        <v>0.23736334362314643</v>
      </c>
      <c r="G56" s="104">
        <f t="shared" si="89"/>
        <v>0</v>
      </c>
      <c r="H56" s="104">
        <f t="shared" si="89"/>
        <v>0</v>
      </c>
      <c r="I56" s="104">
        <f t="shared" si="89"/>
        <v>0</v>
      </c>
      <c r="J56" s="104">
        <f t="shared" si="89"/>
        <v>0.70273336342686088</v>
      </c>
      <c r="K56" s="105">
        <f t="shared" si="89"/>
        <v>0.23749877050249812</v>
      </c>
      <c r="L56" s="104">
        <f t="shared" si="89"/>
        <v>0</v>
      </c>
      <c r="M56" s="104">
        <f t="shared" si="89"/>
        <v>0</v>
      </c>
      <c r="N56" s="104">
        <f t="shared" si="89"/>
        <v>0</v>
      </c>
      <c r="O56" s="104">
        <f t="shared" si="89"/>
        <v>0.62953328355452787</v>
      </c>
      <c r="P56" s="105">
        <f t="shared" si="89"/>
        <v>0.23754976156861796</v>
      </c>
      <c r="Q56" s="104">
        <f t="shared" si="89"/>
        <v>0.28913600379346438</v>
      </c>
      <c r="R56" s="104">
        <f t="shared" si="89"/>
        <v>0</v>
      </c>
      <c r="S56" s="104">
        <f t="shared" si="89"/>
        <v>0</v>
      </c>
      <c r="T56" s="104">
        <f t="shared" si="89"/>
        <v>0.935920053473006</v>
      </c>
      <c r="U56" s="105">
        <f t="shared" si="89"/>
        <v>0.30978687825462381</v>
      </c>
      <c r="V56" s="104">
        <f t="shared" si="89"/>
        <v>0</v>
      </c>
      <c r="W56" s="104">
        <f t="shared" si="89"/>
        <v>0</v>
      </c>
      <c r="X56" s="104">
        <f t="shared" si="89"/>
        <v>0</v>
      </c>
      <c r="Y56" s="104">
        <f t="shared" si="89"/>
        <v>1.0472127607100246</v>
      </c>
      <c r="Z56" s="105">
        <f t="shared" si="89"/>
        <v>0.23749998110352397</v>
      </c>
      <c r="AA56" s="104">
        <f t="shared" si="89"/>
        <v>0</v>
      </c>
      <c r="AB56" s="104">
        <f t="shared" si="89"/>
        <v>0</v>
      </c>
      <c r="AC56" s="104">
        <f t="shared" si="89"/>
        <v>0</v>
      </c>
      <c r="AD56" s="104">
        <f t="shared" si="89"/>
        <v>1.0850021934075351</v>
      </c>
      <c r="AE56" s="105">
        <f t="shared" si="89"/>
        <v>0.23750111656989728</v>
      </c>
      <c r="AF56" s="104">
        <f t="shared" si="89"/>
        <v>0</v>
      </c>
      <c r="AG56" s="104">
        <f t="shared" si="89"/>
        <v>0</v>
      </c>
      <c r="AH56" s="104">
        <f t="shared" ref="AH56:BM56" si="90">AH55/AH45</f>
        <v>0</v>
      </c>
      <c r="AI56" s="104">
        <f t="shared" si="90"/>
        <v>1.1620625670643001</v>
      </c>
      <c r="AJ56" s="105">
        <f t="shared" si="90"/>
        <v>0.23749987702177705</v>
      </c>
      <c r="AK56" s="104">
        <f t="shared" si="90"/>
        <v>0</v>
      </c>
      <c r="AL56" s="104">
        <f t="shared" si="90"/>
        <v>0</v>
      </c>
      <c r="AM56" s="104">
        <f t="shared" si="90"/>
        <v>0</v>
      </c>
      <c r="AN56" s="104">
        <f t="shared" si="90"/>
        <v>0</v>
      </c>
      <c r="AO56" s="105">
        <f t="shared" si="90"/>
        <v>0</v>
      </c>
      <c r="AP56" s="104">
        <f t="shared" si="90"/>
        <v>0</v>
      </c>
      <c r="AQ56" s="104">
        <f t="shared" si="90"/>
        <v>-7.0330906917044693</v>
      </c>
      <c r="AR56" s="104">
        <f t="shared" si="90"/>
        <v>0</v>
      </c>
      <c r="AS56" s="104">
        <f t="shared" si="90"/>
        <v>1.9808631395819518</v>
      </c>
      <c r="AT56" s="105">
        <f t="shared" si="90"/>
        <v>-5.0970212059789244</v>
      </c>
      <c r="AU56" s="104">
        <f t="shared" si="90"/>
        <v>0</v>
      </c>
      <c r="AV56" s="104">
        <f t="shared" si="90"/>
        <v>0</v>
      </c>
      <c r="AW56" s="104">
        <f t="shared" si="90"/>
        <v>2.8740312119789619</v>
      </c>
      <c r="AX56" s="104">
        <f t="shared" si="90"/>
        <v>2.6806956405187146</v>
      </c>
      <c r="AY56" s="105">
        <f t="shared" si="90"/>
        <v>1.6833276020036407</v>
      </c>
      <c r="AZ56" s="104">
        <f t="shared" si="90"/>
        <v>0</v>
      </c>
      <c r="BA56" s="104">
        <f t="shared" si="90"/>
        <v>0</v>
      </c>
      <c r="BB56" s="104">
        <f t="shared" si="90"/>
        <v>7.037957191752757E-2</v>
      </c>
      <c r="BC56" s="104">
        <f t="shared" si="90"/>
        <v>2.2968177589949126</v>
      </c>
      <c r="BD56" s="105">
        <f t="shared" si="90"/>
        <v>0.39696585163084047</v>
      </c>
      <c r="BE56" s="104">
        <f t="shared" si="90"/>
        <v>0</v>
      </c>
      <c r="BF56" s="104">
        <f t="shared" si="90"/>
        <v>1.5659239420318085</v>
      </c>
      <c r="BG56" s="104">
        <f t="shared" si="90"/>
        <v>0</v>
      </c>
      <c r="BH56" s="104">
        <f t="shared" si="90"/>
        <v>0</v>
      </c>
      <c r="BI56" s="105">
        <f t="shared" si="90"/>
        <v>0.45721954656561187</v>
      </c>
      <c r="BJ56" s="104">
        <f t="shared" si="90"/>
        <v>0</v>
      </c>
      <c r="BK56" s="104">
        <f t="shared" si="90"/>
        <v>1.440079497934309</v>
      </c>
      <c r="BL56" s="104">
        <f t="shared" si="90"/>
        <v>0</v>
      </c>
      <c r="BM56" s="104">
        <f t="shared" si="90"/>
        <v>0</v>
      </c>
      <c r="BN56" s="105">
        <f t="shared" ref="BN56:CS56" si="91">BN55/BN45</f>
        <v>0.2684695728043715</v>
      </c>
      <c r="BO56" s="104">
        <f t="shared" si="91"/>
        <v>0</v>
      </c>
      <c r="BP56" s="104">
        <f t="shared" si="91"/>
        <v>0.68761360921309311</v>
      </c>
      <c r="BQ56" s="104">
        <f t="shared" si="91"/>
        <v>0</v>
      </c>
      <c r="BR56" s="104">
        <f t="shared" si="91"/>
        <v>0.50441870788103793</v>
      </c>
      <c r="BS56" s="105">
        <f t="shared" si="91"/>
        <v>0.33660152237047419</v>
      </c>
      <c r="BT56" s="104">
        <f t="shared" si="91"/>
        <v>0</v>
      </c>
      <c r="BU56" s="104">
        <f t="shared" si="91"/>
        <v>0.54306720549507892</v>
      </c>
      <c r="BV56" s="104">
        <f t="shared" si="91"/>
        <v>0</v>
      </c>
      <c r="BW56" s="104">
        <f t="shared" si="91"/>
        <v>0</v>
      </c>
      <c r="BX56" s="105">
        <f t="shared" si="91"/>
        <v>0.128516322840489</v>
      </c>
      <c r="BY56" s="104">
        <f t="shared" si="91"/>
        <v>0</v>
      </c>
      <c r="BZ56" s="104">
        <f>BZ55/BZ45</f>
        <v>1.0098749642734659</v>
      </c>
      <c r="CA56" s="104">
        <f>CA55/CA45</f>
        <v>0</v>
      </c>
      <c r="CB56" s="104">
        <f t="shared" si="91"/>
        <v>1.4658414956273949</v>
      </c>
      <c r="CC56" s="105">
        <f t="shared" si="91"/>
        <v>0.69347572912202582</v>
      </c>
      <c r="CD56" s="104">
        <f t="shared" ref="CD56" si="92">CD55/CD45</f>
        <v>0</v>
      </c>
      <c r="CE56" s="104">
        <f>CE55/CE45</f>
        <v>0</v>
      </c>
      <c r="CF56" s="104">
        <f t="shared" ca="1" si="91"/>
        <v>0</v>
      </c>
      <c r="CG56" s="104">
        <f t="shared" ca="1" si="91"/>
        <v>0</v>
      </c>
      <c r="CH56" s="105">
        <f t="shared" ca="1" si="91"/>
        <v>0</v>
      </c>
      <c r="CI56" s="104">
        <f t="shared" ca="1" si="91"/>
        <v>1.5771772557685204</v>
      </c>
      <c r="CJ56" s="104">
        <f t="shared" ca="1" si="91"/>
        <v>0</v>
      </c>
      <c r="CK56" s="104">
        <f t="shared" ca="1" si="91"/>
        <v>0</v>
      </c>
      <c r="CL56" s="104">
        <f t="shared" ca="1" si="91"/>
        <v>0</v>
      </c>
      <c r="CM56" s="105">
        <f t="shared" ca="1" si="91"/>
        <v>0.39948325979885069</v>
      </c>
      <c r="CN56" s="104">
        <f t="shared" ca="1" si="91"/>
        <v>2.7466850774554739</v>
      </c>
      <c r="CO56" s="104">
        <f t="shared" ca="1" si="91"/>
        <v>0</v>
      </c>
      <c r="CP56" s="104">
        <f t="shared" ca="1" si="91"/>
        <v>0</v>
      </c>
      <c r="CQ56" s="104">
        <f t="shared" ca="1" si="91"/>
        <v>0</v>
      </c>
      <c r="CR56" s="105">
        <f t="shared" ca="1" si="91"/>
        <v>0.72074643229024937</v>
      </c>
      <c r="CS56" s="104">
        <f t="shared" ca="1" si="91"/>
        <v>2.8333894466600422</v>
      </c>
      <c r="CT56" s="104">
        <f t="shared" ref="CT56:DB56" ca="1" si="93">CT55/CT45</f>
        <v>0</v>
      </c>
      <c r="CU56" s="104">
        <f t="shared" ca="1" si="93"/>
        <v>0</v>
      </c>
      <c r="CV56" s="104">
        <f t="shared" ca="1" si="93"/>
        <v>0</v>
      </c>
      <c r="CW56" s="105">
        <f t="shared" ca="1" si="93"/>
        <v>0.74299621979153707</v>
      </c>
      <c r="CX56" s="104">
        <f t="shared" ca="1" si="93"/>
        <v>2.7660445636741593</v>
      </c>
      <c r="CY56" s="104">
        <f t="shared" ca="1" si="93"/>
        <v>0</v>
      </c>
      <c r="CZ56" s="104">
        <f t="shared" ca="1" si="93"/>
        <v>0</v>
      </c>
      <c r="DA56" s="104">
        <f t="shared" ca="1" si="93"/>
        <v>0</v>
      </c>
      <c r="DB56" s="105">
        <f t="shared" ca="1" si="93"/>
        <v>0.72660285901463839</v>
      </c>
    </row>
    <row r="57" spans="1:106" ht="11.25" customHeight="1" x14ac:dyDescent="0.35">
      <c r="B57" s="54"/>
      <c r="C57" s="54"/>
      <c r="D57" s="54"/>
      <c r="E57" s="54"/>
      <c r="F57" s="55"/>
      <c r="G57" s="54"/>
      <c r="H57" s="54"/>
      <c r="I57" s="54"/>
      <c r="J57" s="54"/>
      <c r="K57" s="55"/>
      <c r="L57" s="54"/>
      <c r="M57" s="54"/>
      <c r="N57" s="54"/>
      <c r="O57" s="54"/>
      <c r="P57" s="55"/>
      <c r="Q57" s="54"/>
      <c r="R57" s="54"/>
      <c r="S57" s="54"/>
      <c r="T57" s="54"/>
      <c r="U57" s="55"/>
      <c r="V57" s="54"/>
      <c r="W57" s="54"/>
      <c r="X57" s="54"/>
      <c r="Y57" s="54"/>
      <c r="Z57" s="55"/>
      <c r="AA57" s="54"/>
      <c r="AB57" s="54"/>
      <c r="AC57" s="54"/>
      <c r="AD57" s="54"/>
      <c r="AE57" s="55"/>
      <c r="AF57" s="54"/>
      <c r="AG57" s="54"/>
      <c r="AH57" s="54"/>
      <c r="AI57" s="54"/>
      <c r="AJ57" s="55"/>
      <c r="AK57" s="54"/>
      <c r="AL57" s="54"/>
      <c r="AM57" s="54"/>
      <c r="AN57" s="54"/>
      <c r="AO57" s="55"/>
      <c r="AP57" s="54"/>
      <c r="AQ57" s="54"/>
      <c r="AR57" s="54"/>
      <c r="AS57" s="54"/>
      <c r="AT57" s="55"/>
      <c r="AU57" s="54"/>
      <c r="AV57" s="54"/>
      <c r="AW57" s="54"/>
      <c r="AX57" s="54"/>
      <c r="AY57" s="55"/>
      <c r="AZ57" s="54"/>
      <c r="BA57" s="54"/>
      <c r="BB57" s="54"/>
      <c r="BC57" s="54"/>
      <c r="BD57" s="55"/>
      <c r="BE57" s="54"/>
      <c r="BF57" s="54"/>
      <c r="BG57" s="54"/>
      <c r="BH57" s="54"/>
      <c r="BI57" s="55"/>
      <c r="BJ57" s="54"/>
      <c r="BK57" s="54"/>
      <c r="BL57" s="54"/>
      <c r="BM57" s="54"/>
      <c r="BN57" s="55"/>
      <c r="BO57" s="54"/>
      <c r="BP57" s="54"/>
      <c r="BQ57" s="54"/>
      <c r="BR57" s="54"/>
      <c r="BS57" s="55"/>
      <c r="BT57" s="54"/>
      <c r="BU57" s="54"/>
      <c r="BV57" s="54"/>
      <c r="BW57" s="54"/>
      <c r="BX57" s="55"/>
      <c r="BY57" s="54"/>
      <c r="BZ57" s="54"/>
      <c r="CA57" s="51"/>
      <c r="CB57" s="52"/>
      <c r="CC57" s="264"/>
      <c r="CD57" s="51"/>
      <c r="CE57" s="51"/>
      <c r="CF57" s="51"/>
      <c r="CG57" s="52"/>
      <c r="CH57" s="264"/>
      <c r="CI57" s="51"/>
      <c r="CJ57" s="51"/>
      <c r="CK57" s="51"/>
      <c r="CL57" s="52"/>
      <c r="CM57" s="22"/>
      <c r="CN57" s="51"/>
      <c r="CO57" s="51"/>
      <c r="CP57" s="51"/>
      <c r="CQ57" s="52"/>
      <c r="CR57" s="22"/>
      <c r="CS57" s="51"/>
      <c r="CT57" s="51"/>
      <c r="CU57" s="51"/>
      <c r="CV57" s="52"/>
      <c r="CW57" s="22"/>
      <c r="CX57" s="51"/>
      <c r="CY57" s="51"/>
      <c r="CZ57" s="51"/>
      <c r="DA57" s="52"/>
      <c r="DB57" s="22"/>
    </row>
    <row r="58" spans="1:106" s="15" customFormat="1" ht="11.25" customHeight="1" thickBot="1" x14ac:dyDescent="0.4">
      <c r="A58" s="124" t="s">
        <v>124</v>
      </c>
      <c r="B58" s="129" t="str">
        <f>Macro!B$3</f>
        <v>1Q10</v>
      </c>
      <c r="C58" s="129" t="str">
        <f>Macro!C$3</f>
        <v>2Q10</v>
      </c>
      <c r="D58" s="129" t="str">
        <f>Macro!D$3</f>
        <v>3Q10</v>
      </c>
      <c r="E58" s="130" t="str">
        <f>Macro!E$3</f>
        <v>4Q10</v>
      </c>
      <c r="F58" s="131" t="str">
        <f>Macro!F$3</f>
        <v>2010</v>
      </c>
      <c r="G58" s="129" t="str">
        <f>Macro!G$3</f>
        <v>1Q11</v>
      </c>
      <c r="H58" s="129" t="str">
        <f>Macro!H$3</f>
        <v>2Q11</v>
      </c>
      <c r="I58" s="129" t="str">
        <f>Macro!I$3</f>
        <v>3Q11</v>
      </c>
      <c r="J58" s="130" t="str">
        <f>Macro!J$3</f>
        <v>4Q11</v>
      </c>
      <c r="K58" s="131" t="str">
        <f>Macro!K$3</f>
        <v>2011</v>
      </c>
      <c r="L58" s="129" t="str">
        <f>Macro!L$3</f>
        <v>1Q12</v>
      </c>
      <c r="M58" s="129" t="str">
        <f>Macro!M$3</f>
        <v>2Q12</v>
      </c>
      <c r="N58" s="129" t="str">
        <f>Macro!N$3</f>
        <v>3Q12</v>
      </c>
      <c r="O58" s="130" t="str">
        <f>Macro!O$3</f>
        <v>4Q12</v>
      </c>
      <c r="P58" s="131" t="str">
        <f>Macro!P$3</f>
        <v>2012</v>
      </c>
      <c r="Q58" s="129" t="str">
        <f>Macro!Q$3</f>
        <v>1Q13</v>
      </c>
      <c r="R58" s="129" t="str">
        <f>Macro!R$3</f>
        <v>2Q13</v>
      </c>
      <c r="S58" s="129" t="str">
        <f>Macro!S$3</f>
        <v>3Q13</v>
      </c>
      <c r="T58" s="130" t="str">
        <f>Macro!T$3</f>
        <v>4Q13</v>
      </c>
      <c r="U58" s="131" t="str">
        <f>Macro!U$3</f>
        <v>2013</v>
      </c>
      <c r="V58" s="129" t="str">
        <f>Macro!V$3</f>
        <v>1Q14</v>
      </c>
      <c r="W58" s="129" t="str">
        <f>Macro!W$3</f>
        <v>2Q14</v>
      </c>
      <c r="X58" s="129" t="str">
        <f>Macro!X$3</f>
        <v>3Q14</v>
      </c>
      <c r="Y58" s="130" t="str">
        <f>Macro!Y$3</f>
        <v>4Q14</v>
      </c>
      <c r="Z58" s="131" t="str">
        <f>Macro!Z$3</f>
        <v>2014</v>
      </c>
      <c r="AA58" s="129" t="str">
        <f>Macro!AA$3</f>
        <v>1Q15</v>
      </c>
      <c r="AB58" s="129" t="str">
        <f>Macro!AB$3</f>
        <v>2Q15</v>
      </c>
      <c r="AC58" s="129" t="str">
        <f>Macro!AC$3</f>
        <v>3Q15</v>
      </c>
      <c r="AD58" s="130" t="str">
        <f>Macro!AD$3</f>
        <v>4Q15</v>
      </c>
      <c r="AE58" s="131" t="str">
        <f>Macro!AE$3</f>
        <v>2015</v>
      </c>
      <c r="AF58" s="129" t="str">
        <f>Macro!AF$3</f>
        <v>1Q16</v>
      </c>
      <c r="AG58" s="129" t="str">
        <f>Macro!AG$3</f>
        <v>2Q16</v>
      </c>
      <c r="AH58" s="129" t="str">
        <f>Macro!AH$3</f>
        <v>3Q16</v>
      </c>
      <c r="AI58" s="130" t="str">
        <f>Macro!AI$3</f>
        <v>4Q16</v>
      </c>
      <c r="AJ58" s="131" t="str">
        <f>Macro!AJ$3</f>
        <v>2016</v>
      </c>
      <c r="AK58" s="129" t="str">
        <f>Macro!AK$3</f>
        <v>1Q17</v>
      </c>
      <c r="AL58" s="129" t="str">
        <f>Macro!AL$3</f>
        <v>2Q17</v>
      </c>
      <c r="AM58" s="129" t="str">
        <f>Macro!AM$3</f>
        <v>3Q17</v>
      </c>
      <c r="AN58" s="130" t="str">
        <f>Macro!AN$3</f>
        <v>4Q17</v>
      </c>
      <c r="AO58" s="131" t="str">
        <f>Macro!AO$3</f>
        <v>2017</v>
      </c>
      <c r="AP58" s="129" t="str">
        <f>Macro!AP$3</f>
        <v>1Q18</v>
      </c>
      <c r="AQ58" s="129" t="str">
        <f>Macro!AQ$3</f>
        <v>2Q18</v>
      </c>
      <c r="AR58" s="129" t="str">
        <f>Macro!AR$3</f>
        <v>3Q18</v>
      </c>
      <c r="AS58" s="130" t="str">
        <f>Macro!AS$3</f>
        <v>4Q18</v>
      </c>
      <c r="AT58" s="131" t="str">
        <f>Macro!AT$3</f>
        <v>2018</v>
      </c>
      <c r="AU58" s="129" t="str">
        <f>Macro!AU$3</f>
        <v>1Q19</v>
      </c>
      <c r="AV58" s="129" t="str">
        <f>Macro!AV$3</f>
        <v>2Q19</v>
      </c>
      <c r="AW58" s="129" t="str">
        <f>Macro!AW$3</f>
        <v>3Q19</v>
      </c>
      <c r="AX58" s="130" t="str">
        <f>Macro!AX$3</f>
        <v>4Q19</v>
      </c>
      <c r="AY58" s="131" t="str">
        <f>Macro!AY$3</f>
        <v>2019</v>
      </c>
      <c r="AZ58" s="129" t="str">
        <f>Macro!AZ$3</f>
        <v>1Q20</v>
      </c>
      <c r="BA58" s="129" t="str">
        <f>Macro!BA$3</f>
        <v>2Q20</v>
      </c>
      <c r="BB58" s="129" t="str">
        <f>Macro!BB$3</f>
        <v>3Q20</v>
      </c>
      <c r="BC58" s="130" t="str">
        <f>Macro!BC$3</f>
        <v>4Q20</v>
      </c>
      <c r="BD58" s="131" t="str">
        <f>Macro!BD$3</f>
        <v>2020</v>
      </c>
      <c r="BE58" s="129" t="str">
        <f>Macro!BE$3</f>
        <v>1Q21</v>
      </c>
      <c r="BF58" s="129" t="str">
        <f>Macro!BF$3</f>
        <v>2Q21</v>
      </c>
      <c r="BG58" s="129" t="str">
        <f>Macro!BG$3</f>
        <v>3Q21</v>
      </c>
      <c r="BH58" s="130" t="str">
        <f>Macro!BH$3</f>
        <v>4Q21</v>
      </c>
      <c r="BI58" s="131" t="str">
        <f>Macro!BI$3</f>
        <v>2021</v>
      </c>
      <c r="BJ58" s="129" t="str">
        <f>Macro!BJ$3</f>
        <v>1Q22</v>
      </c>
      <c r="BK58" s="129" t="str">
        <f>Macro!BK$3</f>
        <v>2Q22</v>
      </c>
      <c r="BL58" s="129" t="str">
        <f>Macro!BL$3</f>
        <v>3Q22</v>
      </c>
      <c r="BM58" s="130" t="str">
        <f>Macro!BM$3</f>
        <v>4Q22</v>
      </c>
      <c r="BN58" s="131" t="str">
        <f>Macro!BN$3</f>
        <v>2022</v>
      </c>
      <c r="BO58" s="129" t="str">
        <f>Macro!BO$3</f>
        <v>1Q23</v>
      </c>
      <c r="BP58" s="129" t="str">
        <f>Macro!BP$3</f>
        <v>2Q23</v>
      </c>
      <c r="BQ58" s="129" t="str">
        <f>Macro!BQ$3</f>
        <v>3Q23</v>
      </c>
      <c r="BR58" s="130" t="str">
        <f>Macro!BR$3</f>
        <v>4Q23</v>
      </c>
      <c r="BS58" s="131" t="str">
        <f>Macro!BS$3</f>
        <v>2023</v>
      </c>
      <c r="BT58" s="129" t="str">
        <f>Macro!BT$3</f>
        <v>1Q24</v>
      </c>
      <c r="BU58" s="129" t="str">
        <f>Macro!BU$3</f>
        <v>2Q24</v>
      </c>
      <c r="BV58" s="129" t="str">
        <f>Macro!BV$3</f>
        <v>3Q24</v>
      </c>
      <c r="BW58" s="130" t="str">
        <f>Macro!BW$3</f>
        <v>4Q24</v>
      </c>
      <c r="BX58" s="131" t="str">
        <f>Macro!BX$3</f>
        <v>2024</v>
      </c>
      <c r="BY58" s="129" t="str">
        <f>Macro!BY$3</f>
        <v>1Q25</v>
      </c>
      <c r="BZ58" s="129" t="str">
        <f>Macro!BZ$3</f>
        <v>2Q25</v>
      </c>
      <c r="CA58" s="125" t="str">
        <f>Macro!CA$3</f>
        <v>3Q25</v>
      </c>
      <c r="CB58" s="125" t="str">
        <f>Macro!CB$3</f>
        <v>4Q25</v>
      </c>
      <c r="CC58" s="126" t="str">
        <f>Macro!CC$3</f>
        <v>2025</v>
      </c>
      <c r="CD58" s="125" t="str">
        <f>Macro!CD$3</f>
        <v>1Q26</v>
      </c>
      <c r="CE58" s="125" t="str">
        <f>Macro!CE$3</f>
        <v>2Q26</v>
      </c>
      <c r="CF58" s="125" t="str">
        <f>Macro!CF$3</f>
        <v>3Q26E</v>
      </c>
      <c r="CG58" s="125" t="str">
        <f>Macro!CG$3</f>
        <v>4Q26E</v>
      </c>
      <c r="CH58" s="126" t="str">
        <f>Macro!CH$3</f>
        <v>2026E</v>
      </c>
      <c r="CI58" s="125" t="str">
        <f>Macro!CI$3</f>
        <v>1Q27E</v>
      </c>
      <c r="CJ58" s="125" t="str">
        <f>Macro!CJ$3</f>
        <v>2Q27E</v>
      </c>
      <c r="CK58" s="125" t="str">
        <f>Macro!CK$3</f>
        <v>3Q27E</v>
      </c>
      <c r="CL58" s="125" t="str">
        <f>Macro!CL$3</f>
        <v>4Q27E</v>
      </c>
      <c r="CM58" s="126" t="str">
        <f>Macro!CM$3</f>
        <v>2027E</v>
      </c>
      <c r="CN58" s="125" t="str">
        <f>Macro!CN$3</f>
        <v>1Q28E</v>
      </c>
      <c r="CO58" s="125" t="str">
        <f>Macro!CO$3</f>
        <v>2Q28E</v>
      </c>
      <c r="CP58" s="125" t="str">
        <f>Macro!CP$3</f>
        <v>3Q28E</v>
      </c>
      <c r="CQ58" s="125" t="str">
        <f>Macro!CQ$3</f>
        <v>4Q28E</v>
      </c>
      <c r="CR58" s="126" t="str">
        <f>Macro!CR$3</f>
        <v>2028E</v>
      </c>
      <c r="CS58" s="125" t="str">
        <f>Macro!CS$3</f>
        <v>1Q29E</v>
      </c>
      <c r="CT58" s="125" t="str">
        <f>Macro!CT$3</f>
        <v>2Q29E</v>
      </c>
      <c r="CU58" s="125" t="str">
        <f>Macro!CU$3</f>
        <v>3Q29E</v>
      </c>
      <c r="CV58" s="125" t="str">
        <f>Macro!CV$3</f>
        <v>4Q29E</v>
      </c>
      <c r="CW58" s="126" t="str">
        <f>Macro!CW$3</f>
        <v>2029E</v>
      </c>
      <c r="CX58" s="125" t="str">
        <f>Macro!CX$3</f>
        <v>1Q30E</v>
      </c>
      <c r="CY58" s="125" t="str">
        <f>Macro!CY$3</f>
        <v>2Q30E</v>
      </c>
      <c r="CZ58" s="125" t="str">
        <f>Macro!CZ$3</f>
        <v>3Q30E</v>
      </c>
      <c r="DA58" s="125" t="str">
        <f>Macro!DA$3</f>
        <v>4Q30E</v>
      </c>
      <c r="DB58" s="126" t="str">
        <f>Macro!DB$3</f>
        <v>2030E</v>
      </c>
    </row>
    <row r="59" spans="1:106" s="11" customFormat="1" ht="11.25" customHeight="1" thickTop="1" x14ac:dyDescent="0.35">
      <c r="A59" s="179" t="s">
        <v>110</v>
      </c>
      <c r="B59" s="133">
        <f t="shared" ref="B59:AG59" si="94">B9</f>
        <v>1132448</v>
      </c>
      <c r="C59" s="133">
        <f t="shared" si="94"/>
        <v>1205835</v>
      </c>
      <c r="D59" s="133">
        <f t="shared" si="94"/>
        <v>1162549</v>
      </c>
      <c r="E59" s="133">
        <f t="shared" si="94"/>
        <v>1389273</v>
      </c>
      <c r="F59" s="134">
        <f t="shared" si="94"/>
        <v>4890105</v>
      </c>
      <c r="G59" s="133">
        <f t="shared" si="94"/>
        <v>1200742</v>
      </c>
      <c r="H59" s="133">
        <f t="shared" si="94"/>
        <v>1382884</v>
      </c>
      <c r="I59" s="133">
        <f t="shared" si="94"/>
        <v>1559602</v>
      </c>
      <c r="J59" s="133">
        <f t="shared" si="94"/>
        <v>1983553</v>
      </c>
      <c r="K59" s="134">
        <f t="shared" si="94"/>
        <v>6126781</v>
      </c>
      <c r="L59" s="133">
        <f t="shared" si="94"/>
        <v>1466343</v>
      </c>
      <c r="M59" s="133">
        <f t="shared" si="94"/>
        <v>1385263</v>
      </c>
      <c r="N59" s="133">
        <f t="shared" si="94"/>
        <v>1349952</v>
      </c>
      <c r="O59" s="133">
        <f t="shared" si="94"/>
        <v>1431121</v>
      </c>
      <c r="P59" s="134">
        <f t="shared" si="94"/>
        <v>5632679</v>
      </c>
      <c r="Q59" s="133">
        <f t="shared" si="94"/>
        <v>1215370</v>
      </c>
      <c r="R59" s="133">
        <f t="shared" si="94"/>
        <v>1372419</v>
      </c>
      <c r="S59" s="133">
        <f t="shared" si="94"/>
        <v>1394448</v>
      </c>
      <c r="T59" s="133">
        <f t="shared" si="94"/>
        <v>1389645</v>
      </c>
      <c r="U59" s="134">
        <f t="shared" si="94"/>
        <v>5371882</v>
      </c>
      <c r="V59" s="133">
        <f t="shared" si="94"/>
        <v>1315362</v>
      </c>
      <c r="W59" s="133">
        <f t="shared" si="94"/>
        <v>1358331</v>
      </c>
      <c r="X59" s="133">
        <f t="shared" si="94"/>
        <v>1613696</v>
      </c>
      <c r="Y59" s="133">
        <f t="shared" si="94"/>
        <v>1530538</v>
      </c>
      <c r="Z59" s="134">
        <f t="shared" si="94"/>
        <v>5817927</v>
      </c>
      <c r="AA59" s="133">
        <f t="shared" si="94"/>
        <v>1035214</v>
      </c>
      <c r="AB59" s="133">
        <f t="shared" si="94"/>
        <v>1137683</v>
      </c>
      <c r="AC59" s="133">
        <f t="shared" si="94"/>
        <v>1137733</v>
      </c>
      <c r="AD59" s="133">
        <f t="shared" si="94"/>
        <v>1030554</v>
      </c>
      <c r="AE59" s="134">
        <f t="shared" si="94"/>
        <v>4341184</v>
      </c>
      <c r="AF59" s="133">
        <f t="shared" si="94"/>
        <v>810706</v>
      </c>
      <c r="AG59" s="133">
        <f t="shared" si="94"/>
        <v>641033</v>
      </c>
      <c r="AH59" s="133">
        <f t="shared" ref="AH59:BM59" si="95">AH9</f>
        <v>824807</v>
      </c>
      <c r="AI59" s="133">
        <f t="shared" si="95"/>
        <v>918764</v>
      </c>
      <c r="AJ59" s="134">
        <f t="shared" si="95"/>
        <v>3195310</v>
      </c>
      <c r="AK59" s="133">
        <f t="shared" si="95"/>
        <v>692387</v>
      </c>
      <c r="AL59" s="133">
        <f t="shared" si="95"/>
        <v>574756</v>
      </c>
      <c r="AM59" s="133">
        <f t="shared" si="95"/>
        <v>597827</v>
      </c>
      <c r="AN59" s="133">
        <f t="shared" si="95"/>
        <v>808800</v>
      </c>
      <c r="AO59" s="134">
        <f t="shared" si="95"/>
        <v>2673770</v>
      </c>
      <c r="AP59" s="133">
        <f t="shared" si="95"/>
        <v>450622</v>
      </c>
      <c r="AQ59" s="133">
        <f t="shared" si="95"/>
        <v>639539</v>
      </c>
      <c r="AR59" s="133">
        <f t="shared" si="95"/>
        <v>724825</v>
      </c>
      <c r="AS59" s="133">
        <f t="shared" si="95"/>
        <v>1077171</v>
      </c>
      <c r="AT59" s="134">
        <f t="shared" si="95"/>
        <v>2892157</v>
      </c>
      <c r="AU59" s="133">
        <f t="shared" si="95"/>
        <v>826236</v>
      </c>
      <c r="AV59" s="133">
        <f t="shared" si="95"/>
        <v>936622</v>
      </c>
      <c r="AW59" s="133">
        <f t="shared" si="95"/>
        <v>934759</v>
      </c>
      <c r="AX59" s="133">
        <f t="shared" si="95"/>
        <v>1233206</v>
      </c>
      <c r="AY59" s="134">
        <f t="shared" si="95"/>
        <v>3930823</v>
      </c>
      <c r="AZ59" s="133">
        <f t="shared" si="95"/>
        <v>764755</v>
      </c>
      <c r="BA59" s="133">
        <f t="shared" si="95"/>
        <v>838808</v>
      </c>
      <c r="BB59" s="133">
        <f t="shared" si="95"/>
        <v>1163503</v>
      </c>
      <c r="BC59" s="133">
        <f t="shared" si="95"/>
        <v>1056630</v>
      </c>
      <c r="BD59" s="134">
        <f t="shared" si="95"/>
        <v>3823696</v>
      </c>
      <c r="BE59" s="133">
        <f t="shared" si="95"/>
        <v>1003732</v>
      </c>
      <c r="BF59" s="133">
        <f t="shared" si="95"/>
        <v>1182019</v>
      </c>
      <c r="BG59" s="133">
        <f t="shared" si="95"/>
        <v>1288339</v>
      </c>
      <c r="BH59" s="133">
        <f t="shared" si="95"/>
        <v>1316743</v>
      </c>
      <c r="BI59" s="134">
        <f t="shared" si="95"/>
        <v>4790833</v>
      </c>
      <c r="BJ59" s="133">
        <f t="shared" si="95"/>
        <v>1231652</v>
      </c>
      <c r="BK59" s="133">
        <f t="shared" si="95"/>
        <v>1250083</v>
      </c>
      <c r="BL59" s="133">
        <f t="shared" si="95"/>
        <v>1559644</v>
      </c>
      <c r="BM59" s="133">
        <f t="shared" si="95"/>
        <v>1370916</v>
      </c>
      <c r="BN59" s="134">
        <f t="shared" ref="BN59:CS59" si="96">BN9</f>
        <v>5412295</v>
      </c>
      <c r="BO59" s="133">
        <f t="shared" si="96"/>
        <v>1283426</v>
      </c>
      <c r="BP59" s="133">
        <f t="shared" si="96"/>
        <v>1633055</v>
      </c>
      <c r="BQ59" s="133">
        <f t="shared" si="96"/>
        <v>1625987</v>
      </c>
      <c r="BR59" s="133">
        <f t="shared" si="96"/>
        <v>1710231</v>
      </c>
      <c r="BS59" s="134">
        <f t="shared" si="96"/>
        <v>6252699</v>
      </c>
      <c r="BT59" s="133">
        <f t="shared" si="96"/>
        <v>1572911</v>
      </c>
      <c r="BU59" s="133">
        <f t="shared" si="96"/>
        <v>1856857</v>
      </c>
      <c r="BV59" s="133">
        <f t="shared" si="96"/>
        <v>2029651</v>
      </c>
      <c r="BW59" s="133">
        <f t="shared" si="96"/>
        <v>2506269</v>
      </c>
      <c r="BX59" s="134">
        <f t="shared" si="96"/>
        <v>7965688</v>
      </c>
      <c r="BY59" s="133">
        <f t="shared" si="96"/>
        <v>1952744</v>
      </c>
      <c r="BZ59" s="133">
        <f>BZ9</f>
        <v>2107130</v>
      </c>
      <c r="CA59" s="133">
        <f>CA9</f>
        <v>2128446</v>
      </c>
      <c r="CB59" s="133">
        <f t="shared" ref="CB59" si="97">CB9</f>
        <v>3235174</v>
      </c>
      <c r="CC59" s="134">
        <f t="shared" si="96"/>
        <v>9423494</v>
      </c>
      <c r="CD59" s="133">
        <f t="shared" ref="CD59" si="98">CD9</f>
        <v>2025033</v>
      </c>
      <c r="CE59" s="133">
        <f>CE9</f>
        <v>2480871</v>
      </c>
      <c r="CF59" s="133">
        <f t="shared" si="96"/>
        <v>2657052.940978297</v>
      </c>
      <c r="CG59" s="133">
        <f t="shared" si="96"/>
        <v>2860137.0024875589</v>
      </c>
      <c r="CH59" s="134">
        <f t="shared" si="96"/>
        <v>10023093.943465855</v>
      </c>
      <c r="CI59" s="133">
        <f t="shared" si="96"/>
        <v>2694798.6971245161</v>
      </c>
      <c r="CJ59" s="133">
        <f t="shared" si="96"/>
        <v>2747298.0839066701</v>
      </c>
      <c r="CK59" s="133">
        <f t="shared" si="96"/>
        <v>2886899.807844189</v>
      </c>
      <c r="CL59" s="133">
        <f t="shared" si="96"/>
        <v>3044761.8561666487</v>
      </c>
      <c r="CM59" s="134">
        <f t="shared" si="96"/>
        <v>11373758.445042023</v>
      </c>
      <c r="CN59" s="133">
        <f t="shared" si="96"/>
        <v>3029026.005390639</v>
      </c>
      <c r="CO59" s="133">
        <f t="shared" si="96"/>
        <v>3062946.9316010061</v>
      </c>
      <c r="CP59" s="133">
        <f t="shared" si="96"/>
        <v>3188256.7305581947</v>
      </c>
      <c r="CQ59" s="133">
        <f t="shared" si="96"/>
        <v>3403320.422835575</v>
      </c>
      <c r="CR59" s="134">
        <f t="shared" si="96"/>
        <v>12683550.090385415</v>
      </c>
      <c r="CS59" s="133">
        <f t="shared" si="96"/>
        <v>3320652.1640331033</v>
      </c>
      <c r="CT59" s="133">
        <f t="shared" ref="CT59:DB59" si="99">CT9</f>
        <v>3337818.6020172318</v>
      </c>
      <c r="CU59" s="133">
        <f t="shared" si="99"/>
        <v>3451911.1368837603</v>
      </c>
      <c r="CV59" s="133">
        <f t="shared" si="99"/>
        <v>3663365.7076898087</v>
      </c>
      <c r="CW59" s="134">
        <f t="shared" si="99"/>
        <v>13773747.610623904</v>
      </c>
      <c r="CX59" s="133">
        <f t="shared" si="99"/>
        <v>3573478.6306899507</v>
      </c>
      <c r="CY59" s="133">
        <f t="shared" si="99"/>
        <v>3581279.0867145206</v>
      </c>
      <c r="CZ59" s="133">
        <f t="shared" si="99"/>
        <v>3693712.767571684</v>
      </c>
      <c r="DA59" s="133">
        <f t="shared" si="99"/>
        <v>3905627.5036456524</v>
      </c>
      <c r="DB59" s="134">
        <f t="shared" si="99"/>
        <v>14754097.988621809</v>
      </c>
    </row>
    <row r="60" spans="1:106" ht="11.25" customHeight="1" x14ac:dyDescent="0.35">
      <c r="A60" s="185" t="s">
        <v>111</v>
      </c>
      <c r="B60" s="23">
        <f t="shared" ref="B60:AG60" si="100">B11+B14</f>
        <v>-728281</v>
      </c>
      <c r="C60" s="23">
        <f t="shared" si="100"/>
        <v>-793472</v>
      </c>
      <c r="D60" s="23">
        <f t="shared" si="100"/>
        <v>-736494</v>
      </c>
      <c r="E60" s="23">
        <f t="shared" si="100"/>
        <v>-999033</v>
      </c>
      <c r="F60" s="57">
        <f t="shared" si="100"/>
        <v>-3257280</v>
      </c>
      <c r="G60" s="23">
        <f t="shared" si="100"/>
        <v>-832942</v>
      </c>
      <c r="H60" s="23">
        <f t="shared" si="100"/>
        <v>-958024</v>
      </c>
      <c r="I60" s="23">
        <f t="shared" si="100"/>
        <v>-1052896</v>
      </c>
      <c r="J60" s="23">
        <f t="shared" si="100"/>
        <v>-1357233</v>
      </c>
      <c r="K60" s="57">
        <f t="shared" si="100"/>
        <v>-4201095</v>
      </c>
      <c r="L60" s="23">
        <f t="shared" si="100"/>
        <v>-965668</v>
      </c>
      <c r="M60" s="23">
        <f t="shared" si="100"/>
        <v>-938203</v>
      </c>
      <c r="N60" s="23">
        <f t="shared" si="100"/>
        <v>-878633</v>
      </c>
      <c r="O60" s="23">
        <f t="shared" si="100"/>
        <v>-853056</v>
      </c>
      <c r="P60" s="57">
        <f t="shared" si="100"/>
        <v>-3635560</v>
      </c>
      <c r="Q60" s="23">
        <f t="shared" si="100"/>
        <v>-788371</v>
      </c>
      <c r="R60" s="23">
        <f t="shared" si="100"/>
        <v>-892361</v>
      </c>
      <c r="S60" s="23">
        <f t="shared" si="100"/>
        <v>-887418</v>
      </c>
      <c r="T60" s="23">
        <f t="shared" si="100"/>
        <v>-858067</v>
      </c>
      <c r="U60" s="57">
        <f t="shared" si="100"/>
        <v>-3426217</v>
      </c>
      <c r="V60" s="23">
        <f t="shared" si="100"/>
        <v>-829155</v>
      </c>
      <c r="W60" s="23">
        <f t="shared" si="100"/>
        <v>-852042</v>
      </c>
      <c r="X60" s="23">
        <f t="shared" si="100"/>
        <v>-1079728</v>
      </c>
      <c r="Y60" s="23">
        <f t="shared" si="100"/>
        <v>-980528</v>
      </c>
      <c r="Z60" s="57">
        <f t="shared" si="100"/>
        <v>-3741453</v>
      </c>
      <c r="AA60" s="23">
        <f t="shared" si="100"/>
        <v>-630538</v>
      </c>
      <c r="AB60" s="23">
        <f t="shared" si="100"/>
        <v>-697792</v>
      </c>
      <c r="AC60" s="23">
        <f t="shared" si="100"/>
        <v>-700118</v>
      </c>
      <c r="AD60" s="23">
        <f t="shared" si="100"/>
        <v>-638656</v>
      </c>
      <c r="AE60" s="57">
        <f t="shared" si="100"/>
        <v>-2667104</v>
      </c>
      <c r="AF60" s="23">
        <f t="shared" si="100"/>
        <v>-478088</v>
      </c>
      <c r="AG60" s="23">
        <f t="shared" si="100"/>
        <v>-339056</v>
      </c>
      <c r="AH60" s="23">
        <f t="shared" ref="AH60:BM60" si="101">AH11+AH14</f>
        <v>-508230</v>
      </c>
      <c r="AI60" s="23">
        <f t="shared" si="101"/>
        <v>-604661</v>
      </c>
      <c r="AJ60" s="57">
        <f t="shared" si="101"/>
        <v>-1930035</v>
      </c>
      <c r="AK60" s="23">
        <f t="shared" si="101"/>
        <v>-432489</v>
      </c>
      <c r="AL60" s="23">
        <f t="shared" si="101"/>
        <v>-373068</v>
      </c>
      <c r="AM60" s="23">
        <f t="shared" si="101"/>
        <v>-411128</v>
      </c>
      <c r="AN60" s="23">
        <f t="shared" si="101"/>
        <v>-548606</v>
      </c>
      <c r="AO60" s="57">
        <f t="shared" si="101"/>
        <v>-1765291</v>
      </c>
      <c r="AP60" s="23">
        <f t="shared" si="101"/>
        <v>-300234</v>
      </c>
      <c r="AQ60" s="23">
        <f t="shared" si="101"/>
        <v>-439262</v>
      </c>
      <c r="AR60" s="23">
        <f t="shared" si="101"/>
        <v>-487167</v>
      </c>
      <c r="AS60" s="23">
        <f t="shared" si="101"/>
        <v>-740850</v>
      </c>
      <c r="AT60" s="57">
        <f t="shared" si="101"/>
        <v>-1967513</v>
      </c>
      <c r="AU60" s="23">
        <f t="shared" si="101"/>
        <v>-553504</v>
      </c>
      <c r="AV60" s="23">
        <f t="shared" si="101"/>
        <v>-625403</v>
      </c>
      <c r="AW60" s="23">
        <f t="shared" si="101"/>
        <v>-625670</v>
      </c>
      <c r="AX60" s="23">
        <f t="shared" si="101"/>
        <v>-829138</v>
      </c>
      <c r="AY60" s="57">
        <f t="shared" si="101"/>
        <v>-2633715</v>
      </c>
      <c r="AZ60" s="23">
        <f t="shared" si="101"/>
        <v>-492257</v>
      </c>
      <c r="BA60" s="23">
        <f t="shared" si="101"/>
        <v>-547111</v>
      </c>
      <c r="BB60" s="23">
        <f t="shared" si="101"/>
        <v>-766665</v>
      </c>
      <c r="BC60" s="23">
        <f t="shared" si="101"/>
        <v>-699927</v>
      </c>
      <c r="BD60" s="57">
        <f t="shared" si="101"/>
        <v>-2505960</v>
      </c>
      <c r="BE60" s="23">
        <f t="shared" si="101"/>
        <v>-648181</v>
      </c>
      <c r="BF60" s="23">
        <f t="shared" si="101"/>
        <v>-739359</v>
      </c>
      <c r="BG60" s="23">
        <f t="shared" si="101"/>
        <v>-829848</v>
      </c>
      <c r="BH60" s="23">
        <f t="shared" si="101"/>
        <v>-861376</v>
      </c>
      <c r="BI60" s="57">
        <f t="shared" si="101"/>
        <v>-3078764</v>
      </c>
      <c r="BJ60" s="23">
        <f t="shared" si="101"/>
        <v>-831835</v>
      </c>
      <c r="BK60" s="23">
        <f t="shared" si="101"/>
        <v>-839241</v>
      </c>
      <c r="BL60" s="23">
        <f t="shared" si="101"/>
        <v>-1008469</v>
      </c>
      <c r="BM60" s="23">
        <f t="shared" si="101"/>
        <v>-916774</v>
      </c>
      <c r="BN60" s="57">
        <f t="shared" ref="BN60:CS60" si="102">BN11+BN14</f>
        <v>-3596319</v>
      </c>
      <c r="BO60" s="23">
        <f t="shared" si="102"/>
        <v>-864284</v>
      </c>
      <c r="BP60" s="23">
        <f t="shared" si="102"/>
        <v>-1075586</v>
      </c>
      <c r="BQ60" s="23">
        <f t="shared" si="102"/>
        <v>-1050522</v>
      </c>
      <c r="BR60" s="23">
        <f t="shared" si="102"/>
        <v>-1104021</v>
      </c>
      <c r="BS60" s="57">
        <f t="shared" si="102"/>
        <v>-4094413</v>
      </c>
      <c r="BT60" s="23">
        <f t="shared" si="102"/>
        <v>-1052270</v>
      </c>
      <c r="BU60" s="23">
        <f t="shared" si="102"/>
        <v>-1211632</v>
      </c>
      <c r="BV60" s="23">
        <f t="shared" si="102"/>
        <v>-1317632</v>
      </c>
      <c r="BW60" s="23">
        <f t="shared" si="102"/>
        <v>-1670300</v>
      </c>
      <c r="BX60" s="57">
        <f t="shared" si="102"/>
        <v>-5251834</v>
      </c>
      <c r="BY60" s="23">
        <f t="shared" si="102"/>
        <v>-1281910</v>
      </c>
      <c r="BZ60" s="23">
        <f>BZ11+BZ14</f>
        <v>-1371723</v>
      </c>
      <c r="CA60" s="23">
        <f>CA11+CA14</f>
        <v>-1377409</v>
      </c>
      <c r="CB60" s="23">
        <f t="shared" ref="CB60" si="103">CB11+CB14</f>
        <v>-2144253</v>
      </c>
      <c r="CC60" s="57">
        <f t="shared" si="102"/>
        <v>-6175295</v>
      </c>
      <c r="CD60" s="23">
        <f t="shared" ref="CD60" si="104">CD11+CD14</f>
        <v>-1293867</v>
      </c>
      <c r="CE60" s="23">
        <f>CE11+CE14</f>
        <v>-1555197</v>
      </c>
      <c r="CF60" s="23">
        <f t="shared" si="102"/>
        <v>-1713082.8221689109</v>
      </c>
      <c r="CG60" s="23">
        <f t="shared" si="102"/>
        <v>-1843286.0143072761</v>
      </c>
      <c r="CH60" s="57">
        <f t="shared" si="102"/>
        <v>-6405432.8364761863</v>
      </c>
      <c r="CI60" s="23">
        <f t="shared" si="102"/>
        <v>-1734605.7483059885</v>
      </c>
      <c r="CJ60" s="23">
        <f t="shared" si="102"/>
        <v>-1768716.095400996</v>
      </c>
      <c r="CK60" s="23">
        <f t="shared" si="102"/>
        <v>-1859013.7485888361</v>
      </c>
      <c r="CL60" s="23">
        <f t="shared" si="102"/>
        <v>-1961077.8739616817</v>
      </c>
      <c r="CM60" s="57">
        <f t="shared" si="102"/>
        <v>-7323413.4662575033</v>
      </c>
      <c r="CN60" s="23">
        <f t="shared" si="102"/>
        <v>-1957148.6838496071</v>
      </c>
      <c r="CO60" s="23">
        <f t="shared" si="102"/>
        <v>-1979985.2295793865</v>
      </c>
      <c r="CP60" s="23">
        <f t="shared" si="102"/>
        <v>-2062203.9019935231</v>
      </c>
      <c r="CQ60" s="23">
        <f t="shared" si="102"/>
        <v>-2202727.4689957248</v>
      </c>
      <c r="CR60" s="57">
        <f t="shared" si="102"/>
        <v>-8202065.2844182411</v>
      </c>
      <c r="CS60" s="23">
        <f t="shared" si="102"/>
        <v>-2150067.7242723824</v>
      </c>
      <c r="CT60" s="23">
        <f t="shared" ref="CT60:DB60" si="105">CT11+CT14</f>
        <v>-2161795.7439528489</v>
      </c>
      <c r="CU60" s="23">
        <f t="shared" si="105"/>
        <v>-2236512.9434215967</v>
      </c>
      <c r="CV60" s="23">
        <f t="shared" si="105"/>
        <v>-2374492.9409978827</v>
      </c>
      <c r="CW60" s="57">
        <f t="shared" si="105"/>
        <v>-8922869.3526447117</v>
      </c>
      <c r="CX60" s="23">
        <f t="shared" si="105"/>
        <v>-2316514.7608139422</v>
      </c>
      <c r="CY60" s="23">
        <f t="shared" si="105"/>
        <v>-2322052.0349171585</v>
      </c>
      <c r="CZ60" s="23">
        <f t="shared" si="105"/>
        <v>-2395587.0136130261</v>
      </c>
      <c r="DA60" s="23">
        <f t="shared" si="105"/>
        <v>-2533763.828279925</v>
      </c>
      <c r="DB60" s="57">
        <f t="shared" si="105"/>
        <v>-9567917.6376240533</v>
      </c>
    </row>
    <row r="61" spans="1:106" ht="11.25" customHeight="1" x14ac:dyDescent="0.35">
      <c r="A61" s="182" t="s">
        <v>112</v>
      </c>
      <c r="B61" s="48">
        <f t="shared" ref="B61:J61" si="106">B59+B60</f>
        <v>404167</v>
      </c>
      <c r="C61" s="48">
        <f t="shared" si="106"/>
        <v>412363</v>
      </c>
      <c r="D61" s="48">
        <f t="shared" si="106"/>
        <v>426055</v>
      </c>
      <c r="E61" s="48">
        <f t="shared" si="106"/>
        <v>390240</v>
      </c>
      <c r="F61" s="56">
        <f t="shared" si="106"/>
        <v>1632825</v>
      </c>
      <c r="G61" s="48">
        <f t="shared" si="106"/>
        <v>367800</v>
      </c>
      <c r="H61" s="48">
        <f t="shared" si="106"/>
        <v>424860</v>
      </c>
      <c r="I61" s="48">
        <f t="shared" si="106"/>
        <v>506706</v>
      </c>
      <c r="J61" s="48">
        <f t="shared" si="106"/>
        <v>626320</v>
      </c>
      <c r="K61" s="56">
        <f t="shared" ref="K61:BV61" si="107">K59+K60</f>
        <v>1925686</v>
      </c>
      <c r="L61" s="48">
        <f t="shared" si="107"/>
        <v>500675</v>
      </c>
      <c r="M61" s="48">
        <f t="shared" si="107"/>
        <v>447060</v>
      </c>
      <c r="N61" s="48">
        <f t="shared" si="107"/>
        <v>471319</v>
      </c>
      <c r="O61" s="48">
        <f t="shared" si="107"/>
        <v>578065</v>
      </c>
      <c r="P61" s="56">
        <f t="shared" si="107"/>
        <v>1997119</v>
      </c>
      <c r="Q61" s="48">
        <f t="shared" si="107"/>
        <v>426999</v>
      </c>
      <c r="R61" s="48">
        <f t="shared" si="107"/>
        <v>480058</v>
      </c>
      <c r="S61" s="48">
        <f t="shared" si="107"/>
        <v>507030</v>
      </c>
      <c r="T61" s="48">
        <f t="shared" si="107"/>
        <v>531578</v>
      </c>
      <c r="U61" s="56">
        <f t="shared" si="107"/>
        <v>1945665</v>
      </c>
      <c r="V61" s="48">
        <f t="shared" si="107"/>
        <v>486207</v>
      </c>
      <c r="W61" s="48">
        <f t="shared" si="107"/>
        <v>506289</v>
      </c>
      <c r="X61" s="48">
        <f t="shared" si="107"/>
        <v>533968</v>
      </c>
      <c r="Y61" s="48">
        <f t="shared" si="107"/>
        <v>550010</v>
      </c>
      <c r="Z61" s="56">
        <f t="shared" si="107"/>
        <v>2076474</v>
      </c>
      <c r="AA61" s="48">
        <f t="shared" si="107"/>
        <v>404676</v>
      </c>
      <c r="AB61" s="48">
        <f t="shared" si="107"/>
        <v>439891</v>
      </c>
      <c r="AC61" s="48">
        <f t="shared" si="107"/>
        <v>437615</v>
      </c>
      <c r="AD61" s="48">
        <f t="shared" si="107"/>
        <v>391898</v>
      </c>
      <c r="AE61" s="56">
        <f t="shared" si="107"/>
        <v>1674080</v>
      </c>
      <c r="AF61" s="48">
        <f t="shared" si="107"/>
        <v>332618</v>
      </c>
      <c r="AG61" s="48">
        <f t="shared" si="107"/>
        <v>301977</v>
      </c>
      <c r="AH61" s="48">
        <f t="shared" si="107"/>
        <v>316577</v>
      </c>
      <c r="AI61" s="48">
        <f t="shared" si="107"/>
        <v>314103</v>
      </c>
      <c r="AJ61" s="56">
        <f t="shared" si="107"/>
        <v>1265275</v>
      </c>
      <c r="AK61" s="48">
        <f t="shared" si="107"/>
        <v>259898</v>
      </c>
      <c r="AL61" s="48">
        <f t="shared" si="107"/>
        <v>201688</v>
      </c>
      <c r="AM61" s="48">
        <f t="shared" si="107"/>
        <v>186699</v>
      </c>
      <c r="AN61" s="48">
        <f t="shared" si="107"/>
        <v>260194</v>
      </c>
      <c r="AO61" s="56">
        <f t="shared" si="107"/>
        <v>908479</v>
      </c>
      <c r="AP61" s="48">
        <f t="shared" si="107"/>
        <v>150388</v>
      </c>
      <c r="AQ61" s="48">
        <f t="shared" si="107"/>
        <v>200277</v>
      </c>
      <c r="AR61" s="48">
        <f t="shared" si="107"/>
        <v>237658</v>
      </c>
      <c r="AS61" s="48">
        <f t="shared" si="107"/>
        <v>336321</v>
      </c>
      <c r="AT61" s="56">
        <f t="shared" si="107"/>
        <v>924644</v>
      </c>
      <c r="AU61" s="48">
        <f t="shared" si="107"/>
        <v>272732</v>
      </c>
      <c r="AV61" s="48">
        <f t="shared" si="107"/>
        <v>311219</v>
      </c>
      <c r="AW61" s="48">
        <f t="shared" si="107"/>
        <v>309089</v>
      </c>
      <c r="AX61" s="48">
        <f t="shared" si="107"/>
        <v>404068</v>
      </c>
      <c r="AY61" s="56">
        <f t="shared" si="107"/>
        <v>1297108</v>
      </c>
      <c r="AZ61" s="48">
        <f t="shared" si="107"/>
        <v>272498</v>
      </c>
      <c r="BA61" s="48">
        <f t="shared" si="107"/>
        <v>291697</v>
      </c>
      <c r="BB61" s="48">
        <f t="shared" si="107"/>
        <v>396838</v>
      </c>
      <c r="BC61" s="48">
        <f t="shared" si="107"/>
        <v>356703</v>
      </c>
      <c r="BD61" s="56">
        <f t="shared" si="107"/>
        <v>1317736</v>
      </c>
      <c r="BE61" s="48">
        <f t="shared" si="107"/>
        <v>355551</v>
      </c>
      <c r="BF61" s="48">
        <f t="shared" si="107"/>
        <v>442660</v>
      </c>
      <c r="BG61" s="48">
        <f t="shared" si="107"/>
        <v>458491</v>
      </c>
      <c r="BH61" s="48">
        <f t="shared" si="107"/>
        <v>455367</v>
      </c>
      <c r="BI61" s="56">
        <f t="shared" si="107"/>
        <v>1712069</v>
      </c>
      <c r="BJ61" s="48">
        <f t="shared" si="107"/>
        <v>399817</v>
      </c>
      <c r="BK61" s="48">
        <f t="shared" si="107"/>
        <v>410842</v>
      </c>
      <c r="BL61" s="48">
        <f t="shared" si="107"/>
        <v>551175</v>
      </c>
      <c r="BM61" s="48">
        <f t="shared" si="107"/>
        <v>454142</v>
      </c>
      <c r="BN61" s="56">
        <f t="shared" si="107"/>
        <v>1815976</v>
      </c>
      <c r="BO61" s="48">
        <f t="shared" si="107"/>
        <v>419142</v>
      </c>
      <c r="BP61" s="48">
        <f t="shared" si="107"/>
        <v>557469</v>
      </c>
      <c r="BQ61" s="48">
        <f t="shared" si="107"/>
        <v>575465</v>
      </c>
      <c r="BR61" s="48">
        <f t="shared" si="107"/>
        <v>606210</v>
      </c>
      <c r="BS61" s="56">
        <f t="shared" si="107"/>
        <v>2158286</v>
      </c>
      <c r="BT61" s="48">
        <f t="shared" si="107"/>
        <v>520641</v>
      </c>
      <c r="BU61" s="48">
        <f t="shared" si="107"/>
        <v>645225</v>
      </c>
      <c r="BV61" s="48">
        <f t="shared" si="107"/>
        <v>712019</v>
      </c>
      <c r="BW61" s="48">
        <f t="shared" ref="BW61:DB61" si="108">BW59+BW60</f>
        <v>835969</v>
      </c>
      <c r="BX61" s="56">
        <f t="shared" si="108"/>
        <v>2713854</v>
      </c>
      <c r="BY61" s="48">
        <f t="shared" si="108"/>
        <v>670834</v>
      </c>
      <c r="BZ61" s="48">
        <f t="shared" si="108"/>
        <v>735407</v>
      </c>
      <c r="CA61" s="48">
        <f t="shared" ref="CA61:CB61" si="109">CA59+CA60</f>
        <v>751037</v>
      </c>
      <c r="CB61" s="48">
        <f t="shared" si="109"/>
        <v>1090921</v>
      </c>
      <c r="CC61" s="56">
        <f t="shared" si="108"/>
        <v>3248199</v>
      </c>
      <c r="CD61" s="48">
        <f t="shared" ref="CD61:CE61" si="110">CD59+CD60</f>
        <v>731166</v>
      </c>
      <c r="CE61" s="48">
        <f t="shared" si="110"/>
        <v>925674</v>
      </c>
      <c r="CF61" s="48">
        <f t="shared" si="108"/>
        <v>943970.11880938616</v>
      </c>
      <c r="CG61" s="48">
        <f t="shared" si="108"/>
        <v>1016850.9881802828</v>
      </c>
      <c r="CH61" s="56">
        <f t="shared" si="108"/>
        <v>3617661.1069896687</v>
      </c>
      <c r="CI61" s="48">
        <f t="shared" si="108"/>
        <v>960192.94881852763</v>
      </c>
      <c r="CJ61" s="48">
        <f t="shared" si="108"/>
        <v>978581.98850567406</v>
      </c>
      <c r="CK61" s="48">
        <f t="shared" si="108"/>
        <v>1027886.0592553529</v>
      </c>
      <c r="CL61" s="48">
        <f t="shared" si="108"/>
        <v>1083683.9822049669</v>
      </c>
      <c r="CM61" s="56">
        <f t="shared" si="108"/>
        <v>4050344.9787845202</v>
      </c>
      <c r="CN61" s="48">
        <f t="shared" si="108"/>
        <v>1071877.3215410318</v>
      </c>
      <c r="CO61" s="48">
        <f t="shared" si="108"/>
        <v>1082961.7020216195</v>
      </c>
      <c r="CP61" s="48">
        <f t="shared" si="108"/>
        <v>1126052.8285646716</v>
      </c>
      <c r="CQ61" s="48">
        <f t="shared" si="108"/>
        <v>1200592.9538398501</v>
      </c>
      <c r="CR61" s="56">
        <f t="shared" si="108"/>
        <v>4481484.8059671735</v>
      </c>
      <c r="CS61" s="48">
        <f t="shared" si="108"/>
        <v>1170584.4397607208</v>
      </c>
      <c r="CT61" s="48">
        <f t="shared" si="108"/>
        <v>1176022.8580643828</v>
      </c>
      <c r="CU61" s="48">
        <f t="shared" si="108"/>
        <v>1215398.1934621637</v>
      </c>
      <c r="CV61" s="48">
        <f t="shared" si="108"/>
        <v>1288872.7666919259</v>
      </c>
      <c r="CW61" s="56">
        <f t="shared" si="108"/>
        <v>4850878.2579791918</v>
      </c>
      <c r="CX61" s="48">
        <f t="shared" si="108"/>
        <v>1256963.8698760085</v>
      </c>
      <c r="CY61" s="48">
        <f t="shared" si="108"/>
        <v>1259227.051797362</v>
      </c>
      <c r="CZ61" s="48">
        <f t="shared" si="108"/>
        <v>1298125.7539586578</v>
      </c>
      <c r="DA61" s="48">
        <f t="shared" si="108"/>
        <v>1371863.6753657274</v>
      </c>
      <c r="DB61" s="56">
        <f t="shared" si="108"/>
        <v>5186180.3509977553</v>
      </c>
    </row>
    <row r="62" spans="1:106" ht="11.25" customHeight="1" x14ac:dyDescent="0.35">
      <c r="A62" s="185" t="s">
        <v>113</v>
      </c>
      <c r="B62" s="23">
        <f t="shared" ref="B62:AG62" si="111">B18+B21+B31+B32</f>
        <v>-168580</v>
      </c>
      <c r="C62" s="23">
        <f t="shared" si="111"/>
        <v>-177317</v>
      </c>
      <c r="D62" s="23">
        <f t="shared" si="111"/>
        <v>-184561</v>
      </c>
      <c r="E62" s="23">
        <f t="shared" si="111"/>
        <v>-210364</v>
      </c>
      <c r="F62" s="57">
        <f t="shared" si="111"/>
        <v>-740822</v>
      </c>
      <c r="G62" s="23">
        <f t="shared" si="111"/>
        <v>-197021</v>
      </c>
      <c r="H62" s="23">
        <f t="shared" si="111"/>
        <v>-245273</v>
      </c>
      <c r="I62" s="23">
        <f t="shared" si="111"/>
        <v>-224014</v>
      </c>
      <c r="J62" s="23">
        <f t="shared" si="111"/>
        <v>-246774</v>
      </c>
      <c r="K62" s="57">
        <f t="shared" si="111"/>
        <v>-913082</v>
      </c>
      <c r="L62" s="23">
        <f t="shared" si="111"/>
        <v>-224434</v>
      </c>
      <c r="M62" s="23">
        <f t="shared" si="111"/>
        <v>-222924</v>
      </c>
      <c r="N62" s="23">
        <f t="shared" si="111"/>
        <v>-212734</v>
      </c>
      <c r="O62" s="23">
        <f t="shared" si="111"/>
        <v>-213238</v>
      </c>
      <c r="P62" s="57">
        <f t="shared" si="111"/>
        <v>-873330</v>
      </c>
      <c r="Q62" s="23">
        <f t="shared" si="111"/>
        <v>-193103</v>
      </c>
      <c r="R62" s="23">
        <f t="shared" si="111"/>
        <v>-212182</v>
      </c>
      <c r="S62" s="23">
        <f t="shared" si="111"/>
        <v>-222578</v>
      </c>
      <c r="T62" s="23">
        <f t="shared" si="111"/>
        <v>-236044</v>
      </c>
      <c r="U62" s="57">
        <f t="shared" si="111"/>
        <v>-863907</v>
      </c>
      <c r="V62" s="23">
        <f t="shared" si="111"/>
        <v>-222807</v>
      </c>
      <c r="W62" s="23">
        <f t="shared" si="111"/>
        <v>-237694</v>
      </c>
      <c r="X62" s="23">
        <f t="shared" si="111"/>
        <v>-261756</v>
      </c>
      <c r="Y62" s="23">
        <f t="shared" si="111"/>
        <v>-304883</v>
      </c>
      <c r="Z62" s="57">
        <f t="shared" si="111"/>
        <v>-1027140</v>
      </c>
      <c r="AA62" s="23">
        <f t="shared" si="111"/>
        <v>-236959</v>
      </c>
      <c r="AB62" s="23">
        <f t="shared" si="111"/>
        <v>-196057</v>
      </c>
      <c r="AC62" s="23">
        <f t="shared" si="111"/>
        <v>-232319</v>
      </c>
      <c r="AD62" s="23">
        <f t="shared" si="111"/>
        <v>-238588</v>
      </c>
      <c r="AE62" s="57">
        <f t="shared" si="111"/>
        <v>-903923</v>
      </c>
      <c r="AF62" s="23">
        <f t="shared" si="111"/>
        <v>-202283</v>
      </c>
      <c r="AG62" s="23">
        <f t="shared" si="111"/>
        <v>-221260</v>
      </c>
      <c r="AH62" s="23">
        <f t="shared" ref="AH62:BM62" si="112">AH18+AH21+AH31+AH32</f>
        <v>-223939</v>
      </c>
      <c r="AI62" s="23">
        <f t="shared" si="112"/>
        <v>-235567</v>
      </c>
      <c r="AJ62" s="57">
        <f t="shared" si="112"/>
        <v>-883049</v>
      </c>
      <c r="AK62" s="23">
        <f t="shared" si="112"/>
        <v>-180039</v>
      </c>
      <c r="AL62" s="23">
        <f t="shared" si="112"/>
        <v>-313128</v>
      </c>
      <c r="AM62" s="23">
        <f t="shared" si="112"/>
        <v>-155639</v>
      </c>
      <c r="AN62" s="23">
        <f t="shared" si="112"/>
        <v>-196254</v>
      </c>
      <c r="AO62" s="57">
        <f t="shared" si="112"/>
        <v>-845060</v>
      </c>
      <c r="AP62" s="23">
        <f t="shared" si="112"/>
        <v>-160592</v>
      </c>
      <c r="AQ62" s="23">
        <f t="shared" si="112"/>
        <v>-194732</v>
      </c>
      <c r="AR62" s="23">
        <f t="shared" si="112"/>
        <v>-305381</v>
      </c>
      <c r="AS62" s="23">
        <f t="shared" si="112"/>
        <v>-229434</v>
      </c>
      <c r="AT62" s="57">
        <f t="shared" si="112"/>
        <v>-890139</v>
      </c>
      <c r="AU62" s="23">
        <f t="shared" si="112"/>
        <v>-170407</v>
      </c>
      <c r="AV62" s="23">
        <f t="shared" si="112"/>
        <v>-200828</v>
      </c>
      <c r="AW62" s="23">
        <f t="shared" si="112"/>
        <v>-190832</v>
      </c>
      <c r="AX62" s="23">
        <f t="shared" si="112"/>
        <v>-167949</v>
      </c>
      <c r="AY62" s="57">
        <f t="shared" si="112"/>
        <v>-730016</v>
      </c>
      <c r="AZ62" s="23">
        <f t="shared" si="112"/>
        <v>-209713</v>
      </c>
      <c r="BA62" s="23">
        <f t="shared" si="112"/>
        <v>-193582</v>
      </c>
      <c r="BB62" s="23">
        <f t="shared" si="112"/>
        <v>-184689</v>
      </c>
      <c r="BC62" s="23">
        <f t="shared" si="112"/>
        <v>-141233</v>
      </c>
      <c r="BD62" s="57">
        <f t="shared" si="112"/>
        <v>-729217</v>
      </c>
      <c r="BE62" s="23">
        <f t="shared" si="112"/>
        <v>-210404</v>
      </c>
      <c r="BF62" s="23">
        <f t="shared" si="112"/>
        <v>-204583</v>
      </c>
      <c r="BG62" s="23">
        <f t="shared" si="112"/>
        <v>-241249</v>
      </c>
      <c r="BH62" s="23">
        <f t="shared" si="112"/>
        <v>-243814</v>
      </c>
      <c r="BI62" s="57">
        <f t="shared" si="112"/>
        <v>-900050</v>
      </c>
      <c r="BJ62" s="23">
        <f t="shared" si="112"/>
        <v>-256146</v>
      </c>
      <c r="BK62" s="23">
        <f t="shared" si="112"/>
        <v>-263434</v>
      </c>
      <c r="BL62" s="23">
        <f t="shared" si="112"/>
        <v>-253005</v>
      </c>
      <c r="BM62" s="23">
        <f t="shared" si="112"/>
        <v>-265173</v>
      </c>
      <c r="BN62" s="57">
        <f t="shared" ref="BN62:CS62" si="113">BN18+BN21+BN31+BN32</f>
        <v>-1037758</v>
      </c>
      <c r="BO62" s="23">
        <f t="shared" si="113"/>
        <v>-264155</v>
      </c>
      <c r="BP62" s="23">
        <f t="shared" si="113"/>
        <v>-241443</v>
      </c>
      <c r="BQ62" s="23">
        <f t="shared" si="113"/>
        <v>-317329</v>
      </c>
      <c r="BR62" s="23">
        <f t="shared" si="113"/>
        <v>-357292</v>
      </c>
      <c r="BS62" s="57">
        <f t="shared" si="113"/>
        <v>-1180219</v>
      </c>
      <c r="BT62" s="23">
        <f t="shared" si="113"/>
        <v>-255704</v>
      </c>
      <c r="BU62" s="23">
        <f t="shared" si="113"/>
        <v>-251945</v>
      </c>
      <c r="BV62" s="23">
        <f t="shared" si="113"/>
        <v>-350581</v>
      </c>
      <c r="BW62" s="23">
        <f t="shared" si="113"/>
        <v>-229718</v>
      </c>
      <c r="BX62" s="57">
        <f t="shared" si="113"/>
        <v>-1087948</v>
      </c>
      <c r="BY62" s="23">
        <f t="shared" si="113"/>
        <v>-367935</v>
      </c>
      <c r="BZ62" s="23">
        <f>BZ18+BZ21+BZ31+BZ32</f>
        <v>-367145</v>
      </c>
      <c r="CA62" s="23">
        <f>CA18+CA21+CA31+CA32</f>
        <v>-365005</v>
      </c>
      <c r="CB62" s="23">
        <f t="shared" ref="CB62" si="114">CB18+CB21+CB31+CB32</f>
        <v>-504809</v>
      </c>
      <c r="CC62" s="57">
        <f t="shared" si="113"/>
        <v>-1604894</v>
      </c>
      <c r="CD62" s="23">
        <f t="shared" ref="CD62" si="115">CD18+CD21+CD31+CD32</f>
        <v>-420485</v>
      </c>
      <c r="CE62" s="23">
        <f>CE18+CE21+CE31+CE32</f>
        <v>-455054</v>
      </c>
      <c r="CF62" s="23">
        <f t="shared" si="113"/>
        <v>-465471.51585423353</v>
      </c>
      <c r="CG62" s="23">
        <f t="shared" si="113"/>
        <v>-469849.46269056154</v>
      </c>
      <c r="CH62" s="57">
        <f t="shared" si="113"/>
        <v>-1810859.9785447954</v>
      </c>
      <c r="CI62" s="23">
        <f t="shared" si="113"/>
        <v>-450242.17979464703</v>
      </c>
      <c r="CJ62" s="23">
        <f t="shared" si="113"/>
        <v>-470826.03712483059</v>
      </c>
      <c r="CK62" s="23">
        <f t="shared" si="113"/>
        <v>-516281.31274385215</v>
      </c>
      <c r="CL62" s="23">
        <f t="shared" si="113"/>
        <v>-516918.84485645522</v>
      </c>
      <c r="CM62" s="57">
        <f t="shared" si="113"/>
        <v>-1954268.3745197849</v>
      </c>
      <c r="CN62" s="23">
        <f t="shared" si="113"/>
        <v>-471165.52470732213</v>
      </c>
      <c r="CO62" s="23">
        <f t="shared" si="113"/>
        <v>-504323.12957522931</v>
      </c>
      <c r="CP62" s="23">
        <f t="shared" si="113"/>
        <v>-551541.31400360691</v>
      </c>
      <c r="CQ62" s="23">
        <f t="shared" si="113"/>
        <v>-573058.21298510465</v>
      </c>
      <c r="CR62" s="57">
        <f t="shared" si="113"/>
        <v>-2100088.1812712629</v>
      </c>
      <c r="CS62" s="23">
        <f t="shared" si="113"/>
        <v>-500678.99109348259</v>
      </c>
      <c r="CT62" s="23">
        <f t="shared" ref="CT62:DB62" si="116">CT18+CT21+CT31+CT32</f>
        <v>-533249.62570858013</v>
      </c>
      <c r="CU62" s="23">
        <f t="shared" si="116"/>
        <v>-581224.46336947801</v>
      </c>
      <c r="CV62" s="23">
        <f t="shared" si="116"/>
        <v>-603181.69470220036</v>
      </c>
      <c r="CW62" s="57">
        <f t="shared" si="116"/>
        <v>-2218334.774873741</v>
      </c>
      <c r="CX62" s="23">
        <f t="shared" si="116"/>
        <v>-515186.1413920194</v>
      </c>
      <c r="CY62" s="23">
        <f t="shared" si="116"/>
        <v>-550647.51673848939</v>
      </c>
      <c r="CZ62" s="23">
        <f t="shared" si="116"/>
        <v>-601700.2378610723</v>
      </c>
      <c r="DA62" s="23">
        <f t="shared" si="116"/>
        <v>-625428.57098322117</v>
      </c>
      <c r="DB62" s="57">
        <f t="shared" si="116"/>
        <v>-2292962.4669748023</v>
      </c>
    </row>
    <row r="63" spans="1:106" ht="11.25" customHeight="1" x14ac:dyDescent="0.35">
      <c r="A63" s="185" t="s">
        <v>114</v>
      </c>
      <c r="B63" s="23">
        <f t="shared" ref="B63:AG63" si="117">B61+B62</f>
        <v>235587</v>
      </c>
      <c r="C63" s="23">
        <f t="shared" si="117"/>
        <v>235046</v>
      </c>
      <c r="D63" s="23">
        <f t="shared" si="117"/>
        <v>241494</v>
      </c>
      <c r="E63" s="23">
        <f t="shared" si="117"/>
        <v>179876</v>
      </c>
      <c r="F63" s="57">
        <f t="shared" si="117"/>
        <v>892003</v>
      </c>
      <c r="G63" s="23">
        <f t="shared" si="117"/>
        <v>170779</v>
      </c>
      <c r="H63" s="23">
        <f t="shared" si="117"/>
        <v>179587</v>
      </c>
      <c r="I63" s="23">
        <f t="shared" si="117"/>
        <v>282692</v>
      </c>
      <c r="J63" s="23">
        <f t="shared" si="117"/>
        <v>379546</v>
      </c>
      <c r="K63" s="57">
        <f t="shared" si="117"/>
        <v>1012604</v>
      </c>
      <c r="L63" s="23">
        <f t="shared" si="117"/>
        <v>276241</v>
      </c>
      <c r="M63" s="23">
        <f t="shared" si="117"/>
        <v>224136</v>
      </c>
      <c r="N63" s="23">
        <f t="shared" si="117"/>
        <v>258585</v>
      </c>
      <c r="O63" s="23">
        <f t="shared" si="117"/>
        <v>364827</v>
      </c>
      <c r="P63" s="57">
        <f t="shared" si="117"/>
        <v>1123789</v>
      </c>
      <c r="Q63" s="23">
        <f t="shared" si="117"/>
        <v>233896</v>
      </c>
      <c r="R63" s="23">
        <f t="shared" si="117"/>
        <v>267876</v>
      </c>
      <c r="S63" s="23">
        <f t="shared" si="117"/>
        <v>284452</v>
      </c>
      <c r="T63" s="23">
        <f t="shared" si="117"/>
        <v>295534</v>
      </c>
      <c r="U63" s="57">
        <f t="shared" si="117"/>
        <v>1081758</v>
      </c>
      <c r="V63" s="23">
        <f t="shared" si="117"/>
        <v>263400</v>
      </c>
      <c r="W63" s="23">
        <f t="shared" si="117"/>
        <v>268595</v>
      </c>
      <c r="X63" s="23">
        <f t="shared" si="117"/>
        <v>272212</v>
      </c>
      <c r="Y63" s="23">
        <f t="shared" si="117"/>
        <v>245127</v>
      </c>
      <c r="Z63" s="57">
        <f t="shared" si="117"/>
        <v>1049334</v>
      </c>
      <c r="AA63" s="23">
        <f t="shared" si="117"/>
        <v>167717</v>
      </c>
      <c r="AB63" s="23">
        <f t="shared" si="117"/>
        <v>243834</v>
      </c>
      <c r="AC63" s="23">
        <f t="shared" si="117"/>
        <v>205296</v>
      </c>
      <c r="AD63" s="23">
        <f t="shared" si="117"/>
        <v>153310</v>
      </c>
      <c r="AE63" s="57">
        <f t="shared" si="117"/>
        <v>770157</v>
      </c>
      <c r="AF63" s="23">
        <f t="shared" si="117"/>
        <v>130335</v>
      </c>
      <c r="AG63" s="23">
        <f t="shared" si="117"/>
        <v>80717</v>
      </c>
      <c r="AH63" s="23">
        <f t="shared" ref="AH63:BM63" si="118">AH61+AH62</f>
        <v>92638</v>
      </c>
      <c r="AI63" s="23">
        <f t="shared" si="118"/>
        <v>78536</v>
      </c>
      <c r="AJ63" s="57">
        <f t="shared" si="118"/>
        <v>382226</v>
      </c>
      <c r="AK63" s="23">
        <f t="shared" si="118"/>
        <v>79859</v>
      </c>
      <c r="AL63" s="23">
        <f t="shared" si="118"/>
        <v>-111440</v>
      </c>
      <c r="AM63" s="23">
        <f t="shared" si="118"/>
        <v>31060</v>
      </c>
      <c r="AN63" s="23">
        <f t="shared" si="118"/>
        <v>63940</v>
      </c>
      <c r="AO63" s="57">
        <f t="shared" si="118"/>
        <v>63419</v>
      </c>
      <c r="AP63" s="23">
        <f t="shared" si="118"/>
        <v>-10204</v>
      </c>
      <c r="AQ63" s="23">
        <f t="shared" si="118"/>
        <v>5545</v>
      </c>
      <c r="AR63" s="23">
        <f t="shared" si="118"/>
        <v>-67723</v>
      </c>
      <c r="AS63" s="23">
        <f t="shared" si="118"/>
        <v>106887</v>
      </c>
      <c r="AT63" s="57">
        <f t="shared" si="118"/>
        <v>34505</v>
      </c>
      <c r="AU63" s="23">
        <f t="shared" si="118"/>
        <v>102325</v>
      </c>
      <c r="AV63" s="23">
        <f t="shared" si="118"/>
        <v>110391</v>
      </c>
      <c r="AW63" s="23">
        <f t="shared" si="118"/>
        <v>118257</v>
      </c>
      <c r="AX63" s="23">
        <f t="shared" si="118"/>
        <v>236119</v>
      </c>
      <c r="AY63" s="57">
        <f t="shared" si="118"/>
        <v>567092</v>
      </c>
      <c r="AZ63" s="23">
        <f t="shared" si="118"/>
        <v>62785</v>
      </c>
      <c r="BA63" s="23">
        <f t="shared" si="118"/>
        <v>98115</v>
      </c>
      <c r="BB63" s="23">
        <f t="shared" si="118"/>
        <v>212149</v>
      </c>
      <c r="BC63" s="23">
        <f t="shared" si="118"/>
        <v>215470</v>
      </c>
      <c r="BD63" s="57">
        <f t="shared" si="118"/>
        <v>588519</v>
      </c>
      <c r="BE63" s="23">
        <f t="shared" si="118"/>
        <v>145147</v>
      </c>
      <c r="BF63" s="23">
        <f t="shared" si="118"/>
        <v>238077</v>
      </c>
      <c r="BG63" s="23">
        <f t="shared" si="118"/>
        <v>217242</v>
      </c>
      <c r="BH63" s="23">
        <f t="shared" si="118"/>
        <v>211553</v>
      </c>
      <c r="BI63" s="57">
        <f t="shared" si="118"/>
        <v>812019</v>
      </c>
      <c r="BJ63" s="23">
        <f t="shared" si="118"/>
        <v>143671</v>
      </c>
      <c r="BK63" s="23">
        <f t="shared" si="118"/>
        <v>147408</v>
      </c>
      <c r="BL63" s="23">
        <f t="shared" si="118"/>
        <v>298170</v>
      </c>
      <c r="BM63" s="23">
        <f t="shared" si="118"/>
        <v>188969</v>
      </c>
      <c r="BN63" s="57">
        <f t="shared" ref="BN63:CS63" si="119">BN61+BN62</f>
        <v>778218</v>
      </c>
      <c r="BO63" s="23">
        <f t="shared" si="119"/>
        <v>154987</v>
      </c>
      <c r="BP63" s="23">
        <f t="shared" si="119"/>
        <v>316026</v>
      </c>
      <c r="BQ63" s="23">
        <f t="shared" si="119"/>
        <v>258136</v>
      </c>
      <c r="BR63" s="23">
        <f t="shared" si="119"/>
        <v>248918</v>
      </c>
      <c r="BS63" s="57">
        <f t="shared" si="119"/>
        <v>978067</v>
      </c>
      <c r="BT63" s="23">
        <f t="shared" si="119"/>
        <v>264937</v>
      </c>
      <c r="BU63" s="23">
        <f t="shared" si="119"/>
        <v>393280</v>
      </c>
      <c r="BV63" s="23">
        <f t="shared" si="119"/>
        <v>361438</v>
      </c>
      <c r="BW63" s="23">
        <f t="shared" si="119"/>
        <v>606251</v>
      </c>
      <c r="BX63" s="57">
        <f t="shared" si="119"/>
        <v>1625906</v>
      </c>
      <c r="BY63" s="23">
        <f t="shared" si="119"/>
        <v>302899</v>
      </c>
      <c r="BZ63" s="23">
        <f>BZ61+BZ62</f>
        <v>368262</v>
      </c>
      <c r="CA63" s="23">
        <f>CA61+CA62</f>
        <v>386032</v>
      </c>
      <c r="CB63" s="23">
        <f t="shared" ref="CB63" si="120">CB61+CB62</f>
        <v>586112</v>
      </c>
      <c r="CC63" s="57">
        <f t="shared" si="119"/>
        <v>1643305</v>
      </c>
      <c r="CD63" s="23">
        <f t="shared" ref="CD63" si="121">CD61+CD62</f>
        <v>310681</v>
      </c>
      <c r="CE63" s="23">
        <f>CE61+CE62</f>
        <v>470620</v>
      </c>
      <c r="CF63" s="23">
        <f t="shared" si="119"/>
        <v>478498.60295515263</v>
      </c>
      <c r="CG63" s="23">
        <f t="shared" si="119"/>
        <v>547001.52548972121</v>
      </c>
      <c r="CH63" s="57">
        <f t="shared" si="119"/>
        <v>1806801.1284448733</v>
      </c>
      <c r="CI63" s="23">
        <f t="shared" si="119"/>
        <v>509950.7690238806</v>
      </c>
      <c r="CJ63" s="23">
        <f t="shared" si="119"/>
        <v>507755.95138084347</v>
      </c>
      <c r="CK63" s="23">
        <f t="shared" si="119"/>
        <v>511604.74651150079</v>
      </c>
      <c r="CL63" s="23">
        <f t="shared" si="119"/>
        <v>566765.13734851172</v>
      </c>
      <c r="CM63" s="57">
        <f t="shared" si="119"/>
        <v>2096076.6042647352</v>
      </c>
      <c r="CN63" s="23">
        <f t="shared" si="119"/>
        <v>600711.7968337097</v>
      </c>
      <c r="CO63" s="23">
        <f t="shared" si="119"/>
        <v>578638.57244639029</v>
      </c>
      <c r="CP63" s="23">
        <f t="shared" si="119"/>
        <v>574511.51456106466</v>
      </c>
      <c r="CQ63" s="23">
        <f t="shared" si="119"/>
        <v>627534.7408547455</v>
      </c>
      <c r="CR63" s="57">
        <f t="shared" si="119"/>
        <v>2381396.6246959106</v>
      </c>
      <c r="CS63" s="23">
        <f t="shared" si="119"/>
        <v>669905.44866723823</v>
      </c>
      <c r="CT63" s="23">
        <f t="shared" ref="CT63:DB63" si="122">CT61+CT62</f>
        <v>642773.23235580267</v>
      </c>
      <c r="CU63" s="23">
        <f t="shared" si="122"/>
        <v>634173.73009268567</v>
      </c>
      <c r="CV63" s="23">
        <f t="shared" si="122"/>
        <v>685691.07198972558</v>
      </c>
      <c r="CW63" s="57">
        <f t="shared" si="122"/>
        <v>2632543.4831054509</v>
      </c>
      <c r="CX63" s="23">
        <f t="shared" si="122"/>
        <v>741777.72848398914</v>
      </c>
      <c r="CY63" s="23">
        <f t="shared" si="122"/>
        <v>708579.53505887266</v>
      </c>
      <c r="CZ63" s="23">
        <f t="shared" si="122"/>
        <v>696425.51609758555</v>
      </c>
      <c r="DA63" s="23">
        <f t="shared" si="122"/>
        <v>746435.10438250622</v>
      </c>
      <c r="DB63" s="57">
        <f t="shared" si="122"/>
        <v>2893217.884022953</v>
      </c>
    </row>
    <row r="64" spans="1:106" s="11" customFormat="1" ht="11.25" customHeight="1" x14ac:dyDescent="0.35">
      <c r="A64" s="186" t="s">
        <v>116</v>
      </c>
      <c r="B64" s="397">
        <f>1220+17100</f>
        <v>18320</v>
      </c>
      <c r="C64" s="397">
        <f>2622+8294</f>
        <v>10916</v>
      </c>
      <c r="D64" s="397">
        <f>2885+8437</f>
        <v>11322</v>
      </c>
      <c r="E64" s="397">
        <f>2158+16817</f>
        <v>18975</v>
      </c>
      <c r="F64" s="20">
        <f>SUM(B64:E64)</f>
        <v>59533</v>
      </c>
      <c r="G64" s="397">
        <f>3377+7032</f>
        <v>10409</v>
      </c>
      <c r="H64" s="397">
        <f>6508+10102-G64</f>
        <v>6201</v>
      </c>
      <c r="I64" s="397">
        <v>9000</v>
      </c>
      <c r="J64" s="397">
        <f>13336+19781-G64-H64-I64</f>
        <v>7507</v>
      </c>
      <c r="K64" s="20">
        <f>SUM(G64:J64)</f>
        <v>33117</v>
      </c>
      <c r="L64" s="397">
        <f>20169+2482</f>
        <v>22651</v>
      </c>
      <c r="M64" s="397">
        <f>51646+3520-L64</f>
        <v>32515</v>
      </c>
      <c r="N64" s="397">
        <f>85248-L64-M64</f>
        <v>30082</v>
      </c>
      <c r="O64" s="397">
        <f>12412+7450-N64-M64-L64</f>
        <v>-65386</v>
      </c>
      <c r="P64" s="20">
        <f>SUM(L64:O64)</f>
        <v>19862</v>
      </c>
      <c r="Q64" s="397">
        <f>25332+930</f>
        <v>26262</v>
      </c>
      <c r="R64" s="397">
        <f>49387+2079-Q64</f>
        <v>25204</v>
      </c>
      <c r="S64" s="397">
        <f>77057-Q64-R64</f>
        <v>25591</v>
      </c>
      <c r="T64" s="397">
        <f>96012-R64-S64-Q64</f>
        <v>18955</v>
      </c>
      <c r="U64" s="20">
        <f>SUM(Q64:T64)</f>
        <v>96012</v>
      </c>
      <c r="V64" s="397">
        <f>23249+1390</f>
        <v>24639</v>
      </c>
      <c r="W64" s="397">
        <f>44196+3579-V64</f>
        <v>23136</v>
      </c>
      <c r="X64" s="397">
        <f>64043+3649-W64-V64</f>
        <v>19917</v>
      </c>
      <c r="Y64" s="397">
        <f>84350-4250-W64-X64-V64</f>
        <v>12408</v>
      </c>
      <c r="Z64" s="20">
        <f>SUM(V64:Y64)</f>
        <v>80100</v>
      </c>
      <c r="AA64" s="397">
        <f>16871+1977</f>
        <v>18848</v>
      </c>
      <c r="AB64" s="397">
        <f>33239+2912-AA64</f>
        <v>17303</v>
      </c>
      <c r="AC64" s="397">
        <f>53231+4026-AB64-AA64</f>
        <v>21106</v>
      </c>
      <c r="AD64" s="397">
        <f>75953-8764-AB64-AC64-AA64</f>
        <v>9932</v>
      </c>
      <c r="AE64" s="20">
        <f>SUM(AA64:AD64)</f>
        <v>67189</v>
      </c>
      <c r="AF64" s="397">
        <f>27748+2099</f>
        <v>29847</v>
      </c>
      <c r="AG64" s="397">
        <f>44261+3176-AF64</f>
        <v>17590</v>
      </c>
      <c r="AH64" s="397">
        <f>69344+3700-AG64-AF64</f>
        <v>25607</v>
      </c>
      <c r="AI64" s="397">
        <f>97438-8806-AG64-AH64-AF64</f>
        <v>15588</v>
      </c>
      <c r="AJ64" s="20">
        <f>SUM(AF64:AI64)</f>
        <v>88632</v>
      </c>
      <c r="AK64" s="397">
        <f>21302+40</f>
        <v>21342</v>
      </c>
      <c r="AL64" s="397">
        <f>39063+10940-AK64</f>
        <v>28661</v>
      </c>
      <c r="AM64" s="397">
        <f>39755+11009-AL64-AK64</f>
        <v>761</v>
      </c>
      <c r="AN64" s="397">
        <f>55495-11039-AL64-AM64-AK64</f>
        <v>-6308</v>
      </c>
      <c r="AO64" s="20">
        <f>SUM(AK64:AN64)</f>
        <v>44456</v>
      </c>
      <c r="AP64" s="397">
        <f>15816+51</f>
        <v>15867</v>
      </c>
      <c r="AQ64" s="397">
        <f>25358+93-AP64</f>
        <v>9584</v>
      </c>
      <c r="AR64" s="397">
        <f>48170+175-AQ64-AP64</f>
        <v>22894</v>
      </c>
      <c r="AS64" s="397">
        <f>61369-AQ64-AR64-AP64</f>
        <v>13024</v>
      </c>
      <c r="AT64" s="20">
        <f>SUM(AP64:AS64)</f>
        <v>61369</v>
      </c>
      <c r="AU64" s="397">
        <f>24163+196</f>
        <v>24359</v>
      </c>
      <c r="AV64" s="397">
        <f>15966+512-AU64</f>
        <v>-7881</v>
      </c>
      <c r="AW64" s="397">
        <f>47230+786-AV64-AU64</f>
        <v>31538</v>
      </c>
      <c r="AX64" s="397">
        <f>74678-AV64-AW64-AU64</f>
        <v>26662</v>
      </c>
      <c r="AY64" s="20">
        <f>SUM(AU64:AX64)</f>
        <v>74678</v>
      </c>
      <c r="AZ64" s="397">
        <f>17141+58</f>
        <v>17199</v>
      </c>
      <c r="BA64" s="397">
        <f>30729+195-AZ64</f>
        <v>13725</v>
      </c>
      <c r="BB64" s="397">
        <f>39572+315-BA64-AZ64</f>
        <v>8963</v>
      </c>
      <c r="BC64" s="397">
        <f>51163-BA64-BB64-AZ64</f>
        <v>11276</v>
      </c>
      <c r="BD64" s="20">
        <f>SUM(AZ64:BC64)</f>
        <v>51163</v>
      </c>
      <c r="BE64" s="397">
        <f>10896+36</f>
        <v>10932</v>
      </c>
      <c r="BF64" s="397">
        <f>21318+76-BE64</f>
        <v>10462</v>
      </c>
      <c r="BG64" s="397">
        <f>32295+119-BF64-BE64</f>
        <v>11020</v>
      </c>
      <c r="BH64" s="397">
        <f>40023+149-BF64-BG64-BE64</f>
        <v>7758</v>
      </c>
      <c r="BI64" s="20">
        <f>SUM(BE64:BH64)</f>
        <v>40172</v>
      </c>
      <c r="BJ64" s="397">
        <f>8497+35</f>
        <v>8532</v>
      </c>
      <c r="BK64" s="397">
        <f>17723+60-BJ64</f>
        <v>9251</v>
      </c>
      <c r="BL64" s="397">
        <f>32285+8330-BK64-BJ64</f>
        <v>22832</v>
      </c>
      <c r="BM64" s="397">
        <f>43474+19799-BK64-BL64-BJ64</f>
        <v>22658</v>
      </c>
      <c r="BN64" s="20">
        <f>SUM(BJ64:BM64)</f>
        <v>63273</v>
      </c>
      <c r="BO64" s="397">
        <f>18751+10533</f>
        <v>29284</v>
      </c>
      <c r="BP64" s="397">
        <f>30059+15296-BO64</f>
        <v>16071</v>
      </c>
      <c r="BQ64" s="397">
        <f>46327+41330-BP64-BO64</f>
        <v>42302</v>
      </c>
      <c r="BR64" s="397">
        <f>67088+23861-BP64-BQ64-BO64</f>
        <v>3292</v>
      </c>
      <c r="BS64" s="20">
        <f>SUM(BO64:BR64)</f>
        <v>90949</v>
      </c>
      <c r="BT64" s="397">
        <f>19888+3750</f>
        <v>23638</v>
      </c>
      <c r="BU64" s="397">
        <f>31427+8576-BT64</f>
        <v>16365</v>
      </c>
      <c r="BV64" s="397">
        <f>45054+34948-BU64-BT64</f>
        <v>39999</v>
      </c>
      <c r="BW64" s="397">
        <f>50815+49244-BU64-BV64-BT64</f>
        <v>20057</v>
      </c>
      <c r="BX64" s="20">
        <f>SUM(BT64:BW64)</f>
        <v>100059</v>
      </c>
      <c r="BY64" s="397">
        <f>21373+8899</f>
        <v>30272</v>
      </c>
      <c r="BZ64" s="397">
        <f>35128+18946-BY64</f>
        <v>23802</v>
      </c>
      <c r="CA64" s="397">
        <f>47429+35274-BZ64-BY64</f>
        <v>28629</v>
      </c>
      <c r="CB64" s="397">
        <f>79338+53237-BZ64-CA64-BY64</f>
        <v>49872</v>
      </c>
      <c r="CC64" s="57">
        <f>SUM(BY64:CB64)</f>
        <v>132575</v>
      </c>
      <c r="CD64" s="397">
        <f>38968+15615</f>
        <v>54583</v>
      </c>
      <c r="CE64" s="397">
        <f>68157+27592-CD64</f>
        <v>41166</v>
      </c>
      <c r="CF64" s="448">
        <f>'BS &amp; FCF'!CF121</f>
        <v>42795.670501209162</v>
      </c>
      <c r="CG64" s="448">
        <f>'BS &amp; FCF'!CG121</f>
        <v>43074.129503825498</v>
      </c>
      <c r="CH64" s="57">
        <f>SUM(CD64:CG64)</f>
        <v>181618.80000503466</v>
      </c>
      <c r="CI64" s="448">
        <f>'BS &amp; FCF'!CI121</f>
        <v>43354.400358323808</v>
      </c>
      <c r="CJ64" s="448">
        <f>'BS &amp; FCF'!CJ121</f>
        <v>43636.494853898243</v>
      </c>
      <c r="CK64" s="448">
        <f>'BS &amp; FCF'!CK121</f>
        <v>43920.424856451791</v>
      </c>
      <c r="CL64" s="448">
        <f>'BS &amp; FCF'!CL121</f>
        <v>44206.202309095461</v>
      </c>
      <c r="CM64" s="57">
        <f>SUM(CI64:CL64)</f>
        <v>175117.52237776929</v>
      </c>
      <c r="CN64" s="448">
        <f>'BS &amp; FCF'!CN121</f>
        <v>44493.839232650585</v>
      </c>
      <c r="CO64" s="448">
        <f>'BS &amp; FCF'!CO121</f>
        <v>44783.347726154512</v>
      </c>
      <c r="CP64" s="448">
        <f>'BS &amp; FCF'!CP121</f>
        <v>45074.739967369504</v>
      </c>
      <c r="CQ64" s="448">
        <f>'BS &amp; FCF'!CQ121</f>
        <v>45368.02821329498</v>
      </c>
      <c r="CR64" s="57">
        <f>SUM(CN64:CQ64)</f>
        <v>179719.95513946959</v>
      </c>
      <c r="CS64" s="448">
        <f>'BS &amp; FCF'!CS121</f>
        <v>45663.224800683121</v>
      </c>
      <c r="CT64" s="448">
        <f>'BS &amp; FCF'!CT121</f>
        <v>45960.342146557734</v>
      </c>
      <c r="CU64" s="448">
        <f>'BS &amp; FCF'!CU121</f>
        <v>46259.392748736624</v>
      </c>
      <c r="CV64" s="448">
        <f>'BS &amp; FCF'!CV121</f>
        <v>46560.389186357257</v>
      </c>
      <c r="CW64" s="57">
        <f>SUM(CS64:CV64)</f>
        <v>184443.34888233474</v>
      </c>
      <c r="CX64" s="448">
        <f>'BS &amp; FCF'!CX121</f>
        <v>46863.344120405905</v>
      </c>
      <c r="CY64" s="448">
        <f>'BS &amp; FCF'!CY121</f>
        <v>47168.270294250193</v>
      </c>
      <c r="CZ64" s="448">
        <f>'BS &amp; FCF'!CZ121</f>
        <v>47475.180534175124</v>
      </c>
      <c r="DA64" s="448">
        <f>'BS &amp; FCF'!DA121</f>
        <v>47784.087749922648</v>
      </c>
      <c r="DB64" s="57">
        <f>SUM(CX64:DA64)</f>
        <v>189290.88269875388</v>
      </c>
    </row>
    <row r="65" spans="1:106" s="11" customFormat="1" ht="11.25" customHeight="1" x14ac:dyDescent="0.35">
      <c r="A65" s="182" t="s">
        <v>115</v>
      </c>
      <c r="B65" s="38">
        <f t="shared" ref="B65:AG65" si="123">B63+B64</f>
        <v>253907</v>
      </c>
      <c r="C65" s="38">
        <f t="shared" si="123"/>
        <v>245962</v>
      </c>
      <c r="D65" s="38">
        <f t="shared" si="123"/>
        <v>252816</v>
      </c>
      <c r="E65" s="38">
        <f t="shared" si="123"/>
        <v>198851</v>
      </c>
      <c r="F65" s="39">
        <f t="shared" si="123"/>
        <v>951536</v>
      </c>
      <c r="G65" s="38">
        <f t="shared" si="123"/>
        <v>181188</v>
      </c>
      <c r="H65" s="38">
        <f t="shared" si="123"/>
        <v>185788</v>
      </c>
      <c r="I65" s="38">
        <f t="shared" si="123"/>
        <v>291692</v>
      </c>
      <c r="J65" s="38">
        <f t="shared" si="123"/>
        <v>387053</v>
      </c>
      <c r="K65" s="39">
        <f t="shared" si="123"/>
        <v>1045721</v>
      </c>
      <c r="L65" s="38">
        <f t="shared" si="123"/>
        <v>298892</v>
      </c>
      <c r="M65" s="38">
        <f t="shared" si="123"/>
        <v>256651</v>
      </c>
      <c r="N65" s="38">
        <f t="shared" si="123"/>
        <v>288667</v>
      </c>
      <c r="O65" s="38">
        <f t="shared" si="123"/>
        <v>299441</v>
      </c>
      <c r="P65" s="39">
        <f t="shared" si="123"/>
        <v>1143651</v>
      </c>
      <c r="Q65" s="38">
        <f t="shared" si="123"/>
        <v>260158</v>
      </c>
      <c r="R65" s="38">
        <f t="shared" si="123"/>
        <v>293080</v>
      </c>
      <c r="S65" s="38">
        <f t="shared" si="123"/>
        <v>310043</v>
      </c>
      <c r="T65" s="38">
        <f t="shared" si="123"/>
        <v>314489</v>
      </c>
      <c r="U65" s="39">
        <f t="shared" si="123"/>
        <v>1177770</v>
      </c>
      <c r="V65" s="38">
        <f t="shared" si="123"/>
        <v>288039</v>
      </c>
      <c r="W65" s="38">
        <f t="shared" si="123"/>
        <v>291731</v>
      </c>
      <c r="X65" s="38">
        <f t="shared" si="123"/>
        <v>292129</v>
      </c>
      <c r="Y65" s="38">
        <f t="shared" si="123"/>
        <v>257535</v>
      </c>
      <c r="Z65" s="39">
        <f t="shared" si="123"/>
        <v>1129434</v>
      </c>
      <c r="AA65" s="38">
        <f t="shared" si="123"/>
        <v>186565</v>
      </c>
      <c r="AB65" s="38">
        <f t="shared" si="123"/>
        <v>261137</v>
      </c>
      <c r="AC65" s="38">
        <f t="shared" si="123"/>
        <v>226402</v>
      </c>
      <c r="AD65" s="38">
        <f t="shared" si="123"/>
        <v>163242</v>
      </c>
      <c r="AE65" s="39">
        <f t="shared" si="123"/>
        <v>837346</v>
      </c>
      <c r="AF65" s="38">
        <f t="shared" si="123"/>
        <v>160182</v>
      </c>
      <c r="AG65" s="38">
        <f t="shared" si="123"/>
        <v>98307</v>
      </c>
      <c r="AH65" s="38">
        <f t="shared" ref="AH65:BM65" si="124">AH63+AH64</f>
        <v>118245</v>
      </c>
      <c r="AI65" s="38">
        <f t="shared" si="124"/>
        <v>94124</v>
      </c>
      <c r="AJ65" s="39">
        <f t="shared" si="124"/>
        <v>470858</v>
      </c>
      <c r="AK65" s="38">
        <f t="shared" si="124"/>
        <v>101201</v>
      </c>
      <c r="AL65" s="38">
        <f t="shared" si="124"/>
        <v>-82779</v>
      </c>
      <c r="AM65" s="38">
        <f t="shared" si="124"/>
        <v>31821</v>
      </c>
      <c r="AN65" s="38">
        <f t="shared" si="124"/>
        <v>57632</v>
      </c>
      <c r="AO65" s="39">
        <f t="shared" si="124"/>
        <v>107875</v>
      </c>
      <c r="AP65" s="38">
        <f t="shared" si="124"/>
        <v>5663</v>
      </c>
      <c r="AQ65" s="38">
        <f t="shared" si="124"/>
        <v>15129</v>
      </c>
      <c r="AR65" s="38">
        <f t="shared" si="124"/>
        <v>-44829</v>
      </c>
      <c r="AS65" s="38">
        <f t="shared" si="124"/>
        <v>119911</v>
      </c>
      <c r="AT65" s="39">
        <f t="shared" si="124"/>
        <v>95874</v>
      </c>
      <c r="AU65" s="38">
        <f t="shared" si="124"/>
        <v>126684</v>
      </c>
      <c r="AV65" s="38">
        <f t="shared" si="124"/>
        <v>102510</v>
      </c>
      <c r="AW65" s="38">
        <f t="shared" si="124"/>
        <v>149795</v>
      </c>
      <c r="AX65" s="38">
        <f t="shared" si="124"/>
        <v>262781</v>
      </c>
      <c r="AY65" s="39">
        <f t="shared" si="124"/>
        <v>641770</v>
      </c>
      <c r="AZ65" s="38">
        <f t="shared" si="124"/>
        <v>79984</v>
      </c>
      <c r="BA65" s="38">
        <f t="shared" si="124"/>
        <v>111840</v>
      </c>
      <c r="BB65" s="38">
        <f t="shared" si="124"/>
        <v>221112</v>
      </c>
      <c r="BC65" s="38">
        <f t="shared" si="124"/>
        <v>226746</v>
      </c>
      <c r="BD65" s="39">
        <f t="shared" si="124"/>
        <v>639682</v>
      </c>
      <c r="BE65" s="38">
        <f t="shared" si="124"/>
        <v>156079</v>
      </c>
      <c r="BF65" s="38">
        <f t="shared" si="124"/>
        <v>248539</v>
      </c>
      <c r="BG65" s="38">
        <f t="shared" si="124"/>
        <v>228262</v>
      </c>
      <c r="BH65" s="38">
        <f t="shared" si="124"/>
        <v>219311</v>
      </c>
      <c r="BI65" s="39">
        <f t="shared" si="124"/>
        <v>852191</v>
      </c>
      <c r="BJ65" s="38">
        <f t="shared" si="124"/>
        <v>152203</v>
      </c>
      <c r="BK65" s="38">
        <f t="shared" si="124"/>
        <v>156659</v>
      </c>
      <c r="BL65" s="38">
        <f t="shared" si="124"/>
        <v>321002</v>
      </c>
      <c r="BM65" s="38">
        <f t="shared" si="124"/>
        <v>211627</v>
      </c>
      <c r="BN65" s="39">
        <f t="shared" ref="BN65:CS65" si="125">BN63+BN64</f>
        <v>841491</v>
      </c>
      <c r="BO65" s="38">
        <f t="shared" si="125"/>
        <v>184271</v>
      </c>
      <c r="BP65" s="38">
        <f t="shared" si="125"/>
        <v>332097</v>
      </c>
      <c r="BQ65" s="38">
        <f t="shared" si="125"/>
        <v>300438</v>
      </c>
      <c r="BR65" s="38">
        <f t="shared" si="125"/>
        <v>252210</v>
      </c>
      <c r="BS65" s="39">
        <f t="shared" si="125"/>
        <v>1069016</v>
      </c>
      <c r="BT65" s="38">
        <f t="shared" si="125"/>
        <v>288575</v>
      </c>
      <c r="BU65" s="38">
        <f t="shared" si="125"/>
        <v>409645</v>
      </c>
      <c r="BV65" s="38">
        <f t="shared" si="125"/>
        <v>401437</v>
      </c>
      <c r="BW65" s="38">
        <f t="shared" si="125"/>
        <v>626308</v>
      </c>
      <c r="BX65" s="39">
        <f t="shared" si="125"/>
        <v>1725965</v>
      </c>
      <c r="BY65" s="38">
        <f t="shared" si="125"/>
        <v>333171</v>
      </c>
      <c r="BZ65" s="38">
        <f>BZ63+BZ64</f>
        <v>392064</v>
      </c>
      <c r="CA65" s="38">
        <f>CA63+CA64</f>
        <v>414661</v>
      </c>
      <c r="CB65" s="38">
        <f t="shared" ref="CB65" si="126">CB63+CB64</f>
        <v>635984</v>
      </c>
      <c r="CC65" s="39">
        <f t="shared" si="125"/>
        <v>1775880</v>
      </c>
      <c r="CD65" s="38">
        <f t="shared" ref="CD65" si="127">CD63+CD64</f>
        <v>365264</v>
      </c>
      <c r="CE65" s="38">
        <f>CE63+CE64</f>
        <v>511786</v>
      </c>
      <c r="CF65" s="38">
        <f t="shared" si="125"/>
        <v>521294.27345636179</v>
      </c>
      <c r="CG65" s="38">
        <f t="shared" si="125"/>
        <v>590075.65499354666</v>
      </c>
      <c r="CH65" s="39">
        <f t="shared" si="125"/>
        <v>1988419.9284499078</v>
      </c>
      <c r="CI65" s="38">
        <f t="shared" si="125"/>
        <v>553305.16938220442</v>
      </c>
      <c r="CJ65" s="38">
        <f t="shared" si="125"/>
        <v>551392.44623474171</v>
      </c>
      <c r="CK65" s="38">
        <f t="shared" si="125"/>
        <v>555525.1713679526</v>
      </c>
      <c r="CL65" s="38">
        <f t="shared" si="125"/>
        <v>610971.33965760714</v>
      </c>
      <c r="CM65" s="39">
        <f t="shared" si="125"/>
        <v>2271194.1266425047</v>
      </c>
      <c r="CN65" s="38">
        <f t="shared" si="125"/>
        <v>645205.63606636028</v>
      </c>
      <c r="CO65" s="38">
        <f t="shared" si="125"/>
        <v>623421.92017254478</v>
      </c>
      <c r="CP65" s="38">
        <f t="shared" si="125"/>
        <v>619586.25452843413</v>
      </c>
      <c r="CQ65" s="38">
        <f t="shared" si="125"/>
        <v>672902.76906804042</v>
      </c>
      <c r="CR65" s="39">
        <f t="shared" si="125"/>
        <v>2561116.5798353804</v>
      </c>
      <c r="CS65" s="38">
        <f t="shared" si="125"/>
        <v>715568.67346792133</v>
      </c>
      <c r="CT65" s="38">
        <f t="shared" ref="CT65:DB65" si="128">CT63+CT64</f>
        <v>688733.57450236042</v>
      </c>
      <c r="CU65" s="38">
        <f t="shared" si="128"/>
        <v>680433.12284142233</v>
      </c>
      <c r="CV65" s="38">
        <f t="shared" si="128"/>
        <v>732251.46117608284</v>
      </c>
      <c r="CW65" s="39">
        <f t="shared" si="128"/>
        <v>2816986.8319877856</v>
      </c>
      <c r="CX65" s="38">
        <f t="shared" si="128"/>
        <v>788641.07260439498</v>
      </c>
      <c r="CY65" s="38">
        <f t="shared" si="128"/>
        <v>755747.80535312288</v>
      </c>
      <c r="CZ65" s="38">
        <f t="shared" si="128"/>
        <v>743900.69663176069</v>
      </c>
      <c r="DA65" s="38">
        <f t="shared" si="128"/>
        <v>794219.19213242887</v>
      </c>
      <c r="DB65" s="39">
        <f t="shared" si="128"/>
        <v>3082508.7667217068</v>
      </c>
    </row>
    <row r="66" spans="1:106" ht="11.25" customHeight="1" x14ac:dyDescent="0.35">
      <c r="A66" s="185" t="s">
        <v>231</v>
      </c>
      <c r="B66" s="23">
        <f t="shared" ref="B66:AG66" si="129">B67+B68</f>
        <v>-4162</v>
      </c>
      <c r="C66" s="23">
        <f t="shared" si="129"/>
        <v>1185</v>
      </c>
      <c r="D66" s="23">
        <f t="shared" si="129"/>
        <v>5007</v>
      </c>
      <c r="E66" s="23">
        <f t="shared" si="129"/>
        <v>-32993</v>
      </c>
      <c r="F66" s="57">
        <f t="shared" si="129"/>
        <v>-30963</v>
      </c>
      <c r="G66" s="23">
        <f t="shared" si="129"/>
        <v>-35877</v>
      </c>
      <c r="H66" s="23">
        <f t="shared" si="129"/>
        <v>-22790</v>
      </c>
      <c r="I66" s="23">
        <f t="shared" si="129"/>
        <v>-53541</v>
      </c>
      <c r="J66" s="23">
        <f t="shared" si="129"/>
        <v>-30369</v>
      </c>
      <c r="K66" s="57">
        <f t="shared" si="129"/>
        <v>-142577</v>
      </c>
      <c r="L66" s="23">
        <f t="shared" si="129"/>
        <v>-33428</v>
      </c>
      <c r="M66" s="23">
        <f t="shared" si="129"/>
        <v>-32002</v>
      </c>
      <c r="N66" s="23">
        <f t="shared" si="129"/>
        <v>-40459</v>
      </c>
      <c r="O66" s="23">
        <f t="shared" si="129"/>
        <v>-61827</v>
      </c>
      <c r="P66" s="57">
        <f t="shared" si="129"/>
        <v>-167716</v>
      </c>
      <c r="Q66" s="23">
        <f t="shared" si="129"/>
        <v>-20177</v>
      </c>
      <c r="R66" s="23">
        <f t="shared" si="129"/>
        <v>-23478</v>
      </c>
      <c r="S66" s="23">
        <f t="shared" si="129"/>
        <v>-44816</v>
      </c>
      <c r="T66" s="23">
        <f t="shared" si="129"/>
        <v>-70027</v>
      </c>
      <c r="U66" s="57">
        <f t="shared" si="129"/>
        <v>-158498</v>
      </c>
      <c r="V66" s="23">
        <f t="shared" si="129"/>
        <v>-39112</v>
      </c>
      <c r="W66" s="23">
        <f t="shared" si="129"/>
        <v>-49535</v>
      </c>
      <c r="X66" s="23">
        <f t="shared" si="129"/>
        <v>-49653</v>
      </c>
      <c r="Y66" s="23">
        <f t="shared" si="129"/>
        <v>-53284</v>
      </c>
      <c r="Z66" s="57">
        <f t="shared" si="129"/>
        <v>-191584</v>
      </c>
      <c r="AA66" s="23">
        <f t="shared" si="129"/>
        <v>-37883</v>
      </c>
      <c r="AB66" s="23">
        <f t="shared" si="129"/>
        <v>-50839</v>
      </c>
      <c r="AC66" s="23">
        <f t="shared" si="129"/>
        <v>-37917</v>
      </c>
      <c r="AD66" s="23">
        <f t="shared" si="129"/>
        <v>-26765</v>
      </c>
      <c r="AE66" s="57">
        <f t="shared" si="129"/>
        <v>-153404</v>
      </c>
      <c r="AF66" s="23">
        <f t="shared" si="129"/>
        <v>-30100</v>
      </c>
      <c r="AG66" s="23">
        <f t="shared" si="129"/>
        <v>-22116</v>
      </c>
      <c r="AH66" s="23">
        <f t="shared" ref="AH66:BM66" si="130">AH67+AH68</f>
        <v>-36960</v>
      </c>
      <c r="AI66" s="23">
        <f t="shared" si="130"/>
        <v>-34433</v>
      </c>
      <c r="AJ66" s="57">
        <f t="shared" si="130"/>
        <v>-123609</v>
      </c>
      <c r="AK66" s="23">
        <f t="shared" si="130"/>
        <v>-31914</v>
      </c>
      <c r="AL66" s="23">
        <f t="shared" si="130"/>
        <v>-42891</v>
      </c>
      <c r="AM66" s="23">
        <f t="shared" si="130"/>
        <v>-27693</v>
      </c>
      <c r="AN66" s="23">
        <f t="shared" si="130"/>
        <v>-33656</v>
      </c>
      <c r="AO66" s="57">
        <f t="shared" si="130"/>
        <v>-136154</v>
      </c>
      <c r="AP66" s="23">
        <f t="shared" si="130"/>
        <v>-22845</v>
      </c>
      <c r="AQ66" s="23">
        <f t="shared" si="130"/>
        <v>-24507</v>
      </c>
      <c r="AR66" s="23">
        <f t="shared" si="130"/>
        <v>-33651</v>
      </c>
      <c r="AS66" s="23">
        <f t="shared" si="130"/>
        <v>-6596</v>
      </c>
      <c r="AT66" s="57">
        <f t="shared" si="130"/>
        <v>-87599</v>
      </c>
      <c r="AU66" s="23">
        <f t="shared" si="130"/>
        <v>-21971</v>
      </c>
      <c r="AV66" s="23">
        <f t="shared" si="130"/>
        <v>-387</v>
      </c>
      <c r="AW66" s="23">
        <f t="shared" si="130"/>
        <v>-11107</v>
      </c>
      <c r="AX66" s="23">
        <f t="shared" si="130"/>
        <v>-17336</v>
      </c>
      <c r="AY66" s="57">
        <f t="shared" si="130"/>
        <v>-50801</v>
      </c>
      <c r="AZ66" s="23">
        <f t="shared" si="130"/>
        <v>-8392</v>
      </c>
      <c r="BA66" s="23">
        <f t="shared" si="130"/>
        <v>-10325</v>
      </c>
      <c r="BB66" s="23">
        <f t="shared" si="130"/>
        <v>6214</v>
      </c>
      <c r="BC66" s="23">
        <f t="shared" si="130"/>
        <v>29651</v>
      </c>
      <c r="BD66" s="57">
        <f t="shared" si="130"/>
        <v>17148</v>
      </c>
      <c r="BE66" s="23">
        <f t="shared" si="130"/>
        <v>1876</v>
      </c>
      <c r="BF66" s="23">
        <f t="shared" si="130"/>
        <v>-1083</v>
      </c>
      <c r="BG66" s="23">
        <f t="shared" si="130"/>
        <v>-2736</v>
      </c>
      <c r="BH66" s="23">
        <f t="shared" si="130"/>
        <v>-1309</v>
      </c>
      <c r="BI66" s="57">
        <f t="shared" si="130"/>
        <v>-3252</v>
      </c>
      <c r="BJ66" s="23">
        <f t="shared" si="130"/>
        <v>-6934</v>
      </c>
      <c r="BK66" s="23">
        <f t="shared" si="130"/>
        <v>5990</v>
      </c>
      <c r="BL66" s="23">
        <f t="shared" si="130"/>
        <v>-15764</v>
      </c>
      <c r="BM66" s="23">
        <f t="shared" si="130"/>
        <v>3021</v>
      </c>
      <c r="BN66" s="57">
        <f t="shared" ref="BN66:CS66" si="131">BN67+BN68</f>
        <v>-13687</v>
      </c>
      <c r="BO66" s="23">
        <f t="shared" si="131"/>
        <v>20912</v>
      </c>
      <c r="BP66" s="23">
        <f t="shared" si="131"/>
        <v>-1198</v>
      </c>
      <c r="BQ66" s="23">
        <f t="shared" si="131"/>
        <v>-1920</v>
      </c>
      <c r="BR66" s="23">
        <f t="shared" si="131"/>
        <v>4291</v>
      </c>
      <c r="BS66" s="57">
        <f t="shared" si="131"/>
        <v>22085</v>
      </c>
      <c r="BT66" s="23">
        <f t="shared" si="131"/>
        <v>-13984</v>
      </c>
      <c r="BU66" s="23">
        <f t="shared" si="131"/>
        <v>9497</v>
      </c>
      <c r="BV66" s="23">
        <f t="shared" si="131"/>
        <v>3356</v>
      </c>
      <c r="BW66" s="23">
        <f t="shared" si="131"/>
        <v>-19173</v>
      </c>
      <c r="BX66" s="57">
        <f t="shared" si="131"/>
        <v>-20304</v>
      </c>
      <c r="BY66" s="23">
        <f t="shared" si="131"/>
        <v>22506</v>
      </c>
      <c r="BZ66" s="23">
        <f>BZ67+BZ68</f>
        <v>20865</v>
      </c>
      <c r="CA66" s="23">
        <f>CA67+CA68</f>
        <v>7880</v>
      </c>
      <c r="CB66" s="23">
        <f t="shared" ref="CB66" si="132">CB67+CB68</f>
        <v>18198</v>
      </c>
      <c r="CC66" s="57">
        <f t="shared" si="131"/>
        <v>69449</v>
      </c>
      <c r="CD66" s="23">
        <f t="shared" ref="CD66" si="133">CD67+CD68</f>
        <v>-27541</v>
      </c>
      <c r="CE66" s="23">
        <f>CE67+CE68</f>
        <v>-3444</v>
      </c>
      <c r="CF66" s="23">
        <f t="shared" ca="1" si="131"/>
        <v>24859.471164137707</v>
      </c>
      <c r="CG66" s="23">
        <f t="shared" ca="1" si="131"/>
        <v>14129.88753683673</v>
      </c>
      <c r="CH66" s="57">
        <f t="shared" ca="1" si="131"/>
        <v>8004.3587009746116</v>
      </c>
      <c r="CI66" s="23">
        <f t="shared" ca="1" si="131"/>
        <v>58987.797292679315</v>
      </c>
      <c r="CJ66" s="23">
        <f t="shared" ca="1" si="131"/>
        <v>28097.901073924615</v>
      </c>
      <c r="CK66" s="23">
        <f t="shared" ca="1" si="131"/>
        <v>16992.950992831786</v>
      </c>
      <c r="CL66" s="23">
        <f t="shared" ca="1" si="131"/>
        <v>25184.889447001042</v>
      </c>
      <c r="CM66" s="57">
        <f t="shared" ca="1" si="131"/>
        <v>129263.53880643682</v>
      </c>
      <c r="CN66" s="23">
        <f t="shared" ca="1" si="131"/>
        <v>48002.492302735627</v>
      </c>
      <c r="CO66" s="23">
        <f t="shared" ca="1" si="131"/>
        <v>25342.29172093817</v>
      </c>
      <c r="CP66" s="23">
        <f t="shared" ca="1" si="131"/>
        <v>2427.3277302814531</v>
      </c>
      <c r="CQ66" s="23">
        <f t="shared" ca="1" si="131"/>
        <v>12802.571587996208</v>
      </c>
      <c r="CR66" s="57">
        <f t="shared" ca="1" si="131"/>
        <v>88574.683341951575</v>
      </c>
      <c r="CS66" s="23">
        <f t="shared" ca="1" si="131"/>
        <v>20243.66449156648</v>
      </c>
      <c r="CT66" s="23">
        <f t="shared" ref="CT66:DB66" ca="1" si="134">CT67+CT68</f>
        <v>5502.9648292736092</v>
      </c>
      <c r="CU66" s="23">
        <f t="shared" ca="1" si="134"/>
        <v>-11120.006707228662</v>
      </c>
      <c r="CV66" s="23">
        <f t="shared" ca="1" si="134"/>
        <v>450.62134837306803</v>
      </c>
      <c r="CW66" s="57">
        <f t="shared" ca="1" si="134"/>
        <v>15077.243961984757</v>
      </c>
      <c r="CX66" s="23">
        <f t="shared" ca="1" si="134"/>
        <v>21024.310065536585</v>
      </c>
      <c r="CY66" s="23">
        <f t="shared" ca="1" si="134"/>
        <v>4860.8178208916215</v>
      </c>
      <c r="CZ66" s="23">
        <f t="shared" ca="1" si="134"/>
        <v>-9360.1449756866787</v>
      </c>
      <c r="DA66" s="23">
        <f t="shared" ca="1" si="134"/>
        <v>9255.2849313188344</v>
      </c>
      <c r="DB66" s="57">
        <f t="shared" ca="1" si="134"/>
        <v>25780.267842060421</v>
      </c>
    </row>
    <row r="67" spans="1:106" ht="11.25" customHeight="1" outlineLevel="1" x14ac:dyDescent="0.35">
      <c r="A67" s="183" t="s">
        <v>122</v>
      </c>
      <c r="B67" s="23">
        <f t="shared" ref="B67:AG67" si="135">B24+B28</f>
        <v>57269</v>
      </c>
      <c r="C67" s="23">
        <f t="shared" si="135"/>
        <v>79023</v>
      </c>
      <c r="D67" s="23">
        <f t="shared" si="135"/>
        <v>82309</v>
      </c>
      <c r="E67" s="23">
        <f t="shared" si="135"/>
        <v>69011</v>
      </c>
      <c r="F67" s="57">
        <f t="shared" si="135"/>
        <v>287612</v>
      </c>
      <c r="G67" s="23">
        <f t="shared" si="135"/>
        <v>59606</v>
      </c>
      <c r="H67" s="23">
        <f t="shared" si="135"/>
        <v>89136</v>
      </c>
      <c r="I67" s="23">
        <f t="shared" si="135"/>
        <v>101379</v>
      </c>
      <c r="J67" s="23">
        <f t="shared" si="135"/>
        <v>113214</v>
      </c>
      <c r="K67" s="57">
        <f t="shared" si="135"/>
        <v>363335</v>
      </c>
      <c r="L67" s="23">
        <f t="shared" si="135"/>
        <v>78009</v>
      </c>
      <c r="M67" s="23">
        <f t="shared" si="135"/>
        <v>78349</v>
      </c>
      <c r="N67" s="23">
        <f t="shared" si="135"/>
        <v>47580</v>
      </c>
      <c r="O67" s="23">
        <f t="shared" si="135"/>
        <v>45364</v>
      </c>
      <c r="P67" s="57">
        <f t="shared" si="135"/>
        <v>249302</v>
      </c>
      <c r="Q67" s="23">
        <f t="shared" si="135"/>
        <v>50737</v>
      </c>
      <c r="R67" s="23">
        <f t="shared" si="135"/>
        <v>48469</v>
      </c>
      <c r="S67" s="23">
        <f t="shared" si="135"/>
        <v>50340</v>
      </c>
      <c r="T67" s="23">
        <f t="shared" si="135"/>
        <v>57620</v>
      </c>
      <c r="U67" s="57">
        <f t="shared" si="135"/>
        <v>207166</v>
      </c>
      <c r="V67" s="23">
        <f t="shared" si="135"/>
        <v>69890</v>
      </c>
      <c r="W67" s="23">
        <f t="shared" si="135"/>
        <v>72020</v>
      </c>
      <c r="X67" s="23">
        <f t="shared" si="135"/>
        <v>68287</v>
      </c>
      <c r="Y67" s="23">
        <f t="shared" si="135"/>
        <v>68446</v>
      </c>
      <c r="Z67" s="57">
        <f t="shared" si="135"/>
        <v>278643</v>
      </c>
      <c r="AA67" s="23">
        <f t="shared" si="135"/>
        <v>70199</v>
      </c>
      <c r="AB67" s="23">
        <f t="shared" si="135"/>
        <v>78523</v>
      </c>
      <c r="AC67" s="23">
        <f t="shared" si="135"/>
        <v>92358</v>
      </c>
      <c r="AD67" s="23">
        <f t="shared" si="135"/>
        <v>89805</v>
      </c>
      <c r="AE67" s="57">
        <f t="shared" si="135"/>
        <v>330885</v>
      </c>
      <c r="AF67" s="23">
        <f t="shared" si="135"/>
        <v>79540</v>
      </c>
      <c r="AG67" s="23">
        <f t="shared" si="135"/>
        <v>82849</v>
      </c>
      <c r="AH67" s="23">
        <f t="shared" ref="AH67:BM67" si="136">AH24+AH28</f>
        <v>72404</v>
      </c>
      <c r="AI67" s="23">
        <f t="shared" si="136"/>
        <v>70900</v>
      </c>
      <c r="AJ67" s="57">
        <f t="shared" si="136"/>
        <v>305693</v>
      </c>
      <c r="AK67" s="23">
        <f t="shared" si="136"/>
        <v>64967</v>
      </c>
      <c r="AL67" s="23">
        <f t="shared" si="136"/>
        <v>49577</v>
      </c>
      <c r="AM67" s="23">
        <f t="shared" si="136"/>
        <v>53730</v>
      </c>
      <c r="AN67" s="23">
        <f t="shared" si="136"/>
        <v>37118</v>
      </c>
      <c r="AO67" s="57">
        <f t="shared" si="136"/>
        <v>205392</v>
      </c>
      <c r="AP67" s="23">
        <f t="shared" si="136"/>
        <v>31953</v>
      </c>
      <c r="AQ67" s="23">
        <f t="shared" si="136"/>
        <v>33070</v>
      </c>
      <c r="AR67" s="23">
        <f t="shared" si="136"/>
        <v>49281</v>
      </c>
      <c r="AS67" s="23">
        <f t="shared" si="136"/>
        <v>58702</v>
      </c>
      <c r="AT67" s="57">
        <f t="shared" si="136"/>
        <v>173006</v>
      </c>
      <c r="AU67" s="23">
        <f t="shared" si="136"/>
        <v>40108</v>
      </c>
      <c r="AV67" s="23">
        <f t="shared" si="136"/>
        <v>49286</v>
      </c>
      <c r="AW67" s="23">
        <f t="shared" si="136"/>
        <v>47956</v>
      </c>
      <c r="AX67" s="23">
        <f t="shared" si="136"/>
        <v>43172</v>
      </c>
      <c r="AY67" s="57">
        <f t="shared" si="136"/>
        <v>180522</v>
      </c>
      <c r="AZ67" s="23">
        <f t="shared" si="136"/>
        <v>31141</v>
      </c>
      <c r="BA67" s="23">
        <f t="shared" si="136"/>
        <v>42555</v>
      </c>
      <c r="BB67" s="23">
        <f t="shared" si="136"/>
        <v>55454</v>
      </c>
      <c r="BC67" s="23">
        <f t="shared" si="136"/>
        <v>73281</v>
      </c>
      <c r="BD67" s="57">
        <f t="shared" si="136"/>
        <v>202431</v>
      </c>
      <c r="BE67" s="23">
        <f t="shared" si="136"/>
        <v>53921</v>
      </c>
      <c r="BF67" s="23">
        <f t="shared" si="136"/>
        <v>51865</v>
      </c>
      <c r="BG67" s="23">
        <f t="shared" si="136"/>
        <v>71473</v>
      </c>
      <c r="BH67" s="23">
        <f t="shared" si="136"/>
        <v>94603</v>
      </c>
      <c r="BI67" s="57">
        <f t="shared" si="136"/>
        <v>271862</v>
      </c>
      <c r="BJ67" s="23">
        <f t="shared" si="136"/>
        <v>95875</v>
      </c>
      <c r="BK67" s="23">
        <f t="shared" si="136"/>
        <v>130109</v>
      </c>
      <c r="BL67" s="23">
        <f t="shared" si="136"/>
        <v>130948</v>
      </c>
      <c r="BM67" s="23">
        <f t="shared" si="136"/>
        <v>215781</v>
      </c>
      <c r="BN67" s="57">
        <f t="shared" ref="BN67:CS67" si="137">BN24+BN28</f>
        <v>572713</v>
      </c>
      <c r="BO67" s="23">
        <f t="shared" si="137"/>
        <v>190820</v>
      </c>
      <c r="BP67" s="23">
        <f t="shared" si="137"/>
        <v>178032</v>
      </c>
      <c r="BQ67" s="23">
        <f t="shared" si="137"/>
        <v>156108</v>
      </c>
      <c r="BR67" s="23">
        <f t="shared" si="137"/>
        <v>169765</v>
      </c>
      <c r="BS67" s="57">
        <f t="shared" si="137"/>
        <v>694725</v>
      </c>
      <c r="BT67" s="23">
        <f t="shared" si="137"/>
        <v>157466</v>
      </c>
      <c r="BU67" s="23">
        <f t="shared" si="137"/>
        <v>182301</v>
      </c>
      <c r="BV67" s="23">
        <f t="shared" si="137"/>
        <v>169528</v>
      </c>
      <c r="BW67" s="23">
        <f t="shared" si="137"/>
        <v>174178</v>
      </c>
      <c r="BX67" s="57">
        <f t="shared" si="137"/>
        <v>683473</v>
      </c>
      <c r="BY67" s="23">
        <f t="shared" si="137"/>
        <v>211618</v>
      </c>
      <c r="BZ67" s="23">
        <f>BZ24+BZ28</f>
        <v>252543</v>
      </c>
      <c r="CA67" s="23">
        <f>CA24+CA28</f>
        <v>246895</v>
      </c>
      <c r="CB67" s="23">
        <f t="shared" ref="CB67" si="138">CB24+CB28</f>
        <v>264922</v>
      </c>
      <c r="CC67" s="57">
        <f t="shared" si="137"/>
        <v>975978</v>
      </c>
      <c r="CD67" s="23">
        <f t="shared" ref="CD67" si="139">CD24+CD28</f>
        <v>260988</v>
      </c>
      <c r="CE67" s="23">
        <f>CE24+CE28</f>
        <v>332564</v>
      </c>
      <c r="CF67" s="23">
        <f t="shared" ca="1" si="137"/>
        <v>290756.11223774194</v>
      </c>
      <c r="CG67" s="23">
        <f t="shared" ca="1" si="137"/>
        <v>287420.38311044325</v>
      </c>
      <c r="CH67" s="57">
        <f t="shared" ca="1" si="137"/>
        <v>1171728.4953481853</v>
      </c>
      <c r="CI67" s="23">
        <f t="shared" ca="1" si="137"/>
        <v>356219.33171639824</v>
      </c>
      <c r="CJ67" s="23">
        <f t="shared" ca="1" si="137"/>
        <v>325784.0117524016</v>
      </c>
      <c r="CK67" s="23">
        <f t="shared" ca="1" si="137"/>
        <v>306168.28274188004</v>
      </c>
      <c r="CL67" s="23">
        <f t="shared" ca="1" si="137"/>
        <v>309270.79276349378</v>
      </c>
      <c r="CM67" s="57">
        <f t="shared" ca="1" si="137"/>
        <v>1297442.4189741737</v>
      </c>
      <c r="CN67" s="23">
        <f t="shared" ca="1" si="137"/>
        <v>324523.48561159649</v>
      </c>
      <c r="CO67" s="23">
        <f t="shared" ca="1" si="137"/>
        <v>304400.7823344841</v>
      </c>
      <c r="CP67" s="23">
        <f t="shared" ca="1" si="137"/>
        <v>287211.21019171382</v>
      </c>
      <c r="CQ67" s="23">
        <f t="shared" ca="1" si="137"/>
        <v>307085.62097259209</v>
      </c>
      <c r="CR67" s="57">
        <f t="shared" ca="1" si="137"/>
        <v>1223221.0991103866</v>
      </c>
      <c r="CS67" s="23">
        <f t="shared" ca="1" si="137"/>
        <v>281345.50577641756</v>
      </c>
      <c r="CT67" s="23">
        <f t="shared" ref="CT67:DB67" ca="1" si="140">CT24+CT28</f>
        <v>265802.20020616159</v>
      </c>
      <c r="CU67" s="23">
        <f t="shared" ca="1" si="140"/>
        <v>252220.7272686038</v>
      </c>
      <c r="CV67" s="23">
        <f t="shared" ca="1" si="140"/>
        <v>272022.07723711233</v>
      </c>
      <c r="CW67" s="57">
        <f t="shared" ca="1" si="140"/>
        <v>1071390.5104882955</v>
      </c>
      <c r="CX67" s="23">
        <f t="shared" ca="1" si="140"/>
        <v>289230.79735442292</v>
      </c>
      <c r="CY67" s="23">
        <f t="shared" ca="1" si="140"/>
        <v>272691.07505480229</v>
      </c>
      <c r="CZ67" s="23">
        <f t="shared" ca="1" si="140"/>
        <v>261797.99004360451</v>
      </c>
      <c r="DA67" s="23">
        <f t="shared" ca="1" si="140"/>
        <v>289216.52640404622</v>
      </c>
      <c r="DB67" s="57">
        <f t="shared" ca="1" si="140"/>
        <v>1112936.3888568759</v>
      </c>
    </row>
    <row r="68" spans="1:106" ht="11.25" customHeight="1" outlineLevel="1" x14ac:dyDescent="0.35">
      <c r="A68" s="183" t="s">
        <v>123</v>
      </c>
      <c r="B68" s="23">
        <f t="shared" ref="B68:AG68" si="141">B26+B13</f>
        <v>-61431</v>
      </c>
      <c r="C68" s="23">
        <f t="shared" si="141"/>
        <v>-77838</v>
      </c>
      <c r="D68" s="23">
        <f t="shared" si="141"/>
        <v>-77302</v>
      </c>
      <c r="E68" s="23">
        <f t="shared" si="141"/>
        <v>-102004</v>
      </c>
      <c r="F68" s="57">
        <f t="shared" si="141"/>
        <v>-318575</v>
      </c>
      <c r="G68" s="23">
        <f t="shared" si="141"/>
        <v>-95483</v>
      </c>
      <c r="H68" s="23">
        <f t="shared" si="141"/>
        <v>-111926</v>
      </c>
      <c r="I68" s="23">
        <f t="shared" si="141"/>
        <v>-154920</v>
      </c>
      <c r="J68" s="23">
        <f t="shared" si="141"/>
        <v>-143583</v>
      </c>
      <c r="K68" s="57">
        <f t="shared" si="141"/>
        <v>-505912</v>
      </c>
      <c r="L68" s="23">
        <f t="shared" si="141"/>
        <v>-111437</v>
      </c>
      <c r="M68" s="23">
        <f t="shared" si="141"/>
        <v>-110351</v>
      </c>
      <c r="N68" s="23">
        <f t="shared" si="141"/>
        <v>-88039</v>
      </c>
      <c r="O68" s="23">
        <f t="shared" si="141"/>
        <v>-107191</v>
      </c>
      <c r="P68" s="57">
        <f t="shared" si="141"/>
        <v>-417018</v>
      </c>
      <c r="Q68" s="23">
        <f t="shared" si="141"/>
        <v>-70914</v>
      </c>
      <c r="R68" s="23">
        <f t="shared" si="141"/>
        <v>-71947</v>
      </c>
      <c r="S68" s="23">
        <f t="shared" si="141"/>
        <v>-95156</v>
      </c>
      <c r="T68" s="23">
        <f t="shared" si="141"/>
        <v>-127647</v>
      </c>
      <c r="U68" s="57">
        <f t="shared" si="141"/>
        <v>-365664</v>
      </c>
      <c r="V68" s="23">
        <f t="shared" si="141"/>
        <v>-109002</v>
      </c>
      <c r="W68" s="23">
        <f t="shared" si="141"/>
        <v>-121555</v>
      </c>
      <c r="X68" s="23">
        <f t="shared" si="141"/>
        <v>-117940</v>
      </c>
      <c r="Y68" s="23">
        <f t="shared" si="141"/>
        <v>-121730</v>
      </c>
      <c r="Z68" s="57">
        <f t="shared" si="141"/>
        <v>-470227</v>
      </c>
      <c r="AA68" s="23">
        <f t="shared" si="141"/>
        <v>-108082</v>
      </c>
      <c r="AB68" s="23">
        <f t="shared" si="141"/>
        <v>-129362</v>
      </c>
      <c r="AC68" s="23">
        <f t="shared" si="141"/>
        <v>-130275</v>
      </c>
      <c r="AD68" s="23">
        <f t="shared" si="141"/>
        <v>-116570</v>
      </c>
      <c r="AE68" s="57">
        <f t="shared" si="141"/>
        <v>-484289</v>
      </c>
      <c r="AF68" s="23">
        <f t="shared" si="141"/>
        <v>-109640</v>
      </c>
      <c r="AG68" s="23">
        <f t="shared" si="141"/>
        <v>-104965</v>
      </c>
      <c r="AH68" s="23">
        <f t="shared" ref="AH68:BM68" si="142">AH26+AH13</f>
        <v>-109364</v>
      </c>
      <c r="AI68" s="23">
        <f t="shared" si="142"/>
        <v>-105333</v>
      </c>
      <c r="AJ68" s="57">
        <f t="shared" si="142"/>
        <v>-429302</v>
      </c>
      <c r="AK68" s="23">
        <f t="shared" si="142"/>
        <v>-96881</v>
      </c>
      <c r="AL68" s="23">
        <f t="shared" si="142"/>
        <v>-92468</v>
      </c>
      <c r="AM68" s="23">
        <f t="shared" si="142"/>
        <v>-81423</v>
      </c>
      <c r="AN68" s="23">
        <f t="shared" si="142"/>
        <v>-70774</v>
      </c>
      <c r="AO68" s="57">
        <f t="shared" si="142"/>
        <v>-341546</v>
      </c>
      <c r="AP68" s="23">
        <f t="shared" si="142"/>
        <v>-54798</v>
      </c>
      <c r="AQ68" s="23">
        <f t="shared" si="142"/>
        <v>-57577</v>
      </c>
      <c r="AR68" s="23">
        <f t="shared" si="142"/>
        <v>-82932</v>
      </c>
      <c r="AS68" s="23">
        <f t="shared" si="142"/>
        <v>-65298</v>
      </c>
      <c r="AT68" s="57">
        <f t="shared" si="142"/>
        <v>-260605</v>
      </c>
      <c r="AU68" s="23">
        <f t="shared" si="142"/>
        <v>-62079</v>
      </c>
      <c r="AV68" s="23">
        <f t="shared" si="142"/>
        <v>-49673</v>
      </c>
      <c r="AW68" s="23">
        <f t="shared" si="142"/>
        <v>-59063</v>
      </c>
      <c r="AX68" s="23">
        <f t="shared" si="142"/>
        <v>-60508</v>
      </c>
      <c r="AY68" s="57">
        <f t="shared" si="142"/>
        <v>-231323</v>
      </c>
      <c r="AZ68" s="23">
        <f t="shared" si="142"/>
        <v>-39533</v>
      </c>
      <c r="BA68" s="23">
        <f t="shared" si="142"/>
        <v>-52880</v>
      </c>
      <c r="BB68" s="23">
        <f t="shared" si="142"/>
        <v>-49240</v>
      </c>
      <c r="BC68" s="23">
        <f t="shared" si="142"/>
        <v>-43630</v>
      </c>
      <c r="BD68" s="57">
        <f t="shared" si="142"/>
        <v>-185283</v>
      </c>
      <c r="BE68" s="23">
        <f t="shared" si="142"/>
        <v>-52045</v>
      </c>
      <c r="BF68" s="23">
        <f t="shared" si="142"/>
        <v>-52948</v>
      </c>
      <c r="BG68" s="23">
        <f t="shared" si="142"/>
        <v>-74209</v>
      </c>
      <c r="BH68" s="23">
        <f t="shared" si="142"/>
        <v>-95912</v>
      </c>
      <c r="BI68" s="57">
        <f t="shared" si="142"/>
        <v>-275114</v>
      </c>
      <c r="BJ68" s="23">
        <f t="shared" si="142"/>
        <v>-102809</v>
      </c>
      <c r="BK68" s="23">
        <f t="shared" si="142"/>
        <v>-124119</v>
      </c>
      <c r="BL68" s="23">
        <f t="shared" si="142"/>
        <v>-146712</v>
      </c>
      <c r="BM68" s="23">
        <f t="shared" si="142"/>
        <v>-212760</v>
      </c>
      <c r="BN68" s="57">
        <f t="shared" ref="BN68:CS68" si="143">BN26+BN13</f>
        <v>-586400</v>
      </c>
      <c r="BO68" s="23">
        <f t="shared" si="143"/>
        <v>-169908</v>
      </c>
      <c r="BP68" s="23">
        <f t="shared" si="143"/>
        <v>-179230</v>
      </c>
      <c r="BQ68" s="23">
        <f t="shared" si="143"/>
        <v>-158028</v>
      </c>
      <c r="BR68" s="23">
        <f t="shared" si="143"/>
        <v>-165474</v>
      </c>
      <c r="BS68" s="57">
        <f t="shared" si="143"/>
        <v>-672640</v>
      </c>
      <c r="BT68" s="23">
        <f t="shared" si="143"/>
        <v>-171450</v>
      </c>
      <c r="BU68" s="23">
        <f t="shared" si="143"/>
        <v>-172804</v>
      </c>
      <c r="BV68" s="23">
        <f t="shared" si="143"/>
        <v>-166172</v>
      </c>
      <c r="BW68" s="23">
        <f t="shared" si="143"/>
        <v>-193351</v>
      </c>
      <c r="BX68" s="57">
        <f t="shared" si="143"/>
        <v>-703777</v>
      </c>
      <c r="BY68" s="23">
        <f t="shared" si="143"/>
        <v>-189112</v>
      </c>
      <c r="BZ68" s="23">
        <f>BZ26+BZ13</f>
        <v>-231678</v>
      </c>
      <c r="CA68" s="23">
        <f>CA26+CA13</f>
        <v>-239015</v>
      </c>
      <c r="CB68" s="23">
        <f t="shared" ref="CB68" si="144">CB26+CB13</f>
        <v>-246724</v>
      </c>
      <c r="CC68" s="57">
        <f t="shared" si="143"/>
        <v>-906529</v>
      </c>
      <c r="CD68" s="23">
        <f t="shared" ref="CD68" si="145">CD26+CD13</f>
        <v>-288529</v>
      </c>
      <c r="CE68" s="23">
        <f>CE26+CE13</f>
        <v>-336008</v>
      </c>
      <c r="CF68" s="23">
        <f t="shared" si="143"/>
        <v>-265896.64107360423</v>
      </c>
      <c r="CG68" s="23">
        <f t="shared" si="143"/>
        <v>-273290.49557360652</v>
      </c>
      <c r="CH68" s="57">
        <f t="shared" si="143"/>
        <v>-1163724.1366472107</v>
      </c>
      <c r="CI68" s="23">
        <f t="shared" si="143"/>
        <v>-297231.53442371893</v>
      </c>
      <c r="CJ68" s="23">
        <f t="shared" si="143"/>
        <v>-297686.11067847698</v>
      </c>
      <c r="CK68" s="23">
        <f t="shared" si="143"/>
        <v>-289175.33174904826</v>
      </c>
      <c r="CL68" s="23">
        <f t="shared" si="143"/>
        <v>-284085.90331649274</v>
      </c>
      <c r="CM68" s="57">
        <f t="shared" si="143"/>
        <v>-1168178.8801677369</v>
      </c>
      <c r="CN68" s="23">
        <f t="shared" si="143"/>
        <v>-276520.99330886087</v>
      </c>
      <c r="CO68" s="23">
        <f t="shared" si="143"/>
        <v>-279058.49061354593</v>
      </c>
      <c r="CP68" s="23">
        <f t="shared" si="143"/>
        <v>-284783.88246143237</v>
      </c>
      <c r="CQ68" s="23">
        <f t="shared" si="143"/>
        <v>-294283.04938459588</v>
      </c>
      <c r="CR68" s="57">
        <f t="shared" si="143"/>
        <v>-1134646.415768435</v>
      </c>
      <c r="CS68" s="23">
        <f t="shared" si="143"/>
        <v>-261101.84128485108</v>
      </c>
      <c r="CT68" s="23">
        <f t="shared" ref="CT68:DB68" si="146">CT26+CT13</f>
        <v>-260299.23537688798</v>
      </c>
      <c r="CU68" s="23">
        <f t="shared" si="146"/>
        <v>-263340.73397583247</v>
      </c>
      <c r="CV68" s="23">
        <f t="shared" si="146"/>
        <v>-271571.45588873926</v>
      </c>
      <c r="CW68" s="57">
        <f t="shared" si="146"/>
        <v>-1056313.2665263107</v>
      </c>
      <c r="CX68" s="23">
        <f t="shared" si="146"/>
        <v>-268206.48728888633</v>
      </c>
      <c r="CY68" s="23">
        <f t="shared" si="146"/>
        <v>-267830.25723391067</v>
      </c>
      <c r="CZ68" s="23">
        <f t="shared" si="146"/>
        <v>-271158.13501929119</v>
      </c>
      <c r="DA68" s="23">
        <f t="shared" si="146"/>
        <v>-279961.24147272739</v>
      </c>
      <c r="DB68" s="57">
        <f t="shared" si="146"/>
        <v>-1087156.1210148155</v>
      </c>
    </row>
    <row r="69" spans="1:106" ht="11.25" customHeight="1" x14ac:dyDescent="0.35">
      <c r="A69" s="185" t="s">
        <v>118</v>
      </c>
      <c r="B69" s="23">
        <f t="shared" ref="B69:AG69" si="147">B34+B36+B33</f>
        <v>-20628</v>
      </c>
      <c r="C69" s="23">
        <f t="shared" si="147"/>
        <v>-3544</v>
      </c>
      <c r="D69" s="23">
        <f t="shared" si="147"/>
        <v>-15792</v>
      </c>
      <c r="E69" s="23">
        <f t="shared" si="147"/>
        <v>-6735</v>
      </c>
      <c r="F69" s="57">
        <f t="shared" si="147"/>
        <v>-46699</v>
      </c>
      <c r="G69" s="23">
        <f t="shared" si="147"/>
        <v>-2943</v>
      </c>
      <c r="H69" s="23">
        <f t="shared" si="147"/>
        <v>-2802</v>
      </c>
      <c r="I69" s="23">
        <f t="shared" si="147"/>
        <v>-4216</v>
      </c>
      <c r="J69" s="23">
        <f t="shared" si="147"/>
        <v>-79668</v>
      </c>
      <c r="K69" s="57">
        <f t="shared" si="147"/>
        <v>-89629</v>
      </c>
      <c r="L69" s="23">
        <f t="shared" si="147"/>
        <v>-15892</v>
      </c>
      <c r="M69" s="23">
        <f t="shared" si="147"/>
        <v>39335</v>
      </c>
      <c r="N69" s="23">
        <f t="shared" si="147"/>
        <v>-4032</v>
      </c>
      <c r="O69" s="23">
        <f t="shared" si="147"/>
        <v>12885</v>
      </c>
      <c r="P69" s="57">
        <f t="shared" si="147"/>
        <v>32296</v>
      </c>
      <c r="Q69" s="23">
        <f t="shared" si="147"/>
        <v>21718</v>
      </c>
      <c r="R69" s="23">
        <f t="shared" si="147"/>
        <v>13898</v>
      </c>
      <c r="S69" s="23">
        <f t="shared" si="147"/>
        <v>20964</v>
      </c>
      <c r="T69" s="23">
        <f t="shared" si="147"/>
        <v>44050</v>
      </c>
      <c r="U69" s="57">
        <f t="shared" si="147"/>
        <v>100630</v>
      </c>
      <c r="V69" s="23">
        <f t="shared" si="147"/>
        <v>4308</v>
      </c>
      <c r="W69" s="23">
        <f t="shared" si="147"/>
        <v>31768</v>
      </c>
      <c r="X69" s="23">
        <f t="shared" si="147"/>
        <v>37781</v>
      </c>
      <c r="Y69" s="23">
        <f t="shared" si="147"/>
        <v>44800</v>
      </c>
      <c r="Z69" s="57">
        <f t="shared" si="147"/>
        <v>118657</v>
      </c>
      <c r="AA69" s="23">
        <f t="shared" si="147"/>
        <v>11420</v>
      </c>
      <c r="AB69" s="23">
        <f t="shared" si="147"/>
        <v>15982</v>
      </c>
      <c r="AC69" s="23">
        <f t="shared" si="147"/>
        <v>31030</v>
      </c>
      <c r="AD69" s="23">
        <f t="shared" si="147"/>
        <v>15219</v>
      </c>
      <c r="AE69" s="57">
        <f t="shared" si="147"/>
        <v>73651</v>
      </c>
      <c r="AF69" s="23">
        <f t="shared" si="147"/>
        <v>6882</v>
      </c>
      <c r="AG69" s="23">
        <f t="shared" si="147"/>
        <v>12736</v>
      </c>
      <c r="AH69" s="23">
        <f t="shared" ref="AH69:BM69" si="148">AH34+AH36+AH33</f>
        <v>5795</v>
      </c>
      <c r="AI69" s="23">
        <f t="shared" si="148"/>
        <v>34313</v>
      </c>
      <c r="AJ69" s="57">
        <f t="shared" si="148"/>
        <v>59726</v>
      </c>
      <c r="AK69" s="23">
        <f t="shared" si="148"/>
        <v>1752</v>
      </c>
      <c r="AL69" s="23">
        <f t="shared" si="148"/>
        <v>34350</v>
      </c>
      <c r="AM69" s="23">
        <f t="shared" si="148"/>
        <v>25084</v>
      </c>
      <c r="AN69" s="23">
        <f t="shared" si="148"/>
        <v>66179</v>
      </c>
      <c r="AO69" s="57">
        <f t="shared" si="148"/>
        <v>127365</v>
      </c>
      <c r="AP69" s="23">
        <f t="shared" si="148"/>
        <v>10149</v>
      </c>
      <c r="AQ69" s="23">
        <f t="shared" si="148"/>
        <v>14024</v>
      </c>
      <c r="AR69" s="23">
        <f t="shared" si="148"/>
        <v>22686</v>
      </c>
      <c r="AS69" s="23">
        <f t="shared" si="148"/>
        <v>80795</v>
      </c>
      <c r="AT69" s="57">
        <f t="shared" si="148"/>
        <v>127654</v>
      </c>
      <c r="AU69" s="23">
        <f t="shared" si="148"/>
        <v>-842</v>
      </c>
      <c r="AV69" s="23">
        <f t="shared" si="148"/>
        <v>51491</v>
      </c>
      <c r="AW69" s="23">
        <f t="shared" si="148"/>
        <v>35780</v>
      </c>
      <c r="AX69" s="23">
        <f t="shared" si="148"/>
        <v>17771</v>
      </c>
      <c r="AY69" s="57">
        <f t="shared" si="148"/>
        <v>104200</v>
      </c>
      <c r="AZ69" s="23">
        <f t="shared" si="148"/>
        <v>10692</v>
      </c>
      <c r="BA69" s="23">
        <f t="shared" si="148"/>
        <v>21467</v>
      </c>
      <c r="BB69" s="23">
        <f t="shared" si="148"/>
        <v>1217800</v>
      </c>
      <c r="BC69" s="23">
        <f t="shared" si="148"/>
        <v>58753</v>
      </c>
      <c r="BD69" s="57">
        <f t="shared" si="148"/>
        <v>1308712</v>
      </c>
      <c r="BE69" s="23">
        <f t="shared" si="148"/>
        <v>79017</v>
      </c>
      <c r="BF69" s="23">
        <f t="shared" si="148"/>
        <v>74405</v>
      </c>
      <c r="BG69" s="23">
        <f t="shared" si="148"/>
        <v>78321</v>
      </c>
      <c r="BH69" s="23">
        <f t="shared" si="148"/>
        <v>65424</v>
      </c>
      <c r="BI69" s="57">
        <f t="shared" si="148"/>
        <v>297167</v>
      </c>
      <c r="BJ69" s="23">
        <f t="shared" si="148"/>
        <v>60334</v>
      </c>
      <c r="BK69" s="23">
        <f t="shared" si="148"/>
        <v>38724</v>
      </c>
      <c r="BL69" s="23">
        <f t="shared" si="148"/>
        <v>59701</v>
      </c>
      <c r="BM69" s="23">
        <f t="shared" si="148"/>
        <v>58326</v>
      </c>
      <c r="BN69" s="57">
        <f t="shared" ref="BN69:CS69" si="149">BN34+BN36+BN33</f>
        <v>217085</v>
      </c>
      <c r="BO69" s="23">
        <f t="shared" si="149"/>
        <v>47138</v>
      </c>
      <c r="BP69" s="23">
        <f t="shared" si="149"/>
        <v>33021</v>
      </c>
      <c r="BQ69" s="23">
        <f t="shared" si="149"/>
        <v>89430</v>
      </c>
      <c r="BR69" s="23">
        <f t="shared" si="149"/>
        <v>92470</v>
      </c>
      <c r="BS69" s="57">
        <f t="shared" si="149"/>
        <v>262059</v>
      </c>
      <c r="BT69" s="23">
        <f t="shared" si="149"/>
        <v>100891</v>
      </c>
      <c r="BU69" s="23">
        <f t="shared" si="149"/>
        <v>116467</v>
      </c>
      <c r="BV69" s="23">
        <f t="shared" si="149"/>
        <v>227914</v>
      </c>
      <c r="BW69" s="23">
        <f t="shared" si="149"/>
        <v>147608</v>
      </c>
      <c r="BX69" s="57">
        <f t="shared" si="149"/>
        <v>592880</v>
      </c>
      <c r="BY69" s="23">
        <f t="shared" si="149"/>
        <v>112558</v>
      </c>
      <c r="BZ69" s="23">
        <f>BZ34+BZ36+BZ33</f>
        <v>139609</v>
      </c>
      <c r="CA69" s="23">
        <f>CA34+CA36+CA33</f>
        <v>344891</v>
      </c>
      <c r="CB69" s="23">
        <f t="shared" ref="CB69" si="150">CB34+CB36+CB33</f>
        <v>234048</v>
      </c>
      <c r="CC69" s="57">
        <f t="shared" si="149"/>
        <v>831106</v>
      </c>
      <c r="CD69" s="23">
        <f t="shared" ref="CD69" si="151">CD34+CD36+CD33</f>
        <v>128141</v>
      </c>
      <c r="CE69" s="23">
        <f>CE34+CE36+CE33</f>
        <v>106557</v>
      </c>
      <c r="CF69" s="23">
        <f t="shared" si="149"/>
        <v>154463.81171802973</v>
      </c>
      <c r="CG69" s="23">
        <f t="shared" si="149"/>
        <v>188103.31338163698</v>
      </c>
      <c r="CH69" s="57">
        <f t="shared" si="149"/>
        <v>577265.12509966665</v>
      </c>
      <c r="CI69" s="23">
        <f t="shared" si="149"/>
        <v>173748.47330537115</v>
      </c>
      <c r="CJ69" s="23">
        <f t="shared" si="149"/>
        <v>163141.6190489954</v>
      </c>
      <c r="CK69" s="23">
        <f t="shared" si="149"/>
        <v>194877.06425683227</v>
      </c>
      <c r="CL69" s="23">
        <f t="shared" si="149"/>
        <v>207115.09806536284</v>
      </c>
      <c r="CM69" s="57">
        <f t="shared" si="149"/>
        <v>738882.25467656157</v>
      </c>
      <c r="CN69" s="23">
        <f t="shared" si="149"/>
        <v>204977.08595358167</v>
      </c>
      <c r="CO69" s="23">
        <f t="shared" si="149"/>
        <v>185908.0462986177</v>
      </c>
      <c r="CP69" s="23">
        <f t="shared" si="149"/>
        <v>217881.71626190571</v>
      </c>
      <c r="CQ69" s="23">
        <f t="shared" si="149"/>
        <v>229813.33127642304</v>
      </c>
      <c r="CR69" s="57">
        <f t="shared" si="149"/>
        <v>838580.17979052814</v>
      </c>
      <c r="CS69" s="23">
        <f t="shared" si="149"/>
        <v>228042.67649778494</v>
      </c>
      <c r="CT69" s="23">
        <f t="shared" ref="CT69:DB69" si="152">CT34+CT36+CT33</f>
        <v>200901.72858721323</v>
      </c>
      <c r="CU69" s="23">
        <f t="shared" si="152"/>
        <v>232629.3067947104</v>
      </c>
      <c r="CV69" s="23">
        <f t="shared" si="152"/>
        <v>241939.13208085339</v>
      </c>
      <c r="CW69" s="57">
        <f t="shared" si="152"/>
        <v>903512.84396056202</v>
      </c>
      <c r="CX69" s="23">
        <f t="shared" si="152"/>
        <v>240504.27652857837</v>
      </c>
      <c r="CY69" s="23">
        <f t="shared" si="152"/>
        <v>210186.1660594196</v>
      </c>
      <c r="CZ69" s="23">
        <f t="shared" si="152"/>
        <v>245975.78034542644</v>
      </c>
      <c r="DA69" s="23">
        <f t="shared" si="152"/>
        <v>256061.66570271234</v>
      </c>
      <c r="DB69" s="57">
        <f t="shared" si="152"/>
        <v>952727.88863613678</v>
      </c>
    </row>
    <row r="70" spans="1:106" ht="11.25" customHeight="1" x14ac:dyDescent="0.35">
      <c r="A70" s="185" t="s">
        <v>119</v>
      </c>
      <c r="B70" s="23">
        <f t="shared" ref="B70:AG70" si="153">B37</f>
        <v>210797</v>
      </c>
      <c r="C70" s="23">
        <f t="shared" si="153"/>
        <v>232687</v>
      </c>
      <c r="D70" s="23">
        <f t="shared" si="153"/>
        <v>230709</v>
      </c>
      <c r="E70" s="23">
        <f t="shared" si="153"/>
        <v>140148</v>
      </c>
      <c r="F70" s="57">
        <f t="shared" si="153"/>
        <v>814341</v>
      </c>
      <c r="G70" s="23">
        <f t="shared" si="153"/>
        <v>131959</v>
      </c>
      <c r="H70" s="23">
        <f t="shared" si="153"/>
        <v>153995</v>
      </c>
      <c r="I70" s="23">
        <f t="shared" si="153"/>
        <v>224935</v>
      </c>
      <c r="J70" s="23">
        <f t="shared" si="153"/>
        <v>269509</v>
      </c>
      <c r="K70" s="57">
        <f t="shared" si="153"/>
        <v>780398</v>
      </c>
      <c r="L70" s="23">
        <f t="shared" si="153"/>
        <v>226921</v>
      </c>
      <c r="M70" s="23">
        <f t="shared" si="153"/>
        <v>231469</v>
      </c>
      <c r="N70" s="23">
        <f t="shared" si="153"/>
        <v>214094</v>
      </c>
      <c r="O70" s="23">
        <f t="shared" si="153"/>
        <v>315885</v>
      </c>
      <c r="P70" s="57">
        <f t="shared" si="153"/>
        <v>988369</v>
      </c>
      <c r="Q70" s="23">
        <f t="shared" si="153"/>
        <v>235437</v>
      </c>
      <c r="R70" s="23">
        <f t="shared" si="153"/>
        <v>258296</v>
      </c>
      <c r="S70" s="23">
        <f t="shared" si="153"/>
        <v>260600</v>
      </c>
      <c r="T70" s="23">
        <f t="shared" si="153"/>
        <v>269557</v>
      </c>
      <c r="U70" s="57">
        <f t="shared" si="153"/>
        <v>1023890</v>
      </c>
      <c r="V70" s="23">
        <f t="shared" si="153"/>
        <v>228596</v>
      </c>
      <c r="W70" s="23">
        <f t="shared" si="153"/>
        <v>250828</v>
      </c>
      <c r="X70" s="23">
        <f t="shared" si="153"/>
        <v>260340</v>
      </c>
      <c r="Y70" s="23">
        <f t="shared" si="153"/>
        <v>236643</v>
      </c>
      <c r="Z70" s="57">
        <f t="shared" si="153"/>
        <v>976407</v>
      </c>
      <c r="AA70" s="23">
        <f t="shared" si="153"/>
        <v>141254</v>
      </c>
      <c r="AB70" s="23">
        <f t="shared" si="153"/>
        <v>208977</v>
      </c>
      <c r="AC70" s="23">
        <f t="shared" si="153"/>
        <v>198409</v>
      </c>
      <c r="AD70" s="23">
        <f t="shared" si="153"/>
        <v>141764</v>
      </c>
      <c r="AE70" s="57">
        <f t="shared" si="153"/>
        <v>690404</v>
      </c>
      <c r="AF70" s="23">
        <f t="shared" si="153"/>
        <v>107117</v>
      </c>
      <c r="AG70" s="23">
        <f t="shared" si="153"/>
        <v>71337</v>
      </c>
      <c r="AH70" s="23">
        <f t="shared" ref="AH70:BM70" si="154">AH37</f>
        <v>61473</v>
      </c>
      <c r="AI70" s="23">
        <f t="shared" si="154"/>
        <v>78416</v>
      </c>
      <c r="AJ70" s="57">
        <f t="shared" si="154"/>
        <v>318343</v>
      </c>
      <c r="AK70" s="23">
        <f t="shared" si="154"/>
        <v>49697</v>
      </c>
      <c r="AL70" s="23">
        <f t="shared" si="154"/>
        <v>-119981</v>
      </c>
      <c r="AM70" s="23">
        <f t="shared" si="154"/>
        <v>28451</v>
      </c>
      <c r="AN70" s="23">
        <f t="shared" si="154"/>
        <v>96463</v>
      </c>
      <c r="AO70" s="57">
        <f t="shared" si="154"/>
        <v>54630</v>
      </c>
      <c r="AP70" s="23">
        <f t="shared" si="154"/>
        <v>-22900</v>
      </c>
      <c r="AQ70" s="23">
        <f t="shared" si="154"/>
        <v>-4938</v>
      </c>
      <c r="AR70" s="23">
        <f t="shared" si="154"/>
        <v>-78688</v>
      </c>
      <c r="AS70" s="23">
        <f t="shared" si="154"/>
        <v>181086</v>
      </c>
      <c r="AT70" s="57">
        <f t="shared" si="154"/>
        <v>74560</v>
      </c>
      <c r="AU70" s="23">
        <f t="shared" si="154"/>
        <v>79512</v>
      </c>
      <c r="AV70" s="23">
        <f t="shared" si="154"/>
        <v>161495</v>
      </c>
      <c r="AW70" s="23">
        <f t="shared" si="154"/>
        <v>142930</v>
      </c>
      <c r="AX70" s="23">
        <f t="shared" si="154"/>
        <v>236554</v>
      </c>
      <c r="AY70" s="57">
        <f t="shared" si="154"/>
        <v>620491</v>
      </c>
      <c r="AZ70" s="23">
        <f t="shared" si="154"/>
        <v>65085</v>
      </c>
      <c r="BA70" s="23">
        <f t="shared" si="154"/>
        <v>109257</v>
      </c>
      <c r="BB70" s="23">
        <f t="shared" si="154"/>
        <v>1436163</v>
      </c>
      <c r="BC70" s="23">
        <f t="shared" si="154"/>
        <v>303874</v>
      </c>
      <c r="BD70" s="57">
        <f t="shared" si="154"/>
        <v>1914379</v>
      </c>
      <c r="BE70" s="23">
        <f t="shared" si="154"/>
        <v>226040</v>
      </c>
      <c r="BF70" s="23">
        <f t="shared" si="154"/>
        <v>311399</v>
      </c>
      <c r="BG70" s="23">
        <f t="shared" si="154"/>
        <v>292827</v>
      </c>
      <c r="BH70" s="23">
        <f t="shared" si="154"/>
        <v>275668</v>
      </c>
      <c r="BI70" s="57">
        <f t="shared" si="154"/>
        <v>1105934</v>
      </c>
      <c r="BJ70" s="23">
        <f t="shared" si="154"/>
        <v>197071</v>
      </c>
      <c r="BK70" s="23">
        <f t="shared" si="154"/>
        <v>192122</v>
      </c>
      <c r="BL70" s="23">
        <f t="shared" si="154"/>
        <v>342107</v>
      </c>
      <c r="BM70" s="23">
        <f t="shared" si="154"/>
        <v>250316</v>
      </c>
      <c r="BN70" s="57">
        <f t="shared" ref="BN70:CS70" si="155">BN37</f>
        <v>981616</v>
      </c>
      <c r="BO70" s="23">
        <f t="shared" si="155"/>
        <v>223037</v>
      </c>
      <c r="BP70" s="23">
        <f t="shared" si="155"/>
        <v>347849</v>
      </c>
      <c r="BQ70" s="23">
        <f t="shared" si="155"/>
        <v>345646</v>
      </c>
      <c r="BR70" s="23">
        <f t="shared" si="155"/>
        <v>345679</v>
      </c>
      <c r="BS70" s="57">
        <f t="shared" si="155"/>
        <v>1262211</v>
      </c>
      <c r="BT70" s="23">
        <f t="shared" si="155"/>
        <v>351844</v>
      </c>
      <c r="BU70" s="23">
        <f t="shared" si="155"/>
        <v>519244</v>
      </c>
      <c r="BV70" s="23">
        <f t="shared" si="155"/>
        <v>592708</v>
      </c>
      <c r="BW70" s="23">
        <f t="shared" si="155"/>
        <v>734686</v>
      </c>
      <c r="BX70" s="57">
        <f t="shared" si="155"/>
        <v>2198482</v>
      </c>
      <c r="BY70" s="23">
        <f t="shared" si="155"/>
        <v>437963</v>
      </c>
      <c r="BZ70" s="23">
        <f>BZ37</f>
        <v>528736</v>
      </c>
      <c r="CA70" s="23">
        <f>CA37</f>
        <v>738803</v>
      </c>
      <c r="CB70" s="23">
        <f t="shared" ref="CB70" si="156">CB37</f>
        <v>838358</v>
      </c>
      <c r="CC70" s="57">
        <f t="shared" si="155"/>
        <v>2543860</v>
      </c>
      <c r="CD70" s="23">
        <f t="shared" ref="CD70" si="157">CD37</f>
        <v>411281</v>
      </c>
      <c r="CE70" s="23">
        <f>CE37</f>
        <v>573733</v>
      </c>
      <c r="CF70" s="23">
        <f t="shared" ca="1" si="155"/>
        <v>657821.88583732012</v>
      </c>
      <c r="CG70" s="23">
        <f t="shared" ca="1" si="155"/>
        <v>749234.72640819487</v>
      </c>
      <c r="CH70" s="57">
        <f t="shared" ca="1" si="155"/>
        <v>2392070.612245515</v>
      </c>
      <c r="CI70" s="23">
        <f t="shared" ca="1" si="155"/>
        <v>742687.03962193104</v>
      </c>
      <c r="CJ70" s="23">
        <f t="shared" ca="1" si="155"/>
        <v>698995.47150376358</v>
      </c>
      <c r="CK70" s="23">
        <f t="shared" ca="1" si="155"/>
        <v>723474.76176116476</v>
      </c>
      <c r="CL70" s="23">
        <f t="shared" ca="1" si="155"/>
        <v>799065.12486087577</v>
      </c>
      <c r="CM70" s="57">
        <f t="shared" ca="1" si="155"/>
        <v>2964222.397747735</v>
      </c>
      <c r="CN70" s="23">
        <f t="shared" ca="1" si="155"/>
        <v>853691.37509002688</v>
      </c>
      <c r="CO70" s="23">
        <f t="shared" ca="1" si="155"/>
        <v>789888.91046594607</v>
      </c>
      <c r="CP70" s="23">
        <f t="shared" ca="1" si="155"/>
        <v>794820.55855325179</v>
      </c>
      <c r="CQ70" s="23">
        <f t="shared" ca="1" si="155"/>
        <v>870150.64371916477</v>
      </c>
      <c r="CR70" s="57">
        <f t="shared" ca="1" si="155"/>
        <v>3308551.4878283893</v>
      </c>
      <c r="CS70" s="23">
        <f t="shared" ca="1" si="155"/>
        <v>918191.78965658951</v>
      </c>
      <c r="CT70" s="23">
        <f t="shared" ref="CT70:DB70" ca="1" si="158">CT37</f>
        <v>849177.92577228975</v>
      </c>
      <c r="CU70" s="23">
        <f t="shared" ca="1" si="158"/>
        <v>855683.03018016741</v>
      </c>
      <c r="CV70" s="23">
        <f t="shared" ca="1" si="158"/>
        <v>928080.82541895192</v>
      </c>
      <c r="CW70" s="57">
        <f t="shared" ca="1" si="158"/>
        <v>3551133.5710279988</v>
      </c>
      <c r="CX70" s="23">
        <f t="shared" ca="1" si="158"/>
        <v>1003306.3150781041</v>
      </c>
      <c r="CY70" s="23">
        <f t="shared" ca="1" si="158"/>
        <v>923626.51893918414</v>
      </c>
      <c r="CZ70" s="23">
        <f t="shared" ca="1" si="158"/>
        <v>933041.15146732528</v>
      </c>
      <c r="DA70" s="23">
        <f t="shared" ca="1" si="158"/>
        <v>1011752.0550165374</v>
      </c>
      <c r="DB70" s="57">
        <f t="shared" ca="1" si="158"/>
        <v>3871726.0405011512</v>
      </c>
    </row>
    <row r="71" spans="1:106" ht="11.25" customHeight="1" x14ac:dyDescent="0.35">
      <c r="A71" s="185" t="s">
        <v>120</v>
      </c>
      <c r="B71" s="23">
        <f t="shared" ref="B71:AG71" si="159">B38+B40</f>
        <v>-24524</v>
      </c>
      <c r="C71" s="23">
        <f t="shared" si="159"/>
        <v>-35596</v>
      </c>
      <c r="D71" s="23">
        <f t="shared" si="159"/>
        <v>-34567</v>
      </c>
      <c r="E71" s="23">
        <f t="shared" si="159"/>
        <v>-34243</v>
      </c>
      <c r="F71" s="57">
        <f t="shared" si="159"/>
        <v>-128930</v>
      </c>
      <c r="G71" s="23">
        <f t="shared" si="159"/>
        <v>-41884</v>
      </c>
      <c r="H71" s="23">
        <f t="shared" si="159"/>
        <v>-35054</v>
      </c>
      <c r="I71" s="23">
        <f t="shared" si="159"/>
        <v>-47374</v>
      </c>
      <c r="J71" s="23">
        <f t="shared" si="159"/>
        <v>-63900</v>
      </c>
      <c r="K71" s="57">
        <f t="shared" si="159"/>
        <v>-188212</v>
      </c>
      <c r="L71" s="23">
        <f t="shared" si="159"/>
        <v>-48696</v>
      </c>
      <c r="M71" s="23">
        <f t="shared" si="159"/>
        <v>-61857</v>
      </c>
      <c r="N71" s="23">
        <f t="shared" si="159"/>
        <v>-48245</v>
      </c>
      <c r="O71" s="23">
        <f t="shared" si="159"/>
        <v>6118</v>
      </c>
      <c r="P71" s="57">
        <f t="shared" si="159"/>
        <v>-152680</v>
      </c>
      <c r="Q71" s="23">
        <f t="shared" si="159"/>
        <v>-26980</v>
      </c>
      <c r="R71" s="23">
        <f t="shared" si="159"/>
        <v>-33111</v>
      </c>
      <c r="S71" s="23">
        <f t="shared" si="159"/>
        <v>-32506</v>
      </c>
      <c r="T71" s="23">
        <f t="shared" si="159"/>
        <v>-43294</v>
      </c>
      <c r="U71" s="57">
        <f t="shared" si="159"/>
        <v>-135891</v>
      </c>
      <c r="V71" s="23">
        <f t="shared" si="159"/>
        <v>-41252</v>
      </c>
      <c r="W71" s="23">
        <f t="shared" si="159"/>
        <v>-42613</v>
      </c>
      <c r="X71" s="23">
        <f t="shared" si="159"/>
        <v>-30547</v>
      </c>
      <c r="Y71" s="23">
        <f t="shared" si="159"/>
        <v>-30609</v>
      </c>
      <c r="Z71" s="57">
        <f t="shared" si="159"/>
        <v>-145021</v>
      </c>
      <c r="AA71" s="23">
        <f t="shared" si="159"/>
        <v>-23322</v>
      </c>
      <c r="AB71" s="23">
        <f t="shared" si="159"/>
        <v>-23918</v>
      </c>
      <c r="AC71" s="23">
        <f t="shared" si="159"/>
        <v>-29383</v>
      </c>
      <c r="AD71" s="23">
        <f t="shared" si="159"/>
        <v>-20628</v>
      </c>
      <c r="AE71" s="57">
        <f t="shared" si="159"/>
        <v>-97251</v>
      </c>
      <c r="AF71" s="23">
        <f t="shared" si="159"/>
        <v>-18250</v>
      </c>
      <c r="AG71" s="23">
        <f t="shared" si="159"/>
        <v>-14834</v>
      </c>
      <c r="AH71" s="23">
        <f t="shared" ref="AH71:BM71" si="160">AH38+AH40</f>
        <v>-18498</v>
      </c>
      <c r="AI71" s="23">
        <f t="shared" si="160"/>
        <v>-22141</v>
      </c>
      <c r="AJ71" s="57">
        <f t="shared" si="160"/>
        <v>-73723</v>
      </c>
      <c r="AK71" s="23">
        <f t="shared" si="160"/>
        <v>-15451</v>
      </c>
      <c r="AL71" s="23">
        <f t="shared" si="160"/>
        <v>-14339</v>
      </c>
      <c r="AM71" s="23">
        <f t="shared" si="160"/>
        <v>-14288</v>
      </c>
      <c r="AN71" s="23">
        <f t="shared" si="160"/>
        <v>-21091</v>
      </c>
      <c r="AO71" s="57">
        <f t="shared" si="160"/>
        <v>-65169</v>
      </c>
      <c r="AP71" s="23">
        <f t="shared" si="160"/>
        <v>-11755</v>
      </c>
      <c r="AQ71" s="23">
        <f t="shared" si="160"/>
        <v>-14193</v>
      </c>
      <c r="AR71" s="23">
        <f t="shared" si="160"/>
        <v>-15389</v>
      </c>
      <c r="AS71" s="23">
        <f t="shared" si="160"/>
        <v>-27195</v>
      </c>
      <c r="AT71" s="57">
        <f t="shared" si="160"/>
        <v>-68532</v>
      </c>
      <c r="AU71" s="23">
        <f t="shared" si="160"/>
        <v>-18111</v>
      </c>
      <c r="AV71" s="23">
        <f t="shared" si="160"/>
        <v>-19204</v>
      </c>
      <c r="AW71" s="23">
        <f t="shared" si="160"/>
        <v>-21669</v>
      </c>
      <c r="AX71" s="23">
        <f t="shared" si="160"/>
        <v>-27189</v>
      </c>
      <c r="AY71" s="57">
        <f t="shared" si="160"/>
        <v>-86173</v>
      </c>
      <c r="AZ71" s="23">
        <f t="shared" si="160"/>
        <v>-16849</v>
      </c>
      <c r="BA71" s="23">
        <f t="shared" si="160"/>
        <v>-16332</v>
      </c>
      <c r="BB71" s="23">
        <f t="shared" si="160"/>
        <v>-21288</v>
      </c>
      <c r="BC71" s="23">
        <f t="shared" si="160"/>
        <v>-30413</v>
      </c>
      <c r="BD71" s="57">
        <f t="shared" si="160"/>
        <v>-84882</v>
      </c>
      <c r="BE71" s="23">
        <f t="shared" si="160"/>
        <v>-17847</v>
      </c>
      <c r="BF71" s="23">
        <f t="shared" si="160"/>
        <v>-21047</v>
      </c>
      <c r="BG71" s="23">
        <f t="shared" si="160"/>
        <v>-26584</v>
      </c>
      <c r="BH71" s="23">
        <f t="shared" si="160"/>
        <v>-23142</v>
      </c>
      <c r="BI71" s="57">
        <f t="shared" si="160"/>
        <v>-88620</v>
      </c>
      <c r="BJ71" s="23">
        <f t="shared" si="160"/>
        <v>-26414</v>
      </c>
      <c r="BK71" s="23">
        <f t="shared" si="160"/>
        <v>-30508</v>
      </c>
      <c r="BL71" s="23">
        <f t="shared" si="160"/>
        <v>-32510</v>
      </c>
      <c r="BM71" s="23">
        <f t="shared" si="160"/>
        <v>-33593</v>
      </c>
      <c r="BN71" s="57">
        <f t="shared" ref="BN71:CS71" si="161">BN38+BN40</f>
        <v>-123025</v>
      </c>
      <c r="BO71" s="23">
        <f t="shared" si="161"/>
        <v>-31977</v>
      </c>
      <c r="BP71" s="23">
        <f t="shared" si="161"/>
        <v>-39824</v>
      </c>
      <c r="BQ71" s="23">
        <f t="shared" si="161"/>
        <v>-41008</v>
      </c>
      <c r="BR71" s="23">
        <f t="shared" si="161"/>
        <v>-43702</v>
      </c>
      <c r="BS71" s="57">
        <f t="shared" si="161"/>
        <v>-156511</v>
      </c>
      <c r="BT71" s="23">
        <f t="shared" si="161"/>
        <v>-37041</v>
      </c>
      <c r="BU71" s="23">
        <f t="shared" si="161"/>
        <v>-41301</v>
      </c>
      <c r="BV71" s="23">
        <f t="shared" si="161"/>
        <v>-51696</v>
      </c>
      <c r="BW71" s="23">
        <f t="shared" si="161"/>
        <v>-55392</v>
      </c>
      <c r="BX71" s="57">
        <f t="shared" si="161"/>
        <v>-185430</v>
      </c>
      <c r="BY71" s="23">
        <f t="shared" si="161"/>
        <v>-44150</v>
      </c>
      <c r="BZ71" s="23">
        <f>BZ38+BZ40</f>
        <v>-49733</v>
      </c>
      <c r="CA71" s="23">
        <f>CA38+CA40</f>
        <v>-55840</v>
      </c>
      <c r="CB71" s="23">
        <f t="shared" ref="CB71" si="162">CB38+CB40</f>
        <v>1692</v>
      </c>
      <c r="CC71" s="57">
        <f t="shared" si="161"/>
        <v>-148031</v>
      </c>
      <c r="CD71" s="23">
        <f t="shared" ref="CD71" si="163">CD38+CD40</f>
        <v>-51222</v>
      </c>
      <c r="CE71" s="23">
        <f>CE38+CE40</f>
        <v>-54976</v>
      </c>
      <c r="CF71" s="23">
        <f t="shared" si="161"/>
        <v>-51015.416466783296</v>
      </c>
      <c r="CG71" s="23">
        <f t="shared" si="161"/>
        <v>-54914.630447761127</v>
      </c>
      <c r="CH71" s="57">
        <f t="shared" si="161"/>
        <v>-212128.04691454439</v>
      </c>
      <c r="CI71" s="23">
        <f t="shared" si="161"/>
        <v>-51740.134984790704</v>
      </c>
      <c r="CJ71" s="23">
        <f t="shared" si="161"/>
        <v>-52748.12321100806</v>
      </c>
      <c r="CK71" s="23">
        <f t="shared" si="161"/>
        <v>-55428.476310608421</v>
      </c>
      <c r="CL71" s="23">
        <f t="shared" si="161"/>
        <v>-58459.427638399648</v>
      </c>
      <c r="CM71" s="57">
        <f t="shared" si="161"/>
        <v>-218376.16214480682</v>
      </c>
      <c r="CN71" s="23">
        <f t="shared" si="161"/>
        <v>-58157.299303500266</v>
      </c>
      <c r="CO71" s="23">
        <f t="shared" si="161"/>
        <v>-58808.581086739308</v>
      </c>
      <c r="CP71" s="23">
        <f t="shared" si="161"/>
        <v>-61214.529226717335</v>
      </c>
      <c r="CQ71" s="23">
        <f t="shared" si="161"/>
        <v>-65343.75211844303</v>
      </c>
      <c r="CR71" s="57">
        <f t="shared" si="161"/>
        <v>-243524.16173539992</v>
      </c>
      <c r="CS71" s="23">
        <f t="shared" si="161"/>
        <v>-63756.52154943558</v>
      </c>
      <c r="CT71" s="23">
        <f t="shared" ref="CT71:DB71" si="164">CT38+CT40</f>
        <v>-64086.117158730842</v>
      </c>
      <c r="CU71" s="23">
        <f t="shared" si="164"/>
        <v>-66276.693828168194</v>
      </c>
      <c r="CV71" s="23">
        <f t="shared" si="164"/>
        <v>-70336.621587644317</v>
      </c>
      <c r="CW71" s="57">
        <f t="shared" si="164"/>
        <v>-264455.95412397897</v>
      </c>
      <c r="CX71" s="23">
        <f t="shared" si="164"/>
        <v>-68610.789709247052</v>
      </c>
      <c r="CY71" s="23">
        <f t="shared" si="164"/>
        <v>-68760.558464918795</v>
      </c>
      <c r="CZ71" s="23">
        <f t="shared" si="164"/>
        <v>-70919.285137376326</v>
      </c>
      <c r="DA71" s="23">
        <f t="shared" si="164"/>
        <v>-74988.048069996526</v>
      </c>
      <c r="DB71" s="57">
        <f t="shared" si="164"/>
        <v>-283278.68138153868</v>
      </c>
    </row>
    <row r="72" spans="1:106" ht="11.25" customHeight="1" x14ac:dyDescent="0.35">
      <c r="A72" s="185" t="s">
        <v>121</v>
      </c>
      <c r="B72" s="23">
        <f t="shared" ref="B72:AG72" si="165">B43</f>
        <v>-12033</v>
      </c>
      <c r="C72" s="23">
        <f t="shared" si="165"/>
        <v>-29297</v>
      </c>
      <c r="D72" s="23">
        <f t="shared" si="165"/>
        <v>-20108</v>
      </c>
      <c r="E72" s="23">
        <f t="shared" si="165"/>
        <v>-23379</v>
      </c>
      <c r="F72" s="57">
        <f t="shared" si="165"/>
        <v>-84817</v>
      </c>
      <c r="G72" s="23">
        <f t="shared" si="165"/>
        <v>-15894</v>
      </c>
      <c r="H72" s="23">
        <f t="shared" si="165"/>
        <v>-10068</v>
      </c>
      <c r="I72" s="23">
        <f t="shared" si="165"/>
        <v>-30808</v>
      </c>
      <c r="J72" s="23">
        <f t="shared" si="165"/>
        <v>-37245</v>
      </c>
      <c r="K72" s="57">
        <f t="shared" si="165"/>
        <v>-94015</v>
      </c>
      <c r="L72" s="23">
        <f t="shared" si="165"/>
        <v>-60319</v>
      </c>
      <c r="M72" s="23">
        <f t="shared" si="165"/>
        <v>-26867</v>
      </c>
      <c r="N72" s="23">
        <f t="shared" si="165"/>
        <v>-15454</v>
      </c>
      <c r="O72" s="23">
        <f t="shared" si="165"/>
        <v>-72901</v>
      </c>
      <c r="P72" s="57">
        <f t="shared" si="165"/>
        <v>-175541</v>
      </c>
      <c r="Q72" s="23">
        <f t="shared" si="165"/>
        <v>-35528</v>
      </c>
      <c r="R72" s="23">
        <f t="shared" si="165"/>
        <v>-42408</v>
      </c>
      <c r="S72" s="23">
        <f t="shared" si="165"/>
        <v>-53490</v>
      </c>
      <c r="T72" s="23">
        <f t="shared" si="165"/>
        <v>-43741</v>
      </c>
      <c r="U72" s="57">
        <f t="shared" si="165"/>
        <v>-175167</v>
      </c>
      <c r="V72" s="23">
        <f t="shared" si="165"/>
        <v>-23891</v>
      </c>
      <c r="W72" s="23">
        <f t="shared" si="165"/>
        <v>-39321</v>
      </c>
      <c r="X72" s="23">
        <f t="shared" si="165"/>
        <v>-50664</v>
      </c>
      <c r="Y72" s="23">
        <f t="shared" si="165"/>
        <v>-56011</v>
      </c>
      <c r="Z72" s="57">
        <f t="shared" si="165"/>
        <v>-169887</v>
      </c>
      <c r="AA72" s="23">
        <f t="shared" si="165"/>
        <v>-17391</v>
      </c>
      <c r="AB72" s="23">
        <f t="shared" si="165"/>
        <v>-67053</v>
      </c>
      <c r="AC72" s="23">
        <f t="shared" si="165"/>
        <v>-37794</v>
      </c>
      <c r="AD72" s="23">
        <f t="shared" si="165"/>
        <v>-23115</v>
      </c>
      <c r="AE72" s="57">
        <f t="shared" si="165"/>
        <v>-145353</v>
      </c>
      <c r="AF72" s="23">
        <f t="shared" si="165"/>
        <v>-27595</v>
      </c>
      <c r="AG72" s="23">
        <f t="shared" si="165"/>
        <v>-11800</v>
      </c>
      <c r="AH72" s="23">
        <f t="shared" ref="AH72:BM72" si="166">AH43</f>
        <v>-28531</v>
      </c>
      <c r="AI72" s="23">
        <f t="shared" si="166"/>
        <v>-25342</v>
      </c>
      <c r="AJ72" s="57">
        <f t="shared" si="166"/>
        <v>-93268</v>
      </c>
      <c r="AK72" s="23">
        <f t="shared" si="166"/>
        <v>-30221</v>
      </c>
      <c r="AL72" s="23">
        <f t="shared" si="166"/>
        <v>-6708</v>
      </c>
      <c r="AM72" s="23">
        <f t="shared" si="166"/>
        <v>-20926</v>
      </c>
      <c r="AN72" s="23">
        <f t="shared" si="166"/>
        <v>-26610</v>
      </c>
      <c r="AO72" s="57">
        <f t="shared" si="166"/>
        <v>-84465</v>
      </c>
      <c r="AP72" s="23">
        <f t="shared" si="166"/>
        <v>-16629</v>
      </c>
      <c r="AQ72" s="23">
        <f t="shared" si="166"/>
        <v>-9306</v>
      </c>
      <c r="AR72" s="23">
        <f t="shared" si="166"/>
        <v>-26676</v>
      </c>
      <c r="AS72" s="23">
        <f t="shared" si="166"/>
        <v>-37780</v>
      </c>
      <c r="AT72" s="57">
        <f t="shared" si="166"/>
        <v>-90391</v>
      </c>
      <c r="AU72" s="23">
        <f t="shared" si="166"/>
        <v>-12991</v>
      </c>
      <c r="AV72" s="23">
        <f t="shared" si="166"/>
        <v>-28456</v>
      </c>
      <c r="AW72" s="23">
        <f t="shared" si="166"/>
        <v>-16878</v>
      </c>
      <c r="AX72" s="23">
        <f t="shared" si="166"/>
        <v>-60150</v>
      </c>
      <c r="AY72" s="57">
        <f t="shared" si="166"/>
        <v>-118475</v>
      </c>
      <c r="AZ72" s="23">
        <f t="shared" si="166"/>
        <v>-20301</v>
      </c>
      <c r="BA72" s="23">
        <f t="shared" si="166"/>
        <v>-25114</v>
      </c>
      <c r="BB72" s="23">
        <f t="shared" si="166"/>
        <v>-11594</v>
      </c>
      <c r="BC72" s="23">
        <f t="shared" si="166"/>
        <v>-12230</v>
      </c>
      <c r="BD72" s="57">
        <f t="shared" si="166"/>
        <v>-69239</v>
      </c>
      <c r="BE72" s="23">
        <f t="shared" si="166"/>
        <v>-15908</v>
      </c>
      <c r="BF72" s="23">
        <f t="shared" si="166"/>
        <v>-23378</v>
      </c>
      <c r="BG72" s="23">
        <f t="shared" si="166"/>
        <v>-28696</v>
      </c>
      <c r="BH72" s="23">
        <f t="shared" si="166"/>
        <v>-34977</v>
      </c>
      <c r="BI72" s="57">
        <f t="shared" si="166"/>
        <v>-102959</v>
      </c>
      <c r="BJ72" s="23">
        <f t="shared" si="166"/>
        <v>-8906</v>
      </c>
      <c r="BK72" s="23">
        <f t="shared" si="166"/>
        <v>-10817</v>
      </c>
      <c r="BL72" s="23">
        <f t="shared" si="166"/>
        <v>-20969</v>
      </c>
      <c r="BM72" s="23">
        <f t="shared" si="166"/>
        <v>-9019</v>
      </c>
      <c r="BN72" s="57">
        <f t="shared" ref="BN72:CS72" si="167">BN43</f>
        <v>-49711</v>
      </c>
      <c r="BO72" s="23">
        <f t="shared" si="167"/>
        <v>-27484</v>
      </c>
      <c r="BP72" s="23">
        <f t="shared" si="167"/>
        <v>-28640</v>
      </c>
      <c r="BQ72" s="23">
        <f t="shared" si="167"/>
        <v>-53319</v>
      </c>
      <c r="BR72" s="23">
        <f t="shared" si="167"/>
        <v>-54167</v>
      </c>
      <c r="BS72" s="57">
        <f t="shared" si="167"/>
        <v>-163610</v>
      </c>
      <c r="BT72" s="23">
        <f t="shared" si="167"/>
        <v>-47545</v>
      </c>
      <c r="BU72" s="23">
        <f t="shared" si="167"/>
        <v>-65938</v>
      </c>
      <c r="BV72" s="23">
        <f t="shared" si="167"/>
        <v>-67911</v>
      </c>
      <c r="BW72" s="23">
        <f t="shared" si="167"/>
        <v>-90662</v>
      </c>
      <c r="BX72" s="57">
        <f t="shared" si="167"/>
        <v>-272056</v>
      </c>
      <c r="BY72" s="23">
        <f t="shared" si="167"/>
        <v>-66181</v>
      </c>
      <c r="BZ72" s="23">
        <f>BZ43</f>
        <v>-91196</v>
      </c>
      <c r="CA72" s="23">
        <f>CA43</f>
        <v>-73848</v>
      </c>
      <c r="CB72" s="23">
        <f t="shared" ref="CB72" si="168">CB43</f>
        <v>-157848</v>
      </c>
      <c r="CC72" s="57">
        <f t="shared" si="167"/>
        <v>-389073</v>
      </c>
      <c r="CD72" s="23">
        <f t="shared" ref="CD72" si="169">CD43</f>
        <v>-63283</v>
      </c>
      <c r="CE72" s="23">
        <f>CE43</f>
        <v>-67151</v>
      </c>
      <c r="CF72" s="23">
        <f t="shared" si="167"/>
        <v>-80216.875</v>
      </c>
      <c r="CG72" s="23">
        <f t="shared" si="167"/>
        <v>-82399.517267450734</v>
      </c>
      <c r="CH72" s="57">
        <f t="shared" si="167"/>
        <v>-293050.39226745075</v>
      </c>
      <c r="CI72" s="23">
        <f t="shared" si="167"/>
        <v>-92760.440128405462</v>
      </c>
      <c r="CJ72" s="23">
        <f t="shared" si="167"/>
        <v>-96257.920725014657</v>
      </c>
      <c r="CK72" s="23">
        <f t="shared" si="167"/>
        <v>-97097.01854009158</v>
      </c>
      <c r="CL72" s="23">
        <f t="shared" si="167"/>
        <v>-98064.720294716302</v>
      </c>
      <c r="CM72" s="57">
        <f t="shared" si="167"/>
        <v>-384180.09968822799</v>
      </c>
      <c r="CN72" s="23">
        <f t="shared" si="167"/>
        <v>-107674.7633960299</v>
      </c>
      <c r="CO72" s="23">
        <f t="shared" si="167"/>
        <v>-110322.50143714179</v>
      </c>
      <c r="CP72" s="23">
        <f t="shared" si="167"/>
        <v>-111968.17538323598</v>
      </c>
      <c r="CQ72" s="23">
        <f t="shared" si="167"/>
        <v>-113705.99136566227</v>
      </c>
      <c r="CR72" s="57">
        <f t="shared" si="167"/>
        <v>-443671.4315820699</v>
      </c>
      <c r="CS72" s="23">
        <f t="shared" si="167"/>
        <v>-114302.37953415942</v>
      </c>
      <c r="CT72" s="23">
        <f t="shared" ref="CT72:DB72" si="170">CT43</f>
        <v>-115668.70320734076</v>
      </c>
      <c r="CU72" s="23">
        <f t="shared" si="170"/>
        <v>-116659.95304619013</v>
      </c>
      <c r="CV72" s="23">
        <f t="shared" si="170"/>
        <v>-117576.3454035336</v>
      </c>
      <c r="CW72" s="57">
        <f t="shared" si="170"/>
        <v>-464207.38119122392</v>
      </c>
      <c r="CX72" s="23">
        <f t="shared" si="170"/>
        <v>-118375.99884215923</v>
      </c>
      <c r="CY72" s="23">
        <f t="shared" si="170"/>
        <v>-120941.20144398409</v>
      </c>
      <c r="CZ72" s="23">
        <f t="shared" si="170"/>
        <v>-121213.0519895201</v>
      </c>
      <c r="DA72" s="23">
        <f t="shared" si="170"/>
        <v>-120337.55281862339</v>
      </c>
      <c r="DB72" s="57">
        <f t="shared" si="170"/>
        <v>-480867.8050942868</v>
      </c>
    </row>
    <row r="73" spans="1:106" s="11" customFormat="1" ht="11.25" customHeight="1" x14ac:dyDescent="0.35">
      <c r="A73" s="184" t="s">
        <v>128</v>
      </c>
      <c r="B73" s="48">
        <f t="shared" ref="B73:AG73" si="171">B45</f>
        <v>174240</v>
      </c>
      <c r="C73" s="48">
        <f t="shared" si="171"/>
        <v>167794</v>
      </c>
      <c r="D73" s="48">
        <f t="shared" si="171"/>
        <v>176034</v>
      </c>
      <c r="E73" s="48">
        <f t="shared" si="171"/>
        <v>82526</v>
      </c>
      <c r="F73" s="56">
        <f t="shared" si="171"/>
        <v>600594</v>
      </c>
      <c r="G73" s="48">
        <f t="shared" si="171"/>
        <v>74181</v>
      </c>
      <c r="H73" s="48">
        <f t="shared" si="171"/>
        <v>108873</v>
      </c>
      <c r="I73" s="48">
        <f t="shared" si="171"/>
        <v>146753</v>
      </c>
      <c r="J73" s="48">
        <f t="shared" si="171"/>
        <v>168364</v>
      </c>
      <c r="K73" s="56">
        <f t="shared" si="171"/>
        <v>498171</v>
      </c>
      <c r="L73" s="48">
        <f t="shared" si="171"/>
        <v>117906</v>
      </c>
      <c r="M73" s="48">
        <f t="shared" si="171"/>
        <v>142745</v>
      </c>
      <c r="N73" s="48">
        <f t="shared" si="171"/>
        <v>150395</v>
      </c>
      <c r="O73" s="48">
        <f t="shared" si="171"/>
        <v>249102</v>
      </c>
      <c r="P73" s="56">
        <f t="shared" si="171"/>
        <v>660148</v>
      </c>
      <c r="Q73" s="48">
        <f t="shared" si="171"/>
        <v>172929</v>
      </c>
      <c r="R73" s="48">
        <f t="shared" si="171"/>
        <v>182777</v>
      </c>
      <c r="S73" s="48">
        <f t="shared" si="171"/>
        <v>174604</v>
      </c>
      <c r="T73" s="48">
        <f t="shared" si="171"/>
        <v>182522</v>
      </c>
      <c r="U73" s="56">
        <f t="shared" si="171"/>
        <v>712832</v>
      </c>
      <c r="V73" s="48">
        <f t="shared" si="171"/>
        <v>163453</v>
      </c>
      <c r="W73" s="48">
        <f t="shared" si="171"/>
        <v>168894</v>
      </c>
      <c r="X73" s="48">
        <f t="shared" si="171"/>
        <v>179129</v>
      </c>
      <c r="Y73" s="48">
        <f t="shared" si="171"/>
        <v>150023</v>
      </c>
      <c r="Z73" s="56">
        <f t="shared" si="171"/>
        <v>661499</v>
      </c>
      <c r="AA73" s="48">
        <f t="shared" si="171"/>
        <v>100541</v>
      </c>
      <c r="AB73" s="48">
        <f t="shared" si="171"/>
        <v>118006</v>
      </c>
      <c r="AC73" s="48">
        <f t="shared" si="171"/>
        <v>131232</v>
      </c>
      <c r="AD73" s="48">
        <f t="shared" si="171"/>
        <v>98021</v>
      </c>
      <c r="AE73" s="56">
        <f t="shared" si="171"/>
        <v>447800</v>
      </c>
      <c r="AF73" s="48">
        <f t="shared" si="171"/>
        <v>61272</v>
      </c>
      <c r="AG73" s="48">
        <f t="shared" si="171"/>
        <v>44703</v>
      </c>
      <c r="AH73" s="48">
        <f t="shared" ref="AH73:BM73" si="172">AH45</f>
        <v>14444</v>
      </c>
      <c r="AI73" s="48">
        <f t="shared" si="172"/>
        <v>30933</v>
      </c>
      <c r="AJ73" s="56">
        <f t="shared" si="172"/>
        <v>151352</v>
      </c>
      <c r="AK73" s="48">
        <f t="shared" si="172"/>
        <v>4025</v>
      </c>
      <c r="AL73" s="48">
        <f t="shared" si="172"/>
        <v>-141028</v>
      </c>
      <c r="AM73" s="48">
        <f t="shared" si="172"/>
        <v>-6763</v>
      </c>
      <c r="AN73" s="48">
        <f t="shared" si="172"/>
        <v>48762</v>
      </c>
      <c r="AO73" s="56">
        <f t="shared" si="172"/>
        <v>-95004</v>
      </c>
      <c r="AP73" s="48">
        <f t="shared" si="172"/>
        <v>-51284</v>
      </c>
      <c r="AQ73" s="48">
        <f t="shared" si="172"/>
        <v>-28437</v>
      </c>
      <c r="AR73" s="48">
        <f t="shared" si="172"/>
        <v>-120753</v>
      </c>
      <c r="AS73" s="48">
        <f t="shared" si="172"/>
        <v>116111</v>
      </c>
      <c r="AT73" s="56">
        <f t="shared" si="172"/>
        <v>-84363</v>
      </c>
      <c r="AU73" s="48">
        <f t="shared" si="172"/>
        <v>48410</v>
      </c>
      <c r="AV73" s="48">
        <f t="shared" si="172"/>
        <v>113835</v>
      </c>
      <c r="AW73" s="48">
        <f t="shared" si="172"/>
        <v>104383</v>
      </c>
      <c r="AX73" s="48">
        <f t="shared" si="172"/>
        <v>149215</v>
      </c>
      <c r="AY73" s="56">
        <f t="shared" si="172"/>
        <v>415843</v>
      </c>
      <c r="AZ73" s="48">
        <f t="shared" si="172"/>
        <v>27935</v>
      </c>
      <c r="BA73" s="48">
        <f t="shared" si="172"/>
        <v>67811</v>
      </c>
      <c r="BB73" s="48">
        <f t="shared" si="172"/>
        <v>1403281</v>
      </c>
      <c r="BC73" s="48">
        <f t="shared" si="172"/>
        <v>261231</v>
      </c>
      <c r="BD73" s="56">
        <f t="shared" si="172"/>
        <v>1760258</v>
      </c>
      <c r="BE73" s="48">
        <f t="shared" si="172"/>
        <v>192285</v>
      </c>
      <c r="BF73" s="48">
        <f t="shared" si="172"/>
        <v>266974</v>
      </c>
      <c r="BG73" s="48">
        <f t="shared" si="172"/>
        <v>237547</v>
      </c>
      <c r="BH73" s="48">
        <f t="shared" si="172"/>
        <v>217549</v>
      </c>
      <c r="BI73" s="56">
        <f t="shared" si="172"/>
        <v>914355</v>
      </c>
      <c r="BJ73" s="48">
        <f t="shared" si="172"/>
        <v>161751</v>
      </c>
      <c r="BK73" s="48">
        <f t="shared" si="172"/>
        <v>150797</v>
      </c>
      <c r="BL73" s="48">
        <f t="shared" si="172"/>
        <v>288628</v>
      </c>
      <c r="BM73" s="48">
        <f t="shared" si="172"/>
        <v>207704</v>
      </c>
      <c r="BN73" s="56">
        <f t="shared" ref="BN73:CS73" si="173">BN45</f>
        <v>808880</v>
      </c>
      <c r="BO73" s="48">
        <f t="shared" si="173"/>
        <v>163576</v>
      </c>
      <c r="BP73" s="48">
        <f t="shared" si="173"/>
        <v>279385</v>
      </c>
      <c r="BQ73" s="48">
        <f t="shared" si="173"/>
        <v>251319</v>
      </c>
      <c r="BR73" s="48">
        <f t="shared" si="173"/>
        <v>247810</v>
      </c>
      <c r="BS73" s="56">
        <f t="shared" si="173"/>
        <v>942090</v>
      </c>
      <c r="BT73" s="48">
        <f t="shared" si="173"/>
        <v>267258</v>
      </c>
      <c r="BU73" s="48">
        <f t="shared" si="173"/>
        <v>412005</v>
      </c>
      <c r="BV73" s="48">
        <f t="shared" si="173"/>
        <v>473101</v>
      </c>
      <c r="BW73" s="48">
        <f t="shared" si="173"/>
        <v>588632</v>
      </c>
      <c r="BX73" s="56">
        <f t="shared" si="173"/>
        <v>1740996</v>
      </c>
      <c r="BY73" s="48">
        <f t="shared" si="173"/>
        <v>327632</v>
      </c>
      <c r="BZ73" s="48">
        <f>BZ45</f>
        <v>387807</v>
      </c>
      <c r="CA73" s="48">
        <f>CA45</f>
        <v>609115</v>
      </c>
      <c r="CB73" s="48">
        <f t="shared" ref="CB73" si="174">CB45</f>
        <v>682202</v>
      </c>
      <c r="CC73" s="56">
        <f t="shared" si="173"/>
        <v>2006756</v>
      </c>
      <c r="CD73" s="48">
        <f t="shared" ref="CD73" si="175">CD45</f>
        <v>296776</v>
      </c>
      <c r="CE73" s="48">
        <f>CE45</f>
        <v>451606</v>
      </c>
      <c r="CF73" s="48">
        <f t="shared" ca="1" si="173"/>
        <v>526589.59437053686</v>
      </c>
      <c r="CG73" s="48">
        <f t="shared" ca="1" si="173"/>
        <v>611920.57869298302</v>
      </c>
      <c r="CH73" s="56">
        <f t="shared" ca="1" si="173"/>
        <v>1886892.1730635199</v>
      </c>
      <c r="CI73" s="48">
        <f t="shared" ca="1" si="173"/>
        <v>598186.46450873488</v>
      </c>
      <c r="CJ73" s="48">
        <f t="shared" ca="1" si="173"/>
        <v>549989.4275677409</v>
      </c>
      <c r="CK73" s="48">
        <f t="shared" ca="1" si="173"/>
        <v>570949.26691046485</v>
      </c>
      <c r="CL73" s="48">
        <f t="shared" ca="1" si="173"/>
        <v>642540.97692775982</v>
      </c>
      <c r="CM73" s="56">
        <f t="shared" ca="1" si="173"/>
        <v>2361666.1359147001</v>
      </c>
      <c r="CN73" s="48">
        <f t="shared" ca="1" si="173"/>
        <v>687859.31239049661</v>
      </c>
      <c r="CO73" s="48">
        <f t="shared" ca="1" si="173"/>
        <v>620757.82794206496</v>
      </c>
      <c r="CP73" s="48">
        <f t="shared" ca="1" si="173"/>
        <v>621637.85394329845</v>
      </c>
      <c r="CQ73" s="48">
        <f t="shared" ca="1" si="173"/>
        <v>691100.90023505944</v>
      </c>
      <c r="CR73" s="56">
        <f t="shared" ca="1" si="173"/>
        <v>2621355.8945109192</v>
      </c>
      <c r="CS73" s="48">
        <f t="shared" ca="1" si="173"/>
        <v>740132.8885729945</v>
      </c>
      <c r="CT73" s="48">
        <f t="shared" ref="CT73:DB73" ca="1" si="176">CT45</f>
        <v>669423.10540621809</v>
      </c>
      <c r="CU73" s="48">
        <f t="shared" ca="1" si="176"/>
        <v>672746.38330580911</v>
      </c>
      <c r="CV73" s="48">
        <f t="shared" ca="1" si="176"/>
        <v>740167.85842777393</v>
      </c>
      <c r="CW73" s="56">
        <f t="shared" ca="1" si="176"/>
        <v>2822470.2357127955</v>
      </c>
      <c r="CX73" s="48">
        <f t="shared" ca="1" si="176"/>
        <v>816319.52652669791</v>
      </c>
      <c r="CY73" s="48">
        <f t="shared" ca="1" si="176"/>
        <v>733924.75903028122</v>
      </c>
      <c r="CZ73" s="48">
        <f t="shared" ca="1" si="176"/>
        <v>740908.81434042891</v>
      </c>
      <c r="DA73" s="48">
        <f t="shared" ca="1" si="176"/>
        <v>816426.45412791753</v>
      </c>
      <c r="DB73" s="56">
        <f t="shared" ca="1" si="176"/>
        <v>3107579.5540253255</v>
      </c>
    </row>
    <row r="74" spans="1:106" s="11" customFormat="1" ht="11.25" customHeight="1" outlineLevel="1" x14ac:dyDescent="0.35">
      <c r="A74" s="181" t="s">
        <v>129</v>
      </c>
      <c r="B74" s="49">
        <f t="shared" ref="B74:AG74" si="177">B73-B33-B36</f>
        <v>179227</v>
      </c>
      <c r="C74" s="49">
        <f t="shared" si="177"/>
        <v>171338</v>
      </c>
      <c r="D74" s="49">
        <f t="shared" si="177"/>
        <v>181072</v>
      </c>
      <c r="E74" s="49">
        <f t="shared" si="177"/>
        <v>82526</v>
      </c>
      <c r="F74" s="50">
        <f t="shared" si="177"/>
        <v>614163</v>
      </c>
      <c r="G74" s="49">
        <f t="shared" si="177"/>
        <v>74181</v>
      </c>
      <c r="H74" s="49">
        <f t="shared" si="177"/>
        <v>108873</v>
      </c>
      <c r="I74" s="49">
        <f t="shared" si="177"/>
        <v>146753</v>
      </c>
      <c r="J74" s="49">
        <f t="shared" si="177"/>
        <v>204584</v>
      </c>
      <c r="K74" s="50">
        <f t="shared" si="177"/>
        <v>534391</v>
      </c>
      <c r="L74" s="49">
        <f t="shared" si="177"/>
        <v>135906</v>
      </c>
      <c r="M74" s="49">
        <f t="shared" si="177"/>
        <v>142745</v>
      </c>
      <c r="N74" s="49">
        <f t="shared" si="177"/>
        <v>150395</v>
      </c>
      <c r="O74" s="49">
        <f t="shared" si="177"/>
        <v>249102</v>
      </c>
      <c r="P74" s="50">
        <f t="shared" si="177"/>
        <v>678148</v>
      </c>
      <c r="Q74" s="49">
        <f t="shared" si="177"/>
        <v>172929</v>
      </c>
      <c r="R74" s="49">
        <f t="shared" si="177"/>
        <v>188777</v>
      </c>
      <c r="S74" s="49">
        <f t="shared" si="177"/>
        <v>174604</v>
      </c>
      <c r="T74" s="49">
        <f t="shared" si="177"/>
        <v>182522</v>
      </c>
      <c r="U74" s="50">
        <f t="shared" si="177"/>
        <v>718832</v>
      </c>
      <c r="V74" s="49">
        <f t="shared" si="177"/>
        <v>163453</v>
      </c>
      <c r="W74" s="49">
        <f t="shared" si="177"/>
        <v>168894</v>
      </c>
      <c r="X74" s="49">
        <f t="shared" si="177"/>
        <v>179129</v>
      </c>
      <c r="Y74" s="49">
        <f t="shared" si="177"/>
        <v>150023</v>
      </c>
      <c r="Z74" s="50">
        <f t="shared" si="177"/>
        <v>661499</v>
      </c>
      <c r="AA74" s="49">
        <f t="shared" si="177"/>
        <v>100541</v>
      </c>
      <c r="AB74" s="49">
        <f t="shared" si="177"/>
        <v>118006</v>
      </c>
      <c r="AC74" s="49">
        <f t="shared" si="177"/>
        <v>131232</v>
      </c>
      <c r="AD74" s="49">
        <f t="shared" si="177"/>
        <v>98021</v>
      </c>
      <c r="AE74" s="50">
        <f t="shared" si="177"/>
        <v>447800</v>
      </c>
      <c r="AF74" s="49">
        <f t="shared" si="177"/>
        <v>61272</v>
      </c>
      <c r="AG74" s="49">
        <f t="shared" si="177"/>
        <v>44703</v>
      </c>
      <c r="AH74" s="49">
        <f t="shared" ref="AH74:BM74" si="178">AH73-AH33-AH36</f>
        <v>14444</v>
      </c>
      <c r="AI74" s="49">
        <f t="shared" si="178"/>
        <v>30933</v>
      </c>
      <c r="AJ74" s="50">
        <f t="shared" si="178"/>
        <v>151352</v>
      </c>
      <c r="AK74" s="49">
        <f t="shared" si="178"/>
        <v>4025</v>
      </c>
      <c r="AL74" s="49">
        <f t="shared" si="178"/>
        <v>-141028</v>
      </c>
      <c r="AM74" s="49">
        <f t="shared" si="178"/>
        <v>-6763</v>
      </c>
      <c r="AN74" s="49">
        <f t="shared" si="178"/>
        <v>48762</v>
      </c>
      <c r="AO74" s="50">
        <f t="shared" si="178"/>
        <v>-95004</v>
      </c>
      <c r="AP74" s="49">
        <f t="shared" si="178"/>
        <v>-51284</v>
      </c>
      <c r="AQ74" s="49">
        <f t="shared" si="178"/>
        <v>-28437</v>
      </c>
      <c r="AR74" s="49">
        <f t="shared" si="178"/>
        <v>-120753</v>
      </c>
      <c r="AS74" s="49">
        <f t="shared" si="178"/>
        <v>96111</v>
      </c>
      <c r="AT74" s="50">
        <f t="shared" si="178"/>
        <v>-104363</v>
      </c>
      <c r="AU74" s="49">
        <f t="shared" si="178"/>
        <v>48410</v>
      </c>
      <c r="AV74" s="49">
        <f t="shared" si="178"/>
        <v>113835</v>
      </c>
      <c r="AW74" s="49">
        <f t="shared" si="178"/>
        <v>104383</v>
      </c>
      <c r="AX74" s="49">
        <f t="shared" si="178"/>
        <v>149215</v>
      </c>
      <c r="AY74" s="50">
        <f t="shared" si="178"/>
        <v>415843</v>
      </c>
      <c r="AZ74" s="49">
        <f t="shared" si="178"/>
        <v>27935</v>
      </c>
      <c r="BA74" s="49">
        <f t="shared" si="178"/>
        <v>67811</v>
      </c>
      <c r="BB74" s="49">
        <f t="shared" si="178"/>
        <v>250281</v>
      </c>
      <c r="BC74" s="49">
        <f t="shared" si="178"/>
        <v>261231</v>
      </c>
      <c r="BD74" s="50">
        <f t="shared" si="178"/>
        <v>607258</v>
      </c>
      <c r="BE74" s="49">
        <f t="shared" si="178"/>
        <v>192285</v>
      </c>
      <c r="BF74" s="49">
        <f t="shared" si="178"/>
        <v>266974</v>
      </c>
      <c r="BG74" s="49">
        <f t="shared" si="178"/>
        <v>237547</v>
      </c>
      <c r="BH74" s="49">
        <f t="shared" si="178"/>
        <v>217549</v>
      </c>
      <c r="BI74" s="50">
        <f t="shared" si="178"/>
        <v>914355</v>
      </c>
      <c r="BJ74" s="49">
        <f t="shared" si="178"/>
        <v>161751</v>
      </c>
      <c r="BK74" s="49">
        <f t="shared" si="178"/>
        <v>150797</v>
      </c>
      <c r="BL74" s="49">
        <f t="shared" si="178"/>
        <v>288628</v>
      </c>
      <c r="BM74" s="49">
        <f t="shared" si="178"/>
        <v>207704</v>
      </c>
      <c r="BN74" s="50">
        <f t="shared" ref="BN74:CS74" si="179">BN73-BN33-BN36</f>
        <v>808880</v>
      </c>
      <c r="BO74" s="49">
        <f t="shared" si="179"/>
        <v>163576</v>
      </c>
      <c r="BP74" s="49">
        <f t="shared" si="179"/>
        <v>279385</v>
      </c>
      <c r="BQ74" s="49">
        <f t="shared" si="179"/>
        <v>251319</v>
      </c>
      <c r="BR74" s="49">
        <f t="shared" si="179"/>
        <v>247810</v>
      </c>
      <c r="BS74" s="50">
        <f t="shared" si="179"/>
        <v>942090</v>
      </c>
      <c r="BT74" s="49">
        <f t="shared" si="179"/>
        <v>267258</v>
      </c>
      <c r="BU74" s="49">
        <f t="shared" si="179"/>
        <v>412005</v>
      </c>
      <c r="BV74" s="49">
        <f t="shared" si="179"/>
        <v>381101</v>
      </c>
      <c r="BW74" s="49">
        <f t="shared" si="179"/>
        <v>588632</v>
      </c>
      <c r="BX74" s="50">
        <f t="shared" si="179"/>
        <v>1648996</v>
      </c>
      <c r="BY74" s="49">
        <f t="shared" si="179"/>
        <v>327632</v>
      </c>
      <c r="BZ74" s="49">
        <f>BZ73-BZ33-BZ36</f>
        <v>387807</v>
      </c>
      <c r="CA74" s="49">
        <f>CA73-CA33-CA36</f>
        <v>396115</v>
      </c>
      <c r="CB74" s="49">
        <f t="shared" ref="CB74" si="180">CB73-CB33-CB36</f>
        <v>612202</v>
      </c>
      <c r="CC74" s="50">
        <f t="shared" si="179"/>
        <v>1723756</v>
      </c>
      <c r="CD74" s="49">
        <f t="shared" ref="CD74" si="181">CD73-CD33-CD36</f>
        <v>296776</v>
      </c>
      <c r="CE74" s="49">
        <f>CE73-CE33-CE36</f>
        <v>451606</v>
      </c>
      <c r="CF74" s="49">
        <f t="shared" ca="1" si="179"/>
        <v>526589.59437053686</v>
      </c>
      <c r="CG74" s="49">
        <f t="shared" ca="1" si="179"/>
        <v>611920.57869298302</v>
      </c>
      <c r="CH74" s="50">
        <f t="shared" ca="1" si="179"/>
        <v>1886892.1730635199</v>
      </c>
      <c r="CI74" s="49">
        <f t="shared" ca="1" si="179"/>
        <v>598186.46450873488</v>
      </c>
      <c r="CJ74" s="49">
        <f t="shared" ca="1" si="179"/>
        <v>549989.4275677409</v>
      </c>
      <c r="CK74" s="49">
        <f t="shared" ca="1" si="179"/>
        <v>570949.26691046485</v>
      </c>
      <c r="CL74" s="49">
        <f t="shared" ca="1" si="179"/>
        <v>642540.97692775982</v>
      </c>
      <c r="CM74" s="50">
        <f t="shared" ca="1" si="179"/>
        <v>2361666.1359147001</v>
      </c>
      <c r="CN74" s="49">
        <f t="shared" ca="1" si="179"/>
        <v>687859.31239049661</v>
      </c>
      <c r="CO74" s="49">
        <f t="shared" ca="1" si="179"/>
        <v>620757.82794206496</v>
      </c>
      <c r="CP74" s="49">
        <f t="shared" ca="1" si="179"/>
        <v>621637.85394329845</v>
      </c>
      <c r="CQ74" s="49">
        <f t="shared" ca="1" si="179"/>
        <v>691100.90023505944</v>
      </c>
      <c r="CR74" s="50">
        <f t="shared" ca="1" si="179"/>
        <v>2621355.8945109192</v>
      </c>
      <c r="CS74" s="49">
        <f t="shared" ca="1" si="179"/>
        <v>740132.8885729945</v>
      </c>
      <c r="CT74" s="49">
        <f t="shared" ref="CT74:DB74" ca="1" si="182">CT73-CT33-CT36</f>
        <v>669423.10540621809</v>
      </c>
      <c r="CU74" s="49">
        <f t="shared" ca="1" si="182"/>
        <v>672746.38330580911</v>
      </c>
      <c r="CV74" s="49">
        <f t="shared" ca="1" si="182"/>
        <v>740167.85842777393</v>
      </c>
      <c r="CW74" s="50">
        <f t="shared" ca="1" si="182"/>
        <v>2822470.2357127955</v>
      </c>
      <c r="CX74" s="49">
        <f t="shared" ca="1" si="182"/>
        <v>816319.52652669791</v>
      </c>
      <c r="CY74" s="49">
        <f t="shared" ca="1" si="182"/>
        <v>733924.75903028122</v>
      </c>
      <c r="CZ74" s="49">
        <f t="shared" ca="1" si="182"/>
        <v>740908.81434042891</v>
      </c>
      <c r="DA74" s="49">
        <f t="shared" ca="1" si="182"/>
        <v>816426.45412791753</v>
      </c>
      <c r="DB74" s="50">
        <f t="shared" ca="1" si="182"/>
        <v>3107579.5540253255</v>
      </c>
    </row>
    <row r="75" spans="1:106" s="11" customFormat="1" ht="11.25" customHeight="1" x14ac:dyDescent="0.35">
      <c r="A75" s="184"/>
      <c r="B75" s="48"/>
      <c r="C75" s="48"/>
      <c r="D75" s="48"/>
      <c r="E75" s="48"/>
      <c r="F75" s="56"/>
      <c r="G75" s="48"/>
      <c r="H75" s="48"/>
      <c r="I75" s="48"/>
      <c r="J75" s="48"/>
      <c r="K75" s="56"/>
      <c r="L75" s="48"/>
      <c r="M75" s="48"/>
      <c r="N75" s="48"/>
      <c r="O75" s="48"/>
      <c r="P75" s="56"/>
      <c r="Q75" s="48"/>
      <c r="R75" s="48"/>
      <c r="S75" s="48"/>
      <c r="T75" s="48"/>
      <c r="U75" s="56"/>
      <c r="V75" s="48"/>
      <c r="W75" s="48"/>
      <c r="X75" s="48"/>
      <c r="Y75" s="48"/>
      <c r="Z75" s="56"/>
      <c r="AA75" s="48"/>
      <c r="AB75" s="48"/>
      <c r="AC75" s="48"/>
      <c r="AD75" s="48"/>
      <c r="AE75" s="56"/>
      <c r="AF75" s="48"/>
      <c r="AG75" s="48"/>
      <c r="AH75" s="48"/>
      <c r="AI75" s="48"/>
      <c r="AJ75" s="56"/>
      <c r="AK75" s="48"/>
      <c r="AL75" s="48"/>
      <c r="AM75" s="48"/>
      <c r="AN75" s="48"/>
      <c r="AO75" s="56"/>
      <c r="AP75" s="48"/>
      <c r="AQ75" s="48"/>
      <c r="AR75" s="48"/>
      <c r="AS75" s="48"/>
      <c r="AT75" s="56"/>
      <c r="AU75" s="48"/>
      <c r="AV75" s="48"/>
      <c r="AW75" s="48"/>
      <c r="AX75" s="48"/>
      <c r="AY75" s="56"/>
      <c r="AZ75" s="48"/>
      <c r="BA75" s="48"/>
      <c r="BB75" s="48"/>
      <c r="BC75" s="48"/>
      <c r="BD75" s="56"/>
      <c r="BE75" s="48"/>
      <c r="BF75" s="48"/>
      <c r="BG75" s="48"/>
      <c r="BH75" s="48"/>
      <c r="BI75" s="56"/>
      <c r="BJ75" s="48"/>
      <c r="BK75" s="48"/>
      <c r="BL75" s="48"/>
      <c r="BM75" s="48"/>
      <c r="BN75" s="56"/>
      <c r="BO75" s="48"/>
      <c r="BP75" s="48"/>
      <c r="BQ75" s="48"/>
      <c r="BR75" s="48"/>
      <c r="BS75" s="56"/>
      <c r="BT75" s="48"/>
      <c r="BU75" s="48"/>
      <c r="BV75" s="48"/>
      <c r="BW75" s="48"/>
      <c r="BX75" s="56"/>
      <c r="BY75" s="48"/>
      <c r="BZ75" s="48"/>
      <c r="CA75" s="48"/>
      <c r="CB75" s="218"/>
      <c r="CC75" s="56"/>
      <c r="CD75" s="48"/>
      <c r="CE75" s="48">
        <f>CE74-'Business lines'!CE128</f>
        <v>360581.66399999999</v>
      </c>
      <c r="CF75" s="48"/>
      <c r="CG75" s="48"/>
      <c r="CH75" s="651"/>
      <c r="CI75" s="48"/>
      <c r="CJ75" s="48"/>
      <c r="CK75" s="48"/>
      <c r="CL75" s="48"/>
      <c r="CM75" s="56"/>
      <c r="CN75" s="48"/>
      <c r="CO75" s="48"/>
      <c r="CP75" s="48"/>
      <c r="CQ75" s="48"/>
      <c r="CR75" s="56"/>
      <c r="CS75" s="48"/>
      <c r="CT75" s="48"/>
      <c r="CU75" s="48"/>
      <c r="CV75" s="48"/>
      <c r="CW75" s="56"/>
      <c r="CX75" s="48"/>
      <c r="CY75" s="48"/>
      <c r="CZ75" s="48"/>
      <c r="DA75" s="48"/>
      <c r="DB75" s="56"/>
    </row>
    <row r="76" spans="1:106" s="11" customFormat="1" ht="11.25" customHeight="1" thickBot="1" x14ac:dyDescent="0.4">
      <c r="A76" s="124" t="s">
        <v>60</v>
      </c>
      <c r="B76" s="129" t="str">
        <f>Macro!B$3</f>
        <v>1Q10</v>
      </c>
      <c r="C76" s="129" t="str">
        <f>Macro!C$3</f>
        <v>2Q10</v>
      </c>
      <c r="D76" s="129" t="str">
        <f>Macro!D$3</f>
        <v>3Q10</v>
      </c>
      <c r="E76" s="130" t="str">
        <f>Macro!E$3</f>
        <v>4Q10</v>
      </c>
      <c r="F76" s="131" t="str">
        <f>Macro!F$3</f>
        <v>2010</v>
      </c>
      <c r="G76" s="129" t="str">
        <f>Macro!G$3</f>
        <v>1Q11</v>
      </c>
      <c r="H76" s="129" t="str">
        <f>Macro!H$3</f>
        <v>2Q11</v>
      </c>
      <c r="I76" s="129" t="str">
        <f>Macro!I$3</f>
        <v>3Q11</v>
      </c>
      <c r="J76" s="130" t="str">
        <f>Macro!J$3</f>
        <v>4Q11</v>
      </c>
      <c r="K76" s="131" t="str">
        <f>Macro!K$3</f>
        <v>2011</v>
      </c>
      <c r="L76" s="129" t="str">
        <f>Macro!L$3</f>
        <v>1Q12</v>
      </c>
      <c r="M76" s="129" t="str">
        <f>Macro!M$3</f>
        <v>2Q12</v>
      </c>
      <c r="N76" s="129" t="str">
        <f>Macro!N$3</f>
        <v>3Q12</v>
      </c>
      <c r="O76" s="130" t="str">
        <f>Macro!O$3</f>
        <v>4Q12</v>
      </c>
      <c r="P76" s="131" t="str">
        <f>Macro!P$3</f>
        <v>2012</v>
      </c>
      <c r="Q76" s="129" t="str">
        <f>Macro!Q$3</f>
        <v>1Q13</v>
      </c>
      <c r="R76" s="129" t="str">
        <f>Macro!R$3</f>
        <v>2Q13</v>
      </c>
      <c r="S76" s="129" t="str">
        <f>Macro!S$3</f>
        <v>3Q13</v>
      </c>
      <c r="T76" s="130" t="str">
        <f>Macro!T$3</f>
        <v>4Q13</v>
      </c>
      <c r="U76" s="131" t="str">
        <f>Macro!U$3</f>
        <v>2013</v>
      </c>
      <c r="V76" s="129" t="str">
        <f>Macro!V$3</f>
        <v>1Q14</v>
      </c>
      <c r="W76" s="129" t="str">
        <f>Macro!W$3</f>
        <v>2Q14</v>
      </c>
      <c r="X76" s="129" t="str">
        <f>Macro!X$3</f>
        <v>3Q14</v>
      </c>
      <c r="Y76" s="130" t="str">
        <f>Macro!Y$3</f>
        <v>4Q14</v>
      </c>
      <c r="Z76" s="131" t="str">
        <f>Macro!Z$3</f>
        <v>2014</v>
      </c>
      <c r="AA76" s="129" t="str">
        <f>Macro!AA$3</f>
        <v>1Q15</v>
      </c>
      <c r="AB76" s="129" t="str">
        <f>Macro!AB$3</f>
        <v>2Q15</v>
      </c>
      <c r="AC76" s="129" t="str">
        <f>Macro!AC$3</f>
        <v>3Q15</v>
      </c>
      <c r="AD76" s="130" t="str">
        <f>Macro!AD$3</f>
        <v>4Q15</v>
      </c>
      <c r="AE76" s="131" t="str">
        <f>Macro!AE$3</f>
        <v>2015</v>
      </c>
      <c r="AF76" s="129" t="str">
        <f>Macro!AF$3</f>
        <v>1Q16</v>
      </c>
      <c r="AG76" s="129" t="str">
        <f>Macro!AG$3</f>
        <v>2Q16</v>
      </c>
      <c r="AH76" s="129" t="str">
        <f>Macro!AH$3</f>
        <v>3Q16</v>
      </c>
      <c r="AI76" s="130" t="str">
        <f>Macro!AI$3</f>
        <v>4Q16</v>
      </c>
      <c r="AJ76" s="131" t="str">
        <f>Macro!AJ$3</f>
        <v>2016</v>
      </c>
      <c r="AK76" s="129" t="str">
        <f>Macro!AK$3</f>
        <v>1Q17</v>
      </c>
      <c r="AL76" s="129" t="str">
        <f>Macro!AL$3</f>
        <v>2Q17</v>
      </c>
      <c r="AM76" s="129" t="str">
        <f>Macro!AM$3</f>
        <v>3Q17</v>
      </c>
      <c r="AN76" s="130" t="str">
        <f>Macro!AN$3</f>
        <v>4Q17</v>
      </c>
      <c r="AO76" s="131" t="str">
        <f>Macro!AO$3</f>
        <v>2017</v>
      </c>
      <c r="AP76" s="129" t="str">
        <f>Macro!AP$3</f>
        <v>1Q18</v>
      </c>
      <c r="AQ76" s="129" t="str">
        <f>Macro!AQ$3</f>
        <v>2Q18</v>
      </c>
      <c r="AR76" s="129" t="str">
        <f>Macro!AR$3</f>
        <v>3Q18</v>
      </c>
      <c r="AS76" s="130" t="str">
        <f>Macro!AS$3</f>
        <v>4Q18</v>
      </c>
      <c r="AT76" s="131" t="str">
        <f>Macro!AT$3</f>
        <v>2018</v>
      </c>
      <c r="AU76" s="129" t="str">
        <f>Macro!AU$3</f>
        <v>1Q19</v>
      </c>
      <c r="AV76" s="129" t="str">
        <f>Macro!AV$3</f>
        <v>2Q19</v>
      </c>
      <c r="AW76" s="129" t="str">
        <f>Macro!AW$3</f>
        <v>3Q19</v>
      </c>
      <c r="AX76" s="130" t="str">
        <f>Macro!AX$3</f>
        <v>4Q19</v>
      </c>
      <c r="AY76" s="131" t="str">
        <f>Macro!AY$3</f>
        <v>2019</v>
      </c>
      <c r="AZ76" s="129" t="str">
        <f>Macro!AZ$3</f>
        <v>1Q20</v>
      </c>
      <c r="BA76" s="129" t="str">
        <f>Macro!BA$3</f>
        <v>2Q20</v>
      </c>
      <c r="BB76" s="129" t="str">
        <f>Macro!BB$3</f>
        <v>3Q20</v>
      </c>
      <c r="BC76" s="130" t="str">
        <f>Macro!BC$3</f>
        <v>4Q20</v>
      </c>
      <c r="BD76" s="131" t="str">
        <f>Macro!BD$3</f>
        <v>2020</v>
      </c>
      <c r="BE76" s="129" t="str">
        <f>Macro!BE$3</f>
        <v>1Q21</v>
      </c>
      <c r="BF76" s="129" t="str">
        <f>Macro!BF$3</f>
        <v>2Q21</v>
      </c>
      <c r="BG76" s="129" t="str">
        <f>Macro!BG$3</f>
        <v>3Q21</v>
      </c>
      <c r="BH76" s="130" t="str">
        <f>Macro!BH$3</f>
        <v>4Q21</v>
      </c>
      <c r="BI76" s="131" t="str">
        <f>Macro!BI$3</f>
        <v>2021</v>
      </c>
      <c r="BJ76" s="129" t="str">
        <f>Macro!BJ$3</f>
        <v>1Q22</v>
      </c>
      <c r="BK76" s="129" t="str">
        <f>Macro!BK$3</f>
        <v>2Q22</v>
      </c>
      <c r="BL76" s="129" t="str">
        <f>Macro!BL$3</f>
        <v>3Q22</v>
      </c>
      <c r="BM76" s="130" t="str">
        <f>Macro!BM$3</f>
        <v>4Q22</v>
      </c>
      <c r="BN76" s="131" t="str">
        <f>Macro!BN$3</f>
        <v>2022</v>
      </c>
      <c r="BO76" s="129" t="str">
        <f>Macro!BO$3</f>
        <v>1Q23</v>
      </c>
      <c r="BP76" s="129" t="str">
        <f>Macro!BP$3</f>
        <v>2Q23</v>
      </c>
      <c r="BQ76" s="129" t="str">
        <f>Macro!BQ$3</f>
        <v>3Q23</v>
      </c>
      <c r="BR76" s="130" t="str">
        <f>Macro!BR$3</f>
        <v>4Q23</v>
      </c>
      <c r="BS76" s="131" t="str">
        <f>Macro!BS$3</f>
        <v>2023</v>
      </c>
      <c r="BT76" s="129" t="str">
        <f>Macro!BT$3</f>
        <v>1Q24</v>
      </c>
      <c r="BU76" s="129" t="str">
        <f>Macro!BU$3</f>
        <v>2Q24</v>
      </c>
      <c r="BV76" s="129" t="str">
        <f>Macro!BV$3</f>
        <v>3Q24</v>
      </c>
      <c r="BW76" s="130" t="str">
        <f>Macro!BW$3</f>
        <v>4Q24</v>
      </c>
      <c r="BX76" s="131" t="str">
        <f>Macro!BX$3</f>
        <v>2024</v>
      </c>
      <c r="BY76" s="129" t="str">
        <f>Macro!BY$3</f>
        <v>1Q25</v>
      </c>
      <c r="BZ76" s="129" t="str">
        <f>Macro!BZ$3</f>
        <v>2Q25</v>
      </c>
      <c r="CA76" s="125" t="str">
        <f>Macro!CA$3</f>
        <v>3Q25</v>
      </c>
      <c r="CB76" s="125" t="str">
        <f>Macro!CB$3</f>
        <v>4Q25</v>
      </c>
      <c r="CC76" s="126" t="str">
        <f>Macro!CC$3</f>
        <v>2025</v>
      </c>
      <c r="CD76" s="125" t="str">
        <f>Macro!CD$3</f>
        <v>1Q26</v>
      </c>
      <c r="CE76" s="125" t="str">
        <f>Macro!CE$3</f>
        <v>2Q26</v>
      </c>
      <c r="CF76" s="125" t="str">
        <f>Macro!CF$3</f>
        <v>3Q26E</v>
      </c>
      <c r="CG76" s="125" t="str">
        <f>Macro!CG$3</f>
        <v>4Q26E</v>
      </c>
      <c r="CH76" s="126" t="str">
        <f>Macro!CH$3</f>
        <v>2026E</v>
      </c>
      <c r="CI76" s="125" t="str">
        <f>Macro!CI$3</f>
        <v>1Q27E</v>
      </c>
      <c r="CJ76" s="125" t="str">
        <f>Macro!CJ$3</f>
        <v>2Q27E</v>
      </c>
      <c r="CK76" s="125" t="str">
        <f>Macro!CK$3</f>
        <v>3Q27E</v>
      </c>
      <c r="CL76" s="125" t="str">
        <f>Macro!CL$3</f>
        <v>4Q27E</v>
      </c>
      <c r="CM76" s="126" t="str">
        <f>Macro!CM$3</f>
        <v>2027E</v>
      </c>
      <c r="CN76" s="125" t="str">
        <f>Macro!CN$3</f>
        <v>1Q28E</v>
      </c>
      <c r="CO76" s="125" t="str">
        <f>Macro!CO$3</f>
        <v>2Q28E</v>
      </c>
      <c r="CP76" s="125" t="str">
        <f>Macro!CP$3</f>
        <v>3Q28E</v>
      </c>
      <c r="CQ76" s="125" t="str">
        <f>Macro!CQ$3</f>
        <v>4Q28E</v>
      </c>
      <c r="CR76" s="126" t="str">
        <f>Macro!CR$3</f>
        <v>2028E</v>
      </c>
      <c r="CS76" s="125" t="str">
        <f>Macro!CS$3</f>
        <v>1Q29E</v>
      </c>
      <c r="CT76" s="125" t="str">
        <f>Macro!CT$3</f>
        <v>2Q29E</v>
      </c>
      <c r="CU76" s="125" t="str">
        <f>Macro!CU$3</f>
        <v>3Q29E</v>
      </c>
      <c r="CV76" s="125" t="str">
        <f>Macro!CV$3</f>
        <v>4Q29E</v>
      </c>
      <c r="CW76" s="126" t="str">
        <f>Macro!CW$3</f>
        <v>2029E</v>
      </c>
      <c r="CX76" s="125" t="str">
        <f>Macro!CX$3</f>
        <v>1Q30E</v>
      </c>
      <c r="CY76" s="125" t="str">
        <f>Macro!CY$3</f>
        <v>2Q30E</v>
      </c>
      <c r="CZ76" s="125" t="str">
        <f>Macro!CZ$3</f>
        <v>3Q30E</v>
      </c>
      <c r="DA76" s="125" t="str">
        <f>Macro!DA$3</f>
        <v>4Q30E</v>
      </c>
      <c r="DB76" s="126" t="str">
        <f>Macro!DB$3</f>
        <v>2030E</v>
      </c>
    </row>
    <row r="77" spans="1:106" s="11" customFormat="1" ht="11.25" customHeight="1" thickTop="1" x14ac:dyDescent="0.35">
      <c r="A77" s="179" t="s">
        <v>156</v>
      </c>
      <c r="B77" s="135">
        <f>B61/B59</f>
        <v>0.35689674051258868</v>
      </c>
      <c r="C77" s="135">
        <f>C61/C59</f>
        <v>0.34197298967105783</v>
      </c>
      <c r="D77" s="135">
        <f>D61/D59</f>
        <v>0.36648347725558234</v>
      </c>
      <c r="E77" s="135">
        <f>E61/E59</f>
        <v>0.28089511564681674</v>
      </c>
      <c r="F77" s="136">
        <f>F61/F59</f>
        <v>0.33390387322971593</v>
      </c>
      <c r="G77" s="135">
        <f t="shared" ref="G77:AL77" si="183">G61/G$59</f>
        <v>0.30631059794693616</v>
      </c>
      <c r="H77" s="135">
        <f t="shared" si="183"/>
        <v>0.3072275042592148</v>
      </c>
      <c r="I77" s="135">
        <f t="shared" si="183"/>
        <v>0.32489442819385972</v>
      </c>
      <c r="J77" s="135">
        <f t="shared" si="183"/>
        <v>0.31575662460241799</v>
      </c>
      <c r="K77" s="136">
        <f t="shared" si="183"/>
        <v>0.31430632170466022</v>
      </c>
      <c r="L77" s="135">
        <f t="shared" si="183"/>
        <v>0.34144466881214014</v>
      </c>
      <c r="M77" s="135">
        <f t="shared" si="183"/>
        <v>0.3227257206754241</v>
      </c>
      <c r="N77" s="135">
        <f t="shared" si="183"/>
        <v>0.34913759896648178</v>
      </c>
      <c r="O77" s="135">
        <f t="shared" si="183"/>
        <v>0.40392461573829186</v>
      </c>
      <c r="P77" s="136">
        <f t="shared" si="183"/>
        <v>0.35455934911256259</v>
      </c>
      <c r="Q77" s="135">
        <f t="shared" si="183"/>
        <v>0.35133251602392684</v>
      </c>
      <c r="R77" s="135">
        <f t="shared" si="183"/>
        <v>0.34978967793363397</v>
      </c>
      <c r="S77" s="135">
        <f t="shared" si="183"/>
        <v>0.36360624419124987</v>
      </c>
      <c r="T77" s="135">
        <f t="shared" si="183"/>
        <v>0.38252791180481344</v>
      </c>
      <c r="U77" s="136">
        <f t="shared" si="183"/>
        <v>0.36219429242861256</v>
      </c>
      <c r="V77" s="135">
        <f t="shared" si="183"/>
        <v>0.36963740780104642</v>
      </c>
      <c r="W77" s="135">
        <f t="shared" si="183"/>
        <v>0.37272873842973475</v>
      </c>
      <c r="X77" s="135">
        <f t="shared" si="183"/>
        <v>0.33089751725232014</v>
      </c>
      <c r="Y77" s="135">
        <f t="shared" si="183"/>
        <v>0.3593572978913297</v>
      </c>
      <c r="Z77" s="136">
        <f t="shared" si="183"/>
        <v>0.35690960027514956</v>
      </c>
      <c r="AA77" s="135">
        <f t="shared" si="183"/>
        <v>0.39091047841315901</v>
      </c>
      <c r="AB77" s="135">
        <f t="shared" si="183"/>
        <v>0.38665515789547705</v>
      </c>
      <c r="AC77" s="135">
        <f t="shared" si="183"/>
        <v>0.38463769619058252</v>
      </c>
      <c r="AD77" s="135">
        <f t="shared" si="183"/>
        <v>0.3802789567552986</v>
      </c>
      <c r="AE77" s="136">
        <f t="shared" si="183"/>
        <v>0.38562751544279167</v>
      </c>
      <c r="AF77" s="135">
        <f t="shared" si="183"/>
        <v>0.41028190244058882</v>
      </c>
      <c r="AG77" s="135">
        <f t="shared" si="183"/>
        <v>0.47107871201638607</v>
      </c>
      <c r="AH77" s="135">
        <f t="shared" si="183"/>
        <v>0.38381948746797734</v>
      </c>
      <c r="AI77" s="135">
        <f t="shared" si="183"/>
        <v>0.34187560679347473</v>
      </c>
      <c r="AJ77" s="136">
        <f t="shared" si="183"/>
        <v>0.39597879391983876</v>
      </c>
      <c r="AK77" s="135">
        <f t="shared" si="183"/>
        <v>0.37536522205067396</v>
      </c>
      <c r="AL77" s="135">
        <f t="shared" si="183"/>
        <v>0.35091064730076765</v>
      </c>
      <c r="AM77" s="135">
        <f t="shared" ref="AM77:BR77" si="184">AM61/AM$59</f>
        <v>0.31229603212969637</v>
      </c>
      <c r="AN77" s="135">
        <f t="shared" si="184"/>
        <v>0.32170375865479722</v>
      </c>
      <c r="AO77" s="136">
        <f t="shared" si="184"/>
        <v>0.33977455054099642</v>
      </c>
      <c r="AP77" s="135">
        <f t="shared" si="184"/>
        <v>0.33373426064417627</v>
      </c>
      <c r="AQ77" s="135">
        <f t="shared" si="184"/>
        <v>0.31315838439876226</v>
      </c>
      <c r="AR77" s="135">
        <f t="shared" si="184"/>
        <v>0.32788328217155865</v>
      </c>
      <c r="AS77" s="135">
        <f t="shared" si="184"/>
        <v>0.31222619249868405</v>
      </c>
      <c r="AT77" s="136">
        <f t="shared" si="184"/>
        <v>0.3197074017765979</v>
      </c>
      <c r="AU77" s="135">
        <f t="shared" si="184"/>
        <v>0.33008970802530996</v>
      </c>
      <c r="AV77" s="135">
        <f t="shared" si="184"/>
        <v>0.33227812287133979</v>
      </c>
      <c r="AW77" s="135">
        <f t="shared" si="184"/>
        <v>0.33066169996758521</v>
      </c>
      <c r="AX77" s="135">
        <f t="shared" si="184"/>
        <v>0.32765653102563563</v>
      </c>
      <c r="AY77" s="136">
        <f t="shared" si="184"/>
        <v>0.32998382272618226</v>
      </c>
      <c r="AZ77" s="135">
        <f t="shared" si="184"/>
        <v>0.35632065171198618</v>
      </c>
      <c r="BA77" s="135">
        <f t="shared" si="184"/>
        <v>0.34775180971092312</v>
      </c>
      <c r="BB77" s="135">
        <f t="shared" si="184"/>
        <v>0.34107174626967013</v>
      </c>
      <c r="BC77" s="135">
        <f t="shared" si="184"/>
        <v>0.33758553135913233</v>
      </c>
      <c r="BD77" s="136">
        <f t="shared" si="184"/>
        <v>0.3446236311673313</v>
      </c>
      <c r="BE77" s="135">
        <f t="shared" si="184"/>
        <v>0.35422901730740874</v>
      </c>
      <c r="BF77" s="135">
        <f t="shared" si="184"/>
        <v>0.37449482622529756</v>
      </c>
      <c r="BG77" s="135">
        <f t="shared" si="184"/>
        <v>0.35587760674791341</v>
      </c>
      <c r="BH77" s="135">
        <f t="shared" si="184"/>
        <v>0.3458283051438284</v>
      </c>
      <c r="BI77" s="136">
        <f t="shared" si="184"/>
        <v>0.35736353156121287</v>
      </c>
      <c r="BJ77" s="135">
        <f t="shared" si="184"/>
        <v>0.32461847989529508</v>
      </c>
      <c r="BK77" s="135">
        <f t="shared" si="184"/>
        <v>0.32865177752197255</v>
      </c>
      <c r="BL77" s="135">
        <f t="shared" si="184"/>
        <v>0.35339795491791715</v>
      </c>
      <c r="BM77" s="135">
        <f t="shared" si="184"/>
        <v>0.33126902012960679</v>
      </c>
      <c r="BN77" s="136">
        <f t="shared" si="184"/>
        <v>0.33552790452109504</v>
      </c>
      <c r="BO77" s="135">
        <f t="shared" si="184"/>
        <v>0.32658057418191622</v>
      </c>
      <c r="BP77" s="135">
        <f t="shared" si="184"/>
        <v>0.34136572252618558</v>
      </c>
      <c r="BQ77" s="135">
        <f t="shared" si="184"/>
        <v>0.35391734374260064</v>
      </c>
      <c r="BR77" s="135">
        <f t="shared" si="184"/>
        <v>0.35446088861680086</v>
      </c>
      <c r="BS77" s="136">
        <f t="shared" ref="BS77:DB77" si="185">BS61/BS$59</f>
        <v>0.34517669889434949</v>
      </c>
      <c r="BT77" s="135">
        <f t="shared" si="185"/>
        <v>0.3310047421627797</v>
      </c>
      <c r="BU77" s="135">
        <f t="shared" si="185"/>
        <v>0.34748233170351839</v>
      </c>
      <c r="BV77" s="135">
        <f t="shared" si="185"/>
        <v>0.35080858728914477</v>
      </c>
      <c r="BW77" s="135">
        <f t="shared" si="185"/>
        <v>0.33355118704337006</v>
      </c>
      <c r="BX77" s="136">
        <f t="shared" si="185"/>
        <v>0.34069298220065863</v>
      </c>
      <c r="BY77" s="135">
        <f t="shared" si="185"/>
        <v>0.34353402186871396</v>
      </c>
      <c r="BZ77" s="135">
        <f>BZ61/BZ$59</f>
        <v>0.34900884140987981</v>
      </c>
      <c r="CA77" s="135">
        <f>CA61/CA$59</f>
        <v>0.35285696700785457</v>
      </c>
      <c r="CB77" s="135">
        <f t="shared" ref="CB77" si="186">CB61/CB$59</f>
        <v>0.33720628318600482</v>
      </c>
      <c r="CC77" s="136">
        <f t="shared" si="185"/>
        <v>0.34469157618182811</v>
      </c>
      <c r="CD77" s="135">
        <f t="shared" ref="CD77" si="187">CD61/CD$59</f>
        <v>0.36106374562784904</v>
      </c>
      <c r="CE77" s="135">
        <f>CE61/CE$59</f>
        <v>0.37312460019082005</v>
      </c>
      <c r="CF77" s="135">
        <f t="shared" si="185"/>
        <v>0.35526959371077754</v>
      </c>
      <c r="CG77" s="135">
        <f t="shared" si="185"/>
        <v>0.35552527284388569</v>
      </c>
      <c r="CH77" s="136">
        <f t="shared" si="185"/>
        <v>0.36093257505064635</v>
      </c>
      <c r="CI77" s="135">
        <f t="shared" si="185"/>
        <v>0.35631342327836996</v>
      </c>
      <c r="CJ77" s="135">
        <f t="shared" si="185"/>
        <v>0.35619796564416706</v>
      </c>
      <c r="CK77" s="135">
        <f t="shared" si="185"/>
        <v>0.35605186451653598</v>
      </c>
      <c r="CL77" s="135">
        <f t="shared" si="185"/>
        <v>0.35591748497838965</v>
      </c>
      <c r="CM77" s="136">
        <f t="shared" si="185"/>
        <v>0.35611315277669897</v>
      </c>
      <c r="CN77" s="135">
        <f t="shared" si="185"/>
        <v>0.35386864280248953</v>
      </c>
      <c r="CO77" s="135">
        <f t="shared" si="185"/>
        <v>0.35356854891885253</v>
      </c>
      <c r="CP77" s="135">
        <f t="shared" si="185"/>
        <v>0.35318762688459032</v>
      </c>
      <c r="CQ77" s="135">
        <f t="shared" si="185"/>
        <v>0.35277106022228177</v>
      </c>
      <c r="CR77" s="136">
        <f t="shared" si="185"/>
        <v>0.35333047719536342</v>
      </c>
      <c r="CS77" s="135">
        <f t="shared" si="185"/>
        <v>0.35251642807989431</v>
      </c>
      <c r="CT77" s="135">
        <f t="shared" si="185"/>
        <v>0.35233276528378321</v>
      </c>
      <c r="CU77" s="135">
        <f t="shared" si="185"/>
        <v>0.35209428784988189</v>
      </c>
      <c r="CV77" s="135">
        <f t="shared" si="185"/>
        <v>0.35182749131118407</v>
      </c>
      <c r="CW77" s="136">
        <f t="shared" si="185"/>
        <v>0.35218289133145103</v>
      </c>
      <c r="CX77" s="135">
        <f t="shared" si="185"/>
        <v>0.35174797439136213</v>
      </c>
      <c r="CY77" s="135">
        <f t="shared" si="185"/>
        <v>0.35161377298650631</v>
      </c>
      <c r="CZ77" s="135">
        <f t="shared" si="185"/>
        <v>0.35144198686896544</v>
      </c>
      <c r="DA77" s="135">
        <f t="shared" si="185"/>
        <v>0.35125307625603841</v>
      </c>
      <c r="DB77" s="136">
        <f t="shared" si="185"/>
        <v>0.35150778820889478</v>
      </c>
    </row>
    <row r="78" spans="1:106" ht="11.25" customHeight="1" x14ac:dyDescent="0.35">
      <c r="A78" s="179" t="s">
        <v>85</v>
      </c>
      <c r="B78" s="60">
        <f>B16/B9</f>
        <v>0.34846368221763824</v>
      </c>
      <c r="C78" s="60">
        <f>C16/C9</f>
        <v>0.3259492384944872</v>
      </c>
      <c r="D78" s="60">
        <f>D16/D9</f>
        <v>0.35178216144007696</v>
      </c>
      <c r="E78" s="60">
        <f>E16/E9</f>
        <v>0.24473807523791219</v>
      </c>
      <c r="F78" s="59">
        <f>F16/F9</f>
        <v>0.31423251647970751</v>
      </c>
      <c r="G78" s="60">
        <f t="shared" ref="G78:AL78" si="188">(G16)/G9</f>
        <v>0.27375822616348888</v>
      </c>
      <c r="H78" s="60">
        <f t="shared" si="188"/>
        <v>0.27659297526039783</v>
      </c>
      <c r="I78" s="60">
        <f t="shared" si="188"/>
        <v>0.28594538863120206</v>
      </c>
      <c r="J78" s="60">
        <f t="shared" si="188"/>
        <v>0.29054933243528153</v>
      </c>
      <c r="K78" s="59">
        <f t="shared" si="188"/>
        <v>0.28293650450375163</v>
      </c>
      <c r="L78" s="60">
        <f t="shared" si="188"/>
        <v>0.31362034667195876</v>
      </c>
      <c r="M78" s="60">
        <f t="shared" si="188"/>
        <v>0.2971067587887643</v>
      </c>
      <c r="N78" s="60">
        <f t="shared" si="188"/>
        <v>0.31726016925046224</v>
      </c>
      <c r="O78" s="60">
        <f t="shared" si="188"/>
        <v>0.36270867382981592</v>
      </c>
      <c r="P78" s="59">
        <f t="shared" si="188"/>
        <v>0.32290354199129756</v>
      </c>
      <c r="Q78" s="60">
        <f t="shared" si="188"/>
        <v>0.32666595357792277</v>
      </c>
      <c r="R78" s="60">
        <f t="shared" si="188"/>
        <v>0.32626624959287215</v>
      </c>
      <c r="S78" s="60">
        <f t="shared" si="188"/>
        <v>0.32790753043498216</v>
      </c>
      <c r="T78" s="60">
        <f t="shared" si="188"/>
        <v>0.32903727210906381</v>
      </c>
      <c r="U78" s="59">
        <f t="shared" si="188"/>
        <v>0.3274995616061559</v>
      </c>
      <c r="V78" s="60">
        <f t="shared" si="188"/>
        <v>0.33272589598908892</v>
      </c>
      <c r="W78" s="60">
        <f t="shared" si="188"/>
        <v>0.33390388646066388</v>
      </c>
      <c r="X78" s="60">
        <f t="shared" si="188"/>
        <v>0.2991461836678036</v>
      </c>
      <c r="Y78" s="60">
        <f t="shared" si="188"/>
        <v>0.32329024173199228</v>
      </c>
      <c r="Z78" s="59">
        <f t="shared" si="188"/>
        <v>0.32120478651588441</v>
      </c>
      <c r="AA78" s="60">
        <f t="shared" si="188"/>
        <v>0.34834440028824959</v>
      </c>
      <c r="AB78" s="60">
        <f t="shared" si="188"/>
        <v>0.35076203125123606</v>
      </c>
      <c r="AC78" s="60">
        <f t="shared" si="188"/>
        <v>0.34675446699708984</v>
      </c>
      <c r="AD78" s="60">
        <f t="shared" si="188"/>
        <v>0.33855382638852499</v>
      </c>
      <c r="AE78" s="59">
        <f t="shared" si="188"/>
        <v>0.34623710950745235</v>
      </c>
      <c r="AF78" s="60">
        <f t="shared" si="188"/>
        <v>0.3481669063754308</v>
      </c>
      <c r="AG78" s="60">
        <f t="shared" si="188"/>
        <v>0.39612625247062166</v>
      </c>
      <c r="AH78" s="60">
        <f t="shared" si="188"/>
        <v>0.31694808603709718</v>
      </c>
      <c r="AI78" s="60">
        <f t="shared" si="188"/>
        <v>0.28833410973873597</v>
      </c>
      <c r="AJ78" s="59">
        <f t="shared" si="188"/>
        <v>0.33252579561920442</v>
      </c>
      <c r="AK78" s="60">
        <f t="shared" si="188"/>
        <v>0.31054453650920655</v>
      </c>
      <c r="AL78" s="60">
        <f t="shared" si="188"/>
        <v>0.2672247005685891</v>
      </c>
      <c r="AM78" s="60">
        <f t="shared" ref="AM78:BR78" si="189">(AM16)/AM9</f>
        <v>0.2464458781553861</v>
      </c>
      <c r="AN78" s="60">
        <f t="shared" si="189"/>
        <v>0.27024604352126608</v>
      </c>
      <c r="AO78" s="59">
        <f t="shared" si="189"/>
        <v>0.27471061460035828</v>
      </c>
      <c r="AP78" s="60">
        <f t="shared" si="189"/>
        <v>0.27691280052904654</v>
      </c>
      <c r="AQ78" s="60">
        <f t="shared" si="189"/>
        <v>0.26784449423725526</v>
      </c>
      <c r="AR78" s="60">
        <f t="shared" si="189"/>
        <v>0.28251784913599837</v>
      </c>
      <c r="AS78" s="60">
        <f t="shared" si="189"/>
        <v>0.29157023350981415</v>
      </c>
      <c r="AT78" s="59">
        <f t="shared" si="189"/>
        <v>0.28177135611932547</v>
      </c>
      <c r="AU78" s="60">
        <f t="shared" si="189"/>
        <v>0.30123233555545875</v>
      </c>
      <c r="AV78" s="60">
        <f t="shared" si="189"/>
        <v>0.31278359893318758</v>
      </c>
      <c r="AW78" s="60">
        <f t="shared" si="189"/>
        <v>0.30909250405719552</v>
      </c>
      <c r="AX78" s="60">
        <f t="shared" si="189"/>
        <v>0.31214411866306196</v>
      </c>
      <c r="AY78" s="59">
        <f t="shared" si="189"/>
        <v>0.30927721751907933</v>
      </c>
      <c r="AZ78" s="60">
        <f t="shared" si="189"/>
        <v>0.34109616805382115</v>
      </c>
      <c r="BA78" s="60">
        <f t="shared" si="189"/>
        <v>0.32769239206111528</v>
      </c>
      <c r="BB78" s="60">
        <f t="shared" si="189"/>
        <v>0.32538033851223419</v>
      </c>
      <c r="BC78" s="60">
        <f t="shared" si="189"/>
        <v>0.31806403376773329</v>
      </c>
      <c r="BD78" s="59">
        <f t="shared" si="189"/>
        <v>0.3270089986233215</v>
      </c>
      <c r="BE78" s="60">
        <f t="shared" si="189"/>
        <v>0.3452515213224247</v>
      </c>
      <c r="BF78" s="60">
        <f t="shared" si="189"/>
        <v>0.36571662553647616</v>
      </c>
      <c r="BG78" s="60">
        <f t="shared" si="189"/>
        <v>0.34687764633376772</v>
      </c>
      <c r="BH78" s="60">
        <f t="shared" si="189"/>
        <v>0.33423378745890431</v>
      </c>
      <c r="BI78" s="59">
        <f t="shared" si="189"/>
        <v>0.34770988677751863</v>
      </c>
      <c r="BJ78" s="60">
        <f t="shared" si="189"/>
        <v>0.3114110154491691</v>
      </c>
      <c r="BK78" s="60">
        <f t="shared" si="189"/>
        <v>0.31304401387747854</v>
      </c>
      <c r="BL78" s="60">
        <f t="shared" si="189"/>
        <v>0.33878500478314283</v>
      </c>
      <c r="BM78" s="60">
        <f t="shared" si="189"/>
        <v>0.31416731586763885</v>
      </c>
      <c r="BN78" s="59">
        <f t="shared" si="189"/>
        <v>0.32037462850786957</v>
      </c>
      <c r="BO78" s="60">
        <f t="shared" si="189"/>
        <v>0.3073546897133142</v>
      </c>
      <c r="BP78" s="60">
        <f t="shared" si="189"/>
        <v>0.32276194004488518</v>
      </c>
      <c r="BQ78" s="60">
        <f t="shared" si="189"/>
        <v>0.33546639671780892</v>
      </c>
      <c r="BR78" s="60">
        <f t="shared" si="189"/>
        <v>0.33713574365100385</v>
      </c>
      <c r="BS78" s="59">
        <f t="shared" ref="BS78:DB78" si="190">(BS16)/BS9</f>
        <v>0.32683469970328016</v>
      </c>
      <c r="BT78" s="60">
        <f t="shared" si="190"/>
        <v>0.3137634615054507</v>
      </c>
      <c r="BU78" s="60">
        <f t="shared" si="190"/>
        <v>0.32852664475508886</v>
      </c>
      <c r="BV78" s="60">
        <f t="shared" si="190"/>
        <v>0.33314348131772409</v>
      </c>
      <c r="BW78" s="60">
        <f t="shared" si="190"/>
        <v>0.31925982406517417</v>
      </c>
      <c r="BX78" s="59">
        <f t="shared" si="190"/>
        <v>0.32387221292121909</v>
      </c>
      <c r="BY78" s="60">
        <f t="shared" si="190"/>
        <v>0.32484493615138493</v>
      </c>
      <c r="BZ78" s="60">
        <f>(BZ16)/BZ9</f>
        <v>0.32738179419399849</v>
      </c>
      <c r="CA78" s="60">
        <f>(CA16)/CA9</f>
        <v>0.33001260074251354</v>
      </c>
      <c r="CB78" s="60">
        <f t="shared" ref="CB78" si="191">(CB16)/CB9</f>
        <v>0.32251124669028619</v>
      </c>
      <c r="CC78" s="59">
        <f t="shared" si="190"/>
        <v>0.32577820922897599</v>
      </c>
      <c r="CD78" s="60">
        <f t="shared" ref="CD78" si="192">(CD16)/CD9</f>
        <v>0.32884698669108109</v>
      </c>
      <c r="CE78" s="60">
        <f>(CE16)/CE9</f>
        <v>0.34379820635575165</v>
      </c>
      <c r="CF78" s="60">
        <f t="shared" si="190"/>
        <v>0.33787253191998701</v>
      </c>
      <c r="CG78" s="60">
        <f t="shared" si="190"/>
        <v>0.33772232140120362</v>
      </c>
      <c r="CH78" s="59">
        <f t="shared" si="190"/>
        <v>0.33747287331617404</v>
      </c>
      <c r="CI78" s="60">
        <f t="shared" si="190"/>
        <v>0.34132717830375575</v>
      </c>
      <c r="CJ78" s="60">
        <f t="shared" si="190"/>
        <v>0.34032079993762332</v>
      </c>
      <c r="CK78" s="60">
        <f t="shared" si="190"/>
        <v>0.33936443749384182</v>
      </c>
      <c r="CL78" s="60">
        <f t="shared" si="190"/>
        <v>0.33862345016012302</v>
      </c>
      <c r="CM78" s="59">
        <f t="shared" si="190"/>
        <v>0.33986211591249404</v>
      </c>
      <c r="CN78" s="60">
        <f t="shared" si="190"/>
        <v>0.33947056437363465</v>
      </c>
      <c r="CO78" s="60">
        <f t="shared" si="190"/>
        <v>0.33881943151050348</v>
      </c>
      <c r="CP78" s="60">
        <f t="shared" si="190"/>
        <v>0.33785470800533574</v>
      </c>
      <c r="CQ78" s="60">
        <f t="shared" si="190"/>
        <v>0.33648510054091341</v>
      </c>
      <c r="CR78" s="59">
        <f t="shared" si="190"/>
        <v>0.33810606939728788</v>
      </c>
      <c r="CS78" s="60">
        <f t="shared" si="190"/>
        <v>0.33637798206030262</v>
      </c>
      <c r="CT78" s="60">
        <f t="shared" si="190"/>
        <v>0.33644773645054471</v>
      </c>
      <c r="CU78" s="60">
        <f t="shared" si="190"/>
        <v>0.33613116102616025</v>
      </c>
      <c r="CV78" s="60">
        <f t="shared" si="190"/>
        <v>0.33516055539047834</v>
      </c>
      <c r="CW78" s="59">
        <f t="shared" si="190"/>
        <v>0.3360092330434995</v>
      </c>
      <c r="CX78" s="60">
        <f t="shared" si="190"/>
        <v>0.33607341416582809</v>
      </c>
      <c r="CY78" s="60">
        <f t="shared" si="190"/>
        <v>0.33619627917177691</v>
      </c>
      <c r="CZ78" s="60">
        <f t="shared" si="190"/>
        <v>0.33591766249943317</v>
      </c>
      <c r="DA78" s="60">
        <f t="shared" si="190"/>
        <v>0.3350254316261681</v>
      </c>
      <c r="DB78" s="59">
        <f t="shared" si="190"/>
        <v>0.33578682819656464</v>
      </c>
    </row>
    <row r="79" spans="1:106" ht="11.25" customHeight="1" outlineLevel="1" x14ac:dyDescent="0.35">
      <c r="A79" s="187" t="s">
        <v>154</v>
      </c>
      <c r="B79" s="21">
        <f t="shared" ref="B79:AG79" si="193">(B5+B11)/B5</f>
        <v>0.37883928409601891</v>
      </c>
      <c r="C79" s="21">
        <f t="shared" si="193"/>
        <v>0.35928190893444417</v>
      </c>
      <c r="D79" s="21">
        <f t="shared" si="193"/>
        <v>0.38995334965659578</v>
      </c>
      <c r="E79" s="21">
        <f t="shared" si="193"/>
        <v>0.30720559257755642</v>
      </c>
      <c r="F79" s="22">
        <f t="shared" si="193"/>
        <v>0.35634728256359277</v>
      </c>
      <c r="G79" s="21">
        <f t="shared" si="193"/>
        <v>0.33569670522952116</v>
      </c>
      <c r="H79" s="21">
        <f t="shared" si="193"/>
        <v>0.33557129658145979</v>
      </c>
      <c r="I79" s="21">
        <f t="shared" si="193"/>
        <v>0.3485117543490398</v>
      </c>
      <c r="J79" s="21">
        <f t="shared" si="193"/>
        <v>0.33795817121909094</v>
      </c>
      <c r="K79" s="22">
        <f t="shared" si="193"/>
        <v>0.33965031721089939</v>
      </c>
      <c r="L79" s="21">
        <f t="shared" si="193"/>
        <v>0.36662845316344045</v>
      </c>
      <c r="M79" s="21">
        <f t="shared" si="193"/>
        <v>0.34888930371476573</v>
      </c>
      <c r="N79" s="21">
        <f t="shared" si="193"/>
        <v>0.37646139396155526</v>
      </c>
      <c r="O79" s="21">
        <f t="shared" si="193"/>
        <v>0.40294063079777365</v>
      </c>
      <c r="P79" s="22">
        <f t="shared" si="193"/>
        <v>0.37354149456066299</v>
      </c>
      <c r="Q79" s="21">
        <f t="shared" si="193"/>
        <v>0.37097259129414378</v>
      </c>
      <c r="R79" s="21">
        <f t="shared" si="193"/>
        <v>0.36814884050243812</v>
      </c>
      <c r="S79" s="21">
        <f t="shared" si="193"/>
        <v>0.38310538574784297</v>
      </c>
      <c r="T79" s="21">
        <f t="shared" si="193"/>
        <v>0.40423534616737189</v>
      </c>
      <c r="U79" s="22">
        <f t="shared" si="193"/>
        <v>0.3820122884594348</v>
      </c>
      <c r="V79" s="21">
        <f t="shared" si="193"/>
        <v>0.38747775973928722</v>
      </c>
      <c r="W79" s="21">
        <f t="shared" si="193"/>
        <v>0.39045817256816961</v>
      </c>
      <c r="X79" s="21">
        <f t="shared" si="193"/>
        <v>0.33726073701490367</v>
      </c>
      <c r="Y79" s="21">
        <f t="shared" si="193"/>
        <v>0.37683419929140721</v>
      </c>
      <c r="Z79" s="22">
        <f t="shared" si="193"/>
        <v>0.37163299348478163</v>
      </c>
      <c r="AA79" s="21">
        <f t="shared" si="193"/>
        <v>0.41237897812711982</v>
      </c>
      <c r="AB79" s="21">
        <f t="shared" si="193"/>
        <v>0.4031221232512609</v>
      </c>
      <c r="AC79" s="21">
        <f t="shared" si="193"/>
        <v>0.40469979497019898</v>
      </c>
      <c r="AD79" s="21">
        <f t="shared" si="193"/>
        <v>0.3993640918376809</v>
      </c>
      <c r="AE79" s="22">
        <f t="shared" si="193"/>
        <v>0.4048552960553547</v>
      </c>
      <c r="AF79" s="21">
        <f t="shared" si="193"/>
        <v>0.43007108522302667</v>
      </c>
      <c r="AG79" s="21">
        <f t="shared" si="193"/>
        <v>0.50138895443033993</v>
      </c>
      <c r="AH79" s="21">
        <f t="shared" ref="AH79:BM79" si="194">(AH5+AH11)/AH5</f>
        <v>0.40288349356052344</v>
      </c>
      <c r="AI79" s="21">
        <f t="shared" si="194"/>
        <v>0.36344662424491292</v>
      </c>
      <c r="AJ79" s="22">
        <f t="shared" si="194"/>
        <v>0.41763449495378485</v>
      </c>
      <c r="AK79" s="21">
        <f t="shared" si="194"/>
        <v>0.38837227711372257</v>
      </c>
      <c r="AL79" s="21">
        <f t="shared" si="194"/>
        <v>0.36832725924483106</v>
      </c>
      <c r="AM79" s="21">
        <f t="shared" si="194"/>
        <v>0.33053978182702209</v>
      </c>
      <c r="AN79" s="21">
        <f t="shared" si="194"/>
        <v>0.34033352801831246</v>
      </c>
      <c r="AO79" s="22">
        <f t="shared" si="194"/>
        <v>0.35646087874166277</v>
      </c>
      <c r="AP79" s="21">
        <f t="shared" si="194"/>
        <v>0.35256102306148934</v>
      </c>
      <c r="AQ79" s="21">
        <f t="shared" si="194"/>
        <v>0.332674116682879</v>
      </c>
      <c r="AR79" s="21">
        <f t="shared" si="194"/>
        <v>0.34765830960219796</v>
      </c>
      <c r="AS79" s="21">
        <f t="shared" si="194"/>
        <v>0.33383511934108639</v>
      </c>
      <c r="AT79" s="22">
        <f t="shared" si="194"/>
        <v>0.3399471969673632</v>
      </c>
      <c r="AU79" s="21">
        <f t="shared" si="194"/>
        <v>0.34938753444081394</v>
      </c>
      <c r="AV79" s="21">
        <f t="shared" si="194"/>
        <v>0.3489560116442843</v>
      </c>
      <c r="AW79" s="21">
        <f t="shared" si="194"/>
        <v>0.34441654430428975</v>
      </c>
      <c r="AX79" s="21">
        <f t="shared" si="194"/>
        <v>0.3445246927182315</v>
      </c>
      <c r="AY79" s="22">
        <f t="shared" si="194"/>
        <v>0.34657918993277304</v>
      </c>
      <c r="AZ79" s="21">
        <f t="shared" si="194"/>
        <v>0.36905021939886651</v>
      </c>
      <c r="BA79" s="21">
        <f t="shared" si="194"/>
        <v>0.37048852945446303</v>
      </c>
      <c r="BB79" s="21">
        <f t="shared" si="194"/>
        <v>0.35480899941861799</v>
      </c>
      <c r="BC79" s="21">
        <f t="shared" si="194"/>
        <v>0.3480266529984623</v>
      </c>
      <c r="BD79" s="22">
        <f t="shared" si="194"/>
        <v>0.35924928316518562</v>
      </c>
      <c r="BE79" s="21">
        <f t="shared" si="194"/>
        <v>0.36952880971634244</v>
      </c>
      <c r="BF79" s="21">
        <f t="shared" si="194"/>
        <v>0.39117184799856708</v>
      </c>
      <c r="BG79" s="21">
        <f t="shared" si="194"/>
        <v>0.37693505732503718</v>
      </c>
      <c r="BH79" s="21">
        <f t="shared" si="194"/>
        <v>0.35291124307374455</v>
      </c>
      <c r="BI79" s="22">
        <f t="shared" si="194"/>
        <v>0.37235855959184483</v>
      </c>
      <c r="BJ79" s="21">
        <f t="shared" si="194"/>
        <v>0.34229233191387032</v>
      </c>
      <c r="BK79" s="21">
        <f t="shared" si="194"/>
        <v>0.34944212728235152</v>
      </c>
      <c r="BL79" s="21">
        <f t="shared" si="194"/>
        <v>0.37164260393475829</v>
      </c>
      <c r="BM79" s="21">
        <f t="shared" si="194"/>
        <v>0.35127654820044535</v>
      </c>
      <c r="BN79" s="22">
        <f t="shared" ref="BN79:CS79" si="195">(BN5+BN11)/BN5</f>
        <v>0.35467464678358823</v>
      </c>
      <c r="BO79" s="21">
        <f t="shared" si="195"/>
        <v>0.34347883563317866</v>
      </c>
      <c r="BP79" s="21">
        <f t="shared" si="195"/>
        <v>0.35542219541616404</v>
      </c>
      <c r="BQ79" s="21">
        <f t="shared" si="195"/>
        <v>0.36636339139465246</v>
      </c>
      <c r="BR79" s="21">
        <f t="shared" si="195"/>
        <v>0.36688167824421314</v>
      </c>
      <c r="BS79" s="22">
        <f t="shared" si="195"/>
        <v>0.35895180095958906</v>
      </c>
      <c r="BT79" s="21">
        <f t="shared" si="195"/>
        <v>0.34745300410077629</v>
      </c>
      <c r="BU79" s="21">
        <f t="shared" si="195"/>
        <v>0.36179374632432293</v>
      </c>
      <c r="BV79" s="21">
        <f t="shared" si="195"/>
        <v>0.36504788811101968</v>
      </c>
      <c r="BW79" s="21">
        <f t="shared" si="195"/>
        <v>0.34736243518720555</v>
      </c>
      <c r="BX79" s="22">
        <f t="shared" si="195"/>
        <v>0.35525055478252637</v>
      </c>
      <c r="BY79" s="21">
        <f t="shared" si="195"/>
        <v>0.35615231645923362</v>
      </c>
      <c r="BZ79" s="21">
        <f>(BZ5+BZ11)/BZ5</f>
        <v>0.36141686141662793</v>
      </c>
      <c r="CA79" s="21">
        <f>(CA5+CA11)/CA5</f>
        <v>0.36567287346299848</v>
      </c>
      <c r="CB79" s="21">
        <f t="shared" ref="CB79" si="196">(CB5+CB11)/CB5</f>
        <v>0.34875370270122319</v>
      </c>
      <c r="CC79" s="22">
        <f t="shared" si="195"/>
        <v>0.35694041339494087</v>
      </c>
      <c r="CD79" s="21">
        <f t="shared" ref="CD79" si="197">(CD5+CD11)/CD5</f>
        <v>0.3725830880183017</v>
      </c>
      <c r="CE79" s="21">
        <f>(CE5+CE11)/CE5</f>
        <v>0.38195220521739548</v>
      </c>
      <c r="CF79" s="21">
        <f t="shared" si="195"/>
        <v>0.36315213800339263</v>
      </c>
      <c r="CG79" s="21">
        <f t="shared" si="195"/>
        <v>0.36340583832521745</v>
      </c>
      <c r="CH79" s="22">
        <f t="shared" si="195"/>
        <v>0.3697910484814802</v>
      </c>
      <c r="CI79" s="21">
        <f t="shared" si="195"/>
        <v>0.36143654513384726</v>
      </c>
      <c r="CJ79" s="21">
        <f t="shared" si="195"/>
        <v>0.3613214875694517</v>
      </c>
      <c r="CK79" s="21">
        <f t="shared" si="195"/>
        <v>0.36117589269374895</v>
      </c>
      <c r="CL79" s="21">
        <f t="shared" si="195"/>
        <v>0.36104197879129907</v>
      </c>
      <c r="CM79" s="22">
        <f t="shared" si="195"/>
        <v>0.3612369685852575</v>
      </c>
      <c r="CN79" s="21">
        <f t="shared" si="195"/>
        <v>0.359000236015105</v>
      </c>
      <c r="CO79" s="21">
        <f t="shared" si="195"/>
        <v>0.35870118198043932</v>
      </c>
      <c r="CP79" s="21">
        <f t="shared" si="195"/>
        <v>0.35832157987106439</v>
      </c>
      <c r="CQ79" s="21">
        <f t="shared" si="195"/>
        <v>0.35790645664509008</v>
      </c>
      <c r="CR79" s="22">
        <f t="shared" si="195"/>
        <v>0.35846393519424591</v>
      </c>
      <c r="CS79" s="21">
        <f t="shared" si="195"/>
        <v>0.3576527068231557</v>
      </c>
      <c r="CT79" s="21">
        <f t="shared" ref="CT79:DB79" si="198">(CT5+CT11)/CT5</f>
        <v>0.35746968043311628</v>
      </c>
      <c r="CU79" s="21">
        <f t="shared" si="198"/>
        <v>0.35723202934232906</v>
      </c>
      <c r="CV79" s="21">
        <f t="shared" si="198"/>
        <v>0.3569661572746769</v>
      </c>
      <c r="CW79" s="22">
        <f t="shared" si="198"/>
        <v>0.35732032580584761</v>
      </c>
      <c r="CX79" s="21">
        <f t="shared" si="198"/>
        <v>0.35688691588725241</v>
      </c>
      <c r="CY79" s="21">
        <f t="shared" si="198"/>
        <v>0.35675317950084739</v>
      </c>
      <c r="CZ79" s="21">
        <f t="shared" si="198"/>
        <v>0.35658198863575041</v>
      </c>
      <c r="DA79" s="21">
        <f t="shared" si="198"/>
        <v>0.35639373261299417</v>
      </c>
      <c r="DB79" s="22">
        <f t="shared" si="198"/>
        <v>0.35664756196884784</v>
      </c>
    </row>
    <row r="80" spans="1:106" ht="11.25" customHeight="1" outlineLevel="1" x14ac:dyDescent="0.35">
      <c r="A80" s="187" t="s">
        <v>155</v>
      </c>
      <c r="B80" s="21">
        <f t="shared" ref="B80:AG80" si="199">(B6+B14)/B6</f>
        <v>0.25577156743620899</v>
      </c>
      <c r="C80" s="21">
        <f t="shared" si="199"/>
        <v>0.20561268739933095</v>
      </c>
      <c r="D80" s="21">
        <f t="shared" si="199"/>
        <v>0.26270240089335567</v>
      </c>
      <c r="E80" s="21">
        <f t="shared" si="199"/>
        <v>0.37928730512249442</v>
      </c>
      <c r="F80" s="22">
        <f t="shared" si="199"/>
        <v>0.29728325801257077</v>
      </c>
      <c r="G80" s="21">
        <f t="shared" si="199"/>
        <v>0.19257751602286508</v>
      </c>
      <c r="H80" s="21">
        <f t="shared" si="199"/>
        <v>0.23883850375617921</v>
      </c>
      <c r="I80" s="21">
        <f t="shared" si="199"/>
        <v>0.41369120906180745</v>
      </c>
      <c r="J80" s="21">
        <f t="shared" si="199"/>
        <v>0.79645795164708844</v>
      </c>
      <c r="K80" s="22">
        <f t="shared" si="199"/>
        <v>0.42337867067492757</v>
      </c>
      <c r="L80" s="21">
        <f t="shared" si="199"/>
        <v>0.29221844603304814</v>
      </c>
      <c r="M80" s="21">
        <f t="shared" si="199"/>
        <v>0.2964642987323316</v>
      </c>
      <c r="N80" s="21">
        <f t="shared" si="199"/>
        <v>0.37699791521890202</v>
      </c>
      <c r="O80" s="21">
        <f t="shared" si="199"/>
        <v>0.4669820554649266</v>
      </c>
      <c r="P80" s="22">
        <f t="shared" si="199"/>
        <v>0.36919478783828935</v>
      </c>
      <c r="Q80" s="21">
        <f t="shared" si="199"/>
        <v>0.28303219351421338</v>
      </c>
      <c r="R80" s="21">
        <f t="shared" si="199"/>
        <v>0.30156625914469487</v>
      </c>
      <c r="S80" s="21">
        <f t="shared" si="199"/>
        <v>0.28326323838654177</v>
      </c>
      <c r="T80" s="21">
        <f t="shared" si="199"/>
        <v>0.30747372518489685</v>
      </c>
      <c r="U80" s="22">
        <f t="shared" si="199"/>
        <v>0.29506263992759491</v>
      </c>
      <c r="V80" s="21">
        <f t="shared" si="199"/>
        <v>0.28547696632803016</v>
      </c>
      <c r="W80" s="21">
        <f t="shared" si="199"/>
        <v>0.36755126658624848</v>
      </c>
      <c r="X80" s="21">
        <f t="shared" si="199"/>
        <v>0.31134526558891457</v>
      </c>
      <c r="Y80" s="21">
        <f t="shared" si="199"/>
        <v>0.1808303886925795</v>
      </c>
      <c r="Z80" s="22">
        <f t="shared" si="199"/>
        <v>0.29657262765213338</v>
      </c>
      <c r="AA80" s="21">
        <f t="shared" si="199"/>
        <v>0.20093089867525957</v>
      </c>
      <c r="AB80" s="21">
        <f t="shared" si="199"/>
        <v>0.1893491124260355</v>
      </c>
      <c r="AC80" s="21">
        <f t="shared" si="199"/>
        <v>0.18463316002310803</v>
      </c>
      <c r="AD80" s="21">
        <f t="shared" si="199"/>
        <v>0.20306365945654684</v>
      </c>
      <c r="AE80" s="22">
        <f t="shared" si="199"/>
        <v>0.19605995332974333</v>
      </c>
      <c r="AF80" s="21">
        <f t="shared" si="199"/>
        <v>0.1821834196090551</v>
      </c>
      <c r="AG80" s="21">
        <f t="shared" si="199"/>
        <v>0.16575963718820863</v>
      </c>
      <c r="AH80" s="21">
        <f t="shared" ref="AH80:BM80" si="200">(AH6+AH14)/AH6</f>
        <v>0.13142926297954738</v>
      </c>
      <c r="AI80" s="21">
        <f t="shared" si="200"/>
        <v>0.13106351821343584</v>
      </c>
      <c r="AJ80" s="22">
        <f t="shared" si="200"/>
        <v>0.16085377101018275</v>
      </c>
      <c r="AK80" s="21">
        <f t="shared" si="200"/>
        <v>0.57249957403305507</v>
      </c>
      <c r="AL80" s="21">
        <f t="shared" si="200"/>
        <v>0.42286595817620842</v>
      </c>
      <c r="AM80" s="21">
        <f t="shared" si="200"/>
        <v>0.37486874343717186</v>
      </c>
      <c r="AN80" s="21">
        <f t="shared" si="200"/>
        <v>0.37560876623376621</v>
      </c>
      <c r="AO80" s="22">
        <f t="shared" si="200"/>
        <v>0.48528591966669599</v>
      </c>
      <c r="AP80" s="21">
        <f t="shared" si="200"/>
        <v>0.4195583596214511</v>
      </c>
      <c r="AQ80" s="21">
        <f t="shared" si="200"/>
        <v>0.23085061362674567</v>
      </c>
      <c r="AR80" s="21">
        <f t="shared" si="200"/>
        <v>0.13612334801762113</v>
      </c>
      <c r="AS80" s="21">
        <f t="shared" si="200"/>
        <v>0.24302840761011207</v>
      </c>
      <c r="AT80" s="22">
        <f t="shared" si="200"/>
        <v>0.24053833954824053</v>
      </c>
      <c r="AU80" s="21">
        <f t="shared" si="200"/>
        <v>-6.654635686893752E-2</v>
      </c>
      <c r="AV80" s="21">
        <f t="shared" si="200"/>
        <v>0.18908725169725923</v>
      </c>
      <c r="AW80" s="21">
        <f t="shared" si="200"/>
        <v>0.77069311607037427</v>
      </c>
      <c r="AX80" s="21">
        <f t="shared" si="200"/>
        <v>0.3724607711957183</v>
      </c>
      <c r="AY80" s="22">
        <f t="shared" si="200"/>
        <v>0.40023904382470121</v>
      </c>
      <c r="AZ80" s="21">
        <f t="shared" si="200"/>
        <v>0.64402647161267856</v>
      </c>
      <c r="BA80" s="21">
        <f t="shared" si="200"/>
        <v>-2.0176544766708701E-2</v>
      </c>
      <c r="BB80" s="21">
        <f t="shared" si="200"/>
        <v>0.50769317796130786</v>
      </c>
      <c r="BC80" s="21">
        <f t="shared" si="200"/>
        <v>0.67046265886048839</v>
      </c>
      <c r="BD80" s="22">
        <f t="shared" si="200"/>
        <v>0.49366640718986626</v>
      </c>
      <c r="BE80" s="21">
        <f t="shared" si="200"/>
        <v>0.4335068622811169</v>
      </c>
      <c r="BF80" s="21">
        <f t="shared" si="200"/>
        <v>0.38029135224567207</v>
      </c>
      <c r="BG80" s="21">
        <f t="shared" si="200"/>
        <v>0.12363944207046683</v>
      </c>
      <c r="BH80" s="21">
        <f t="shared" si="200"/>
        <v>0.66251632158179441</v>
      </c>
      <c r="BI80" s="22">
        <f t="shared" si="200"/>
        <v>0.44069363144227808</v>
      </c>
      <c r="BJ80" s="21">
        <f t="shared" si="200"/>
        <v>0.15562814070351758</v>
      </c>
      <c r="BK80" s="21">
        <f t="shared" si="200"/>
        <v>0.21921638648384598</v>
      </c>
      <c r="BL80" s="21">
        <f t="shared" si="200"/>
        <v>0.2714861827317202</v>
      </c>
      <c r="BM80" s="21">
        <f t="shared" si="200"/>
        <v>0.3310563786800077</v>
      </c>
      <c r="BN80" s="22">
        <f t="shared" ref="BN80:CS80" si="201">(BN6+BN14)/BN6</f>
        <v>0.24546077934468263</v>
      </c>
      <c r="BO80" s="21">
        <f t="shared" si="201"/>
        <v>0.37836004932182493</v>
      </c>
      <c r="BP80" s="21">
        <f t="shared" si="201"/>
        <v>0.66360078277886492</v>
      </c>
      <c r="BQ80" s="21">
        <f t="shared" si="201"/>
        <v>0.80881535038932151</v>
      </c>
      <c r="BR80" s="21">
        <f t="shared" si="201"/>
        <v>0.75885986777934322</v>
      </c>
      <c r="BS80" s="22">
        <f t="shared" si="201"/>
        <v>0.67690910995495657</v>
      </c>
      <c r="BT80" s="21">
        <f t="shared" si="201"/>
        <v>0.41407238673753483</v>
      </c>
      <c r="BU80" s="21">
        <f t="shared" si="201"/>
        <v>0.65390323538141881</v>
      </c>
      <c r="BV80" s="21">
        <f t="shared" si="201"/>
        <v>0.65673232542533455</v>
      </c>
      <c r="BW80" s="21">
        <f t="shared" si="201"/>
        <v>0.72799672509396751</v>
      </c>
      <c r="BX80" s="22">
        <f t="shared" si="201"/>
        <v>0.62590274434280213</v>
      </c>
      <c r="BY80" s="21">
        <f t="shared" si="201"/>
        <v>0.63907367222795342</v>
      </c>
      <c r="BZ80" s="21">
        <f>(BZ6+BZ14)/BZ6</f>
        <v>0.84349779199025432</v>
      </c>
      <c r="CA80" s="21">
        <f>(CA6+CA14)/CA6</f>
        <v>0.81203644840008471</v>
      </c>
      <c r="CB80" s="21">
        <f t="shared" ref="CB80" si="202">(CB6+CB14)/CB6</f>
        <v>0.90104346624283049</v>
      </c>
      <c r="CC80" s="22">
        <f t="shared" si="201"/>
        <v>0.79896089935951986</v>
      </c>
      <c r="CD80" s="21">
        <f t="shared" ref="CD80" si="203">(CD6+CD14)/CD6</f>
        <v>0.75628583325325904</v>
      </c>
      <c r="CE80" s="21">
        <f>(CE6+CE14)/CE6</f>
        <v>0.83659983310403929</v>
      </c>
      <c r="CF80" s="21">
        <f t="shared" si="201"/>
        <v>0.83659983310403929</v>
      </c>
      <c r="CG80" s="21">
        <f t="shared" si="201"/>
        <v>0.83659983310403929</v>
      </c>
      <c r="CH80" s="22">
        <f t="shared" si="201"/>
        <v>0.82218846580791494</v>
      </c>
      <c r="CI80" s="21">
        <f t="shared" si="201"/>
        <v>0.83659983310403929</v>
      </c>
      <c r="CJ80" s="21">
        <f t="shared" si="201"/>
        <v>0.83659983310403929</v>
      </c>
      <c r="CK80" s="21">
        <f t="shared" si="201"/>
        <v>0.83659983310403918</v>
      </c>
      <c r="CL80" s="21">
        <f t="shared" si="201"/>
        <v>0.83659983310403929</v>
      </c>
      <c r="CM80" s="22">
        <f t="shared" si="201"/>
        <v>0.83659983310403929</v>
      </c>
      <c r="CN80" s="21">
        <f t="shared" si="201"/>
        <v>0.83659983310403929</v>
      </c>
      <c r="CO80" s="21">
        <f t="shared" si="201"/>
        <v>0.83659983310403929</v>
      </c>
      <c r="CP80" s="21">
        <f t="shared" si="201"/>
        <v>0.83659983310403929</v>
      </c>
      <c r="CQ80" s="21">
        <f t="shared" si="201"/>
        <v>0.83659983310403929</v>
      </c>
      <c r="CR80" s="22">
        <f t="shared" si="201"/>
        <v>0.83659983310403929</v>
      </c>
      <c r="CS80" s="21">
        <f t="shared" si="201"/>
        <v>0.83659983310403929</v>
      </c>
      <c r="CT80" s="21">
        <f t="shared" ref="CT80:DB80" si="204">(CT6+CT14)/CT6</f>
        <v>0.83659983310403918</v>
      </c>
      <c r="CU80" s="21">
        <f t="shared" si="204"/>
        <v>0.83659983310403929</v>
      </c>
      <c r="CV80" s="21">
        <f t="shared" si="204"/>
        <v>0.83659983310403929</v>
      </c>
      <c r="CW80" s="22">
        <f t="shared" si="204"/>
        <v>0.83659983310403929</v>
      </c>
      <c r="CX80" s="21">
        <f t="shared" si="204"/>
        <v>0.83659983310403929</v>
      </c>
      <c r="CY80" s="21">
        <f t="shared" si="204"/>
        <v>0.83659983310403918</v>
      </c>
      <c r="CZ80" s="21">
        <f t="shared" si="204"/>
        <v>0.83659983310403929</v>
      </c>
      <c r="DA80" s="21">
        <f t="shared" si="204"/>
        <v>0.83659983310403929</v>
      </c>
      <c r="DB80" s="22">
        <f t="shared" si="204"/>
        <v>0.83659983310403929</v>
      </c>
    </row>
    <row r="81" spans="1:106" s="11" customFormat="1" ht="11.25" customHeight="1" x14ac:dyDescent="0.35">
      <c r="A81" s="180" t="s">
        <v>117</v>
      </c>
      <c r="B81" s="21">
        <f>B65/B59</f>
        <v>0.22421073638701292</v>
      </c>
      <c r="C81" s="21">
        <f>C65/C59</f>
        <v>0.20397649761368677</v>
      </c>
      <c r="D81" s="21">
        <f>D65/D59</f>
        <v>0.21746696268286325</v>
      </c>
      <c r="E81" s="21">
        <f>E65/E59</f>
        <v>0.14313313510015671</v>
      </c>
      <c r="F81" s="22">
        <f>F65/F59</f>
        <v>0.1945839608760957</v>
      </c>
      <c r="G81" s="21">
        <f t="shared" ref="G81:AL81" si="205">G65/G$59</f>
        <v>0.15089669554325574</v>
      </c>
      <c r="H81" s="21">
        <f t="shared" si="205"/>
        <v>0.13434821720404605</v>
      </c>
      <c r="I81" s="21">
        <f t="shared" si="205"/>
        <v>0.18702976785102865</v>
      </c>
      <c r="J81" s="21">
        <f t="shared" si="205"/>
        <v>0.19513116110333326</v>
      </c>
      <c r="K81" s="22">
        <f t="shared" si="205"/>
        <v>0.1706803295237744</v>
      </c>
      <c r="L81" s="21">
        <f t="shared" si="205"/>
        <v>0.20383498267458569</v>
      </c>
      <c r="M81" s="21">
        <f t="shared" si="205"/>
        <v>0.1852723995371276</v>
      </c>
      <c r="N81" s="21">
        <f t="shared" si="205"/>
        <v>0.21383501043000047</v>
      </c>
      <c r="O81" s="21">
        <f t="shared" si="205"/>
        <v>0.20923527779971085</v>
      </c>
      <c r="P81" s="22">
        <f t="shared" si="205"/>
        <v>0.20303855412318011</v>
      </c>
      <c r="Q81" s="21">
        <f t="shared" si="205"/>
        <v>0.21405662473156323</v>
      </c>
      <c r="R81" s="21">
        <f t="shared" si="205"/>
        <v>0.21354994356679702</v>
      </c>
      <c r="S81" s="21">
        <f t="shared" si="205"/>
        <v>0.22234102670017097</v>
      </c>
      <c r="T81" s="21">
        <f t="shared" si="205"/>
        <v>0.22630887744711778</v>
      </c>
      <c r="U81" s="22">
        <f t="shared" si="205"/>
        <v>0.21924718376166863</v>
      </c>
      <c r="V81" s="21">
        <f t="shared" si="205"/>
        <v>0.21898078247661101</v>
      </c>
      <c r="W81" s="21">
        <f t="shared" si="205"/>
        <v>0.21477165727646649</v>
      </c>
      <c r="X81" s="21">
        <f t="shared" si="205"/>
        <v>0.18103099964305544</v>
      </c>
      <c r="Y81" s="21">
        <f t="shared" si="205"/>
        <v>0.16826436194331668</v>
      </c>
      <c r="Z81" s="22">
        <f t="shared" si="205"/>
        <v>0.19412997103607521</v>
      </c>
      <c r="AA81" s="21">
        <f t="shared" si="205"/>
        <v>0.18021877602118982</v>
      </c>
      <c r="AB81" s="21">
        <f t="shared" si="205"/>
        <v>0.22953406177291916</v>
      </c>
      <c r="AC81" s="21">
        <f t="shared" si="205"/>
        <v>0.19899396431324398</v>
      </c>
      <c r="AD81" s="21">
        <f t="shared" si="205"/>
        <v>0.15840217979843851</v>
      </c>
      <c r="AE81" s="22">
        <f t="shared" si="205"/>
        <v>0.1928842454040188</v>
      </c>
      <c r="AF81" s="21">
        <f t="shared" si="205"/>
        <v>0.19758334093987215</v>
      </c>
      <c r="AG81" s="21">
        <f t="shared" si="205"/>
        <v>0.15335715945980941</v>
      </c>
      <c r="AH81" s="21">
        <f t="shared" si="205"/>
        <v>0.14336081046838836</v>
      </c>
      <c r="AI81" s="21">
        <f t="shared" si="205"/>
        <v>0.10244633006952819</v>
      </c>
      <c r="AJ81" s="22">
        <f t="shared" si="205"/>
        <v>0.14735909817826753</v>
      </c>
      <c r="AK81" s="21">
        <f t="shared" si="205"/>
        <v>0.14616247849829647</v>
      </c>
      <c r="AL81" s="21">
        <f t="shared" si="205"/>
        <v>-0.14402459478456944</v>
      </c>
      <c r="AM81" s="21">
        <f t="shared" ref="AM81:BR81" si="206">AM65/AM$59</f>
        <v>5.3227773252128123E-2</v>
      </c>
      <c r="AN81" s="21">
        <f t="shared" si="206"/>
        <v>7.1256181998021764E-2</v>
      </c>
      <c r="AO81" s="22">
        <f t="shared" si="206"/>
        <v>4.0345654263455717E-2</v>
      </c>
      <c r="AP81" s="21">
        <f t="shared" si="206"/>
        <v>1.2567073955554767E-2</v>
      </c>
      <c r="AQ81" s="21">
        <f t="shared" si="206"/>
        <v>2.3656102286178014E-2</v>
      </c>
      <c r="AR81" s="21">
        <f t="shared" si="206"/>
        <v>-6.1848032283654673E-2</v>
      </c>
      <c r="AS81" s="21">
        <f t="shared" si="206"/>
        <v>0.11132030104783734</v>
      </c>
      <c r="AT81" s="22">
        <f t="shared" si="206"/>
        <v>3.3149652664084282E-2</v>
      </c>
      <c r="AU81" s="21">
        <f t="shared" si="206"/>
        <v>0.15332665243344518</v>
      </c>
      <c r="AV81" s="21">
        <f t="shared" si="206"/>
        <v>0.10944650029574364</v>
      </c>
      <c r="AW81" s="21">
        <f t="shared" si="206"/>
        <v>0.16024986119416876</v>
      </c>
      <c r="AX81" s="21">
        <f t="shared" si="206"/>
        <v>0.21308767553839342</v>
      </c>
      <c r="AY81" s="22">
        <f t="shared" si="206"/>
        <v>0.16326606412957287</v>
      </c>
      <c r="AZ81" s="21">
        <f t="shared" si="206"/>
        <v>0.10458774378722598</v>
      </c>
      <c r="BA81" s="21">
        <f t="shared" si="206"/>
        <v>0.13333206168753756</v>
      </c>
      <c r="BB81" s="21">
        <f t="shared" si="206"/>
        <v>0.19003990535477777</v>
      </c>
      <c r="BC81" s="21">
        <f t="shared" si="206"/>
        <v>0.2145935663382641</v>
      </c>
      <c r="BD81" s="22">
        <f t="shared" si="206"/>
        <v>0.16729415727610145</v>
      </c>
      <c r="BE81" s="21">
        <f t="shared" si="206"/>
        <v>0.15549867893023236</v>
      </c>
      <c r="BF81" s="21">
        <f t="shared" si="206"/>
        <v>0.21026650163829855</v>
      </c>
      <c r="BG81" s="21">
        <f t="shared" si="206"/>
        <v>0.17717541733969086</v>
      </c>
      <c r="BH81" s="21">
        <f t="shared" si="206"/>
        <v>0.16655566044398945</v>
      </c>
      <c r="BI81" s="22">
        <f t="shared" si="206"/>
        <v>0.17787950446195891</v>
      </c>
      <c r="BJ81" s="21">
        <f t="shared" si="206"/>
        <v>0.12357630239710568</v>
      </c>
      <c r="BK81" s="21">
        <f t="shared" si="206"/>
        <v>0.12531887882644593</v>
      </c>
      <c r="BL81" s="21">
        <f t="shared" si="206"/>
        <v>0.20581748142524833</v>
      </c>
      <c r="BM81" s="21">
        <f t="shared" si="206"/>
        <v>0.15436904959895428</v>
      </c>
      <c r="BN81" s="22">
        <f t="shared" si="206"/>
        <v>0.15547766705251653</v>
      </c>
      <c r="BO81" s="21">
        <f t="shared" si="206"/>
        <v>0.14357742479893659</v>
      </c>
      <c r="BP81" s="21">
        <f t="shared" si="206"/>
        <v>0.20335934797052152</v>
      </c>
      <c r="BQ81" s="21">
        <f t="shared" si="206"/>
        <v>0.18477269498464624</v>
      </c>
      <c r="BR81" s="21">
        <f t="shared" si="206"/>
        <v>0.14747130650771739</v>
      </c>
      <c r="BS81" s="22">
        <f t="shared" ref="BS81:DB81" si="207">BS65/BS$59</f>
        <v>0.17096872886412731</v>
      </c>
      <c r="BT81" s="21">
        <f t="shared" si="207"/>
        <v>0.18346556162427499</v>
      </c>
      <c r="BU81" s="21">
        <f t="shared" si="207"/>
        <v>0.22061203420618819</v>
      </c>
      <c r="BV81" s="21">
        <f t="shared" si="207"/>
        <v>0.19778622038961377</v>
      </c>
      <c r="BW81" s="21">
        <f t="shared" si="207"/>
        <v>0.24989655938767946</v>
      </c>
      <c r="BX81" s="22">
        <f t="shared" si="207"/>
        <v>0.21667494383410446</v>
      </c>
      <c r="BY81" s="21">
        <f t="shared" si="207"/>
        <v>0.17061683456715268</v>
      </c>
      <c r="BZ81" s="21">
        <f>BZ65/BZ$59</f>
        <v>0.18606540650078543</v>
      </c>
      <c r="CA81" s="21">
        <f>CA65/CA$59</f>
        <v>0.19481866112647445</v>
      </c>
      <c r="CB81" s="21">
        <f t="shared" ref="CB81" si="208">CB65/CB$59</f>
        <v>0.19658417136141673</v>
      </c>
      <c r="CC81" s="22">
        <f t="shared" si="207"/>
        <v>0.18845239356018054</v>
      </c>
      <c r="CD81" s="21">
        <f t="shared" ref="CD81" si="209">CD65/CD$59</f>
        <v>0.18037434451685477</v>
      </c>
      <c r="CE81" s="21">
        <f>CE65/CE$59</f>
        <v>0.20629287052813305</v>
      </c>
      <c r="CF81" s="21">
        <f t="shared" si="207"/>
        <v>0.19619265593723062</v>
      </c>
      <c r="CG81" s="21">
        <f t="shared" si="207"/>
        <v>0.20631027621415957</v>
      </c>
      <c r="CH81" s="22">
        <f t="shared" si="207"/>
        <v>0.19838384631186429</v>
      </c>
      <c r="CI81" s="21">
        <f t="shared" si="207"/>
        <v>0.20532337720535804</v>
      </c>
      <c r="CJ81" s="21">
        <f t="shared" si="207"/>
        <v>0.20070353831086984</v>
      </c>
      <c r="CK81" s="21">
        <f t="shared" si="207"/>
        <v>0.19242966792906976</v>
      </c>
      <c r="CL81" s="21">
        <f t="shared" si="207"/>
        <v>0.20066309567698648</v>
      </c>
      <c r="CM81" s="22">
        <f t="shared" si="207"/>
        <v>0.19968721312457177</v>
      </c>
      <c r="CN81" s="21">
        <f t="shared" si="207"/>
        <v>0.21300762519638758</v>
      </c>
      <c r="CO81" s="21">
        <f t="shared" si="207"/>
        <v>0.20353663778519382</v>
      </c>
      <c r="CP81" s="21">
        <f t="shared" si="207"/>
        <v>0.19433386546006223</v>
      </c>
      <c r="CQ81" s="21">
        <f t="shared" si="207"/>
        <v>0.19771948728453609</v>
      </c>
      <c r="CR81" s="22">
        <f t="shared" si="207"/>
        <v>0.20192426896132168</v>
      </c>
      <c r="CS81" s="21">
        <f t="shared" si="207"/>
        <v>0.21549040312576018</v>
      </c>
      <c r="CT81" s="21">
        <f t="shared" si="207"/>
        <v>0.20634242198965513</v>
      </c>
      <c r="CU81" s="21">
        <f t="shared" si="207"/>
        <v>0.19711779818749581</v>
      </c>
      <c r="CV81" s="21">
        <f t="shared" si="207"/>
        <v>0.19988489263821144</v>
      </c>
      <c r="CW81" s="22">
        <f t="shared" si="207"/>
        <v>0.20451854583243564</v>
      </c>
      <c r="CX81" s="21">
        <f t="shared" si="207"/>
        <v>0.22069281898913379</v>
      </c>
      <c r="CY81" s="21">
        <f t="shared" si="207"/>
        <v>0.21102734164358267</v>
      </c>
      <c r="CZ81" s="21">
        <f t="shared" si="207"/>
        <v>0.20139646568155189</v>
      </c>
      <c r="DA81" s="21">
        <f t="shared" si="207"/>
        <v>0.20335251925358377</v>
      </c>
      <c r="DB81" s="22">
        <f t="shared" si="207"/>
        <v>0.20892559945710693</v>
      </c>
    </row>
    <row r="82" spans="1:106" ht="11.25" customHeight="1" x14ac:dyDescent="0.35">
      <c r="A82" s="180" t="s">
        <v>14</v>
      </c>
      <c r="B82" s="21">
        <f t="shared" ref="B82:AG82" si="210">B63/B59</f>
        <v>0.20803339314476249</v>
      </c>
      <c r="C82" s="21">
        <f t="shared" si="210"/>
        <v>0.19492384944872226</v>
      </c>
      <c r="D82" s="21">
        <f t="shared" si="210"/>
        <v>0.20772801834589338</v>
      </c>
      <c r="E82" s="21">
        <f t="shared" si="210"/>
        <v>0.12947491241822162</v>
      </c>
      <c r="F82" s="22">
        <f t="shared" si="210"/>
        <v>0.18240978465697566</v>
      </c>
      <c r="G82" s="21">
        <f t="shared" si="210"/>
        <v>0.14222788908858022</v>
      </c>
      <c r="H82" s="21">
        <f t="shared" si="210"/>
        <v>0.12986411007720097</v>
      </c>
      <c r="I82" s="21">
        <f t="shared" si="210"/>
        <v>0.18125906481268939</v>
      </c>
      <c r="J82" s="21">
        <f t="shared" si="210"/>
        <v>0.19134653825735939</v>
      </c>
      <c r="K82" s="22">
        <f t="shared" si="210"/>
        <v>0.16527504410554253</v>
      </c>
      <c r="L82" s="21">
        <f t="shared" si="210"/>
        <v>0.18838771010602567</v>
      </c>
      <c r="M82" s="21">
        <f t="shared" si="210"/>
        <v>0.16180032239365377</v>
      </c>
      <c r="N82" s="21">
        <f t="shared" si="210"/>
        <v>0.19155125515573887</v>
      </c>
      <c r="O82" s="21">
        <f t="shared" si="210"/>
        <v>0.25492393724919138</v>
      </c>
      <c r="P82" s="22">
        <f t="shared" si="210"/>
        <v>0.19951234572394413</v>
      </c>
      <c r="Q82" s="21">
        <f t="shared" si="210"/>
        <v>0.19244839020216065</v>
      </c>
      <c r="R82" s="21">
        <f t="shared" si="210"/>
        <v>0.19518528962364992</v>
      </c>
      <c r="S82" s="21">
        <f t="shared" si="210"/>
        <v>0.20398896194049546</v>
      </c>
      <c r="T82" s="21">
        <f t="shared" si="210"/>
        <v>0.21266870315800079</v>
      </c>
      <c r="U82" s="22">
        <f t="shared" si="210"/>
        <v>0.20137411804652447</v>
      </c>
      <c r="V82" s="21">
        <f t="shared" si="210"/>
        <v>0.20024905691361009</v>
      </c>
      <c r="W82" s="21">
        <f t="shared" si="210"/>
        <v>0.19773898998108708</v>
      </c>
      <c r="X82" s="21">
        <f t="shared" si="210"/>
        <v>0.16868852621559452</v>
      </c>
      <c r="Y82" s="21">
        <f t="shared" si="210"/>
        <v>0.1601574087020381</v>
      </c>
      <c r="Z82" s="22">
        <f t="shared" si="210"/>
        <v>0.18036218054987627</v>
      </c>
      <c r="AA82" s="21">
        <f t="shared" si="210"/>
        <v>0.16201191251277514</v>
      </c>
      <c r="AB82" s="21">
        <f t="shared" si="210"/>
        <v>0.21432508000910622</v>
      </c>
      <c r="AC82" s="21">
        <f t="shared" si="210"/>
        <v>0.18044303892037938</v>
      </c>
      <c r="AD82" s="21">
        <f t="shared" si="210"/>
        <v>0.14876464503558282</v>
      </c>
      <c r="AE82" s="22">
        <f t="shared" si="210"/>
        <v>0.17740713132638469</v>
      </c>
      <c r="AF82" s="21">
        <f t="shared" si="210"/>
        <v>0.16076728185063388</v>
      </c>
      <c r="AG82" s="21">
        <f t="shared" si="210"/>
        <v>0.12591707447198505</v>
      </c>
      <c r="AH82" s="21">
        <f t="shared" ref="AH82:BM82" si="211">AH63/AH59</f>
        <v>0.11231475969529842</v>
      </c>
      <c r="AI82" s="21">
        <f t="shared" si="211"/>
        <v>8.5480057990953068E-2</v>
      </c>
      <c r="AJ82" s="22">
        <f t="shared" si="211"/>
        <v>0.11962094444670471</v>
      </c>
      <c r="AK82" s="21">
        <f t="shared" si="211"/>
        <v>0.11533867620275944</v>
      </c>
      <c r="AL82" s="21">
        <f t="shared" si="211"/>
        <v>-0.19389097286500706</v>
      </c>
      <c r="AM82" s="21">
        <f t="shared" si="211"/>
        <v>5.195482974171458E-2</v>
      </c>
      <c r="AN82" s="21">
        <f t="shared" si="211"/>
        <v>7.9055390702274977E-2</v>
      </c>
      <c r="AO82" s="22">
        <f t="shared" si="211"/>
        <v>2.3718943663815512E-2</v>
      </c>
      <c r="AP82" s="21">
        <f t="shared" si="211"/>
        <v>-2.264425616148346E-2</v>
      </c>
      <c r="AQ82" s="21">
        <f t="shared" si="211"/>
        <v>8.6703078311095964E-3</v>
      </c>
      <c r="AR82" s="21">
        <f t="shared" si="211"/>
        <v>-9.3433587417652536E-2</v>
      </c>
      <c r="AS82" s="21">
        <f t="shared" si="211"/>
        <v>9.9229370267116368E-2</v>
      </c>
      <c r="AT82" s="22">
        <f t="shared" si="211"/>
        <v>1.1930541806686151E-2</v>
      </c>
      <c r="AU82" s="21">
        <f t="shared" si="211"/>
        <v>0.12384476106100437</v>
      </c>
      <c r="AV82" s="21">
        <f t="shared" si="211"/>
        <v>0.11786078054967745</v>
      </c>
      <c r="AW82" s="21">
        <f t="shared" si="211"/>
        <v>0.12651068350237868</v>
      </c>
      <c r="AX82" s="21">
        <f t="shared" si="211"/>
        <v>0.19146760557441336</v>
      </c>
      <c r="AY82" s="22">
        <f t="shared" si="211"/>
        <v>0.14426800697970882</v>
      </c>
      <c r="AZ82" s="21">
        <f t="shared" si="211"/>
        <v>8.2098188308674019E-2</v>
      </c>
      <c r="BA82" s="21">
        <f t="shared" si="211"/>
        <v>0.11696955679964903</v>
      </c>
      <c r="BB82" s="21">
        <f t="shared" si="211"/>
        <v>0.18233644434092564</v>
      </c>
      <c r="BC82" s="21">
        <f t="shared" si="211"/>
        <v>0.20392190265277343</v>
      </c>
      <c r="BD82" s="22">
        <f t="shared" si="211"/>
        <v>0.1539136479469079</v>
      </c>
      <c r="BE82" s="21">
        <f t="shared" si="211"/>
        <v>0.14460732546137814</v>
      </c>
      <c r="BF82" s="21">
        <f t="shared" si="211"/>
        <v>0.20141554408177872</v>
      </c>
      <c r="BG82" s="21">
        <f t="shared" si="211"/>
        <v>0.16862176802844592</v>
      </c>
      <c r="BH82" s="21">
        <f t="shared" si="211"/>
        <v>0.16066385012109424</v>
      </c>
      <c r="BI82" s="22">
        <f t="shared" si="211"/>
        <v>0.16949432384723073</v>
      </c>
      <c r="BJ82" s="21">
        <f t="shared" si="211"/>
        <v>0.11664902098969514</v>
      </c>
      <c r="BK82" s="21">
        <f t="shared" si="211"/>
        <v>0.11791857020693826</v>
      </c>
      <c r="BL82" s="21">
        <f t="shared" si="211"/>
        <v>0.19117824324012403</v>
      </c>
      <c r="BM82" s="21">
        <f t="shared" si="211"/>
        <v>0.13784141406183895</v>
      </c>
      <c r="BN82" s="22">
        <f t="shared" ref="BN82:CS82" si="212">BN63/BN59</f>
        <v>0.14378706260468063</v>
      </c>
      <c r="BO82" s="21">
        <f t="shared" si="212"/>
        <v>0.1207603710693098</v>
      </c>
      <c r="BP82" s="21">
        <f t="shared" si="212"/>
        <v>0.19351828321765036</v>
      </c>
      <c r="BQ82" s="21">
        <f t="shared" si="212"/>
        <v>0.15875649682316034</v>
      </c>
      <c r="BR82" s="21">
        <f t="shared" si="212"/>
        <v>0.14554642033736964</v>
      </c>
      <c r="BS82" s="22">
        <f t="shared" si="212"/>
        <v>0.15642317021817298</v>
      </c>
      <c r="BT82" s="21">
        <f t="shared" si="212"/>
        <v>0.16843737503266237</v>
      </c>
      <c r="BU82" s="21">
        <f t="shared" si="212"/>
        <v>0.21179875456214453</v>
      </c>
      <c r="BV82" s="21">
        <f t="shared" si="212"/>
        <v>0.17807889139561431</v>
      </c>
      <c r="BW82" s="21">
        <f t="shared" si="212"/>
        <v>0.24189382703931622</v>
      </c>
      <c r="BX82" s="22">
        <f t="shared" si="212"/>
        <v>0.20411369363198759</v>
      </c>
      <c r="BY82" s="21">
        <f t="shared" si="212"/>
        <v>0.15511454650481579</v>
      </c>
      <c r="BZ82" s="21">
        <f>BZ63/BZ59</f>
        <v>0.17476947316966679</v>
      </c>
      <c r="CA82" s="21">
        <f>CA63/CA59</f>
        <v>0.18136800275882028</v>
      </c>
      <c r="CB82" s="21">
        <f t="shared" ref="CB82" si="213">CB63/CB59</f>
        <v>0.18116861720575153</v>
      </c>
      <c r="CC82" s="22">
        <f t="shared" si="212"/>
        <v>0.17438383257844703</v>
      </c>
      <c r="CD82" s="21">
        <f t="shared" ref="CD82" si="214">CD63/CD59</f>
        <v>0.1534202158680871</v>
      </c>
      <c r="CE82" s="21">
        <f>CE63/CE59</f>
        <v>0.1896995047303951</v>
      </c>
      <c r="CF82" s="21">
        <f t="shared" si="212"/>
        <v>0.18008621340415401</v>
      </c>
      <c r="CG82" s="21">
        <f t="shared" si="212"/>
        <v>0.1912501131987647</v>
      </c>
      <c r="CH82" s="22">
        <f t="shared" si="212"/>
        <v>0.18026381261474089</v>
      </c>
      <c r="CI82" s="21">
        <f t="shared" si="212"/>
        <v>0.18923519948559547</v>
      </c>
      <c r="CJ82" s="21">
        <f t="shared" si="212"/>
        <v>0.18482011630089015</v>
      </c>
      <c r="CK82" s="21">
        <f t="shared" si="212"/>
        <v>0.17721596888169974</v>
      </c>
      <c r="CL82" s="21">
        <f t="shared" si="212"/>
        <v>0.18614432396432748</v>
      </c>
      <c r="CM82" s="22">
        <f t="shared" si="212"/>
        <v>0.18429058559604311</v>
      </c>
      <c r="CN82" s="21">
        <f t="shared" si="212"/>
        <v>0.19831846797110572</v>
      </c>
      <c r="CO82" s="21">
        <f t="shared" si="212"/>
        <v>0.18891563757650062</v>
      </c>
      <c r="CP82" s="21">
        <f t="shared" si="212"/>
        <v>0.1801961269475561</v>
      </c>
      <c r="CQ82" s="21">
        <f t="shared" si="212"/>
        <v>0.18438896809248914</v>
      </c>
      <c r="CR82" s="22">
        <f t="shared" si="212"/>
        <v>0.18775473804460271</v>
      </c>
      <c r="CS82" s="21">
        <f t="shared" si="212"/>
        <v>0.20173912098447661</v>
      </c>
      <c r="CT82" s="21">
        <f t="shared" ref="CT82:DB82" si="215">CT63/CT59</f>
        <v>0.19257284741817263</v>
      </c>
      <c r="CU82" s="21">
        <f t="shared" si="215"/>
        <v>0.18371670212379537</v>
      </c>
      <c r="CV82" s="21">
        <f t="shared" si="215"/>
        <v>0.18717516259716696</v>
      </c>
      <c r="CW82" s="22">
        <f t="shared" si="215"/>
        <v>0.1911276115641127</v>
      </c>
      <c r="CX82" s="21">
        <f t="shared" si="215"/>
        <v>0.20757861040875181</v>
      </c>
      <c r="CY82" s="21">
        <f t="shared" si="215"/>
        <v>0.1978565528968384</v>
      </c>
      <c r="CZ82" s="21">
        <f t="shared" si="215"/>
        <v>0.18854349537184742</v>
      </c>
      <c r="DA82" s="21">
        <f t="shared" si="215"/>
        <v>0.19111784308302751</v>
      </c>
      <c r="DB82" s="22">
        <f t="shared" si="215"/>
        <v>0.19609588375068199</v>
      </c>
    </row>
    <row r="83" spans="1:106" ht="11.25" customHeight="1" x14ac:dyDescent="0.35">
      <c r="A83" s="181" t="s">
        <v>225</v>
      </c>
      <c r="B83" s="101">
        <f t="shared" ref="B83:BM83" si="216">B74/B$59</f>
        <v>0.15826510356325413</v>
      </c>
      <c r="C83" s="101">
        <f t="shared" si="216"/>
        <v>0.14209075039288127</v>
      </c>
      <c r="D83" s="101">
        <f t="shared" si="216"/>
        <v>0.15575429508777694</v>
      </c>
      <c r="E83" s="101">
        <f t="shared" si="216"/>
        <v>5.9402291702206837E-2</v>
      </c>
      <c r="F83" s="102">
        <f t="shared" si="216"/>
        <v>0.12559300873907617</v>
      </c>
      <c r="G83" s="101">
        <f t="shared" si="216"/>
        <v>6.1779299799623898E-2</v>
      </c>
      <c r="H83" s="101">
        <f t="shared" si="216"/>
        <v>7.8728946173359446E-2</v>
      </c>
      <c r="I83" s="101">
        <f t="shared" si="216"/>
        <v>9.4096442553933637E-2</v>
      </c>
      <c r="J83" s="101">
        <f t="shared" si="216"/>
        <v>0.10314017321442885</v>
      </c>
      <c r="K83" s="102">
        <f t="shared" si="216"/>
        <v>8.722214813945528E-2</v>
      </c>
      <c r="L83" s="101">
        <f t="shared" si="216"/>
        <v>9.2683635411360099E-2</v>
      </c>
      <c r="M83" s="101">
        <f t="shared" si="216"/>
        <v>0.10304541448086031</v>
      </c>
      <c r="N83" s="101">
        <f t="shared" si="216"/>
        <v>0.11140766486512113</v>
      </c>
      <c r="O83" s="101">
        <f t="shared" si="216"/>
        <v>0.1740607537727418</v>
      </c>
      <c r="P83" s="102">
        <f t="shared" si="216"/>
        <v>0.12039528615069313</v>
      </c>
      <c r="Q83" s="101">
        <f t="shared" si="216"/>
        <v>0.14228506545331873</v>
      </c>
      <c r="R83" s="101">
        <f t="shared" si="216"/>
        <v>0.1375505585393382</v>
      </c>
      <c r="S83" s="101">
        <f t="shared" si="216"/>
        <v>0.12521370463437861</v>
      </c>
      <c r="T83" s="101">
        <f t="shared" si="216"/>
        <v>0.13134433614340352</v>
      </c>
      <c r="U83" s="102">
        <f t="shared" si="216"/>
        <v>0.1338138105044005</v>
      </c>
      <c r="V83" s="101">
        <f t="shared" si="216"/>
        <v>0.12426465109984931</v>
      </c>
      <c r="W83" s="101">
        <f t="shared" si="216"/>
        <v>0.12433935469337003</v>
      </c>
      <c r="X83" s="101">
        <f t="shared" si="216"/>
        <v>0.11100541861664155</v>
      </c>
      <c r="Y83" s="101">
        <f t="shared" si="216"/>
        <v>9.8019781279523932E-2</v>
      </c>
      <c r="Z83" s="102">
        <f t="shared" si="216"/>
        <v>0.1137001203349578</v>
      </c>
      <c r="AA83" s="101">
        <f t="shared" si="216"/>
        <v>9.7120981748701235E-2</v>
      </c>
      <c r="AB83" s="101">
        <f t="shared" si="216"/>
        <v>0.10372485129864822</v>
      </c>
      <c r="AC83" s="101">
        <f t="shared" si="216"/>
        <v>0.11534516446301549</v>
      </c>
      <c r="AD83" s="101">
        <f t="shared" si="216"/>
        <v>9.5114860550732913E-2</v>
      </c>
      <c r="AE83" s="102">
        <f t="shared" si="216"/>
        <v>0.10315158260972122</v>
      </c>
      <c r="AF83" s="101">
        <f t="shared" si="216"/>
        <v>7.5578569789788164E-2</v>
      </c>
      <c r="AG83" s="101">
        <f t="shared" si="216"/>
        <v>6.9735879432104117E-2</v>
      </c>
      <c r="AH83" s="101">
        <f t="shared" si="216"/>
        <v>1.7511975528820681E-2</v>
      </c>
      <c r="AI83" s="101">
        <f t="shared" si="216"/>
        <v>3.366805839149118E-2</v>
      </c>
      <c r="AJ83" s="102">
        <f t="shared" si="216"/>
        <v>4.7366922145269164E-2</v>
      </c>
      <c r="AK83" s="101">
        <f t="shared" si="216"/>
        <v>5.813222951904065E-3</v>
      </c>
      <c r="AL83" s="101">
        <f t="shared" si="216"/>
        <v>-0.24537020927141256</v>
      </c>
      <c r="AM83" s="101">
        <f t="shared" si="216"/>
        <v>-1.1312637267972173E-2</v>
      </c>
      <c r="AN83" s="101">
        <f t="shared" si="216"/>
        <v>6.0289317507418401E-2</v>
      </c>
      <c r="AO83" s="102">
        <f t="shared" si="216"/>
        <v>-3.5531852029157332E-2</v>
      </c>
      <c r="AP83" s="101">
        <f t="shared" si="216"/>
        <v>-0.11380713768968226</v>
      </c>
      <c r="AQ83" s="101">
        <f t="shared" si="216"/>
        <v>-4.446484108084104E-2</v>
      </c>
      <c r="AR83" s="101">
        <f t="shared" si="216"/>
        <v>-0.16659607491463457</v>
      </c>
      <c r="AS83" s="101">
        <f t="shared" si="216"/>
        <v>8.9225387612551763E-2</v>
      </c>
      <c r="AT83" s="102">
        <f t="shared" si="216"/>
        <v>-3.6084832185804577E-2</v>
      </c>
      <c r="AU83" s="101">
        <f t="shared" si="216"/>
        <v>5.8591007896049069E-2</v>
      </c>
      <c r="AV83" s="101">
        <f t="shared" si="216"/>
        <v>0.12153782422364626</v>
      </c>
      <c r="AW83" s="101">
        <f t="shared" si="216"/>
        <v>0.11166835515892332</v>
      </c>
      <c r="AX83" s="101">
        <f t="shared" si="216"/>
        <v>0.12099762732260466</v>
      </c>
      <c r="AY83" s="102">
        <f t="shared" si="216"/>
        <v>0.10579031414032125</v>
      </c>
      <c r="AZ83" s="101">
        <f t="shared" si="216"/>
        <v>3.6528038391380246E-2</v>
      </c>
      <c r="BA83" s="101">
        <f t="shared" si="216"/>
        <v>8.0842099741537998E-2</v>
      </c>
      <c r="BB83" s="101">
        <f t="shared" si="216"/>
        <v>0.21510988798481825</v>
      </c>
      <c r="BC83" s="101">
        <f t="shared" si="216"/>
        <v>0.24723034553249482</v>
      </c>
      <c r="BD83" s="102">
        <f t="shared" si="216"/>
        <v>0.15881440365552074</v>
      </c>
      <c r="BE83" s="101">
        <f t="shared" si="216"/>
        <v>0.19157006053408679</v>
      </c>
      <c r="BF83" s="101">
        <f t="shared" si="216"/>
        <v>0.22586269763853203</v>
      </c>
      <c r="BG83" s="101">
        <f t="shared" si="216"/>
        <v>0.18438237141000932</v>
      </c>
      <c r="BH83" s="101">
        <f t="shared" si="216"/>
        <v>0.16521751017472658</v>
      </c>
      <c r="BI83" s="102">
        <f t="shared" si="216"/>
        <v>0.19085511851488041</v>
      </c>
      <c r="BJ83" s="101">
        <f t="shared" si="216"/>
        <v>0.13132849213901329</v>
      </c>
      <c r="BK83" s="101">
        <f t="shared" si="216"/>
        <v>0.12062959019521104</v>
      </c>
      <c r="BL83" s="101">
        <f t="shared" si="216"/>
        <v>0.1850601804001426</v>
      </c>
      <c r="BM83" s="101">
        <f t="shared" si="216"/>
        <v>0.15150745924622661</v>
      </c>
      <c r="BN83" s="102">
        <f t="shared" ref="BN83:BY83" si="217">BN74/BN$59</f>
        <v>0.14945231181966245</v>
      </c>
      <c r="BO83" s="101">
        <f t="shared" si="217"/>
        <v>0.12745261510986999</v>
      </c>
      <c r="BP83" s="101">
        <f t="shared" si="217"/>
        <v>0.17108119444844172</v>
      </c>
      <c r="BQ83" s="101">
        <f t="shared" si="217"/>
        <v>0.15456396637857497</v>
      </c>
      <c r="BR83" s="101">
        <f t="shared" si="217"/>
        <v>0.14489855463969487</v>
      </c>
      <c r="BS83" s="102">
        <f t="shared" si="217"/>
        <v>0.1506693349543933</v>
      </c>
      <c r="BT83" s="101">
        <f t="shared" si="217"/>
        <v>0.16991298299776655</v>
      </c>
      <c r="BU83" s="101">
        <f t="shared" si="217"/>
        <v>0.22188299906777958</v>
      </c>
      <c r="BV83" s="101">
        <f t="shared" si="217"/>
        <v>0.18776676384265079</v>
      </c>
      <c r="BW83" s="101">
        <f t="shared" si="217"/>
        <v>0.23486385539620847</v>
      </c>
      <c r="BX83" s="102">
        <f t="shared" si="217"/>
        <v>0.20701237608101145</v>
      </c>
      <c r="BY83" s="101">
        <f t="shared" si="217"/>
        <v>0.16778031324126461</v>
      </c>
      <c r="BZ83" s="101">
        <f>BZ74/BZ$59</f>
        <v>0.18404512298719111</v>
      </c>
      <c r="CA83" s="101">
        <f>CA74/CA$59</f>
        <v>0.1861052617731434</v>
      </c>
      <c r="CB83" s="101">
        <f t="shared" ref="CB83" si="218">CB74/CB$59</f>
        <v>0.1892330984361274</v>
      </c>
      <c r="CC83" s="102">
        <f t="shared" ref="CC83:DB83" si="219">CC74/CC$59</f>
        <v>0.18292111185086976</v>
      </c>
      <c r="CD83" s="101">
        <f t="shared" si="219"/>
        <v>0.14655366110083146</v>
      </c>
      <c r="CE83" s="101">
        <f>CE74/CE$59</f>
        <v>0.18203526100309125</v>
      </c>
      <c r="CF83" s="101">
        <f t="shared" ca="1" si="219"/>
        <v>0.19818558608646031</v>
      </c>
      <c r="CG83" s="101">
        <f t="shared" ca="1" si="219"/>
        <v>0.21394799555433003</v>
      </c>
      <c r="CH83" s="102">
        <f t="shared" ca="1" si="219"/>
        <v>0.1882544635125965</v>
      </c>
      <c r="CI83" s="101">
        <f t="shared" ca="1" si="219"/>
        <v>0.2219781630245812</v>
      </c>
      <c r="CJ83" s="101">
        <f t="shared" ca="1" si="219"/>
        <v>0.20019284794377082</v>
      </c>
      <c r="CK83" s="101">
        <f t="shared" ca="1" si="219"/>
        <v>0.19777245658443024</v>
      </c>
      <c r="CL83" s="101">
        <f t="shared" ca="1" si="219"/>
        <v>0.21103160354771328</v>
      </c>
      <c r="CM83" s="102">
        <f t="shared" ca="1" si="219"/>
        <v>0.20764166456728142</v>
      </c>
      <c r="CN83" s="101">
        <f t="shared" ca="1" si="219"/>
        <v>0.22708927264617085</v>
      </c>
      <c r="CO83" s="101">
        <f t="shared" ca="1" si="219"/>
        <v>0.20266685705115828</v>
      </c>
      <c r="CP83" s="101">
        <f t="shared" ca="1" si="219"/>
        <v>0.19497735172489172</v>
      </c>
      <c r="CQ83" s="101">
        <f t="shared" ca="1" si="219"/>
        <v>0.20306665678550734</v>
      </c>
      <c r="CR83" s="102">
        <f t="shared" ca="1" si="219"/>
        <v>0.20667367383978724</v>
      </c>
      <c r="CS83" s="101">
        <f t="shared" ca="1" si="219"/>
        <v>0.22288780998792265</v>
      </c>
      <c r="CT83" s="101">
        <f t="shared" ca="1" si="219"/>
        <v>0.20055706592372874</v>
      </c>
      <c r="CU83" s="101">
        <f t="shared" ca="1" si="219"/>
        <v>0.1948909912881292</v>
      </c>
      <c r="CV83" s="101">
        <f t="shared" ca="1" si="219"/>
        <v>0.20204585550224483</v>
      </c>
      <c r="CW83" s="102">
        <f t="shared" ca="1" si="219"/>
        <v>0.20491665126314504</v>
      </c>
      <c r="CX83" s="101">
        <f t="shared" ca="1" si="219"/>
        <v>0.22843834002977842</v>
      </c>
      <c r="CY83" s="101">
        <f t="shared" ca="1" si="219"/>
        <v>0.20493369582753929</v>
      </c>
      <c r="CZ83" s="101">
        <f t="shared" ca="1" si="219"/>
        <v>0.20058647246345476</v>
      </c>
      <c r="DA83" s="101">
        <f t="shared" ca="1" si="219"/>
        <v>0.20903848443453346</v>
      </c>
      <c r="DB83" s="102">
        <f t="shared" ca="1" si="219"/>
        <v>0.21062484175053298</v>
      </c>
    </row>
    <row r="84" spans="1:106" s="11" customFormat="1" ht="11.25" customHeight="1" thickBot="1" x14ac:dyDescent="0.4">
      <c r="A84" s="124" t="s">
        <v>213</v>
      </c>
      <c r="B84" s="129"/>
      <c r="C84" s="129"/>
      <c r="D84" s="129"/>
      <c r="E84" s="130"/>
      <c r="F84" s="131"/>
      <c r="G84" s="129"/>
      <c r="H84" s="129"/>
      <c r="I84" s="129"/>
      <c r="J84" s="130"/>
      <c r="K84" s="131"/>
      <c r="L84" s="129"/>
      <c r="M84" s="129"/>
      <c r="N84" s="129"/>
      <c r="O84" s="130"/>
      <c r="P84" s="131"/>
      <c r="Q84" s="129"/>
      <c r="R84" s="129"/>
      <c r="S84" s="129"/>
      <c r="T84" s="130"/>
      <c r="U84" s="131"/>
      <c r="V84" s="129"/>
      <c r="W84" s="129"/>
      <c r="X84" s="129"/>
      <c r="Y84" s="130"/>
      <c r="Z84" s="131"/>
      <c r="AA84" s="129"/>
      <c r="AB84" s="129"/>
      <c r="AC84" s="129"/>
      <c r="AD84" s="130"/>
      <c r="AE84" s="131"/>
      <c r="AF84" s="129"/>
      <c r="AG84" s="129"/>
      <c r="AH84" s="129"/>
      <c r="AI84" s="130"/>
      <c r="AJ84" s="131"/>
      <c r="AK84" s="129"/>
      <c r="AL84" s="129"/>
      <c r="AM84" s="129"/>
      <c r="AN84" s="130"/>
      <c r="AO84" s="131"/>
      <c r="AP84" s="129"/>
      <c r="AQ84" s="129"/>
      <c r="AR84" s="129"/>
      <c r="AS84" s="130"/>
      <c r="AT84" s="131"/>
      <c r="AU84" s="129"/>
      <c r="AV84" s="129"/>
      <c r="AW84" s="129"/>
      <c r="AX84" s="130"/>
      <c r="AY84" s="131"/>
      <c r="AZ84" s="129"/>
      <c r="BA84" s="129"/>
      <c r="BB84" s="129"/>
      <c r="BC84" s="130"/>
      <c r="BD84" s="131"/>
      <c r="BE84" s="129"/>
      <c r="BF84" s="129"/>
      <c r="BG84" s="129"/>
      <c r="BH84" s="130"/>
      <c r="BI84" s="131"/>
      <c r="BJ84" s="129"/>
      <c r="BK84" s="129"/>
      <c r="BL84" s="129"/>
      <c r="BM84" s="130"/>
      <c r="BN84" s="131"/>
      <c r="BO84" s="129"/>
      <c r="BP84" s="129"/>
      <c r="BQ84" s="129"/>
      <c r="BR84" s="130"/>
      <c r="BS84" s="131"/>
      <c r="BT84" s="129"/>
      <c r="BU84" s="129"/>
      <c r="BV84" s="129"/>
      <c r="BW84" s="130"/>
      <c r="BX84" s="131"/>
      <c r="BY84" s="129"/>
      <c r="BZ84" s="129"/>
      <c r="CA84" s="125"/>
      <c r="CB84" s="130"/>
      <c r="CC84" s="126"/>
      <c r="CD84" s="129"/>
      <c r="CE84" s="129"/>
      <c r="CF84" s="125"/>
      <c r="CG84" s="125"/>
      <c r="CH84" s="126"/>
      <c r="CI84" s="125"/>
      <c r="CJ84" s="125"/>
      <c r="CK84" s="125"/>
      <c r="CL84" s="125"/>
      <c r="CM84" s="126"/>
      <c r="CN84" s="125"/>
      <c r="CO84" s="125"/>
      <c r="CP84" s="125"/>
      <c r="CQ84" s="125"/>
      <c r="CR84" s="126"/>
      <c r="CS84" s="125"/>
      <c r="CT84" s="125"/>
      <c r="CU84" s="125"/>
      <c r="CV84" s="125"/>
      <c r="CW84" s="126"/>
      <c r="CX84" s="125"/>
      <c r="CY84" s="125"/>
      <c r="CZ84" s="125"/>
      <c r="DA84" s="125"/>
      <c r="DB84" s="126"/>
    </row>
    <row r="85" spans="1:106" s="11" customFormat="1" ht="11.25" customHeight="1" thickTop="1" x14ac:dyDescent="0.35">
      <c r="A85" s="179" t="s">
        <v>214</v>
      </c>
      <c r="B85" s="60"/>
      <c r="C85" s="60"/>
      <c r="D85" s="60"/>
      <c r="E85" s="60"/>
      <c r="F85" s="59"/>
      <c r="G85" s="135">
        <f t="shared" ref="G85:AL85" si="220">G59/B59-1</f>
        <v>6.0306521800559398E-2</v>
      </c>
      <c r="H85" s="135">
        <f t="shared" si="220"/>
        <v>0.14682688759241525</v>
      </c>
      <c r="I85" s="135">
        <f t="shared" si="220"/>
        <v>0.34153657179181263</v>
      </c>
      <c r="J85" s="135">
        <f t="shared" si="220"/>
        <v>0.42776329778236533</v>
      </c>
      <c r="K85" s="136">
        <f t="shared" si="220"/>
        <v>0.25289354727556979</v>
      </c>
      <c r="L85" s="135">
        <f t="shared" si="220"/>
        <v>0.22119739294536211</v>
      </c>
      <c r="M85" s="135">
        <f t="shared" si="220"/>
        <v>1.7203178285380982E-3</v>
      </c>
      <c r="N85" s="135">
        <f t="shared" si="220"/>
        <v>-0.13442532133198082</v>
      </c>
      <c r="O85" s="135">
        <f t="shared" si="220"/>
        <v>-0.27850629652951042</v>
      </c>
      <c r="P85" s="136">
        <f t="shared" si="220"/>
        <v>-8.064626432705857E-2</v>
      </c>
      <c r="Q85" s="135">
        <f t="shared" si="220"/>
        <v>-0.17115572550215064</v>
      </c>
      <c r="R85" s="135">
        <f t="shared" si="220"/>
        <v>-9.2718855553061141E-3</v>
      </c>
      <c r="S85" s="135">
        <f t="shared" si="220"/>
        <v>3.2961171952780477E-2</v>
      </c>
      <c r="T85" s="135">
        <f t="shared" si="220"/>
        <v>-2.8981476758429214E-2</v>
      </c>
      <c r="U85" s="136">
        <f t="shared" si="220"/>
        <v>-4.6300703448572178E-2</v>
      </c>
      <c r="V85" s="135">
        <f t="shared" si="220"/>
        <v>8.2272888091692309E-2</v>
      </c>
      <c r="W85" s="135">
        <f t="shared" si="220"/>
        <v>-1.0265086682711311E-2</v>
      </c>
      <c r="X85" s="135">
        <f t="shared" si="220"/>
        <v>0.15722924053102005</v>
      </c>
      <c r="Y85" s="135">
        <f t="shared" si="220"/>
        <v>0.10138776450100573</v>
      </c>
      <c r="Z85" s="136">
        <f t="shared" si="220"/>
        <v>8.3033283307414329E-2</v>
      </c>
      <c r="AA85" s="135">
        <f t="shared" si="220"/>
        <v>-0.21298167348608221</v>
      </c>
      <c r="AB85" s="135">
        <f t="shared" si="220"/>
        <v>-0.16244052443771073</v>
      </c>
      <c r="AC85" s="135">
        <f t="shared" si="220"/>
        <v>-0.29495208515110649</v>
      </c>
      <c r="AD85" s="135">
        <f t="shared" si="220"/>
        <v>-0.32667205910601371</v>
      </c>
      <c r="AE85" s="136">
        <f t="shared" si="220"/>
        <v>-0.25382631992460547</v>
      </c>
      <c r="AF85" s="135">
        <f t="shared" si="220"/>
        <v>-0.21687110104770613</v>
      </c>
      <c r="AG85" s="135">
        <f t="shared" si="220"/>
        <v>-0.43654515361484703</v>
      </c>
      <c r="AH85" s="135">
        <f t="shared" si="220"/>
        <v>-0.27504344165107275</v>
      </c>
      <c r="AI85" s="135">
        <f t="shared" si="220"/>
        <v>-0.10847563543492145</v>
      </c>
      <c r="AJ85" s="136">
        <f t="shared" si="220"/>
        <v>-0.263954257640312</v>
      </c>
      <c r="AK85" s="135">
        <f t="shared" si="220"/>
        <v>-0.1459456325721038</v>
      </c>
      <c r="AL85" s="135">
        <f t="shared" si="220"/>
        <v>-0.10339093307208835</v>
      </c>
      <c r="AM85" s="135">
        <f t="shared" ref="AM85:BR85" si="221">AM59/AH59-1</f>
        <v>-0.2751916508953004</v>
      </c>
      <c r="AN85" s="135">
        <f t="shared" si="221"/>
        <v>-0.11968688368286085</v>
      </c>
      <c r="AO85" s="136">
        <f t="shared" si="221"/>
        <v>-0.16322047000134576</v>
      </c>
      <c r="AP85" s="135">
        <f t="shared" si="221"/>
        <v>-0.34917611104772328</v>
      </c>
      <c r="AQ85" s="135">
        <f t="shared" si="221"/>
        <v>0.11271391686211185</v>
      </c>
      <c r="AR85" s="135">
        <f t="shared" si="221"/>
        <v>0.21243269373915874</v>
      </c>
      <c r="AS85" s="135">
        <f t="shared" si="221"/>
        <v>0.33181379821958457</v>
      </c>
      <c r="AT85" s="136">
        <f t="shared" si="221"/>
        <v>8.1677556409115226E-2</v>
      </c>
      <c r="AU85" s="135">
        <f t="shared" si="221"/>
        <v>0.83354563248132574</v>
      </c>
      <c r="AV85" s="135">
        <f t="shared" si="221"/>
        <v>0.46452679195482993</v>
      </c>
      <c r="AW85" s="135">
        <f t="shared" si="221"/>
        <v>0.28963404959817884</v>
      </c>
      <c r="AX85" s="135">
        <f t="shared" si="221"/>
        <v>0.14485629486868845</v>
      </c>
      <c r="AY85" s="136">
        <f t="shared" si="221"/>
        <v>0.35913195583780544</v>
      </c>
      <c r="AZ85" s="135">
        <f t="shared" si="221"/>
        <v>-7.4410943120367556E-2</v>
      </c>
      <c r="BA85" s="135">
        <f t="shared" si="221"/>
        <v>-0.10443273807363052</v>
      </c>
      <c r="BB85" s="135">
        <f t="shared" si="221"/>
        <v>0.24470906404752446</v>
      </c>
      <c r="BC85" s="135">
        <f t="shared" si="221"/>
        <v>-0.14318451256318898</v>
      </c>
      <c r="BD85" s="136">
        <f t="shared" si="221"/>
        <v>-2.7253071430588416E-2</v>
      </c>
      <c r="BE85" s="135">
        <f t="shared" si="221"/>
        <v>0.31248831325064885</v>
      </c>
      <c r="BF85" s="135">
        <f t="shared" si="221"/>
        <v>0.40916514863949804</v>
      </c>
      <c r="BG85" s="135">
        <f t="shared" si="221"/>
        <v>0.10729323431052595</v>
      </c>
      <c r="BH85" s="135">
        <f t="shared" si="221"/>
        <v>0.24617226465271669</v>
      </c>
      <c r="BI85" s="136">
        <f t="shared" si="221"/>
        <v>0.25293250300233083</v>
      </c>
      <c r="BJ85" s="135">
        <f t="shared" si="221"/>
        <v>0.22707256518672314</v>
      </c>
      <c r="BK85" s="135">
        <f t="shared" si="221"/>
        <v>5.758283073283943E-2</v>
      </c>
      <c r="BL85" s="135">
        <f t="shared" si="221"/>
        <v>0.21058510221300453</v>
      </c>
      <c r="BM85" s="135">
        <f t="shared" si="221"/>
        <v>4.1141665457876009E-2</v>
      </c>
      <c r="BN85" s="136">
        <f t="shared" si="221"/>
        <v>0.12971898623892764</v>
      </c>
      <c r="BO85" s="135">
        <f t="shared" si="221"/>
        <v>4.2036224517964405E-2</v>
      </c>
      <c r="BP85" s="135">
        <f t="shared" si="221"/>
        <v>0.30635725787807688</v>
      </c>
      <c r="BQ85" s="135">
        <f t="shared" si="221"/>
        <v>4.2537271326020587E-2</v>
      </c>
      <c r="BR85" s="135">
        <f t="shared" si="221"/>
        <v>0.24750969424822533</v>
      </c>
      <c r="BS85" s="136">
        <f t="shared" ref="BS85:CX85" si="222">BS59/BN59-1</f>
        <v>0.15527682803690479</v>
      </c>
      <c r="BT85" s="135">
        <f t="shared" si="222"/>
        <v>0.22555644034015199</v>
      </c>
      <c r="BU85" s="135">
        <f t="shared" si="222"/>
        <v>0.13704498623745076</v>
      </c>
      <c r="BV85" s="135">
        <f t="shared" si="222"/>
        <v>0.24825782739960411</v>
      </c>
      <c r="BW85" s="135">
        <f t="shared" si="222"/>
        <v>0.4654564207992955</v>
      </c>
      <c r="BX85" s="136">
        <f t="shared" si="222"/>
        <v>0.2739599331424718</v>
      </c>
      <c r="BY85" s="135">
        <f t="shared" si="222"/>
        <v>0.24148410177053892</v>
      </c>
      <c r="BZ85" s="135">
        <f t="shared" si="222"/>
        <v>0.13478313084960236</v>
      </c>
      <c r="CA85" s="135">
        <f t="shared" si="222"/>
        <v>4.8675856095456771E-2</v>
      </c>
      <c r="CB85" s="135">
        <f t="shared" si="222"/>
        <v>0.29083270790166571</v>
      </c>
      <c r="CC85" s="136">
        <f t="shared" si="222"/>
        <v>0.18301068281860911</v>
      </c>
      <c r="CD85" s="135">
        <f t="shared" si="222"/>
        <v>3.7019189407315967E-2</v>
      </c>
      <c r="CE85" s="135">
        <f t="shared" si="222"/>
        <v>0.17736969242524192</v>
      </c>
      <c r="CF85" s="135">
        <f t="shared" si="222"/>
        <v>0.24835346585175144</v>
      </c>
      <c r="CG85" s="135">
        <f t="shared" si="222"/>
        <v>-0.11592483047664237</v>
      </c>
      <c r="CH85" s="136">
        <f t="shared" si="222"/>
        <v>6.362819814665932E-2</v>
      </c>
      <c r="CI85" s="135">
        <f t="shared" si="222"/>
        <v>0.33074310251957195</v>
      </c>
      <c r="CJ85" s="135">
        <f t="shared" si="222"/>
        <v>0.10739255846300355</v>
      </c>
      <c r="CK85" s="135">
        <f t="shared" si="222"/>
        <v>8.6504436295222975E-2</v>
      </c>
      <c r="CL85" s="135">
        <f t="shared" si="222"/>
        <v>6.4551052456059077E-2</v>
      </c>
      <c r="CM85" s="136">
        <f t="shared" si="222"/>
        <v>0.13475524715167198</v>
      </c>
      <c r="CN85" s="135">
        <f t="shared" si="222"/>
        <v>0.12402681826392459</v>
      </c>
      <c r="CO85" s="135">
        <f t="shared" si="222"/>
        <v>0.11489428451297945</v>
      </c>
      <c r="CP85" s="135">
        <f t="shared" si="222"/>
        <v>0.10438773174433291</v>
      </c>
      <c r="CQ85" s="135">
        <f t="shared" si="222"/>
        <v>0.11776243384773322</v>
      </c>
      <c r="CR85" s="136">
        <f t="shared" si="222"/>
        <v>0.11515908762018312</v>
      </c>
      <c r="CS85" s="135">
        <f t="shared" si="222"/>
        <v>9.6277205320610904E-2</v>
      </c>
      <c r="CT85" s="135">
        <f t="shared" si="222"/>
        <v>8.9740918322913865E-2</v>
      </c>
      <c r="CU85" s="135">
        <f t="shared" si="222"/>
        <v>8.2695475492466253E-2</v>
      </c>
      <c r="CV85" s="135">
        <f t="shared" si="222"/>
        <v>7.6409286386725173E-2</v>
      </c>
      <c r="CW85" s="136">
        <f t="shared" si="222"/>
        <v>8.5953657490965174E-2</v>
      </c>
      <c r="CX85" s="135">
        <f t="shared" si="222"/>
        <v>7.6137594113373286E-2</v>
      </c>
      <c r="CY85" s="135">
        <f>CY59/CT59-1</f>
        <v>7.2939998761512026E-2</v>
      </c>
      <c r="CZ85" s="135">
        <f>CZ59/CU59-1</f>
        <v>7.0048625558249977E-2</v>
      </c>
      <c r="DA85" s="135">
        <f>DA59/CV59-1</f>
        <v>6.6130934033506339E-2</v>
      </c>
      <c r="DB85" s="136">
        <f>DB59/CW59-1</f>
        <v>7.1175282552857766E-2</v>
      </c>
    </row>
    <row r="86" spans="1:106" ht="11.25" customHeight="1" x14ac:dyDescent="0.35">
      <c r="A86" s="179" t="s">
        <v>219</v>
      </c>
      <c r="B86" s="60"/>
      <c r="C86" s="60"/>
      <c r="D86" s="60"/>
      <c r="E86" s="60"/>
      <c r="F86" s="59"/>
      <c r="G86" s="60">
        <f t="shared" ref="G86:AL86" si="223">G61/B61-1</f>
        <v>-8.9980131975148869E-2</v>
      </c>
      <c r="H86" s="60">
        <f t="shared" si="223"/>
        <v>3.0305822782354275E-2</v>
      </c>
      <c r="I86" s="60">
        <f t="shared" si="223"/>
        <v>0.18929715647040868</v>
      </c>
      <c r="J86" s="60">
        <f t="shared" si="223"/>
        <v>0.60496104961049602</v>
      </c>
      <c r="K86" s="59">
        <f t="shared" si="223"/>
        <v>0.17935847381072678</v>
      </c>
      <c r="L86" s="60">
        <f t="shared" si="223"/>
        <v>0.36126971179989131</v>
      </c>
      <c r="M86" s="60">
        <f t="shared" si="223"/>
        <v>5.2252506708092117E-2</v>
      </c>
      <c r="N86" s="60">
        <f t="shared" si="223"/>
        <v>-6.9837341574798817E-2</v>
      </c>
      <c r="O86" s="60">
        <f t="shared" si="223"/>
        <v>-7.7045280367863067E-2</v>
      </c>
      <c r="P86" s="59">
        <f t="shared" si="223"/>
        <v>3.7094832698581159E-2</v>
      </c>
      <c r="Q86" s="60">
        <f t="shared" si="223"/>
        <v>-0.14715334298696758</v>
      </c>
      <c r="R86" s="60">
        <f t="shared" si="223"/>
        <v>7.381112154968017E-2</v>
      </c>
      <c r="S86" s="60">
        <f t="shared" si="223"/>
        <v>7.5768216430909918E-2</v>
      </c>
      <c r="T86" s="60">
        <f t="shared" si="223"/>
        <v>-8.0418292060581376E-2</v>
      </c>
      <c r="U86" s="59">
        <f t="shared" si="223"/>
        <v>-2.5764113205071881E-2</v>
      </c>
      <c r="V86" s="60">
        <f t="shared" si="223"/>
        <v>0.13866074627809444</v>
      </c>
      <c r="W86" s="60">
        <f t="shared" si="223"/>
        <v>5.4641314174537214E-2</v>
      </c>
      <c r="X86" s="60">
        <f t="shared" si="223"/>
        <v>5.3129006173204818E-2</v>
      </c>
      <c r="Y86" s="60">
        <f t="shared" si="223"/>
        <v>3.4674121201404118E-2</v>
      </c>
      <c r="Z86" s="59">
        <f t="shared" si="223"/>
        <v>6.7230998142023379E-2</v>
      </c>
      <c r="AA86" s="60">
        <f t="shared" si="223"/>
        <v>-0.16768783666216236</v>
      </c>
      <c r="AB86" s="60">
        <f t="shared" si="223"/>
        <v>-0.13114644007671505</v>
      </c>
      <c r="AC86" s="60">
        <f t="shared" si="223"/>
        <v>-0.18044714289994901</v>
      </c>
      <c r="AD86" s="60">
        <f t="shared" si="223"/>
        <v>-0.28747113688842019</v>
      </c>
      <c r="AE86" s="59">
        <f t="shared" si="223"/>
        <v>-0.19378716034970822</v>
      </c>
      <c r="AF86" s="60">
        <f t="shared" si="223"/>
        <v>-0.17806343840504502</v>
      </c>
      <c r="AG86" s="60">
        <f t="shared" si="223"/>
        <v>-0.31351857619273871</v>
      </c>
      <c r="AH86" s="60">
        <f t="shared" si="223"/>
        <v>-0.27658558321812554</v>
      </c>
      <c r="AI86" s="60">
        <f t="shared" si="223"/>
        <v>-0.19850828531913911</v>
      </c>
      <c r="AJ86" s="59">
        <f t="shared" si="223"/>
        <v>-0.24419681257765458</v>
      </c>
      <c r="AK86" s="60">
        <f t="shared" si="223"/>
        <v>-0.21862917821645256</v>
      </c>
      <c r="AL86" s="60">
        <f t="shared" si="223"/>
        <v>-0.33210807445600166</v>
      </c>
      <c r="AM86" s="60">
        <f t="shared" ref="AM86:BR86" si="224">AM61/AH61-1</f>
        <v>-0.410257220202352</v>
      </c>
      <c r="AN86" s="60">
        <f t="shared" si="224"/>
        <v>-0.17162841488301606</v>
      </c>
      <c r="AO86" s="59">
        <f t="shared" si="224"/>
        <v>-0.28199087154966307</v>
      </c>
      <c r="AP86" s="60">
        <f t="shared" si="224"/>
        <v>-0.42135760952373624</v>
      </c>
      <c r="AQ86" s="60">
        <f t="shared" si="224"/>
        <v>-6.9959541469992725E-3</v>
      </c>
      <c r="AR86" s="60">
        <f t="shared" si="224"/>
        <v>0.27294736447436785</v>
      </c>
      <c r="AS86" s="60">
        <f t="shared" si="224"/>
        <v>0.2925778457612398</v>
      </c>
      <c r="AT86" s="59">
        <f t="shared" si="224"/>
        <v>1.7793476789226936E-2</v>
      </c>
      <c r="AU86" s="60">
        <f t="shared" si="224"/>
        <v>0.81352235550708829</v>
      </c>
      <c r="AV86" s="60">
        <f t="shared" si="224"/>
        <v>0.55394278923690687</v>
      </c>
      <c r="AW86" s="60">
        <f t="shared" si="224"/>
        <v>0.30056215233655093</v>
      </c>
      <c r="AX86" s="60">
        <f t="shared" si="224"/>
        <v>0.2014355333148985</v>
      </c>
      <c r="AY86" s="59">
        <f t="shared" si="224"/>
        <v>0.40281881459242697</v>
      </c>
      <c r="AZ86" s="60">
        <f t="shared" si="224"/>
        <v>-8.5798512825774331E-4</v>
      </c>
      <c r="BA86" s="60">
        <f t="shared" si="224"/>
        <v>-6.2727532702052224E-2</v>
      </c>
      <c r="BB86" s="60">
        <f t="shared" si="224"/>
        <v>0.28389557700209322</v>
      </c>
      <c r="BC86" s="60">
        <f t="shared" si="224"/>
        <v>-0.1172203688488076</v>
      </c>
      <c r="BD86" s="59">
        <f t="shared" si="224"/>
        <v>1.5903070523040519E-2</v>
      </c>
      <c r="BE86" s="60">
        <f t="shared" si="224"/>
        <v>0.30478388832211611</v>
      </c>
      <c r="BF86" s="60">
        <f t="shared" si="224"/>
        <v>0.5175336050765007</v>
      </c>
      <c r="BG86" s="60">
        <f t="shared" si="224"/>
        <v>0.15536062574652632</v>
      </c>
      <c r="BH86" s="60">
        <f t="shared" si="224"/>
        <v>0.27659986038805395</v>
      </c>
      <c r="BI86" s="59">
        <f t="shared" si="224"/>
        <v>0.2992503809564282</v>
      </c>
      <c r="BJ86" s="60">
        <f t="shared" si="224"/>
        <v>0.12449972015266453</v>
      </c>
      <c r="BK86" s="60">
        <f t="shared" si="224"/>
        <v>-7.1879094564677226E-2</v>
      </c>
      <c r="BL86" s="60">
        <f t="shared" si="224"/>
        <v>0.20215009673036111</v>
      </c>
      <c r="BM86" s="60">
        <f t="shared" si="224"/>
        <v>-2.690137844859164E-3</v>
      </c>
      <c r="BN86" s="59">
        <f t="shared" si="224"/>
        <v>6.0690895051542793E-2</v>
      </c>
      <c r="BO86" s="60">
        <f t="shared" si="224"/>
        <v>4.83346130854867E-2</v>
      </c>
      <c r="BP86" s="60">
        <f t="shared" si="224"/>
        <v>0.35689389108221659</v>
      </c>
      <c r="BQ86" s="60">
        <f t="shared" si="224"/>
        <v>4.4069487912187677E-2</v>
      </c>
      <c r="BR86" s="60">
        <f t="shared" si="224"/>
        <v>0.3348468100285813</v>
      </c>
      <c r="BS86" s="59">
        <f t="shared" ref="BS86:CX86" si="225">BS61/BN61-1</f>
        <v>0.18849918721392789</v>
      </c>
      <c r="BT86" s="60">
        <f t="shared" si="225"/>
        <v>0.24215898192020835</v>
      </c>
      <c r="BU86" s="60">
        <f t="shared" si="225"/>
        <v>0.15741861879315255</v>
      </c>
      <c r="BV86" s="60">
        <f t="shared" si="225"/>
        <v>0.23729331931568387</v>
      </c>
      <c r="BW86" s="60">
        <f t="shared" si="225"/>
        <v>0.37900892430015998</v>
      </c>
      <c r="BX86" s="59">
        <f t="shared" si="225"/>
        <v>0.25741166833311246</v>
      </c>
      <c r="BY86" s="60">
        <f t="shared" si="225"/>
        <v>0.2884770888193593</v>
      </c>
      <c r="BZ86" s="60">
        <f t="shared" si="225"/>
        <v>0.13976829788058431</v>
      </c>
      <c r="CA86" s="60">
        <f t="shared" si="225"/>
        <v>5.479909946223338E-2</v>
      </c>
      <c r="CB86" s="60">
        <f t="shared" si="225"/>
        <v>0.30497781616303943</v>
      </c>
      <c r="CC86" s="59">
        <f t="shared" si="225"/>
        <v>0.19689526407831814</v>
      </c>
      <c r="CD86" s="60">
        <f t="shared" si="225"/>
        <v>8.9935811243914365E-2</v>
      </c>
      <c r="CE86" s="60">
        <f t="shared" si="225"/>
        <v>0.25872340078351175</v>
      </c>
      <c r="CF86" s="60">
        <f t="shared" si="225"/>
        <v>0.25688896660136074</v>
      </c>
      <c r="CG86" s="60">
        <f t="shared" si="225"/>
        <v>-6.7896769628339015E-2</v>
      </c>
      <c r="CH86" s="59">
        <f t="shared" si="225"/>
        <v>0.11374367980215139</v>
      </c>
      <c r="CI86" s="60">
        <f t="shared" si="225"/>
        <v>0.3132352281404327</v>
      </c>
      <c r="CJ86" s="60">
        <f t="shared" si="225"/>
        <v>5.7156178639212074E-2</v>
      </c>
      <c r="CK86" s="60">
        <f t="shared" si="225"/>
        <v>8.889681863214971E-2</v>
      </c>
      <c r="CL86" s="60">
        <f t="shared" si="225"/>
        <v>6.5725455156695034E-2</v>
      </c>
      <c r="CM86" s="59">
        <f t="shared" si="225"/>
        <v>0.1196032074311395</v>
      </c>
      <c r="CN86" s="60">
        <f t="shared" si="225"/>
        <v>0.11631451039077789</v>
      </c>
      <c r="CO86" s="60">
        <f t="shared" si="225"/>
        <v>0.10666424964078547</v>
      </c>
      <c r="CP86" s="60">
        <f t="shared" si="225"/>
        <v>9.5503551610024884E-2</v>
      </c>
      <c r="CQ86" s="60">
        <f t="shared" si="225"/>
        <v>0.10788105532113623</v>
      </c>
      <c r="CR86" s="59">
        <f t="shared" si="225"/>
        <v>0.10644521131926776</v>
      </c>
      <c r="CS86" s="60">
        <f t="shared" si="225"/>
        <v>9.2088074107005369E-2</v>
      </c>
      <c r="CT86" s="60">
        <f t="shared" si="225"/>
        <v>8.5932084088515159E-2</v>
      </c>
      <c r="CU86" s="60">
        <f t="shared" si="225"/>
        <v>7.9343848379988202E-2</v>
      </c>
      <c r="CV86" s="60">
        <f t="shared" si="225"/>
        <v>7.3530177375879857E-2</v>
      </c>
      <c r="CW86" s="59">
        <f t="shared" si="225"/>
        <v>8.2426576905976434E-2</v>
      </c>
      <c r="CX86" s="60">
        <f t="shared" si="225"/>
        <v>7.3791712226197514E-2</v>
      </c>
      <c r="CY86" s="60">
        <f>CY61/CT61-1</f>
        <v>7.0750490232753815E-2</v>
      </c>
      <c r="CZ86" s="60">
        <f>CZ61/CU61-1</f>
        <v>6.806621973070226E-2</v>
      </c>
      <c r="DA86" s="60">
        <f>DA61/CV61-1</f>
        <v>6.4390303541605132E-2</v>
      </c>
      <c r="DB86" s="59">
        <f>DB61/CW61-1</f>
        <v>6.9121935283992464E-2</v>
      </c>
    </row>
    <row r="87" spans="1:106" ht="11.25" customHeight="1" x14ac:dyDescent="0.35">
      <c r="A87" s="209" t="s">
        <v>217</v>
      </c>
      <c r="B87" s="205"/>
      <c r="C87" s="205"/>
      <c r="D87" s="205"/>
      <c r="E87" s="205"/>
      <c r="F87" s="206"/>
      <c r="G87" s="205">
        <f t="shared" ref="G87:P88" si="226">(G77-B77)*10000</f>
        <v>-505.86142565652523</v>
      </c>
      <c r="H87" s="205">
        <f t="shared" si="226"/>
        <v>-347.45485411843026</v>
      </c>
      <c r="I87" s="205">
        <f t="shared" si="226"/>
        <v>-415.89049061722613</v>
      </c>
      <c r="J87" s="205">
        <f t="shared" si="226"/>
        <v>348.61508955601249</v>
      </c>
      <c r="K87" s="206">
        <f t="shared" si="226"/>
        <v>-195.97551525055712</v>
      </c>
      <c r="L87" s="205">
        <f t="shared" si="226"/>
        <v>351.34070865203984</v>
      </c>
      <c r="M87" s="205">
        <f t="shared" si="226"/>
        <v>154.98216416209297</v>
      </c>
      <c r="N87" s="205">
        <f t="shared" si="226"/>
        <v>242.43170772622057</v>
      </c>
      <c r="O87" s="205">
        <f t="shared" si="226"/>
        <v>881.67991135873865</v>
      </c>
      <c r="P87" s="206">
        <f t="shared" si="226"/>
        <v>402.53027407902374</v>
      </c>
      <c r="Q87" s="205">
        <f t="shared" ref="Q87:Z88" si="227">(Q77-L77)*10000</f>
        <v>98.878472117867048</v>
      </c>
      <c r="R87" s="205">
        <f t="shared" si="227"/>
        <v>270.63957258209871</v>
      </c>
      <c r="S87" s="205">
        <f t="shared" si="227"/>
        <v>144.68645224768096</v>
      </c>
      <c r="T87" s="205">
        <f t="shared" si="227"/>
        <v>-213.96703933478423</v>
      </c>
      <c r="U87" s="206">
        <f t="shared" si="227"/>
        <v>76.349433160499686</v>
      </c>
      <c r="V87" s="205">
        <f t="shared" si="227"/>
        <v>183.04891777119582</v>
      </c>
      <c r="W87" s="205">
        <f t="shared" si="227"/>
        <v>229.39060496100782</v>
      </c>
      <c r="X87" s="205">
        <f t="shared" si="227"/>
        <v>-327.08726938929732</v>
      </c>
      <c r="Y87" s="205">
        <f t="shared" si="227"/>
        <v>-231.7061391348374</v>
      </c>
      <c r="Z87" s="206">
        <f t="shared" si="227"/>
        <v>-52.846921534629999</v>
      </c>
      <c r="AA87" s="205">
        <f t="shared" ref="AA87:AJ88" si="228">(AA77-V77)*10000</f>
        <v>212.73070612112588</v>
      </c>
      <c r="AB87" s="205">
        <f t="shared" si="228"/>
        <v>139.26419465742302</v>
      </c>
      <c r="AC87" s="205">
        <f t="shared" si="228"/>
        <v>537.40178938262386</v>
      </c>
      <c r="AD87" s="205">
        <f t="shared" si="228"/>
        <v>209.21658863968906</v>
      </c>
      <c r="AE87" s="206">
        <f t="shared" si="228"/>
        <v>287.17915167642104</v>
      </c>
      <c r="AF87" s="205">
        <f t="shared" si="228"/>
        <v>193.71424027429808</v>
      </c>
      <c r="AG87" s="205">
        <f t="shared" si="228"/>
        <v>844.23554120909012</v>
      </c>
      <c r="AH87" s="205">
        <f t="shared" si="228"/>
        <v>-8.1820872260518485</v>
      </c>
      <c r="AI87" s="205">
        <f t="shared" si="228"/>
        <v>-384.03349961823875</v>
      </c>
      <c r="AJ87" s="206">
        <f t="shared" si="228"/>
        <v>103.51278477047087</v>
      </c>
      <c r="AK87" s="205">
        <f t="shared" ref="AK87:AT88" si="229">(AK77-AF77)*10000</f>
        <v>-349.16680389914853</v>
      </c>
      <c r="AL87" s="205">
        <f t="shared" si="229"/>
        <v>-1201.6806471561842</v>
      </c>
      <c r="AM87" s="205">
        <f t="shared" si="229"/>
        <v>-715.23455338280974</v>
      </c>
      <c r="AN87" s="205">
        <f t="shared" si="229"/>
        <v>-201.71848138677507</v>
      </c>
      <c r="AO87" s="206">
        <f t="shared" si="229"/>
        <v>-562.0424337884233</v>
      </c>
      <c r="AP87" s="205">
        <f t="shared" si="229"/>
        <v>-416.30961406497693</v>
      </c>
      <c r="AQ87" s="205">
        <f t="shared" si="229"/>
        <v>-377.52262902005396</v>
      </c>
      <c r="AR87" s="205">
        <f t="shared" si="229"/>
        <v>155.87250041862288</v>
      </c>
      <c r="AS87" s="205">
        <f t="shared" si="229"/>
        <v>-94.775661561131713</v>
      </c>
      <c r="AT87" s="206">
        <f t="shared" si="229"/>
        <v>-200.67148764398524</v>
      </c>
      <c r="AU87" s="205">
        <f t="shared" ref="AU87:BD88" si="230">(AU77-AP77)*10000</f>
        <v>-36.445526188663145</v>
      </c>
      <c r="AV87" s="205">
        <f t="shared" si="230"/>
        <v>191.19738472577529</v>
      </c>
      <c r="AW87" s="205">
        <f t="shared" si="230"/>
        <v>27.784177960265556</v>
      </c>
      <c r="AX87" s="205">
        <f t="shared" si="230"/>
        <v>154.30338526951581</v>
      </c>
      <c r="AY87" s="206">
        <f t="shared" si="230"/>
        <v>102.76420949584364</v>
      </c>
      <c r="AZ87" s="205">
        <f t="shared" si="230"/>
        <v>262.30943686676221</v>
      </c>
      <c r="BA87" s="205">
        <f t="shared" si="230"/>
        <v>154.73686839583334</v>
      </c>
      <c r="BB87" s="205">
        <f t="shared" si="230"/>
        <v>104.10046302084919</v>
      </c>
      <c r="BC87" s="205">
        <f t="shared" si="230"/>
        <v>99.290003334966954</v>
      </c>
      <c r="BD87" s="206">
        <f t="shared" si="230"/>
        <v>146.39808441149037</v>
      </c>
      <c r="BE87" s="205">
        <f t="shared" ref="BE87:BN88" si="231">(BE77-AZ77)*10000</f>
        <v>-20.916344045774359</v>
      </c>
      <c r="BF87" s="205">
        <f t="shared" si="231"/>
        <v>267.43016514374438</v>
      </c>
      <c r="BG87" s="205">
        <f t="shared" si="231"/>
        <v>148.05860478243284</v>
      </c>
      <c r="BH87" s="205">
        <f t="shared" si="231"/>
        <v>82.427737846960667</v>
      </c>
      <c r="BI87" s="206">
        <f t="shared" si="231"/>
        <v>127.39900393881565</v>
      </c>
      <c r="BJ87" s="205">
        <f t="shared" si="231"/>
        <v>-296.10537412113666</v>
      </c>
      <c r="BK87" s="205">
        <f t="shared" si="231"/>
        <v>-458.43048703325007</v>
      </c>
      <c r="BL87" s="205">
        <f t="shared" si="231"/>
        <v>-24.796518299962656</v>
      </c>
      <c r="BM87" s="205">
        <f t="shared" si="231"/>
        <v>-145.59285014221601</v>
      </c>
      <c r="BN87" s="206">
        <f t="shared" si="231"/>
        <v>-218.35627040117822</v>
      </c>
      <c r="BO87" s="205">
        <f t="shared" ref="BO87:CB88" si="232">(BO77-BJ77)*10000</f>
        <v>19.620942866211411</v>
      </c>
      <c r="BP87" s="205">
        <f t="shared" si="232"/>
        <v>127.13945004213024</v>
      </c>
      <c r="BQ87" s="205">
        <f t="shared" si="232"/>
        <v>5.1938882468349767</v>
      </c>
      <c r="BR87" s="205">
        <f t="shared" si="232"/>
        <v>231.91868487194068</v>
      </c>
      <c r="BS87" s="206">
        <f t="shared" si="232"/>
        <v>96.487943732544437</v>
      </c>
      <c r="BT87" s="205">
        <f t="shared" si="232"/>
        <v>44.241679808634807</v>
      </c>
      <c r="BU87" s="205">
        <f t="shared" si="232"/>
        <v>61.166091773328105</v>
      </c>
      <c r="BV87" s="205">
        <f t="shared" si="232"/>
        <v>-31.087564534558744</v>
      </c>
      <c r="BW87" s="205">
        <f t="shared" si="232"/>
        <v>-209.09701573430806</v>
      </c>
      <c r="BX87" s="206">
        <f t="shared" si="232"/>
        <v>-44.837166936908531</v>
      </c>
      <c r="BY87" s="205">
        <f t="shared" ref="BY87:CH88" si="233">(BY77-BT77)*10000</f>
        <v>125.2927970593426</v>
      </c>
      <c r="BZ87" s="205">
        <f t="shared" si="232"/>
        <v>15.265097063614231</v>
      </c>
      <c r="CA87" s="205">
        <f t="shared" si="232"/>
        <v>20.48379718709803</v>
      </c>
      <c r="CB87" s="205">
        <f t="shared" si="232"/>
        <v>36.550961426347619</v>
      </c>
      <c r="CC87" s="206">
        <f t="shared" si="233"/>
        <v>39.985939811694735</v>
      </c>
      <c r="CD87" s="205">
        <f t="shared" si="233"/>
        <v>175.29723759135086</v>
      </c>
      <c r="CE87" s="205">
        <f t="shared" si="233"/>
        <v>241.15758780940243</v>
      </c>
      <c r="CF87" s="205">
        <f t="shared" si="233"/>
        <v>24.126267029229709</v>
      </c>
      <c r="CG87" s="205">
        <f t="shared" si="233"/>
        <v>183.18989657880869</v>
      </c>
      <c r="CH87" s="206">
        <f t="shared" si="233"/>
        <v>162.40998868818247</v>
      </c>
      <c r="CI87" s="205">
        <f t="shared" ref="CI87:CR88" si="234">(CI77-CD77)*10000</f>
        <v>-47.503223494790859</v>
      </c>
      <c r="CJ87" s="205">
        <f t="shared" si="234"/>
        <v>-169.26634546652997</v>
      </c>
      <c r="CK87" s="205">
        <f t="shared" si="234"/>
        <v>7.8227080575843377</v>
      </c>
      <c r="CL87" s="205">
        <f t="shared" si="234"/>
        <v>3.9221213450396641</v>
      </c>
      <c r="CM87" s="206">
        <f t="shared" si="234"/>
        <v>-48.194222739473823</v>
      </c>
      <c r="CN87" s="205">
        <f t="shared" si="234"/>
        <v>-24.44780475880426</v>
      </c>
      <c r="CO87" s="205">
        <f t="shared" si="234"/>
        <v>-26.294167253145261</v>
      </c>
      <c r="CP87" s="205">
        <f t="shared" si="234"/>
        <v>-28.642376319456542</v>
      </c>
      <c r="CQ87" s="205">
        <f t="shared" si="234"/>
        <v>-31.464247561078796</v>
      </c>
      <c r="CR87" s="206">
        <f t="shared" si="234"/>
        <v>-27.826755813355476</v>
      </c>
      <c r="CS87" s="205">
        <f t="shared" ref="CS87:DB88" si="235">(CS77-CN77)*10000</f>
        <v>-13.522147225952242</v>
      </c>
      <c r="CT87" s="205">
        <f t="shared" si="235"/>
        <v>-12.357836350693209</v>
      </c>
      <c r="CU87" s="205">
        <f t="shared" si="235"/>
        <v>-10.933390347084293</v>
      </c>
      <c r="CV87" s="205">
        <f t="shared" si="235"/>
        <v>-9.4356891109770302</v>
      </c>
      <c r="CW87" s="206">
        <f t="shared" si="235"/>
        <v>-11.475858639123926</v>
      </c>
      <c r="CX87" s="205">
        <f t="shared" si="235"/>
        <v>-7.6845368853217799</v>
      </c>
      <c r="CY87" s="205">
        <f t="shared" si="235"/>
        <v>-7.1899229727689917</v>
      </c>
      <c r="CZ87" s="205">
        <f t="shared" si="235"/>
        <v>-6.5230098091645372</v>
      </c>
      <c r="DA87" s="205">
        <f t="shared" si="235"/>
        <v>-5.744150551456606</v>
      </c>
      <c r="DB87" s="206">
        <f t="shared" si="235"/>
        <v>-6.7510312255625315</v>
      </c>
    </row>
    <row r="88" spans="1:106" ht="11.25" customHeight="1" x14ac:dyDescent="0.35">
      <c r="A88" s="209" t="s">
        <v>216</v>
      </c>
      <c r="B88" s="205"/>
      <c r="C88" s="205"/>
      <c r="D88" s="205"/>
      <c r="E88" s="205"/>
      <c r="F88" s="206"/>
      <c r="G88" s="205">
        <f t="shared" si="226"/>
        <v>-747.05456054149352</v>
      </c>
      <c r="H88" s="205">
        <f t="shared" si="226"/>
        <v>-493.56263234089369</v>
      </c>
      <c r="I88" s="205">
        <f t="shared" si="226"/>
        <v>-658.367728088749</v>
      </c>
      <c r="J88" s="205">
        <f t="shared" si="226"/>
        <v>458.11257197369338</v>
      </c>
      <c r="K88" s="206">
        <f t="shared" si="226"/>
        <v>-312.96011975955884</v>
      </c>
      <c r="L88" s="205">
        <f t="shared" si="226"/>
        <v>398.62120508469877</v>
      </c>
      <c r="M88" s="205">
        <f t="shared" si="226"/>
        <v>205.13783528366469</v>
      </c>
      <c r="N88" s="205">
        <f t="shared" si="226"/>
        <v>313.14780619260188</v>
      </c>
      <c r="O88" s="205">
        <f t="shared" si="226"/>
        <v>721.59341394534397</v>
      </c>
      <c r="P88" s="206">
        <f t="shared" si="226"/>
        <v>399.67037487545929</v>
      </c>
      <c r="Q88" s="205">
        <f t="shared" si="227"/>
        <v>130.45606905964013</v>
      </c>
      <c r="R88" s="205">
        <f t="shared" si="227"/>
        <v>291.59490804107844</v>
      </c>
      <c r="S88" s="205">
        <f t="shared" si="227"/>
        <v>106.47361184519922</v>
      </c>
      <c r="T88" s="205">
        <f t="shared" si="227"/>
        <v>-336.71401720752112</v>
      </c>
      <c r="U88" s="206">
        <f t="shared" si="227"/>
        <v>45.960196148583378</v>
      </c>
      <c r="V88" s="205">
        <f t="shared" si="227"/>
        <v>60.599424111661413</v>
      </c>
      <c r="W88" s="205">
        <f t="shared" si="227"/>
        <v>76.376368677917299</v>
      </c>
      <c r="X88" s="205">
        <f t="shared" si="227"/>
        <v>-287.61346767178566</v>
      </c>
      <c r="Y88" s="205">
        <f t="shared" si="227"/>
        <v>-57.470303770715269</v>
      </c>
      <c r="Z88" s="206">
        <f t="shared" si="227"/>
        <v>-62.947750902714873</v>
      </c>
      <c r="AA88" s="205">
        <f t="shared" si="228"/>
        <v>156.18504299160674</v>
      </c>
      <c r="AB88" s="205">
        <f t="shared" si="228"/>
        <v>168.58144790572183</v>
      </c>
      <c r="AC88" s="205">
        <f t="shared" si="228"/>
        <v>476.0828332928624</v>
      </c>
      <c r="AD88" s="205">
        <f t="shared" si="228"/>
        <v>152.63584656532714</v>
      </c>
      <c r="AE88" s="206">
        <f t="shared" si="228"/>
        <v>250.32322991567935</v>
      </c>
      <c r="AF88" s="205">
        <f t="shared" si="228"/>
        <v>-1.7749391281879356</v>
      </c>
      <c r="AG88" s="205">
        <f t="shared" si="228"/>
        <v>453.64221219385604</v>
      </c>
      <c r="AH88" s="205">
        <f t="shared" si="228"/>
        <v>-298.06380959992663</v>
      </c>
      <c r="AI88" s="205">
        <f t="shared" si="228"/>
        <v>-502.19716649789024</v>
      </c>
      <c r="AJ88" s="206">
        <f t="shared" si="228"/>
        <v>-137.11313888247923</v>
      </c>
      <c r="AK88" s="205">
        <f t="shared" si="229"/>
        <v>-376.2236986622425</v>
      </c>
      <c r="AL88" s="205">
        <f t="shared" si="229"/>
        <v>-1289.0155190203257</v>
      </c>
      <c r="AM88" s="205">
        <f t="shared" si="229"/>
        <v>-705.02207881711081</v>
      </c>
      <c r="AN88" s="205">
        <f t="shared" si="229"/>
        <v>-180.8806621746989</v>
      </c>
      <c r="AO88" s="206">
        <f t="shared" si="229"/>
        <v>-578.15181018846135</v>
      </c>
      <c r="AP88" s="205">
        <f t="shared" si="229"/>
        <v>-336.31735980160005</v>
      </c>
      <c r="AQ88" s="205">
        <f t="shared" si="229"/>
        <v>6.1979366866615759</v>
      </c>
      <c r="AR88" s="205">
        <f t="shared" si="229"/>
        <v>360.71970980612269</v>
      </c>
      <c r="AS88" s="205">
        <f t="shared" si="229"/>
        <v>213.24189988548071</v>
      </c>
      <c r="AT88" s="206">
        <f t="shared" si="229"/>
        <v>70.60741518967184</v>
      </c>
      <c r="AU88" s="205">
        <f t="shared" si="230"/>
        <v>243.19535026412208</v>
      </c>
      <c r="AV88" s="205">
        <f t="shared" si="230"/>
        <v>449.39104695932321</v>
      </c>
      <c r="AW88" s="205">
        <f t="shared" si="230"/>
        <v>265.74654921197151</v>
      </c>
      <c r="AX88" s="205">
        <f t="shared" si="230"/>
        <v>205.73885153247818</v>
      </c>
      <c r="AY88" s="206">
        <f t="shared" si="230"/>
        <v>275.0586139975386</v>
      </c>
      <c r="AZ88" s="205">
        <f t="shared" si="230"/>
        <v>398.63832498362393</v>
      </c>
      <c r="BA88" s="205">
        <f t="shared" si="230"/>
        <v>149.087931279277</v>
      </c>
      <c r="BB88" s="205">
        <f t="shared" si="230"/>
        <v>162.87834455038674</v>
      </c>
      <c r="BC88" s="205">
        <f t="shared" si="230"/>
        <v>59.199151046713247</v>
      </c>
      <c r="BD88" s="206">
        <f t="shared" si="230"/>
        <v>177.31781104242174</v>
      </c>
      <c r="BE88" s="205">
        <f t="shared" si="231"/>
        <v>41.553532686035567</v>
      </c>
      <c r="BF88" s="205">
        <f t="shared" si="231"/>
        <v>380.24233475360882</v>
      </c>
      <c r="BG88" s="205">
        <f t="shared" si="231"/>
        <v>214.97307821533528</v>
      </c>
      <c r="BH88" s="205">
        <f t="shared" si="231"/>
        <v>161.69753691171019</v>
      </c>
      <c r="BI88" s="206">
        <f t="shared" si="231"/>
        <v>207.00888154197128</v>
      </c>
      <c r="BJ88" s="205">
        <f t="shared" si="231"/>
        <v>-338.40505873255597</v>
      </c>
      <c r="BK88" s="205">
        <f t="shared" si="231"/>
        <v>-526.72611658997619</v>
      </c>
      <c r="BL88" s="205">
        <f t="shared" si="231"/>
        <v>-80.926415506248901</v>
      </c>
      <c r="BM88" s="205">
        <f t="shared" si="231"/>
        <v>-200.66471591265454</v>
      </c>
      <c r="BN88" s="206">
        <f t="shared" si="231"/>
        <v>-273.35258269649051</v>
      </c>
      <c r="BO88" s="205">
        <f t="shared" si="232"/>
        <v>-40.563257358549045</v>
      </c>
      <c r="BP88" s="205">
        <f t="shared" si="232"/>
        <v>97.179261674066325</v>
      </c>
      <c r="BQ88" s="205">
        <f t="shared" si="232"/>
        <v>-33.186080653339054</v>
      </c>
      <c r="BR88" s="205">
        <f t="shared" si="232"/>
        <v>229.68427783364999</v>
      </c>
      <c r="BS88" s="206">
        <f t="shared" si="232"/>
        <v>64.60071195410589</v>
      </c>
      <c r="BT88" s="205">
        <f t="shared" si="232"/>
        <v>64.087717921365027</v>
      </c>
      <c r="BU88" s="205">
        <f t="shared" si="232"/>
        <v>57.647047102036829</v>
      </c>
      <c r="BV88" s="205">
        <f t="shared" si="232"/>
        <v>-23.22915400084835</v>
      </c>
      <c r="BW88" s="205">
        <f t="shared" si="232"/>
        <v>-178.75919585829681</v>
      </c>
      <c r="BX88" s="206">
        <f t="shared" si="232"/>
        <v>-29.624867820610689</v>
      </c>
      <c r="BY88" s="205">
        <f t="shared" si="233"/>
        <v>110.8147464593423</v>
      </c>
      <c r="BZ88" s="205">
        <f t="shared" si="232"/>
        <v>-11.448505610903714</v>
      </c>
      <c r="CA88" s="205">
        <f t="shared" si="232"/>
        <v>-31.308805752105485</v>
      </c>
      <c r="CB88" s="205">
        <f t="shared" si="232"/>
        <v>32.514226251120213</v>
      </c>
      <c r="CC88" s="206">
        <f t="shared" si="233"/>
        <v>19.059963077568966</v>
      </c>
      <c r="CD88" s="205">
        <f t="shared" si="233"/>
        <v>40.020505396961561</v>
      </c>
      <c r="CE88" s="205">
        <f t="shared" si="233"/>
        <v>164.16412161753158</v>
      </c>
      <c r="CF88" s="205">
        <f t="shared" si="233"/>
        <v>78.599311774734673</v>
      </c>
      <c r="CG88" s="205">
        <f t="shared" si="233"/>
        <v>152.11074710917427</v>
      </c>
      <c r="CH88" s="206">
        <f t="shared" si="233"/>
        <v>116.94664087198048</v>
      </c>
      <c r="CI88" s="205">
        <f t="shared" si="234"/>
        <v>124.80191612674662</v>
      </c>
      <c r="CJ88" s="205">
        <f t="shared" si="234"/>
        <v>-34.774064181283258</v>
      </c>
      <c r="CK88" s="205">
        <f t="shared" si="234"/>
        <v>14.919055738548126</v>
      </c>
      <c r="CL88" s="205">
        <f t="shared" si="234"/>
        <v>9.011287589194005</v>
      </c>
      <c r="CM88" s="206">
        <f t="shared" si="234"/>
        <v>23.892425963200068</v>
      </c>
      <c r="CN88" s="205">
        <f t="shared" si="234"/>
        <v>-18.566139301210981</v>
      </c>
      <c r="CO88" s="205">
        <f t="shared" si="234"/>
        <v>-15.013684271198425</v>
      </c>
      <c r="CP88" s="205">
        <f t="shared" si="234"/>
        <v>-15.09729488506084</v>
      </c>
      <c r="CQ88" s="205">
        <f t="shared" si="234"/>
        <v>-21.383496192096118</v>
      </c>
      <c r="CR88" s="206">
        <f t="shared" si="234"/>
        <v>-17.560465152061667</v>
      </c>
      <c r="CS88" s="205">
        <f t="shared" si="235"/>
        <v>-30.925823133320375</v>
      </c>
      <c r="CT88" s="205">
        <f t="shared" si="235"/>
        <v>-23.716950599587673</v>
      </c>
      <c r="CU88" s="205">
        <f t="shared" si="235"/>
        <v>-17.235469791754831</v>
      </c>
      <c r="CV88" s="205">
        <f t="shared" si="235"/>
        <v>-13.245451504350637</v>
      </c>
      <c r="CW88" s="206">
        <f t="shared" si="235"/>
        <v>-20.968363537883782</v>
      </c>
      <c r="CX88" s="205">
        <f t="shared" si="235"/>
        <v>-3.0456789447452781</v>
      </c>
      <c r="CY88" s="205">
        <f t="shared" si="235"/>
        <v>-2.5145727876779711</v>
      </c>
      <c r="CZ88" s="205">
        <f t="shared" si="235"/>
        <v>-2.1349852672708503</v>
      </c>
      <c r="DA88" s="205">
        <f t="shared" si="235"/>
        <v>-1.3512376431024098</v>
      </c>
      <c r="DB88" s="206">
        <f t="shared" si="235"/>
        <v>-2.2240484693486495</v>
      </c>
    </row>
    <row r="89" spans="1:106" ht="11.25" customHeight="1" x14ac:dyDescent="0.35">
      <c r="A89" s="208" t="s">
        <v>215</v>
      </c>
      <c r="B89" s="46"/>
      <c r="C89" s="46"/>
      <c r="D89" s="46"/>
      <c r="E89" s="46"/>
      <c r="F89" s="22"/>
      <c r="G89" s="46">
        <f t="shared" ref="G89:AL89" si="236">G65/B65-1</f>
        <v>-0.28640013863343661</v>
      </c>
      <c r="H89" s="46">
        <f t="shared" si="236"/>
        <v>-0.24464754718208503</v>
      </c>
      <c r="I89" s="46">
        <f t="shared" si="236"/>
        <v>0.15377191317005257</v>
      </c>
      <c r="J89" s="46">
        <f t="shared" si="236"/>
        <v>0.94644733996811681</v>
      </c>
      <c r="K89" s="22">
        <f t="shared" si="236"/>
        <v>9.8982066889744535E-2</v>
      </c>
      <c r="L89" s="46">
        <f t="shared" si="236"/>
        <v>0.64962359538159253</v>
      </c>
      <c r="M89" s="46">
        <f t="shared" si="236"/>
        <v>0.38141860615324985</v>
      </c>
      <c r="N89" s="46">
        <f t="shared" si="236"/>
        <v>-1.037052781701242E-2</v>
      </c>
      <c r="O89" s="46">
        <f t="shared" si="236"/>
        <v>-0.22635659715852863</v>
      </c>
      <c r="P89" s="22">
        <f t="shared" si="236"/>
        <v>9.3648305810058341E-2</v>
      </c>
      <c r="Q89" s="46">
        <f t="shared" si="236"/>
        <v>-0.12959195963759484</v>
      </c>
      <c r="R89" s="46">
        <f t="shared" si="236"/>
        <v>0.14193983269108634</v>
      </c>
      <c r="S89" s="46">
        <f t="shared" si="236"/>
        <v>7.4050722805169888E-2</v>
      </c>
      <c r="T89" s="46">
        <f t="shared" si="236"/>
        <v>5.0253639281193863E-2</v>
      </c>
      <c r="U89" s="22">
        <f t="shared" si="236"/>
        <v>2.9833401973154317E-2</v>
      </c>
      <c r="V89" s="46">
        <f t="shared" si="236"/>
        <v>0.10716948931034209</v>
      </c>
      <c r="W89" s="46">
        <f t="shared" si="236"/>
        <v>-4.6028388153405153E-3</v>
      </c>
      <c r="X89" s="46">
        <f t="shared" si="236"/>
        <v>-5.7779082256332215E-2</v>
      </c>
      <c r="Y89" s="46">
        <f t="shared" si="236"/>
        <v>-0.1811001338679572</v>
      </c>
      <c r="Z89" s="22">
        <f t="shared" si="236"/>
        <v>-4.1040271020657659E-2</v>
      </c>
      <c r="AA89" s="46">
        <f t="shared" si="236"/>
        <v>-0.35229257149205484</v>
      </c>
      <c r="AB89" s="46">
        <f t="shared" si="236"/>
        <v>-0.10487058283144401</v>
      </c>
      <c r="AC89" s="46">
        <f t="shared" si="236"/>
        <v>-0.22499306813085995</v>
      </c>
      <c r="AD89" s="46">
        <f t="shared" si="236"/>
        <v>-0.36613664162152715</v>
      </c>
      <c r="AE89" s="22">
        <f t="shared" si="236"/>
        <v>-0.25861449186052488</v>
      </c>
      <c r="AF89" s="46">
        <f t="shared" si="236"/>
        <v>-0.14141452040843672</v>
      </c>
      <c r="AG89" s="46">
        <f t="shared" si="236"/>
        <v>-0.62354243175038393</v>
      </c>
      <c r="AH89" s="46">
        <f t="shared" si="236"/>
        <v>-0.47772104486709477</v>
      </c>
      <c r="AI89" s="46">
        <f t="shared" si="236"/>
        <v>-0.42340819151933939</v>
      </c>
      <c r="AJ89" s="22">
        <f t="shared" si="236"/>
        <v>-0.43767809244923839</v>
      </c>
      <c r="AK89" s="46">
        <f t="shared" si="236"/>
        <v>-0.36821240838546154</v>
      </c>
      <c r="AL89" s="46">
        <f t="shared" si="236"/>
        <v>-1.8420458360035399</v>
      </c>
      <c r="AM89" s="46">
        <f t="shared" ref="AM89:BR89" si="237">AM65/AH65-1</f>
        <v>-0.73088925535963467</v>
      </c>
      <c r="AN89" s="46">
        <f t="shared" si="237"/>
        <v>-0.38770133016021413</v>
      </c>
      <c r="AO89" s="22">
        <f t="shared" si="237"/>
        <v>-0.7708969583186438</v>
      </c>
      <c r="AP89" s="46">
        <f t="shared" si="237"/>
        <v>-0.94404205492040594</v>
      </c>
      <c r="AQ89" s="46">
        <f t="shared" si="237"/>
        <v>-1.1827637444279346</v>
      </c>
      <c r="AR89" s="46">
        <f t="shared" si="237"/>
        <v>-2.4087866503252569</v>
      </c>
      <c r="AS89" s="46">
        <f t="shared" si="237"/>
        <v>1.0806322876179899</v>
      </c>
      <c r="AT89" s="22">
        <f t="shared" si="237"/>
        <v>-0.11124913093858635</v>
      </c>
      <c r="AU89" s="46">
        <f t="shared" si="237"/>
        <v>21.370475013243865</v>
      </c>
      <c r="AV89" s="46">
        <f t="shared" si="237"/>
        <v>5.7757287328970852</v>
      </c>
      <c r="AW89" s="46">
        <f t="shared" si="237"/>
        <v>-4.3414753842378815</v>
      </c>
      <c r="AX89" s="46">
        <f t="shared" si="237"/>
        <v>1.191467004695149</v>
      </c>
      <c r="AY89" s="22">
        <f t="shared" si="237"/>
        <v>5.6938898971566845</v>
      </c>
      <c r="AZ89" s="46">
        <f t="shared" si="237"/>
        <v>-0.36863376590571817</v>
      </c>
      <c r="BA89" s="46">
        <f t="shared" si="237"/>
        <v>9.1015510681884626E-2</v>
      </c>
      <c r="BB89" s="46">
        <f t="shared" si="237"/>
        <v>0.47609733302179635</v>
      </c>
      <c r="BC89" s="46">
        <f t="shared" si="237"/>
        <v>-0.13712939672198521</v>
      </c>
      <c r="BD89" s="22">
        <f t="shared" si="237"/>
        <v>-3.253502033438771E-3</v>
      </c>
      <c r="BE89" s="46">
        <f t="shared" si="237"/>
        <v>0.95137777555511094</v>
      </c>
      <c r="BF89" s="46">
        <f t="shared" si="237"/>
        <v>1.2222728898426323</v>
      </c>
      <c r="BG89" s="46">
        <f t="shared" si="237"/>
        <v>3.2336553420890812E-2</v>
      </c>
      <c r="BH89" s="46">
        <f t="shared" si="237"/>
        <v>-3.2789994090303698E-2</v>
      </c>
      <c r="BI89" s="22">
        <f t="shared" si="237"/>
        <v>0.33221037953233012</v>
      </c>
      <c r="BJ89" s="46">
        <f t="shared" si="237"/>
        <v>-2.4833577867618306E-2</v>
      </c>
      <c r="BK89" s="46">
        <f t="shared" si="237"/>
        <v>-0.36968041232965454</v>
      </c>
      <c r="BL89" s="46">
        <f t="shared" si="237"/>
        <v>0.40628751171898969</v>
      </c>
      <c r="BM89" s="46">
        <f t="shared" si="237"/>
        <v>-3.5037002247949256E-2</v>
      </c>
      <c r="BN89" s="22">
        <f t="shared" si="237"/>
        <v>-1.2555870690960091E-2</v>
      </c>
      <c r="BO89" s="46">
        <f t="shared" si="237"/>
        <v>0.21069229910054332</v>
      </c>
      <c r="BP89" s="46">
        <f t="shared" si="237"/>
        <v>1.1198718235147678</v>
      </c>
      <c r="BQ89" s="46">
        <f t="shared" si="237"/>
        <v>-6.4061906156347881E-2</v>
      </c>
      <c r="BR89" s="46">
        <f t="shared" si="237"/>
        <v>0.19176664603287863</v>
      </c>
      <c r="BS89" s="22">
        <f t="shared" ref="BS89:CX89" si="238">BS65/BN65-1</f>
        <v>0.27038316512000726</v>
      </c>
      <c r="BT89" s="46">
        <f t="shared" si="238"/>
        <v>0.56603589278833888</v>
      </c>
      <c r="BU89" s="46">
        <f t="shared" si="238"/>
        <v>0.23351008891980363</v>
      </c>
      <c r="BV89" s="46">
        <f t="shared" si="238"/>
        <v>0.33617252145201348</v>
      </c>
      <c r="BW89" s="46">
        <f t="shared" si="238"/>
        <v>1.4832798065104478</v>
      </c>
      <c r="BX89" s="22">
        <f t="shared" si="238"/>
        <v>0.61453617158209051</v>
      </c>
      <c r="BY89" s="46">
        <f t="shared" si="238"/>
        <v>0.15453868145196226</v>
      </c>
      <c r="BZ89" s="46">
        <f t="shared" si="238"/>
        <v>-4.2917648207594361E-2</v>
      </c>
      <c r="CA89" s="46">
        <f t="shared" si="238"/>
        <v>3.2941657096879462E-2</v>
      </c>
      <c r="CB89" s="46">
        <f t="shared" si="238"/>
        <v>1.544926777240585E-2</v>
      </c>
      <c r="CC89" s="22">
        <f t="shared" si="238"/>
        <v>2.8920053419391412E-2</v>
      </c>
      <c r="CD89" s="46">
        <f t="shared" si="238"/>
        <v>9.6325910718519925E-2</v>
      </c>
      <c r="CE89" s="46">
        <f t="shared" si="238"/>
        <v>0.30536341005550116</v>
      </c>
      <c r="CF89" s="46">
        <f t="shared" si="238"/>
        <v>0.25715771065125925</v>
      </c>
      <c r="CG89" s="46">
        <f t="shared" si="238"/>
        <v>-7.218474836859623E-2</v>
      </c>
      <c r="CH89" s="22">
        <f t="shared" si="238"/>
        <v>0.11968146972200144</v>
      </c>
      <c r="CI89" s="46">
        <f t="shared" si="238"/>
        <v>0.51480893102579062</v>
      </c>
      <c r="CJ89" s="46">
        <f t="shared" si="238"/>
        <v>7.738868635472973E-2</v>
      </c>
      <c r="CK89" s="46">
        <f t="shared" si="238"/>
        <v>6.5665209948745584E-2</v>
      </c>
      <c r="CL89" s="46">
        <f t="shared" si="238"/>
        <v>3.5411873862664311E-2</v>
      </c>
      <c r="CM89" s="22">
        <f t="shared" si="238"/>
        <v>0.14221050299623395</v>
      </c>
      <c r="CN89" s="46">
        <f t="shared" si="238"/>
        <v>0.16609363470572269</v>
      </c>
      <c r="CO89" s="46">
        <f t="shared" si="238"/>
        <v>0.13063195629476998</v>
      </c>
      <c r="CP89" s="46">
        <f t="shared" si="238"/>
        <v>0.11531625651225563</v>
      </c>
      <c r="CQ89" s="46">
        <f t="shared" si="238"/>
        <v>0.10136552304587654</v>
      </c>
      <c r="CR89" s="22">
        <f t="shared" si="238"/>
        <v>0.12765199143125061</v>
      </c>
      <c r="CS89" s="46">
        <f t="shared" si="238"/>
        <v>0.10905521196396384</v>
      </c>
      <c r="CT89" s="46">
        <f t="shared" si="238"/>
        <v>0.1047631663508708</v>
      </c>
      <c r="CU89" s="46">
        <f t="shared" si="238"/>
        <v>9.8205645893966187E-2</v>
      </c>
      <c r="CV89" s="46">
        <f t="shared" si="238"/>
        <v>8.8198020332475924E-2</v>
      </c>
      <c r="CW89" s="22">
        <f t="shared" si="238"/>
        <v>9.9905741959177785E-2</v>
      </c>
      <c r="CX89" s="46">
        <f t="shared" si="238"/>
        <v>0.10211794038206934</v>
      </c>
      <c r="CY89" s="46">
        <f>CY65/CT65-1</f>
        <v>9.7300659255914912E-2</v>
      </c>
      <c r="CZ89" s="46">
        <f>CZ65/CU65-1</f>
        <v>9.3275256097621995E-2</v>
      </c>
      <c r="DA89" s="46">
        <f>DA65/CV65-1</f>
        <v>8.4626298808360811E-2</v>
      </c>
      <c r="DB89" s="22">
        <f>DB65/CW65-1</f>
        <v>9.4257428440500668E-2</v>
      </c>
    </row>
    <row r="90" spans="1:106" ht="11.25" customHeight="1" x14ac:dyDescent="0.35">
      <c r="A90" s="203" t="s">
        <v>95</v>
      </c>
      <c r="B90" s="204"/>
      <c r="C90" s="204"/>
      <c r="D90" s="204"/>
      <c r="E90" s="204"/>
      <c r="F90" s="59"/>
      <c r="G90" s="204">
        <f t="shared" ref="G90:AL90" si="239">G73/B73-1</f>
        <v>-0.57425964187327816</v>
      </c>
      <c r="H90" s="204">
        <f t="shared" si="239"/>
        <v>-0.35115081588137831</v>
      </c>
      <c r="I90" s="204">
        <f t="shared" si="239"/>
        <v>-0.16633718486201532</v>
      </c>
      <c r="J90" s="204">
        <f t="shared" si="239"/>
        <v>1.0401328066306377</v>
      </c>
      <c r="K90" s="59">
        <f t="shared" si="239"/>
        <v>-0.17053616919249948</v>
      </c>
      <c r="L90" s="204">
        <f t="shared" si="239"/>
        <v>0.58943664819832575</v>
      </c>
      <c r="M90" s="204">
        <f t="shared" si="239"/>
        <v>0.31111478511660384</v>
      </c>
      <c r="N90" s="204">
        <f t="shared" si="239"/>
        <v>2.4817209869644863E-2</v>
      </c>
      <c r="O90" s="204">
        <f t="shared" si="239"/>
        <v>0.47954432063861629</v>
      </c>
      <c r="P90" s="59">
        <f t="shared" si="239"/>
        <v>0.3251433744637886</v>
      </c>
      <c r="Q90" s="204">
        <f t="shared" si="239"/>
        <v>0.46666836293318403</v>
      </c>
      <c r="R90" s="204">
        <f t="shared" si="239"/>
        <v>0.28044414865669554</v>
      </c>
      <c r="S90" s="204">
        <f t="shared" si="239"/>
        <v>0.1609694471225771</v>
      </c>
      <c r="T90" s="204">
        <f t="shared" si="239"/>
        <v>-0.26728007001148124</v>
      </c>
      <c r="U90" s="59">
        <f t="shared" si="239"/>
        <v>7.9806346455643329E-2</v>
      </c>
      <c r="V90" s="204">
        <f t="shared" si="239"/>
        <v>-5.4797055438937314E-2</v>
      </c>
      <c r="W90" s="204">
        <f t="shared" si="239"/>
        <v>-7.595594631709679E-2</v>
      </c>
      <c r="X90" s="204">
        <f t="shared" si="239"/>
        <v>2.5915786579917999E-2</v>
      </c>
      <c r="Y90" s="204">
        <f t="shared" si="239"/>
        <v>-0.17805524813447149</v>
      </c>
      <c r="Z90" s="59">
        <f t="shared" si="239"/>
        <v>-7.2012760369904782E-2</v>
      </c>
      <c r="AA90" s="204">
        <f t="shared" si="239"/>
        <v>-0.38489351679075945</v>
      </c>
      <c r="AB90" s="204">
        <f t="shared" si="239"/>
        <v>-0.30130140798370575</v>
      </c>
      <c r="AC90" s="204">
        <f t="shared" si="239"/>
        <v>-0.26738830675100067</v>
      </c>
      <c r="AD90" s="204">
        <f t="shared" si="239"/>
        <v>-0.34662685054958242</v>
      </c>
      <c r="AE90" s="59">
        <f t="shared" si="239"/>
        <v>-0.32305264255879451</v>
      </c>
      <c r="AF90" s="204">
        <f t="shared" si="239"/>
        <v>-0.39057697854606577</v>
      </c>
      <c r="AG90" s="204">
        <f t="shared" si="239"/>
        <v>-0.62118027896886607</v>
      </c>
      <c r="AH90" s="204">
        <f t="shared" si="239"/>
        <v>-0.88993538161424046</v>
      </c>
      <c r="AI90" s="204">
        <f t="shared" si="239"/>
        <v>-0.68442476612154546</v>
      </c>
      <c r="AJ90" s="59">
        <f t="shared" si="239"/>
        <v>-0.66200982581509604</v>
      </c>
      <c r="AK90" s="204">
        <f t="shared" si="239"/>
        <v>-0.93430930930930933</v>
      </c>
      <c r="AL90" s="204">
        <f t="shared" si="239"/>
        <v>-4.1547770843120144</v>
      </c>
      <c r="AM90" s="204">
        <f t="shared" ref="AM90:BR90" si="240">AM73/AH73-1</f>
        <v>-1.468222099141512</v>
      </c>
      <c r="AN90" s="204">
        <f t="shared" si="240"/>
        <v>0.57637474541751521</v>
      </c>
      <c r="AO90" s="59">
        <f t="shared" si="240"/>
        <v>-1.6277023098472436</v>
      </c>
      <c r="AP90" s="204">
        <f t="shared" si="240"/>
        <v>-13.741366459627329</v>
      </c>
      <c r="AQ90" s="204">
        <f t="shared" si="240"/>
        <v>-0.79835919108262188</v>
      </c>
      <c r="AR90" s="204">
        <f t="shared" si="240"/>
        <v>16.854946029868401</v>
      </c>
      <c r="AS90" s="204">
        <f t="shared" si="240"/>
        <v>1.3811779664492843</v>
      </c>
      <c r="AT90" s="59">
        <f t="shared" si="240"/>
        <v>-0.11200581028167234</v>
      </c>
      <c r="AU90" s="204">
        <f t="shared" si="240"/>
        <v>-1.9439591295530771</v>
      </c>
      <c r="AV90" s="204">
        <f t="shared" si="240"/>
        <v>-5.0030593944508919</v>
      </c>
      <c r="AW90" s="204">
        <f t="shared" si="240"/>
        <v>-1.8644340099210785</v>
      </c>
      <c r="AX90" s="204">
        <f t="shared" si="240"/>
        <v>0.28510649292487367</v>
      </c>
      <c r="AY90" s="59">
        <f t="shared" si="240"/>
        <v>-5.9292106729253344</v>
      </c>
      <c r="AZ90" s="204">
        <f t="shared" si="240"/>
        <v>-0.42294980375955382</v>
      </c>
      <c r="BA90" s="204">
        <f t="shared" si="240"/>
        <v>-0.40430447577634299</v>
      </c>
      <c r="BB90" s="204">
        <f t="shared" si="240"/>
        <v>12.443577977256833</v>
      </c>
      <c r="BC90" s="204">
        <f t="shared" si="240"/>
        <v>0.75070200717086077</v>
      </c>
      <c r="BD90" s="59">
        <f t="shared" si="240"/>
        <v>3.2329869686396071</v>
      </c>
      <c r="BE90" s="204">
        <f t="shared" si="240"/>
        <v>5.8833005190621082</v>
      </c>
      <c r="BF90" s="204">
        <f t="shared" si="240"/>
        <v>2.9370308651988615</v>
      </c>
      <c r="BG90" s="204">
        <f t="shared" si="240"/>
        <v>-0.83072029051914764</v>
      </c>
      <c r="BH90" s="204">
        <f t="shared" si="240"/>
        <v>-0.16721598891402634</v>
      </c>
      <c r="BI90" s="59">
        <f t="shared" si="240"/>
        <v>-0.48055625936652469</v>
      </c>
      <c r="BJ90" s="204">
        <f t="shared" si="240"/>
        <v>-0.15879553787346912</v>
      </c>
      <c r="BK90" s="204">
        <f t="shared" si="240"/>
        <v>-0.43516222553507078</v>
      </c>
      <c r="BL90" s="204">
        <f t="shared" si="240"/>
        <v>0.21503534037474692</v>
      </c>
      <c r="BM90" s="204">
        <f t="shared" si="240"/>
        <v>-4.5254172623179101E-2</v>
      </c>
      <c r="BN90" s="59">
        <f t="shared" si="240"/>
        <v>-0.11535453953880059</v>
      </c>
      <c r="BO90" s="204">
        <f t="shared" si="240"/>
        <v>1.128277414049994E-2</v>
      </c>
      <c r="BP90" s="204">
        <f t="shared" si="240"/>
        <v>0.85272253426792299</v>
      </c>
      <c r="BQ90" s="204">
        <f t="shared" si="240"/>
        <v>-0.129263273140513</v>
      </c>
      <c r="BR90" s="204">
        <f t="shared" si="240"/>
        <v>0.19309209259330595</v>
      </c>
      <c r="BS90" s="59">
        <f t="shared" ref="BS90:CX90" si="241">BS73/BN73-1</f>
        <v>0.16468450202749474</v>
      </c>
      <c r="BT90" s="204">
        <f t="shared" si="241"/>
        <v>0.63384604098400743</v>
      </c>
      <c r="BU90" s="204">
        <f t="shared" si="241"/>
        <v>0.47468546987132454</v>
      </c>
      <c r="BV90" s="204">
        <f t="shared" si="241"/>
        <v>0.88247207732005939</v>
      </c>
      <c r="BW90" s="204">
        <f t="shared" si="241"/>
        <v>1.3753359428594489</v>
      </c>
      <c r="BX90" s="59">
        <f t="shared" si="241"/>
        <v>0.848014520905646</v>
      </c>
      <c r="BY90" s="204">
        <f t="shared" si="241"/>
        <v>0.22590156328341893</v>
      </c>
      <c r="BZ90" s="204">
        <f t="shared" si="241"/>
        <v>-5.8732296938143969E-2</v>
      </c>
      <c r="CA90" s="204">
        <f t="shared" si="241"/>
        <v>0.28749463645183582</v>
      </c>
      <c r="CB90" s="204">
        <f t="shared" si="241"/>
        <v>0.15896179616466655</v>
      </c>
      <c r="CC90" s="59">
        <f t="shared" si="241"/>
        <v>0.15264825421770056</v>
      </c>
      <c r="CD90" s="204">
        <f t="shared" si="241"/>
        <v>-9.4178834790252464E-2</v>
      </c>
      <c r="CE90" s="204">
        <f t="shared" si="241"/>
        <v>0.16451224449275026</v>
      </c>
      <c r="CF90" s="204">
        <f t="shared" ca="1" si="241"/>
        <v>-0.13548411322896847</v>
      </c>
      <c r="CG90" s="204">
        <f t="shared" ca="1" si="241"/>
        <v>-0.10302142372349687</v>
      </c>
      <c r="CH90" s="59">
        <f t="shared" ca="1" si="241"/>
        <v>-5.9730145038300653E-2</v>
      </c>
      <c r="CI90" s="204">
        <f t="shared" ca="1" si="241"/>
        <v>1.0156160353557393</v>
      </c>
      <c r="CJ90" s="204">
        <f t="shared" ca="1" si="241"/>
        <v>0.2178523482144632</v>
      </c>
      <c r="CK90" s="204">
        <f t="shared" ca="1" si="241"/>
        <v>8.4239553941345413E-2</v>
      </c>
      <c r="CL90" s="204">
        <f t="shared" ca="1" si="241"/>
        <v>5.0039824285987633E-2</v>
      </c>
      <c r="CM90" s="59">
        <f t="shared" ca="1" si="241"/>
        <v>0.25161690192415542</v>
      </c>
      <c r="CN90" s="204">
        <f t="shared" ca="1" si="241"/>
        <v>0.1499078518190915</v>
      </c>
      <c r="CO90" s="204">
        <f t="shared" ca="1" si="241"/>
        <v>0.12867229227894139</v>
      </c>
      <c r="CP90" s="204">
        <f t="shared" ca="1" si="241"/>
        <v>8.8779494029515016E-2</v>
      </c>
      <c r="CQ90" s="204">
        <f t="shared" ca="1" si="241"/>
        <v>7.5574827210995288E-2</v>
      </c>
      <c r="CR90" s="59">
        <f t="shared" ca="1" si="241"/>
        <v>0.10996040238161697</v>
      </c>
      <c r="CS90" s="204">
        <f t="shared" ca="1" si="241"/>
        <v>7.5994575112799057E-2</v>
      </c>
      <c r="CT90" s="204">
        <f t="shared" ca="1" si="241"/>
        <v>7.8396558647497283E-2</v>
      </c>
      <c r="CU90" s="204">
        <f t="shared" ca="1" si="241"/>
        <v>8.2215922081174231E-2</v>
      </c>
      <c r="CV90" s="204">
        <f t="shared" ca="1" si="241"/>
        <v>7.0998255357539897E-2</v>
      </c>
      <c r="CW90" s="59">
        <f t="shared" ca="1" si="241"/>
        <v>7.6721494255322931E-2</v>
      </c>
      <c r="CX90" s="204">
        <f t="shared" ca="1" si="241"/>
        <v>0.10293643091660787</v>
      </c>
      <c r="CY90" s="204">
        <f ca="1">CY73/CT73-1</f>
        <v>9.6354089219735428E-2</v>
      </c>
      <c r="CZ90" s="204">
        <f ca="1">CZ73/CU73-1</f>
        <v>0.10131965436911949</v>
      </c>
      <c r="DA90" s="204">
        <f ca="1">DA73/CV73-1</f>
        <v>0.10302878574345042</v>
      </c>
      <c r="DB90" s="59">
        <f ca="1">DB73/CW73-1</f>
        <v>0.10101410980531655</v>
      </c>
    </row>
    <row r="91" spans="1:106" ht="11.25" customHeight="1" x14ac:dyDescent="0.35">
      <c r="A91" s="210" t="s">
        <v>218</v>
      </c>
      <c r="B91" s="211"/>
      <c r="C91" s="211"/>
      <c r="D91" s="211"/>
      <c r="E91" s="211"/>
      <c r="F91" s="212"/>
      <c r="G91" s="211">
        <f t="shared" ref="G91:AL91" si="242">(G83-B83)*10000</f>
        <v>-964.85803763630224</v>
      </c>
      <c r="H91" s="211">
        <f t="shared" si="242"/>
        <v>-633.61804219521821</v>
      </c>
      <c r="I91" s="211">
        <f t="shared" si="242"/>
        <v>-616.578525338433</v>
      </c>
      <c r="J91" s="211">
        <f t="shared" si="242"/>
        <v>437.37881512222015</v>
      </c>
      <c r="K91" s="212">
        <f t="shared" si="242"/>
        <v>-383.70860599620886</v>
      </c>
      <c r="L91" s="211">
        <f t="shared" si="242"/>
        <v>309.04335611736201</v>
      </c>
      <c r="M91" s="211">
        <f t="shared" si="242"/>
        <v>243.16468307500867</v>
      </c>
      <c r="N91" s="211">
        <f t="shared" si="242"/>
        <v>173.11222311187493</v>
      </c>
      <c r="O91" s="211">
        <f t="shared" si="242"/>
        <v>709.20580558312952</v>
      </c>
      <c r="P91" s="212">
        <f t="shared" si="242"/>
        <v>331.73138011237847</v>
      </c>
      <c r="Q91" s="211">
        <f t="shared" si="242"/>
        <v>496.01430041958633</v>
      </c>
      <c r="R91" s="211">
        <f t="shared" si="242"/>
        <v>345.0514405847789</v>
      </c>
      <c r="S91" s="211">
        <f t="shared" si="242"/>
        <v>138.06039769257484</v>
      </c>
      <c r="T91" s="211">
        <f t="shared" si="242"/>
        <v>-427.16417629338281</v>
      </c>
      <c r="U91" s="212">
        <f t="shared" si="242"/>
        <v>134.18524353707369</v>
      </c>
      <c r="V91" s="211">
        <f t="shared" si="242"/>
        <v>-180.2041435346942</v>
      </c>
      <c r="W91" s="211">
        <f t="shared" si="242"/>
        <v>-132.11203845968174</v>
      </c>
      <c r="X91" s="211">
        <f t="shared" si="242"/>
        <v>-142.08286017737063</v>
      </c>
      <c r="Y91" s="211">
        <f t="shared" si="242"/>
        <v>-333.24554863879587</v>
      </c>
      <c r="Z91" s="212">
        <f t="shared" si="242"/>
        <v>-201.136901694427</v>
      </c>
      <c r="AA91" s="211">
        <f t="shared" si="242"/>
        <v>-271.43669351148077</v>
      </c>
      <c r="AB91" s="211">
        <f t="shared" si="242"/>
        <v>-206.14503394721802</v>
      </c>
      <c r="AC91" s="211">
        <f t="shared" si="242"/>
        <v>43.397458463739355</v>
      </c>
      <c r="AD91" s="211">
        <f t="shared" si="242"/>
        <v>-29.049207287910189</v>
      </c>
      <c r="AE91" s="212">
        <f t="shared" si="242"/>
        <v>-105.48537725236577</v>
      </c>
      <c r="AF91" s="211">
        <f t="shared" si="242"/>
        <v>-215.42411958913073</v>
      </c>
      <c r="AG91" s="211">
        <f t="shared" si="242"/>
        <v>-339.88971866544108</v>
      </c>
      <c r="AH91" s="211">
        <f t="shared" si="242"/>
        <v>-978.33188934194811</v>
      </c>
      <c r="AI91" s="211">
        <f t="shared" si="242"/>
        <v>-614.46802159241736</v>
      </c>
      <c r="AJ91" s="212">
        <f t="shared" si="242"/>
        <v>-557.84660464452065</v>
      </c>
      <c r="AK91" s="211">
        <f t="shared" si="242"/>
        <v>-697.65346837884101</v>
      </c>
      <c r="AL91" s="211">
        <f t="shared" si="242"/>
        <v>-3151.0608870351671</v>
      </c>
      <c r="AM91" s="211">
        <f t="shared" ref="AM91:BR91" si="243">(AM83-AH83)*10000</f>
        <v>-288.24612796792854</v>
      </c>
      <c r="AN91" s="211">
        <f t="shared" si="243"/>
        <v>266.21259115927222</v>
      </c>
      <c r="AO91" s="212">
        <f t="shared" si="243"/>
        <v>-828.98774174426501</v>
      </c>
      <c r="AP91" s="211">
        <f t="shared" si="243"/>
        <v>-1196.2036064158633</v>
      </c>
      <c r="AQ91" s="211">
        <f t="shared" si="243"/>
        <v>2009.0536819057154</v>
      </c>
      <c r="AR91" s="211">
        <f t="shared" si="243"/>
        <v>-1552.8343764666242</v>
      </c>
      <c r="AS91" s="211">
        <f t="shared" si="243"/>
        <v>289.36070105133359</v>
      </c>
      <c r="AT91" s="212">
        <f t="shared" si="243"/>
        <v>-5.5298015664724529</v>
      </c>
      <c r="AU91" s="211">
        <f t="shared" si="243"/>
        <v>1723.9814558573132</v>
      </c>
      <c r="AV91" s="211">
        <f t="shared" si="243"/>
        <v>1660.026653044873</v>
      </c>
      <c r="AW91" s="211">
        <f t="shared" si="243"/>
        <v>2782.6443007355788</v>
      </c>
      <c r="AX91" s="211">
        <f t="shared" si="243"/>
        <v>317.72239710052901</v>
      </c>
      <c r="AY91" s="212">
        <f t="shared" si="243"/>
        <v>1418.7514632612583</v>
      </c>
      <c r="AZ91" s="211">
        <f t="shared" si="243"/>
        <v>-220.62969504668823</v>
      </c>
      <c r="BA91" s="211">
        <f t="shared" si="243"/>
        <v>-406.95724482108261</v>
      </c>
      <c r="BB91" s="211">
        <f t="shared" si="243"/>
        <v>1034.4153282589493</v>
      </c>
      <c r="BC91" s="211">
        <f t="shared" si="243"/>
        <v>1262.3271820989016</v>
      </c>
      <c r="BD91" s="212">
        <f t="shared" si="243"/>
        <v>530.24089515199489</v>
      </c>
      <c r="BE91" s="211">
        <f t="shared" si="243"/>
        <v>1550.4202214270654</v>
      </c>
      <c r="BF91" s="211">
        <f t="shared" si="243"/>
        <v>1450.2059789699404</v>
      </c>
      <c r="BG91" s="211">
        <f t="shared" si="243"/>
        <v>-307.27516574808931</v>
      </c>
      <c r="BH91" s="211">
        <f t="shared" si="243"/>
        <v>-820.12835357768233</v>
      </c>
      <c r="BI91" s="212">
        <f t="shared" si="243"/>
        <v>320.40714859359667</v>
      </c>
      <c r="BJ91" s="211">
        <f t="shared" si="243"/>
        <v>-602.415683950735</v>
      </c>
      <c r="BK91" s="211">
        <f t="shared" si="243"/>
        <v>-1052.33107443321</v>
      </c>
      <c r="BL91" s="211">
        <f t="shared" si="243"/>
        <v>6.7780899013328284</v>
      </c>
      <c r="BM91" s="211">
        <f t="shared" si="243"/>
        <v>-137.10050928499973</v>
      </c>
      <c r="BN91" s="212">
        <f t="shared" si="243"/>
        <v>-414.02806695217953</v>
      </c>
      <c r="BO91" s="211">
        <f t="shared" si="243"/>
        <v>-38.758770291432988</v>
      </c>
      <c r="BP91" s="211">
        <f t="shared" si="243"/>
        <v>504.51604253230681</v>
      </c>
      <c r="BQ91" s="211">
        <f t="shared" si="243"/>
        <v>-304.9621402156763</v>
      </c>
      <c r="BR91" s="211">
        <f t="shared" si="243"/>
        <v>-66.089046065317405</v>
      </c>
      <c r="BS91" s="212">
        <f t="shared" ref="BS91:CX91" si="244">(BS83-BN83)*10000</f>
        <v>12.170231347308491</v>
      </c>
      <c r="BT91" s="211">
        <f t="shared" si="244"/>
        <v>424.60367887896558</v>
      </c>
      <c r="BU91" s="211">
        <f t="shared" si="244"/>
        <v>508.01804619337867</v>
      </c>
      <c r="BV91" s="211">
        <f t="shared" si="244"/>
        <v>332.02797464075809</v>
      </c>
      <c r="BW91" s="211">
        <f t="shared" si="244"/>
        <v>899.65300756513602</v>
      </c>
      <c r="BX91" s="212">
        <f t="shared" si="244"/>
        <v>563.43041126618141</v>
      </c>
      <c r="BY91" s="211">
        <f t="shared" si="244"/>
        <v>-21.326697565019479</v>
      </c>
      <c r="BZ91" s="211">
        <f t="shared" si="244"/>
        <v>-378.37876080588472</v>
      </c>
      <c r="CA91" s="211">
        <f t="shared" si="244"/>
        <v>-16.615020695073813</v>
      </c>
      <c r="CB91" s="211">
        <f t="shared" si="244"/>
        <v>-456.30756960081067</v>
      </c>
      <c r="CC91" s="212">
        <f t="shared" si="244"/>
        <v>-240.91264230141684</v>
      </c>
      <c r="CD91" s="211">
        <f t="shared" si="244"/>
        <v>-212.26652140433148</v>
      </c>
      <c r="CE91" s="211">
        <f t="shared" si="244"/>
        <v>-20.098619840998587</v>
      </c>
      <c r="CF91" s="211">
        <f t="shared" ca="1" si="244"/>
        <v>120.80324313316903</v>
      </c>
      <c r="CG91" s="211">
        <f t="shared" ca="1" si="244"/>
        <v>247.14897118202629</v>
      </c>
      <c r="CH91" s="212">
        <f t="shared" ca="1" si="244"/>
        <v>53.333516617267428</v>
      </c>
      <c r="CI91" s="211">
        <f t="shared" ca="1" si="244"/>
        <v>754.24501923749744</v>
      </c>
      <c r="CJ91" s="211">
        <f t="shared" ca="1" si="244"/>
        <v>181.57586940679565</v>
      </c>
      <c r="CK91" s="211">
        <f t="shared" ca="1" si="244"/>
        <v>-4.1312950203006853</v>
      </c>
      <c r="CL91" s="211">
        <f t="shared" ca="1" si="244"/>
        <v>-29.163920066167528</v>
      </c>
      <c r="CM91" s="212">
        <f t="shared" ca="1" si="244"/>
        <v>193.87201054684917</v>
      </c>
      <c r="CN91" s="211">
        <f t="shared" ca="1" si="244"/>
        <v>51.111096215896431</v>
      </c>
      <c r="CO91" s="211">
        <f t="shared" ca="1" si="244"/>
        <v>24.740091073874591</v>
      </c>
      <c r="CP91" s="211">
        <f t="shared" ca="1" si="244"/>
        <v>-27.951048595385164</v>
      </c>
      <c r="CQ91" s="211">
        <f t="shared" ca="1" si="244"/>
        <v>-79.649467622059376</v>
      </c>
      <c r="CR91" s="212">
        <f t="shared" ca="1" si="244"/>
        <v>-9.6799072749417796</v>
      </c>
      <c r="CS91" s="211">
        <f t="shared" ca="1" si="244"/>
        <v>-42.014626582481952</v>
      </c>
      <c r="CT91" s="211">
        <f t="shared" ca="1" si="244"/>
        <v>-21.097911274295388</v>
      </c>
      <c r="CU91" s="211">
        <f t="shared" ca="1" si="244"/>
        <v>-0.86360436762522585</v>
      </c>
      <c r="CV91" s="211">
        <f t="shared" ca="1" si="244"/>
        <v>-10.208012832625124</v>
      </c>
      <c r="CW91" s="212">
        <f t="shared" ca="1" si="244"/>
        <v>-17.57022576642203</v>
      </c>
      <c r="CX91" s="211">
        <f t="shared" ca="1" si="244"/>
        <v>55.505300418557667</v>
      </c>
      <c r="CY91" s="211">
        <f ca="1">(CY83-CT83)*10000</f>
        <v>43.766299038105473</v>
      </c>
      <c r="CZ91" s="211">
        <f ca="1">(CZ83-CU83)*10000</f>
        <v>56.954811753255619</v>
      </c>
      <c r="DA91" s="211">
        <f ca="1">(DA83-CV83)*10000</f>
        <v>69.926289322886362</v>
      </c>
      <c r="DB91" s="212">
        <f ca="1">(DB83-CW83)*10000</f>
        <v>57.081904873879374</v>
      </c>
    </row>
    <row r="92" spans="1:106" ht="11.25" customHeight="1" x14ac:dyDescent="0.35">
      <c r="B92" s="54"/>
      <c r="C92" s="54"/>
      <c r="D92" s="54"/>
      <c r="E92" s="54"/>
      <c r="F92" s="55"/>
      <c r="G92" s="54"/>
      <c r="H92" s="54"/>
      <c r="I92" s="54"/>
      <c r="J92" s="54"/>
      <c r="K92" s="55"/>
      <c r="L92" s="54"/>
      <c r="M92" s="54"/>
      <c r="N92" s="54"/>
      <c r="O92" s="54"/>
      <c r="P92" s="55"/>
      <c r="Q92" s="54"/>
      <c r="R92" s="54"/>
      <c r="S92" s="54"/>
      <c r="T92" s="54"/>
      <c r="U92" s="55"/>
      <c r="V92" s="54"/>
      <c r="W92" s="54"/>
      <c r="X92" s="54"/>
      <c r="Y92" s="54"/>
      <c r="Z92" s="55"/>
      <c r="AA92" s="54"/>
      <c r="AB92" s="54"/>
      <c r="AC92" s="54"/>
      <c r="AD92" s="54"/>
      <c r="AE92" s="55"/>
      <c r="AF92" s="54"/>
      <c r="AG92" s="54"/>
      <c r="AH92" s="54"/>
      <c r="AI92" s="54"/>
      <c r="AJ92" s="55"/>
      <c r="AK92" s="54"/>
      <c r="AL92" s="54"/>
      <c r="AM92" s="54"/>
      <c r="AN92" s="54"/>
      <c r="AO92" s="55"/>
      <c r="AP92" s="54"/>
      <c r="AQ92" s="54"/>
      <c r="AR92" s="54"/>
      <c r="AS92" s="54"/>
      <c r="AT92" s="55"/>
      <c r="AU92" s="54"/>
      <c r="AV92" s="54"/>
      <c r="AW92" s="54"/>
      <c r="AX92" s="54"/>
      <c r="AY92" s="55"/>
      <c r="AZ92" s="54"/>
      <c r="BA92" s="54"/>
      <c r="BB92" s="54"/>
      <c r="BC92" s="54"/>
      <c r="BD92" s="55"/>
      <c r="BE92" s="54"/>
      <c r="BF92" s="54"/>
      <c r="BG92" s="54"/>
      <c r="BH92" s="54"/>
      <c r="BI92" s="55"/>
      <c r="BJ92" s="54"/>
      <c r="BK92" s="54"/>
      <c r="BL92" s="54"/>
      <c r="BM92" s="54"/>
      <c r="BN92" s="55"/>
      <c r="BO92" s="54"/>
      <c r="BP92" s="54"/>
      <c r="BQ92" s="54"/>
      <c r="BR92" s="54"/>
      <c r="BS92" s="55"/>
      <c r="BT92" s="54"/>
      <c r="BU92" s="54"/>
      <c r="BV92" s="54"/>
      <c r="BW92" s="54"/>
      <c r="BX92" s="55"/>
      <c r="BY92" s="54"/>
      <c r="BZ92" s="54"/>
      <c r="CA92" s="61"/>
      <c r="CB92" s="54"/>
      <c r="CC92" s="53"/>
      <c r="CD92" s="54"/>
      <c r="CE92" s="54"/>
      <c r="CF92" s="61"/>
      <c r="CG92" s="54"/>
      <c r="CH92" s="53"/>
      <c r="CI92" s="54"/>
      <c r="CJ92" s="54"/>
      <c r="CK92" s="61"/>
      <c r="CL92" s="54"/>
      <c r="CM92" s="53"/>
      <c r="CN92" s="54"/>
      <c r="CO92" s="54"/>
      <c r="CP92" s="61"/>
      <c r="CQ92" s="54"/>
      <c r="CR92" s="53"/>
      <c r="CS92" s="54"/>
      <c r="CT92" s="54"/>
      <c r="CU92" s="61"/>
      <c r="CV92" s="54"/>
      <c r="CW92" s="53"/>
      <c r="CX92" s="54"/>
      <c r="CY92" s="54"/>
      <c r="CZ92" s="61"/>
      <c r="DA92" s="54"/>
      <c r="DB92" s="53"/>
    </row>
    <row r="93" spans="1:106" s="15" customFormat="1" ht="11.25" customHeight="1" thickBot="1" x14ac:dyDescent="0.4">
      <c r="A93" s="124" t="s">
        <v>153</v>
      </c>
      <c r="B93" s="129" t="str">
        <f>Macro!B$3</f>
        <v>1Q10</v>
      </c>
      <c r="C93" s="129" t="str">
        <f>Macro!C$3</f>
        <v>2Q10</v>
      </c>
      <c r="D93" s="129" t="str">
        <f>Macro!D$3</f>
        <v>3Q10</v>
      </c>
      <c r="E93" s="130" t="str">
        <f>Macro!E$3</f>
        <v>4Q10</v>
      </c>
      <c r="F93" s="131" t="str">
        <f>Macro!F$3</f>
        <v>2010</v>
      </c>
      <c r="G93" s="129" t="str">
        <f>Macro!G$3</f>
        <v>1Q11</v>
      </c>
      <c r="H93" s="129" t="str">
        <f>Macro!H$3</f>
        <v>2Q11</v>
      </c>
      <c r="I93" s="129" t="str">
        <f>Macro!I$3</f>
        <v>3Q11</v>
      </c>
      <c r="J93" s="130" t="str">
        <f>Macro!J$3</f>
        <v>4Q11</v>
      </c>
      <c r="K93" s="131" t="str">
        <f>Macro!K$3</f>
        <v>2011</v>
      </c>
      <c r="L93" s="129" t="str">
        <f>Macro!L$3</f>
        <v>1Q12</v>
      </c>
      <c r="M93" s="129" t="str">
        <f>Macro!M$3</f>
        <v>2Q12</v>
      </c>
      <c r="N93" s="129" t="str">
        <f>Macro!N$3</f>
        <v>3Q12</v>
      </c>
      <c r="O93" s="130" t="str">
        <f>Macro!O$3</f>
        <v>4Q12</v>
      </c>
      <c r="P93" s="131" t="str">
        <f>Macro!P$3</f>
        <v>2012</v>
      </c>
      <c r="Q93" s="129" t="str">
        <f>Macro!Q$3</f>
        <v>1Q13</v>
      </c>
      <c r="R93" s="129" t="str">
        <f>Macro!R$3</f>
        <v>2Q13</v>
      </c>
      <c r="S93" s="129" t="str">
        <f>Macro!S$3</f>
        <v>3Q13</v>
      </c>
      <c r="T93" s="130" t="str">
        <f>Macro!T$3</f>
        <v>4Q13</v>
      </c>
      <c r="U93" s="131" t="str">
        <f>Macro!U$3</f>
        <v>2013</v>
      </c>
      <c r="V93" s="129" t="str">
        <f>Macro!V$3</f>
        <v>1Q14</v>
      </c>
      <c r="W93" s="129" t="str">
        <f>Macro!W$3</f>
        <v>2Q14</v>
      </c>
      <c r="X93" s="129" t="str">
        <f>Macro!X$3</f>
        <v>3Q14</v>
      </c>
      <c r="Y93" s="130" t="str">
        <f>Macro!Y$3</f>
        <v>4Q14</v>
      </c>
      <c r="Z93" s="131" t="str">
        <f>Macro!Z$3</f>
        <v>2014</v>
      </c>
      <c r="AA93" s="129" t="str">
        <f>Macro!AA$3</f>
        <v>1Q15</v>
      </c>
      <c r="AB93" s="129" t="str">
        <f>Macro!AB$3</f>
        <v>2Q15</v>
      </c>
      <c r="AC93" s="129" t="str">
        <f>Macro!AC$3</f>
        <v>3Q15</v>
      </c>
      <c r="AD93" s="130" t="str">
        <f>Macro!AD$3</f>
        <v>4Q15</v>
      </c>
      <c r="AE93" s="131" t="str">
        <f>Macro!AE$3</f>
        <v>2015</v>
      </c>
      <c r="AF93" s="129" t="str">
        <f>Macro!AF$3</f>
        <v>1Q16</v>
      </c>
      <c r="AG93" s="129" t="str">
        <f>Macro!AG$3</f>
        <v>2Q16</v>
      </c>
      <c r="AH93" s="129" t="str">
        <f>Macro!AH$3</f>
        <v>3Q16</v>
      </c>
      <c r="AI93" s="130" t="str">
        <f>Macro!AI$3</f>
        <v>4Q16</v>
      </c>
      <c r="AJ93" s="131" t="str">
        <f>Macro!AJ$3</f>
        <v>2016</v>
      </c>
      <c r="AK93" s="129" t="str">
        <f>Macro!AK$3</f>
        <v>1Q17</v>
      </c>
      <c r="AL93" s="129" t="str">
        <f>Macro!AL$3</f>
        <v>2Q17</v>
      </c>
      <c r="AM93" s="129" t="str">
        <f>Macro!AM$3</f>
        <v>3Q17</v>
      </c>
      <c r="AN93" s="130" t="str">
        <f>Macro!AN$3</f>
        <v>4Q17</v>
      </c>
      <c r="AO93" s="131" t="str">
        <f>Macro!AO$3</f>
        <v>2017</v>
      </c>
      <c r="AP93" s="129" t="str">
        <f>Macro!AP$3</f>
        <v>1Q18</v>
      </c>
      <c r="AQ93" s="129" t="str">
        <f>Macro!AQ$3</f>
        <v>2Q18</v>
      </c>
      <c r="AR93" s="129" t="str">
        <f>Macro!AR$3</f>
        <v>3Q18</v>
      </c>
      <c r="AS93" s="130" t="str">
        <f>Macro!AS$3</f>
        <v>4Q18</v>
      </c>
      <c r="AT93" s="131" t="str">
        <f>Macro!AT$3</f>
        <v>2018</v>
      </c>
      <c r="AU93" s="129" t="str">
        <f>Macro!AU$3</f>
        <v>1Q19</v>
      </c>
      <c r="AV93" s="129" t="str">
        <f>Macro!AV$3</f>
        <v>2Q19</v>
      </c>
      <c r="AW93" s="129" t="str">
        <f>Macro!AW$3</f>
        <v>3Q19</v>
      </c>
      <c r="AX93" s="130" t="str">
        <f>Macro!AX$3</f>
        <v>4Q19</v>
      </c>
      <c r="AY93" s="131" t="str">
        <f>Macro!AY$3</f>
        <v>2019</v>
      </c>
      <c r="AZ93" s="129" t="str">
        <f>Macro!AZ$3</f>
        <v>1Q20</v>
      </c>
      <c r="BA93" s="129" t="str">
        <f>Macro!BA$3</f>
        <v>2Q20</v>
      </c>
      <c r="BB93" s="129" t="str">
        <f>Macro!BB$3</f>
        <v>3Q20</v>
      </c>
      <c r="BC93" s="130" t="str">
        <f>Macro!BC$3</f>
        <v>4Q20</v>
      </c>
      <c r="BD93" s="131" t="str">
        <f>Macro!BD$3</f>
        <v>2020</v>
      </c>
      <c r="BE93" s="129" t="str">
        <f>Macro!BE$3</f>
        <v>1Q21</v>
      </c>
      <c r="BF93" s="129" t="str">
        <f>Macro!BF$3</f>
        <v>2Q21</v>
      </c>
      <c r="BG93" s="129" t="str">
        <f>Macro!BG$3</f>
        <v>3Q21</v>
      </c>
      <c r="BH93" s="130" t="str">
        <f>Macro!BH$3</f>
        <v>4Q21</v>
      </c>
      <c r="BI93" s="131" t="str">
        <f>Macro!BI$3</f>
        <v>2021</v>
      </c>
      <c r="BJ93" s="129" t="str">
        <f>Macro!BJ$3</f>
        <v>1Q22</v>
      </c>
      <c r="BK93" s="129" t="str">
        <f>Macro!BK$3</f>
        <v>2Q22</v>
      </c>
      <c r="BL93" s="129" t="str">
        <f>Macro!BL$3</f>
        <v>3Q22</v>
      </c>
      <c r="BM93" s="130" t="str">
        <f>Macro!BM$3</f>
        <v>4Q22</v>
      </c>
      <c r="BN93" s="131" t="str">
        <f>Macro!BN$3</f>
        <v>2022</v>
      </c>
      <c r="BO93" s="129" t="str">
        <f>Macro!BO$3</f>
        <v>1Q23</v>
      </c>
      <c r="BP93" s="129" t="str">
        <f>Macro!BP$3</f>
        <v>2Q23</v>
      </c>
      <c r="BQ93" s="129" t="str">
        <f>Macro!BQ$3</f>
        <v>3Q23</v>
      </c>
      <c r="BR93" s="130" t="str">
        <f>Macro!BR$3</f>
        <v>4Q23</v>
      </c>
      <c r="BS93" s="131" t="str">
        <f>Macro!BS$3</f>
        <v>2023</v>
      </c>
      <c r="BT93" s="129" t="str">
        <f>Macro!BT$3</f>
        <v>1Q24</v>
      </c>
      <c r="BU93" s="129" t="str">
        <f>Macro!BU$3</f>
        <v>2Q24</v>
      </c>
      <c r="BV93" s="129" t="str">
        <f>Macro!BV$3</f>
        <v>3Q24</v>
      </c>
      <c r="BW93" s="130" t="str">
        <f>Macro!BW$3</f>
        <v>4Q24</v>
      </c>
      <c r="BX93" s="131" t="str">
        <f>Macro!BX$3</f>
        <v>2024</v>
      </c>
      <c r="BY93" s="129" t="str">
        <f>Macro!BY$3</f>
        <v>1Q25</v>
      </c>
      <c r="BZ93" s="129" t="str">
        <f>Macro!BZ$3</f>
        <v>2Q25</v>
      </c>
      <c r="CA93" s="125" t="str">
        <f>Macro!CA$3</f>
        <v>3Q25</v>
      </c>
      <c r="CB93" s="125" t="str">
        <f>Macro!CB$3</f>
        <v>4Q25</v>
      </c>
      <c r="CC93" s="126" t="str">
        <f>Macro!CC$3</f>
        <v>2025</v>
      </c>
      <c r="CD93" s="125" t="str">
        <f>Macro!CD$3</f>
        <v>1Q26</v>
      </c>
      <c r="CE93" s="125" t="str">
        <f>Macro!CE$3</f>
        <v>2Q26</v>
      </c>
      <c r="CF93" s="125" t="str">
        <f>Macro!CF$3</f>
        <v>3Q26E</v>
      </c>
      <c r="CG93" s="125" t="str">
        <f>Macro!CG$3</f>
        <v>4Q26E</v>
      </c>
      <c r="CH93" s="126" t="str">
        <f>Macro!CH$3</f>
        <v>2026E</v>
      </c>
      <c r="CI93" s="125" t="str">
        <f>Macro!CI$3</f>
        <v>1Q27E</v>
      </c>
      <c r="CJ93" s="125" t="str">
        <f>Macro!CJ$3</f>
        <v>2Q27E</v>
      </c>
      <c r="CK93" s="125" t="str">
        <f>Macro!CK$3</f>
        <v>3Q27E</v>
      </c>
      <c r="CL93" s="125" t="str">
        <f>Macro!CL$3</f>
        <v>4Q27E</v>
      </c>
      <c r="CM93" s="126" t="str">
        <f>Macro!CM$3</f>
        <v>2027E</v>
      </c>
      <c r="CN93" s="125" t="str">
        <f>Macro!CN$3</f>
        <v>1Q28E</v>
      </c>
      <c r="CO93" s="125" t="str">
        <f>Macro!CO$3</f>
        <v>2Q28E</v>
      </c>
      <c r="CP93" s="125" t="str">
        <f>Macro!CP$3</f>
        <v>3Q28E</v>
      </c>
      <c r="CQ93" s="125" t="str">
        <f>Macro!CQ$3</f>
        <v>4Q28E</v>
      </c>
      <c r="CR93" s="126" t="str">
        <f>Macro!CR$3</f>
        <v>2028E</v>
      </c>
      <c r="CS93" s="125" t="str">
        <f>Macro!CS$3</f>
        <v>1Q29E</v>
      </c>
      <c r="CT93" s="125" t="str">
        <f>Macro!CT$3</f>
        <v>2Q29E</v>
      </c>
      <c r="CU93" s="125" t="str">
        <f>Macro!CU$3</f>
        <v>3Q29E</v>
      </c>
      <c r="CV93" s="125" t="str">
        <f>Macro!CV$3</f>
        <v>4Q29E</v>
      </c>
      <c r="CW93" s="126" t="str">
        <f>Macro!CW$3</f>
        <v>2029E</v>
      </c>
      <c r="CX93" s="125" t="str">
        <f>Macro!CX$3</f>
        <v>1Q30E</v>
      </c>
      <c r="CY93" s="125" t="str">
        <f>Macro!CY$3</f>
        <v>2Q30E</v>
      </c>
      <c r="CZ93" s="125" t="str">
        <f>Macro!CZ$3</f>
        <v>3Q30E</v>
      </c>
      <c r="DA93" s="125" t="str">
        <f>Macro!DA$3</f>
        <v>4Q30E</v>
      </c>
      <c r="DB93" s="126" t="str">
        <f>Macro!DB$3</f>
        <v>2030E</v>
      </c>
    </row>
    <row r="94" spans="1:106" ht="11.25" customHeight="1" thickTop="1" x14ac:dyDescent="0.35">
      <c r="A94" s="158" t="s">
        <v>18</v>
      </c>
      <c r="B94" s="524">
        <v>8096</v>
      </c>
      <c r="C94" s="524">
        <v>10284</v>
      </c>
      <c r="D94" s="524">
        <f>16997+86989-B94-C94</f>
        <v>85606</v>
      </c>
      <c r="E94" s="524">
        <v>104647</v>
      </c>
      <c r="F94" s="189">
        <f>SUM(B94:E94)</f>
        <v>208633</v>
      </c>
      <c r="G94" s="524">
        <v>63000</v>
      </c>
      <c r="H94" s="524">
        <v>68000</v>
      </c>
      <c r="I94" s="524">
        <f>170236-G94-H94+47296</f>
        <v>86532</v>
      </c>
      <c r="J94" s="524">
        <f>335173-G94-H94-I94</f>
        <v>117641</v>
      </c>
      <c r="K94" s="189">
        <f>SUM(G94:J94)</f>
        <v>335173</v>
      </c>
      <c r="L94" s="524">
        <f>129059-M94</f>
        <v>69442</v>
      </c>
      <c r="M94" s="524">
        <v>59617</v>
      </c>
      <c r="N94" s="524">
        <v>71175</v>
      </c>
      <c r="O94" s="524">
        <f>267453-L94-M94-N94</f>
        <v>67219</v>
      </c>
      <c r="P94" s="189">
        <f>SUM(L94:O94)</f>
        <v>267453</v>
      </c>
      <c r="Q94" s="524">
        <f>100196-R94</f>
        <v>51736</v>
      </c>
      <c r="R94" s="524">
        <v>48460</v>
      </c>
      <c r="S94" s="524">
        <v>54533</v>
      </c>
      <c r="T94" s="524">
        <f>200016-SUM(Q94:S94)</f>
        <v>45287</v>
      </c>
      <c r="U94" s="189">
        <f>SUM(Q94:T94)</f>
        <v>200016</v>
      </c>
      <c r="V94" s="524">
        <v>48730</v>
      </c>
      <c r="W94" s="524">
        <v>49819</v>
      </c>
      <c r="X94" s="524">
        <v>44249</v>
      </c>
      <c r="Y94" s="524">
        <f>188497-SUM(V94:X94)</f>
        <v>45699</v>
      </c>
      <c r="Z94" s="189">
        <f>SUM(V94:Y94)</f>
        <v>188497</v>
      </c>
      <c r="AA94" s="524">
        <v>47765</v>
      </c>
      <c r="AB94" s="524">
        <v>49474</v>
      </c>
      <c r="AC94" s="524">
        <v>48156</v>
      </c>
      <c r="AD94" s="524">
        <f>195059-SUM(AA94:AC94)</f>
        <v>49664</v>
      </c>
      <c r="AE94" s="189">
        <f>SUM(AA94:AD94)</f>
        <v>195059</v>
      </c>
      <c r="AF94" s="524">
        <v>58289</v>
      </c>
      <c r="AG94" s="524">
        <v>61648</v>
      </c>
      <c r="AH94" s="524">
        <v>60476</v>
      </c>
      <c r="AI94" s="524">
        <f>232947-SUM(AF94:AH94)</f>
        <v>52534</v>
      </c>
      <c r="AJ94" s="189">
        <f>SUM(AF94:AI94)</f>
        <v>232947</v>
      </c>
      <c r="AK94" s="524">
        <v>50242</v>
      </c>
      <c r="AL94" s="524">
        <v>49444</v>
      </c>
      <c r="AM94" s="524">
        <v>41912</v>
      </c>
      <c r="AN94" s="524">
        <f>173966-SUM(AK94:AM94)</f>
        <v>32368</v>
      </c>
      <c r="AO94" s="189">
        <f>SUM(AK94:AN94)</f>
        <v>173966</v>
      </c>
      <c r="AP94" s="524">
        <v>22538</v>
      </c>
      <c r="AQ94" s="524">
        <v>17595</v>
      </c>
      <c r="AR94" s="524">
        <v>3348</v>
      </c>
      <c r="AS94" s="524">
        <f>49467-SUM(AP94:AR94)</f>
        <v>5986</v>
      </c>
      <c r="AT94" s="189">
        <f>SUM(AP94:AS94)</f>
        <v>49467</v>
      </c>
      <c r="AU94" s="524">
        <v>5455</v>
      </c>
      <c r="AV94" s="524">
        <v>3624</v>
      </c>
      <c r="AW94" s="524">
        <v>2786</v>
      </c>
      <c r="AX94" s="524">
        <f>13161-SUM(AU94:AW94)</f>
        <v>1296</v>
      </c>
      <c r="AY94" s="189">
        <f>SUM(AU94:AX94)</f>
        <v>13161</v>
      </c>
      <c r="AZ94" s="524">
        <v>939</v>
      </c>
      <c r="BA94" s="524">
        <v>2072</v>
      </c>
      <c r="BB94" s="524">
        <v>3783</v>
      </c>
      <c r="BC94" s="524">
        <f>9479-SUM(AZ94:BB94)</f>
        <v>2685</v>
      </c>
      <c r="BD94" s="189">
        <f>SUM(AZ94:BC94)</f>
        <v>9479</v>
      </c>
      <c r="BE94" s="524">
        <v>2666</v>
      </c>
      <c r="BF94" s="524">
        <v>2840</v>
      </c>
      <c r="BG94" s="524">
        <v>5477</v>
      </c>
      <c r="BH94" s="524">
        <f>19439-SUM(BE94:BG94)</f>
        <v>8456</v>
      </c>
      <c r="BI94" s="189">
        <f>SUM(BE94:BH94)</f>
        <v>19439</v>
      </c>
      <c r="BJ94" s="524">
        <v>13289</v>
      </c>
      <c r="BK94" s="524">
        <v>16218</v>
      </c>
      <c r="BL94" s="524">
        <v>20236</v>
      </c>
      <c r="BM94" s="524">
        <f>72116-SUM(BJ94:BL94)</f>
        <v>22373</v>
      </c>
      <c r="BN94" s="189">
        <f>SUM(BJ94:BM94)</f>
        <v>72116</v>
      </c>
      <c r="BO94" s="524">
        <v>26123</v>
      </c>
      <c r="BP94" s="524">
        <v>31816</v>
      </c>
      <c r="BQ94" s="524">
        <v>31929</v>
      </c>
      <c r="BR94" s="524">
        <f>117769-SUM(BO94:BQ94)</f>
        <v>27901</v>
      </c>
      <c r="BS94" s="189">
        <f>SUM(BO94:BR94)</f>
        <v>117769</v>
      </c>
      <c r="BT94" s="524">
        <v>13914</v>
      </c>
      <c r="BU94" s="524">
        <v>35072</v>
      </c>
      <c r="BV94" s="524">
        <v>33742</v>
      </c>
      <c r="BW94" s="524">
        <f>117769-SUM(BT94:BV94)</f>
        <v>35041</v>
      </c>
      <c r="BX94" s="189">
        <f>SUM(BT94:BW94)</f>
        <v>117769</v>
      </c>
      <c r="BY94" s="524">
        <v>41655</v>
      </c>
      <c r="BZ94" s="524">
        <v>49081</v>
      </c>
      <c r="CA94" s="524">
        <v>53894</v>
      </c>
      <c r="CB94" s="524">
        <f>208994-SUM(BY94:CA94)</f>
        <v>64364</v>
      </c>
      <c r="CC94" s="189">
        <f>SUM(BY94:CB94)</f>
        <v>208994</v>
      </c>
      <c r="CD94" s="524">
        <v>68227</v>
      </c>
      <c r="CE94" s="524">
        <v>58060</v>
      </c>
      <c r="CF94" s="152">
        <f>-CF95*CF98</f>
        <v>63775.662642000883</v>
      </c>
      <c r="CG94" s="152">
        <f>-CG95*CG98</f>
        <v>64559.501244842584</v>
      </c>
      <c r="CH94" s="189">
        <f>SUM(CD94:CG94)</f>
        <v>254622.16388684348</v>
      </c>
      <c r="CI94" s="152">
        <f>-CI95*CI98</f>
        <v>74568.373836195387</v>
      </c>
      <c r="CJ94" s="152">
        <f>-CJ95*CJ98</f>
        <v>73761.330122425337</v>
      </c>
      <c r="CK94" s="152">
        <f>-CK95*CK98</f>
        <v>69967.85861143122</v>
      </c>
      <c r="CL94" s="152">
        <f>-CL95*CL98</f>
        <v>67189.263608501569</v>
      </c>
      <c r="CM94" s="189">
        <f>SUM(CI94:CL94)</f>
        <v>285486.82617855351</v>
      </c>
      <c r="CN94" s="152">
        <f>-CN95*CN98</f>
        <v>67618.695286511283</v>
      </c>
      <c r="CO94" s="152">
        <f>-CO95*CO98</f>
        <v>67901.436784980076</v>
      </c>
      <c r="CP94" s="152">
        <f>-CP95*CP98</f>
        <v>68486.690509997265</v>
      </c>
      <c r="CQ94" s="152">
        <f>-CQ95*CQ98</f>
        <v>69345.496508376265</v>
      </c>
      <c r="CR94" s="189">
        <f>SUM(CN94:CQ94)</f>
        <v>273352.3190898649</v>
      </c>
      <c r="CS94" s="152">
        <f>-CS95*CS98</f>
        <v>60245.325170060176</v>
      </c>
      <c r="CT94" s="152">
        <f>-CT95*CT98</f>
        <v>60177.452122371513</v>
      </c>
      <c r="CU94" s="152">
        <f>-CU95*CU98</f>
        <v>60456.030594253549</v>
      </c>
      <c r="CV94" s="152">
        <f>-CV95*CV98</f>
        <v>61117.076434227834</v>
      </c>
      <c r="CW94" s="189">
        <f>SUM(CS94:CV94)</f>
        <v>241995.88432091309</v>
      </c>
      <c r="CX94" s="152">
        <f>-CX95*CX98</f>
        <v>61604.646177332237</v>
      </c>
      <c r="CY94" s="152">
        <f>-CY95*CY98</f>
        <v>61727.199406162137</v>
      </c>
      <c r="CZ94" s="152">
        <f>-CZ95*CZ98</f>
        <v>62075.537386729993</v>
      </c>
      <c r="DA94" s="152">
        <f>-DA95*DA98</f>
        <v>62878.676018782644</v>
      </c>
      <c r="DB94" s="189">
        <f>SUM(CX94:DA94)</f>
        <v>248286.05898900703</v>
      </c>
    </row>
    <row r="95" spans="1:106" ht="11.25" customHeight="1" x14ac:dyDescent="0.35">
      <c r="A95" s="11" t="s">
        <v>19</v>
      </c>
      <c r="B95" s="48">
        <f>B26-B94</f>
        <v>-59977</v>
      </c>
      <c r="C95" s="48">
        <f>C26-C94</f>
        <v>-68800</v>
      </c>
      <c r="D95" s="48">
        <f>D26-D94</f>
        <v>-145817</v>
      </c>
      <c r="E95" s="48">
        <f>E26-E94</f>
        <v>-156419</v>
      </c>
      <c r="F95" s="56">
        <f>SUM(B95:E95)</f>
        <v>-431013</v>
      </c>
      <c r="G95" s="48">
        <f>G26-G94</f>
        <v>-119396</v>
      </c>
      <c r="H95" s="48">
        <f>H26-H94</f>
        <v>-137562</v>
      </c>
      <c r="I95" s="48">
        <f>I26-I94</f>
        <v>-180707</v>
      </c>
      <c r="J95" s="48">
        <f>J26-J94</f>
        <v>-211224</v>
      </c>
      <c r="K95" s="56">
        <f>SUM(G95:J95)</f>
        <v>-648889</v>
      </c>
      <c r="L95" s="48">
        <f>L26-L94</f>
        <v>-140079</v>
      </c>
      <c r="M95" s="48">
        <f>M26-M94</f>
        <v>-134479</v>
      </c>
      <c r="N95" s="48">
        <f>N26-N94</f>
        <v>-116181</v>
      </c>
      <c r="O95" s="48">
        <f>O26-O94</f>
        <v>-115425</v>
      </c>
      <c r="P95" s="56">
        <f>SUM(L95:O95)</f>
        <v>-506164</v>
      </c>
      <c r="Q95" s="48">
        <f>Q26-Q94</f>
        <v>-92671</v>
      </c>
      <c r="R95" s="48">
        <f>R26-R94</f>
        <v>-88123</v>
      </c>
      <c r="S95" s="48">
        <f>S26-S94</f>
        <v>-99909</v>
      </c>
      <c r="T95" s="48">
        <f>T26-T94</f>
        <v>-98601</v>
      </c>
      <c r="U95" s="56">
        <f>SUM(Q95:T95)</f>
        <v>-379304</v>
      </c>
      <c r="V95" s="48">
        <f>V26-V94</f>
        <v>-109180</v>
      </c>
      <c r="W95" s="48">
        <f>W26-W94</f>
        <v>-118637</v>
      </c>
      <c r="X95" s="48">
        <f>X26-X94</f>
        <v>-110952</v>
      </c>
      <c r="Y95" s="48">
        <f>Y26-Y94</f>
        <v>-112227</v>
      </c>
      <c r="Z95" s="56">
        <f>SUM(V95:Y95)</f>
        <v>-450996</v>
      </c>
      <c r="AA95" s="48">
        <f>AA26-AA94</f>
        <v>-111782</v>
      </c>
      <c r="AB95" s="48">
        <f>AB26-AB94</f>
        <v>-138001</v>
      </c>
      <c r="AC95" s="48">
        <f>AC26-AC94</f>
        <v>-135330</v>
      </c>
      <c r="AD95" s="48">
        <f>AD26-AD94</f>
        <v>-123234</v>
      </c>
      <c r="AE95" s="56">
        <f>SUM(AA95:AD95)</f>
        <v>-508347</v>
      </c>
      <c r="AF95" s="48">
        <f>AF26-AF94</f>
        <v>-117572</v>
      </c>
      <c r="AG95" s="48">
        <f>AG26-AG94</f>
        <v>-118566</v>
      </c>
      <c r="AH95" s="48">
        <f>AH26-AH94</f>
        <v>-114684</v>
      </c>
      <c r="AI95" s="48">
        <f>AI26-AI94</f>
        <v>-108675</v>
      </c>
      <c r="AJ95" s="56">
        <f>SUM(AF95:AI95)</f>
        <v>-459497</v>
      </c>
      <c r="AK95" s="48">
        <f>AK26-AK94</f>
        <v>-102242</v>
      </c>
      <c r="AL95" s="48">
        <f>AL26-AL94</f>
        <v>-93813</v>
      </c>
      <c r="AM95" s="48">
        <f>AM26-AM94</f>
        <v>-83968</v>
      </c>
      <c r="AN95" s="48">
        <f>AN26-AN94</f>
        <v>-61523</v>
      </c>
      <c r="AO95" s="56">
        <f>SUM(AK95:AN95)</f>
        <v>-341546</v>
      </c>
      <c r="AP95" s="48">
        <f>AP26-AP94</f>
        <v>-51731</v>
      </c>
      <c r="AQ95" s="48">
        <f>AQ26-AQ94</f>
        <v>-46192</v>
      </c>
      <c r="AR95" s="48">
        <f>AR26-AR94</f>
        <v>-53398</v>
      </c>
      <c r="AS95" s="48">
        <f>AS26-AS94</f>
        <v>-49034</v>
      </c>
      <c r="AT95" s="56">
        <f>SUM(AP95:AS95)</f>
        <v>-200355</v>
      </c>
      <c r="AU95" s="48">
        <f>AU26-AU94</f>
        <v>-43691</v>
      </c>
      <c r="AV95" s="48">
        <f>AV26-AV94</f>
        <v>-35038</v>
      </c>
      <c r="AW95" s="48">
        <f>AW26-AW94</f>
        <v>-41687</v>
      </c>
      <c r="AX95" s="48">
        <f>AX26-AX94</f>
        <v>-42674</v>
      </c>
      <c r="AY95" s="56">
        <f>SUM(AU95:AX95)</f>
        <v>-163090</v>
      </c>
      <c r="AZ95" s="48">
        <f>AZ26-AZ94</f>
        <v>-28829</v>
      </c>
      <c r="BA95" s="48">
        <f>BA26-BA94</f>
        <v>-38126</v>
      </c>
      <c r="BB95" s="48">
        <f>BB26-BB94</f>
        <v>-34766</v>
      </c>
      <c r="BC95" s="48">
        <f>BC26-BC94</f>
        <v>-25688</v>
      </c>
      <c r="BD95" s="56">
        <f>SUM(AZ95:BC95)</f>
        <v>-127409</v>
      </c>
      <c r="BE95" s="48">
        <f>BE26-BE94</f>
        <v>-45700</v>
      </c>
      <c r="BF95" s="48">
        <f>BF26-BF94</f>
        <v>-45412</v>
      </c>
      <c r="BG95" s="48">
        <f>BG26-BG94</f>
        <v>-68091</v>
      </c>
      <c r="BH95" s="48">
        <f>BH26-BH94</f>
        <v>-89101</v>
      </c>
      <c r="BI95" s="56">
        <f>SUM(BE95:BH95)</f>
        <v>-248304</v>
      </c>
      <c r="BJ95" s="48">
        <f>BJ26-BJ94</f>
        <v>-99831</v>
      </c>
      <c r="BK95" s="48">
        <f>BK26-BK94</f>
        <v>-120826</v>
      </c>
      <c r="BL95" s="48">
        <f>BL26-BL94</f>
        <v>-144157</v>
      </c>
      <c r="BM95" s="48">
        <f>BM26-BM94</f>
        <v>-211688</v>
      </c>
      <c r="BN95" s="56">
        <f>SUM(BJ95:BM95)</f>
        <v>-576502</v>
      </c>
      <c r="BO95" s="48">
        <f>BO26-BO94</f>
        <v>-171356</v>
      </c>
      <c r="BP95" s="48">
        <f>BP26-BP94</f>
        <v>-180665</v>
      </c>
      <c r="BQ95" s="48">
        <f>BQ26-BQ94</f>
        <v>-159956</v>
      </c>
      <c r="BR95" s="48">
        <f>BR26-BR94</f>
        <v>-163745</v>
      </c>
      <c r="BS95" s="56">
        <f>SUM(BO95:BR95)</f>
        <v>-675722</v>
      </c>
      <c r="BT95" s="48">
        <f>BT26-BT94</f>
        <v>-158245</v>
      </c>
      <c r="BU95" s="48">
        <f>BU26-BU94</f>
        <v>-172678</v>
      </c>
      <c r="BV95" s="48">
        <f>BV26-BV94</f>
        <v>-164060</v>
      </c>
      <c r="BW95" s="48">
        <f>BW26-BW94</f>
        <v>-192574</v>
      </c>
      <c r="BX95" s="56">
        <f>SUM(BT95:BW95)</f>
        <v>-687557</v>
      </c>
      <c r="BY95" s="48">
        <f>BY26-BY94</f>
        <v>-194272</v>
      </c>
      <c r="BZ95" s="48">
        <f>BZ26-BZ94</f>
        <v>-235188</v>
      </c>
      <c r="CA95" s="48">
        <f>CA26-CA94</f>
        <v>-244286</v>
      </c>
      <c r="CB95" s="48">
        <f>CB26-CB94</f>
        <v>-263547</v>
      </c>
      <c r="CC95" s="56">
        <f>SUM(BY95:CB95)</f>
        <v>-937293</v>
      </c>
      <c r="CD95" s="48">
        <f>CD26-CD94</f>
        <v>-291516</v>
      </c>
      <c r="CE95" s="48">
        <f>CE26-CE94</f>
        <v>-321313</v>
      </c>
      <c r="CF95" s="48">
        <f>CF99+CF102</f>
        <v>-283447.38952000393</v>
      </c>
      <c r="CG95" s="48">
        <f>CG99+CG102</f>
        <v>-286931.11664374481</v>
      </c>
      <c r="CH95" s="56">
        <f>SUM(CD95:CG95)</f>
        <v>-1183207.5061637487</v>
      </c>
      <c r="CI95" s="48">
        <f>CI99+CI102</f>
        <v>-331414.99482753506</v>
      </c>
      <c r="CJ95" s="48">
        <f>CJ99+CJ102</f>
        <v>-327828.13387744594</v>
      </c>
      <c r="CK95" s="48">
        <f>CK99+CK102</f>
        <v>-310968.26049524988</v>
      </c>
      <c r="CL95" s="48">
        <f>CL99+CL102</f>
        <v>-298618.9493711181</v>
      </c>
      <c r="CM95" s="56">
        <f>SUM(CI95:CL95)</f>
        <v>-1268830.3385713489</v>
      </c>
      <c r="CN95" s="48">
        <f>CN99+CN102</f>
        <v>-300527.53460671683</v>
      </c>
      <c r="CO95" s="48">
        <f>CO99+CO102</f>
        <v>-301784.16348880035</v>
      </c>
      <c r="CP95" s="48">
        <f>CP99+CP102</f>
        <v>-304385.29115554341</v>
      </c>
      <c r="CQ95" s="48">
        <f>CQ99+CQ102</f>
        <v>-308202.20670389448</v>
      </c>
      <c r="CR95" s="56">
        <f>SUM(CN95:CQ95)</f>
        <v>-1214899.1959549552</v>
      </c>
      <c r="CS95" s="48">
        <f>CS99+CS102</f>
        <v>-267757.00075582298</v>
      </c>
      <c r="CT95" s="48">
        <f>CT99+CT102</f>
        <v>-267455.34276609559</v>
      </c>
      <c r="CU95" s="48">
        <f>CU99+CU102</f>
        <v>-268693.46930779354</v>
      </c>
      <c r="CV95" s="48">
        <f>CV99+CV102</f>
        <v>-271631.45081879036</v>
      </c>
      <c r="CW95" s="56">
        <f>SUM(CS95:CV95)</f>
        <v>-1075537.2636485025</v>
      </c>
      <c r="CX95" s="48">
        <f>CX99+CX102</f>
        <v>-273798.42745480995</v>
      </c>
      <c r="CY95" s="48">
        <f>CY99+CY102</f>
        <v>-274343.10847183171</v>
      </c>
      <c r="CZ95" s="48">
        <f>CZ99+CZ102</f>
        <v>-275891.27727435553</v>
      </c>
      <c r="DA95" s="48">
        <f>DA99+DA102</f>
        <v>-279460.78230570065</v>
      </c>
      <c r="DB95" s="56">
        <f>SUM(CX95:DA95)</f>
        <v>-1103493.5955066979</v>
      </c>
    </row>
    <row r="96" spans="1:106" ht="11.25" customHeight="1" x14ac:dyDescent="0.35">
      <c r="A96" s="7" t="s">
        <v>268</v>
      </c>
      <c r="B96" s="405">
        <f>(1-B95/(AVERAGE('BS &amp; FCF'!B28:B28)+AVERAGE('BS &amp; FCF'!B31:B31)))^4-1</f>
        <v>9.0647430705918852E-2</v>
      </c>
      <c r="C96" s="405">
        <f>(1-C95/(AVERAGE('BS &amp; FCF'!B28:C28)+AVERAGE('BS &amp; FCF'!B31:C31)))^4-1</f>
        <v>0.10100922803202339</v>
      </c>
      <c r="D96" s="405">
        <f>(1-D95/(AVERAGE('BS &amp; FCF'!C28:D28)+AVERAGE('BS &amp; FCF'!C31:D31)))^4-1</f>
        <v>0.20809052101394032</v>
      </c>
      <c r="E96" s="405">
        <f>(1-E95/(AVERAGE('BS &amp; FCF'!D28:E28)+AVERAGE('BS &amp; FCF'!D31:E31)))^4-1</f>
        <v>0.20113117523450952</v>
      </c>
      <c r="F96" s="406">
        <f>(1-F95/(AVERAGE('BS &amp; FCF'!B28:E28)+AVERAGE('BS &amp; FCF'!B31:E31)))-1</f>
        <v>0.13989167485449139</v>
      </c>
      <c r="G96" s="405">
        <f>(1-G95/(AVERAGE('BS &amp; FCF'!F28:G28)+AVERAGE('BS &amp; FCF'!F31:G31)))^4-1</f>
        <v>0.13611320129180249</v>
      </c>
      <c r="H96" s="405">
        <f>(1-H95/(AVERAGE('BS &amp; FCF'!G28:H28)+AVERAGE('BS &amp; FCF'!G31:H31)))^4-1</f>
        <v>0.14237778863684825</v>
      </c>
      <c r="I96" s="405">
        <f>(1-I95/(AVERAGE('BS &amp; FCF'!H28:I28)+AVERAGE('BS &amp; FCF'!H31:I31)))^4-1</f>
        <v>0.16841655350300866</v>
      </c>
      <c r="J96" s="405">
        <f>(1-J95/(AVERAGE('BS &amp; FCF'!I28:J28)+AVERAGE('BS &amp; FCF'!I31:J31)))^4-1</f>
        <v>0.18905082059209088</v>
      </c>
      <c r="K96" s="406">
        <f>(1-K95/(AVERAGE('BS &amp; FCF'!G28:J28)+AVERAGE('BS &amp; FCF'!G31:J31)))-1</f>
        <v>0.14680935100241399</v>
      </c>
      <c r="L96" s="405">
        <f>(1-L95/(AVERAGE('BS &amp; FCF'!K28:L28)+AVERAGE('BS &amp; FCF'!K31:L31)))^4-1</f>
        <v>0.12202804855059735</v>
      </c>
      <c r="M96" s="405">
        <f>(1-M95/(AVERAGE('BS &amp; FCF'!L28:M28)+AVERAGE('BS &amp; FCF'!L31:M31)))^4-1</f>
        <v>0.11843365971686137</v>
      </c>
      <c r="N96" s="405">
        <f>(1-N95/(AVERAGE('BS &amp; FCF'!M28:N28)+AVERAGE('BS &amp; FCF'!M31:N31)))^4-1</f>
        <v>0.10515278804602701</v>
      </c>
      <c r="O96" s="405">
        <f>(1-O95/(AVERAGE('BS &amp; FCF'!N28:O28)+AVERAGE('BS &amp; FCF'!N31:O31)))^4-1</f>
        <v>0.10833667968664562</v>
      </c>
      <c r="P96" s="406">
        <f>(1-P95/(AVERAGE('BS &amp; FCF'!L28:O28)+AVERAGE('BS &amp; FCF'!L31:O31)))-1</f>
        <v>0.11039471699063808</v>
      </c>
      <c r="Q96" s="405">
        <f>(1-Q95/(AVERAGE('BS &amp; FCF'!P28:Q28)+AVERAGE('BS &amp; FCF'!P31:Q31)))^4-1</f>
        <v>9.0592920843654667E-2</v>
      </c>
      <c r="R96" s="405">
        <f>(1-R95/(AVERAGE('BS &amp; FCF'!Q28:R28)+AVERAGE('BS &amp; FCF'!Q31:R31)))^4-1</f>
        <v>8.9409480161046995E-2</v>
      </c>
      <c r="S96" s="405">
        <f>(1-S95/(AVERAGE('BS &amp; FCF'!R28:S28)+AVERAGE('BS &amp; FCF'!R31:S31)))^4-1</f>
        <v>0.10152325946689444</v>
      </c>
      <c r="T96" s="405">
        <f>(1-T95/(AVERAGE('BS &amp; FCF'!S28:T28)+AVERAGE('BS &amp; FCF'!S31:T31)))^4-1</f>
        <v>9.576798934763664E-2</v>
      </c>
      <c r="U96" s="406">
        <f>(1-U95/(AVERAGE('BS &amp; FCF'!Q28:T28)+AVERAGE('BS &amp; FCF'!Q31:T31)))-1</f>
        <v>9.1007288664013641E-2</v>
      </c>
      <c r="V96" s="405">
        <f>(1-V95/(AVERAGE('BS &amp; FCF'!U28:V28)+AVERAGE('BS &amp; FCF'!U31:V31)))^4-1</f>
        <v>9.9075002361978859E-2</v>
      </c>
      <c r="W96" s="405">
        <f>(1-W95/(AVERAGE('BS &amp; FCF'!V28:W28)+AVERAGE('BS &amp; FCF'!V31:W31)))^4-1</f>
        <v>0.10740077309258078</v>
      </c>
      <c r="X96" s="405">
        <f>(1-X95/(AVERAGE('BS &amp; FCF'!W28:X28)+AVERAGE('BS &amp; FCF'!W31:X31)))^4-1</f>
        <v>0.10461471045630022</v>
      </c>
      <c r="Y96" s="405">
        <f>(1-Y95/(AVERAGE('BS &amp; FCF'!X28:Y28)+AVERAGE('BS &amp; FCF'!X31:Y31)))^4-1</f>
        <v>0.11120309011773277</v>
      </c>
      <c r="Z96" s="406">
        <f>(1-Z95/(AVERAGE('BS &amp; FCF'!V28:Y28)+AVERAGE('BS &amp; FCF'!V31:Y31)))-1</f>
        <v>0.10256755475188783</v>
      </c>
      <c r="AA96" s="405">
        <f>(1-AA95/(AVERAGE('BS &amp; FCF'!Z28:AA28)+AVERAGE('BS &amp; FCF'!Z31:AA31)))^4-1</f>
        <v>0.11690984297886886</v>
      </c>
      <c r="AB96" s="405">
        <f>(1-AB95/(AVERAGE('BS &amp; FCF'!AA28:AB28)+AVERAGE('BS &amp; FCF'!AA31:AB31)))^4-1</f>
        <v>0.14478040741186082</v>
      </c>
      <c r="AC96" s="405">
        <f>(1-AC95/(AVERAGE('BS &amp; FCF'!AB28:AC28)+AVERAGE('BS &amp; FCF'!AB31:AC31)))^4-1</f>
        <v>0.1382355863376763</v>
      </c>
      <c r="AD96" s="405">
        <f>(1-AD95/(AVERAGE('BS &amp; FCF'!AC28:AD28)+AVERAGE('BS &amp; FCF'!AC31:AD31)))^4-1</f>
        <v>0.12859960253021496</v>
      </c>
      <c r="AE96" s="406">
        <f>(1-AE95/(AVERAGE('BS &amp; FCF'!AA28:AD28)+AVERAGE('BS &amp; FCF'!AA31:AD31)))-1</f>
        <v>0.12665658465831764</v>
      </c>
      <c r="AF96" s="405">
        <f>(1-AF95/(AVERAGE('BS &amp; FCF'!AE28:AF28)+AVERAGE('BS &amp; FCF'!AE31:AF31)))^4-1</f>
        <v>0.1279066262363453</v>
      </c>
      <c r="AG96" s="405">
        <f>(1-AG95/(AVERAGE('BS &amp; FCF'!AF28:AG28)+AVERAGE('BS &amp; FCF'!AF31:AG31)))^4-1</f>
        <v>0.13321960622354023</v>
      </c>
      <c r="AH96" s="405">
        <f>(1-AH95/(AVERAGE('BS &amp; FCF'!AG28:AH28)+AVERAGE('BS &amp; FCF'!AG31:AH31)))^4-1</f>
        <v>0.1329451389109122</v>
      </c>
      <c r="AI96" s="405">
        <f>(1-AI95/(AVERAGE('BS &amp; FCF'!AH28:AI28)+AVERAGE('BS &amp; FCF'!AH31:AI31)))^4-1</f>
        <v>0.12854288596702257</v>
      </c>
      <c r="AJ96" s="406">
        <f>(1-AJ95/(AVERAGE('BS &amp; FCF'!AF28:AI28)+AVERAGE('BS &amp; FCF'!AF31:AI31)))-1</f>
        <v>0.12634146747191211</v>
      </c>
      <c r="AK96" s="405">
        <f>(1-AK95/(AVERAGE('BS &amp; FCF'!AJ28:AK28)+AVERAGE('BS &amp; FCF'!AJ31:AK31)))^4-1</f>
        <v>0.11995652389837108</v>
      </c>
      <c r="AL96" s="405">
        <f>(1-AL95/(AVERAGE('BS &amp; FCF'!AK28:AL28)+AVERAGE('BS &amp; FCF'!AK31:AL31)))^4-1</f>
        <v>0.1103206238663621</v>
      </c>
      <c r="AM96" s="405">
        <f>(1-AM95/(AVERAGE('BS &amp; FCF'!AL28:AM28)+AVERAGE('BS &amp; FCF'!AL31:AM31)))^4-1</f>
        <v>0.10594309053642559</v>
      </c>
      <c r="AN96" s="405">
        <f>(1-AN95/(AVERAGE('BS &amp; FCF'!AM28:AN28)+AVERAGE('BS &amp; FCF'!AM31:AN31)))^4-1</f>
        <v>8.8181138442811946E-2</v>
      </c>
      <c r="AO96" s="406">
        <f>(1-AO95/(AVERAGE('BS &amp; FCF'!AK28:AN28)+AVERAGE('BS &amp; FCF'!AK31:AN31)))-1</f>
        <v>0.10639175707320336</v>
      </c>
      <c r="AP96" s="405">
        <f>(1-AP95/(AVERAGE('BS &amp; FCF'!AO28:AP28)+AVERAGE('BS &amp; FCF'!AO31:AP31)))^4-1</f>
        <v>8.9153819026317249E-2</v>
      </c>
      <c r="AQ96" s="405">
        <f>(1-AQ95/(AVERAGE('BS &amp; FCF'!AP28:AQ28)+AVERAGE('BS &amp; FCF'!AP31:AQ31)))^4-1</f>
        <v>8.3463032379375246E-2</v>
      </c>
      <c r="AR96" s="405">
        <f>(1-AR95/(AVERAGE('BS &amp; FCF'!AQ28:AR28)+AVERAGE('BS &amp; FCF'!AQ31:AR31)))^4-1</f>
        <v>8.2538070838338973E-2</v>
      </c>
      <c r="AS96" s="405">
        <f>(1-AS95/(AVERAGE('BS &amp; FCF'!AR28:AS28)+AVERAGE('BS &amp; FCF'!AR31:AS31)))^4-1</f>
        <v>7.5502138636966754E-2</v>
      </c>
      <c r="AT96" s="406">
        <f>(1-AT95/(AVERAGE('BS &amp; FCF'!AP28:AS28)+AVERAGE('BS &amp; FCF'!AP31:AS31)))-1</f>
        <v>8.0917325538108598E-2</v>
      </c>
      <c r="AU96" s="405">
        <f>(1-AU95/(AVERAGE('BS &amp; FCF'!AT28:AU28)+AVERAGE('BS &amp; FCF'!AT31:AU31)))^4-1</f>
        <v>7.869662033450564E-2</v>
      </c>
      <c r="AV96" s="405">
        <f>(1-AV95/(AVERAGE('BS &amp; FCF'!AU28:AV28)+AVERAGE('BS &amp; FCF'!AU31:AV31)))^4-1</f>
        <v>6.7789523046596356E-2</v>
      </c>
      <c r="AW96" s="405">
        <f>(1-AW95/(AVERAGE('BS &amp; FCF'!AV28:AW28)+AVERAGE('BS &amp; FCF'!AV31:AW31)))^4-1</f>
        <v>7.5030566563722312E-2</v>
      </c>
      <c r="AX96" s="405">
        <f>(1-AX95/(AVERAGE('BS &amp; FCF'!AW28:AX28)+AVERAGE('BS &amp; FCF'!AW31:AX31)))^4-1</f>
        <v>6.8447538271087627E-2</v>
      </c>
      <c r="AY96" s="406">
        <f>(1-AY95/(AVERAGE('BS &amp; FCF'!AU28:AX28)+AVERAGE('BS &amp; FCF'!AU31:AX31)))-1</f>
        <v>6.9752509891745529E-2</v>
      </c>
      <c r="AZ96" s="405">
        <f>(1-AZ95/(AVERAGE('BS &amp; FCF'!AY28:AZ28)+AVERAGE('BS &amp; FCF'!AY31:AZ31)))^4-1</f>
        <v>4.4991227040847681E-2</v>
      </c>
      <c r="BA96" s="405">
        <f>(1-BA95/(AVERAGE('BS &amp; FCF'!AZ28:BA28)+AVERAGE('BS &amp; FCF'!AZ31:BA31)))^4-1</f>
        <v>5.5594468983046985E-2</v>
      </c>
      <c r="BB96" s="405">
        <f>(1-BB95/(AVERAGE('BS &amp; FCF'!BA28:BB28)+AVERAGE('BS &amp; FCF'!BA31:BB31)))^4-1</f>
        <v>5.1306901783288561E-2</v>
      </c>
      <c r="BC96" s="405">
        <f>(1-BC95/(AVERAGE('BS &amp; FCF'!BB28:BC28)+AVERAGE('BS &amp; FCF'!BB31:BC31)))^4-1</f>
        <v>3.9233528577719445E-2</v>
      </c>
      <c r="BD96" s="406">
        <f>(1-BD95/(AVERAGE('BS &amp; FCF'!AZ28:BC28)+AVERAGE('BS &amp; FCF'!AZ31:BC31)))-1</f>
        <v>4.6696454627877193E-2</v>
      </c>
      <c r="BE96" s="405">
        <f>(1-BE95/(AVERAGE('BS &amp; FCF'!BD28:BE28)+AVERAGE('BS &amp; FCF'!BD31:BE31)))^4-1</f>
        <v>6.671056352255178E-2</v>
      </c>
      <c r="BF96" s="405">
        <f>(1-BF95/(AVERAGE('BS &amp; FCF'!BE28:BF28)+AVERAGE('BS &amp; FCF'!BE31:BF31)))^4-1</f>
        <v>5.9323331684874914E-2</v>
      </c>
      <c r="BG96" s="405">
        <f>(1-BG95/(AVERAGE('BS &amp; FCF'!BF28:BG28)+AVERAGE('BS &amp; FCF'!BF31:BG31)))^4-1</f>
        <v>8.1176448765054365E-2</v>
      </c>
      <c r="BH96" s="405">
        <f>(1-BH95/(AVERAGE('BS &amp; FCF'!BG28:BH28)+AVERAGE('BS &amp; FCF'!BG31:BH31)))^4-1</f>
        <v>0.10244384590548727</v>
      </c>
      <c r="BI96" s="406">
        <f>(1-BI95/(AVERAGE('BS &amp; FCF'!BE28:BH28)+AVERAGE('BS &amp; FCF'!BE31:BH31)))-1</f>
        <v>7.3688868233783733E-2</v>
      </c>
      <c r="BJ96" s="405">
        <f>(1-BJ95/(AVERAGE('BS &amp; FCF'!BI28:BJ28)+AVERAGE('BS &amp; FCF'!BI31:BJ31)))^4-1</f>
        <v>0.11057125133787982</v>
      </c>
      <c r="BK96" s="405">
        <f>(1-BK95/(AVERAGE('BS &amp; FCF'!BJ28:BK28)+AVERAGE('BS &amp; FCF'!BJ31:BK31)))^4-1</f>
        <v>0.12785426807645517</v>
      </c>
      <c r="BL96" s="405">
        <f>(1-BL95/(AVERAGE('BS &amp; FCF'!BK28:BL28)+AVERAGE('BS &amp; FCF'!BK31:BL31)))^4-1</f>
        <v>0.13950260830239358</v>
      </c>
      <c r="BM96" s="405">
        <f>(1-BM95/(AVERAGE('BS &amp; FCF'!BL28:BM28)+AVERAGE('BS &amp; FCF'!BL31:BM31)))^4-1</f>
        <v>0.18780831254913899</v>
      </c>
      <c r="BN96" s="406">
        <f>(1-BN95/(AVERAGE('BS &amp; FCF'!BJ28:BM28)+AVERAGE('BS &amp; FCF'!BJ31:BM31)))-1</f>
        <v>0.13144795289049394</v>
      </c>
      <c r="BO96" s="405">
        <f>(1-BO95/(AVERAGE('BS &amp; FCF'!BN28:BO28)+AVERAGE('BS &amp; FCF'!BN31:BO31)))^4-1</f>
        <v>0.1446016482785315</v>
      </c>
      <c r="BP96" s="405">
        <f>(1-BP95/(AVERAGE('BS &amp; FCF'!BO28:BP28)+AVERAGE('BS &amp; FCF'!BO31:BP31)))^4-1</f>
        <v>0.1535394782151891</v>
      </c>
      <c r="BQ96" s="405">
        <f>(1-BQ95/(AVERAGE('BS &amp; FCF'!BP28:BQ28)+AVERAGE('BS &amp; FCF'!BP31:BQ31)))^4-1</f>
        <v>0.13287811069569866</v>
      </c>
      <c r="BR96" s="405">
        <f>(1-BR95/(AVERAGE('BS &amp; FCF'!BQ28:BR28)+AVERAGE('BS &amp; FCF'!BQ31:BR31)))^4-1</f>
        <v>0.13381436996474427</v>
      </c>
      <c r="BS96" s="406">
        <f>(1-BS95/(AVERAGE('BS &amp; FCF'!BO28:BR28)+AVERAGE('BS &amp; FCF'!BO31:BR31)))-1</f>
        <v>0.13376008345628998</v>
      </c>
      <c r="BT96" s="405">
        <f>(1-BT95/(AVERAGE('BS &amp; FCF'!BS28:BT28)+AVERAGE('BS &amp; FCF'!BS31:BT31)))^4-1</f>
        <v>0.12963982637800031</v>
      </c>
      <c r="BU96" s="405">
        <f>(1-BU95/(AVERAGE('BS &amp; FCF'!BT28:BU28)+AVERAGE('BS &amp; FCF'!BT31:BU31)))^4-1</f>
        <v>0.14006711670973804</v>
      </c>
      <c r="BV96" s="405">
        <f>(1-BV95/(AVERAGE('BS &amp; FCF'!BU28:BV28)+AVERAGE('BS &amp; FCF'!BU31:BV31)))^4-1</f>
        <v>0.1259435823234254</v>
      </c>
      <c r="BW96" s="405">
        <f>(1-BW95/(AVERAGE('BS &amp; FCF'!BV28:BW28)+AVERAGE('BS &amp; FCF'!BV31:BW31)))^4-1</f>
        <v>0.13890736147855187</v>
      </c>
      <c r="BX96" s="406">
        <f>(1-BX95/(AVERAGE('BS &amp; FCF'!BT28:BW28)+AVERAGE('BS &amp; FCF'!BT31:BW31)))-1</f>
        <v>0.12490058737466025</v>
      </c>
      <c r="BY96" s="405">
        <f>(1-BY95/(AVERAGE('BS &amp; FCF'!BX28:BY28)+AVERAGE('BS &amp; FCF'!BX31:BY31)))^4-1</f>
        <v>0.13247984494266785</v>
      </c>
      <c r="BZ96" s="405">
        <f>(1-BZ95/(AVERAGE('BS &amp; FCF'!BY28:BZ28)+AVERAGE('BS &amp; FCF'!BY31:BZ31)))^4-1</f>
        <v>0.14906430366194501</v>
      </c>
      <c r="CA96" s="405">
        <f>(1-CA95/(AVERAGE('BS &amp; FCF'!BZ28:CA28)+AVERAGE('BS &amp; FCF'!BZ31:CA31)))^4-1</f>
        <v>0.13837435047382218</v>
      </c>
      <c r="CB96" s="405">
        <f>(1-CB95/(AVERAGE('BS &amp; FCF'!CA28:CB28)+AVERAGE('BS &amp; FCF'!CA31:CB31)))^4-1</f>
        <v>0.13344003038671914</v>
      </c>
      <c r="CC96" s="406">
        <f>(1-CC95/(AVERAGE('BS &amp; FCF'!BY28:CB28)+AVERAGE('BS &amp; FCF'!BY31:CB31)))-1</f>
        <v>0.12548507345041737</v>
      </c>
      <c r="CD96" s="405">
        <f>(1-CD95/(AVERAGE('BS &amp; FCF'!CC28:CD28)+AVERAGE('BS &amp; FCF'!CC31:CD31)))^4-1</f>
        <v>0.13782579586322696</v>
      </c>
      <c r="CE96" s="405">
        <f>(1-CE95/(AVERAGE('BS &amp; FCF'!CD28:CE28)+AVERAGE('BS &amp; FCF'!CD31:CE31)))^4-1</f>
        <v>0.15080492560408532</v>
      </c>
      <c r="CF96" s="405">
        <f>(1-CF95/(AVERAGE('BS &amp; FCF'!CE28:CF28)+AVERAGE('BS &amp; FCF'!CE31:CF31)))^4-1</f>
        <v>0.12999999999999967</v>
      </c>
      <c r="CG96" s="405">
        <f>(1-CG95/(AVERAGE('BS &amp; FCF'!CF28:CG28)+AVERAGE('BS &amp; FCF'!CF31:CG31)))^4-1</f>
        <v>0.12949999999999973</v>
      </c>
      <c r="CH96" s="406">
        <f>(1-CH95/(AVERAGE('BS &amp; FCF'!CD28:CG28)+AVERAGE('BS &amp; FCF'!CD31:CG31)))-1</f>
        <v>0.12950548428197628</v>
      </c>
      <c r="CI96" s="405">
        <f>(1-CI95/(AVERAGE('BS &amp; FCF'!CH28:CI28)+AVERAGE('BS &amp; FCF'!CH31:CI31)))^4-1</f>
        <v>0.14833333333333321</v>
      </c>
      <c r="CJ96" s="405">
        <f>(1-CJ95/(AVERAGE('BS &amp; FCF'!CI28:CJ28)+AVERAGE('BS &amp; FCF'!CI31:CJ31)))^4-1</f>
        <v>0.14525000000000032</v>
      </c>
      <c r="CK96" s="405">
        <f>(1-CK95/(AVERAGE('BS &amp; FCF'!CJ28:CK28)+AVERAGE('BS &amp; FCF'!CJ31:CK31)))^4-1</f>
        <v>0.13649999999999984</v>
      </c>
      <c r="CL96" s="405">
        <f>(1-CL95/(AVERAGE('BS &amp; FCF'!CK28:CL28)+AVERAGE('BS &amp; FCF'!CK31:CL31)))^4-1</f>
        <v>0.12949999999999973</v>
      </c>
      <c r="CM96" s="406">
        <f>(1-CM95/(AVERAGE('BS &amp; FCF'!CI28:CL28)+AVERAGE('BS &amp; FCF'!CI31:CL31)))-1</f>
        <v>0.13240332017541379</v>
      </c>
      <c r="CN96" s="405">
        <f>(1-CN95/(AVERAGE('BS &amp; FCF'!CM28:CN28)+AVERAGE('BS &amp; FCF'!CM31:CN31)))^4-1</f>
        <v>0.12949999999999973</v>
      </c>
      <c r="CO96" s="405">
        <f>(1-CO95/(AVERAGE('BS &amp; FCF'!CN28:CO28)+AVERAGE('BS &amp; FCF'!CN31:CO31)))^4-1</f>
        <v>0.12949999999999973</v>
      </c>
      <c r="CP96" s="405">
        <f>(1-CP95/(AVERAGE('BS &amp; FCF'!CO28:CP28)+AVERAGE('BS &amp; FCF'!CO31:CP31)))^4-1</f>
        <v>0.12949999999999973</v>
      </c>
      <c r="CQ96" s="405">
        <f>(1-CQ95/(AVERAGE('BS &amp; FCF'!CP28:CQ28)+AVERAGE('BS &amp; FCF'!CP31:CQ31)))^4-1</f>
        <v>0.12949999999999973</v>
      </c>
      <c r="CR96" s="406">
        <f>(1-CR95/(AVERAGE('BS &amp; FCF'!CN28:CQ28)+AVERAGE('BS &amp; FCF'!CN31:CQ31)))-1</f>
        <v>0.12313343922879816</v>
      </c>
      <c r="CS96" s="405">
        <f>(1-CS95/(AVERAGE('BS &amp; FCF'!CR28:CS28)+AVERAGE('BS &amp; FCF'!CR31:CS31)))^4-1</f>
        <v>0.11129999999999995</v>
      </c>
      <c r="CT96" s="405">
        <f>(1-CT95/(AVERAGE('BS &amp; FCF'!CS28:CT28)+AVERAGE('BS &amp; FCF'!CS31:CT31)))^4-1</f>
        <v>0.11129999999999995</v>
      </c>
      <c r="CU96" s="405">
        <f>(1-CU95/(AVERAGE('BS &amp; FCF'!CT28:CU28)+AVERAGE('BS &amp; FCF'!CT31:CU31)))^4-1</f>
        <v>0.11129999999999995</v>
      </c>
      <c r="CV96" s="405">
        <f>(1-CV95/(AVERAGE('BS &amp; FCF'!CU28:CV28)+AVERAGE('BS &amp; FCF'!CU31:CV31)))^4-1</f>
        <v>0.11129999999999995</v>
      </c>
      <c r="CW96" s="406">
        <f>(1-CW95/(AVERAGE('BS &amp; FCF'!CS28:CV28)+AVERAGE('BS &amp; FCF'!CS31:CV31)))-1</f>
        <v>0.10667343590055345</v>
      </c>
      <c r="CX96" s="405">
        <f>(1-CX95/(AVERAGE('BS &amp; FCF'!CW28:CX28)+AVERAGE('BS &amp; FCF'!CW31:CX31)))^4-1</f>
        <v>0.11129999999999995</v>
      </c>
      <c r="CY96" s="405">
        <f>(1-CY95/(AVERAGE('BS &amp; FCF'!CX28:CY28)+AVERAGE('BS &amp; FCF'!CX31:CY31)))^4-1</f>
        <v>0.11129999999999995</v>
      </c>
      <c r="CZ96" s="405">
        <f>(1-CZ95/(AVERAGE('BS &amp; FCF'!CY28:CZ28)+AVERAGE('BS &amp; FCF'!CY31:CZ31)))^4-1</f>
        <v>0.11129999999999995</v>
      </c>
      <c r="DA96" s="405">
        <f>(1-DA95/(AVERAGE('BS &amp; FCF'!CZ28:DA28)+AVERAGE('BS &amp; FCF'!CZ31:DA31)))^4-1</f>
        <v>0.11129999999999995</v>
      </c>
      <c r="DB96" s="406">
        <f>(1-DB95/(AVERAGE('BS &amp; FCF'!CX28:DA28)+AVERAGE('BS &amp; FCF'!CX31:DA31)))-1</f>
        <v>0.10653770301293175</v>
      </c>
    </row>
    <row r="97" spans="1:106" s="33" customFormat="1" ht="11.25" customHeight="1" x14ac:dyDescent="0.35">
      <c r="A97" s="33" t="s">
        <v>20</v>
      </c>
      <c r="B97" s="407">
        <f>B96/Macro!B12</f>
        <v>1.0359706366390726</v>
      </c>
      <c r="C97" s="407">
        <f>C96/Macro!C12</f>
        <v>1.0359920823797271</v>
      </c>
      <c r="D97" s="407">
        <f>D96/Macro!D12</f>
        <v>1.9357257768738634</v>
      </c>
      <c r="E97" s="407">
        <f>E96/Macro!E12</f>
        <v>1.8709876766000886</v>
      </c>
      <c r="F97" s="408">
        <f>F96/Macro!F12</f>
        <v>1.3989167485449139</v>
      </c>
      <c r="G97" s="407">
        <f>G96/Macro!G12</f>
        <v>1.1922324200741823</v>
      </c>
      <c r="H97" s="407">
        <f>H96/Macro!H12</f>
        <v>1.1782989404428821</v>
      </c>
      <c r="I97" s="407">
        <f>I96/Macro!I12</f>
        <v>1.3842456452302083</v>
      </c>
      <c r="J97" s="407">
        <f>J96/Macro!J12</f>
        <v>1.6929924232127542</v>
      </c>
      <c r="K97" s="408">
        <f>K96/Macro!K12</f>
        <v>1.253887695394283</v>
      </c>
      <c r="L97" s="407">
        <f>L96/Macro!L12</f>
        <v>1.1905175468350961</v>
      </c>
      <c r="M97" s="407">
        <f>M96/Macro!M12</f>
        <v>1.3665422275022467</v>
      </c>
      <c r="N97" s="407">
        <f>N96/Macro!N12</f>
        <v>1.3715581049481782</v>
      </c>
      <c r="O97" s="407">
        <f>O96/Macro!O12</f>
        <v>1.4942990301606294</v>
      </c>
      <c r="P97" s="408">
        <f>P96/Macro!P12</f>
        <v>1.3051592156528637</v>
      </c>
      <c r="Q97" s="407">
        <f>Q96/Macro!Q12</f>
        <v>1.2495575288779954</v>
      </c>
      <c r="R97" s="407">
        <f>R96/Macro!R12</f>
        <v>1.1413976190771957</v>
      </c>
      <c r="S97" s="407">
        <f>S96/Macro!S12</f>
        <v>1.1493199184931446</v>
      </c>
      <c r="T97" s="407">
        <f>T96/Macro!T12</f>
        <v>0.97391175607766067</v>
      </c>
      <c r="U97" s="408">
        <f>U96/Macro!U12</f>
        <v>1.0786049026846061</v>
      </c>
      <c r="V97" s="407">
        <f>V96/Macro!V12</f>
        <v>0.92882814714355189</v>
      </c>
      <c r="W97" s="407">
        <f>W96/Macro!W12</f>
        <v>0.97637066447800713</v>
      </c>
      <c r="X97" s="407">
        <f>X96/Macro!X12</f>
        <v>0.95104282233000204</v>
      </c>
      <c r="Y97" s="407">
        <f>Y96/Macro!Y12</f>
        <v>0.97404166526481262</v>
      </c>
      <c r="Z97" s="408">
        <f>Z96/Macro!Z12</f>
        <v>0.93066968394907668</v>
      </c>
      <c r="AA97" s="407">
        <f>AA96/Macro!AA12</f>
        <v>0.94155578238015192</v>
      </c>
      <c r="AB97" s="407">
        <f>AB96/Macro!AB12</f>
        <v>1.0791086266722547</v>
      </c>
      <c r="AC97" s="407">
        <f>AC96/Macro!AC12</f>
        <v>0.97007429008895651</v>
      </c>
      <c r="AD97" s="407">
        <f>AD96/Macro!AD12</f>
        <v>0.90245335108922786</v>
      </c>
      <c r="AE97" s="408">
        <f>AE96/Macro!AE12</f>
        <v>0.93244111404896424</v>
      </c>
      <c r="AF97" s="407">
        <f>AF96/Macro!AF12</f>
        <v>0.89759035955330047</v>
      </c>
      <c r="AG97" s="407">
        <f>AG96/Macro!AG12</f>
        <v>0.9348744296388789</v>
      </c>
      <c r="AH97" s="407">
        <f>AH96/Macro!AH12</f>
        <v>0.93294834323447162</v>
      </c>
      <c r="AI97" s="407">
        <f>AI96/Macro!AI12</f>
        <v>0.92366145605046157</v>
      </c>
      <c r="AJ97" s="408">
        <f>AJ96/Macro!AJ12</f>
        <v>0.8918221233311443</v>
      </c>
      <c r="AK97" s="407">
        <f>AK96/Macro!AK12</f>
        <v>0.95965219118696865</v>
      </c>
      <c r="AL97" s="407">
        <f>AL96/Macro!AL12</f>
        <v>1.0105706003025536</v>
      </c>
      <c r="AM97" s="407">
        <f>AM96/Macro!AM12</f>
        <v>1.1881468097543058</v>
      </c>
      <c r="AN97" s="407">
        <f>AN96/Macro!AN12</f>
        <v>1.2024700696747084</v>
      </c>
      <c r="AO97" s="408">
        <f>AO96/Macro!AO12</f>
        <v>1.0728580545196977</v>
      </c>
      <c r="AP97" s="407">
        <f>AP96/Macro!AP12</f>
        <v>1.3207973189084037</v>
      </c>
      <c r="AQ97" s="407">
        <f>AQ96/Macro!AQ12</f>
        <v>1.2840466519903884</v>
      </c>
      <c r="AR97" s="407">
        <f>AR96/Macro!AR12</f>
        <v>1.2698164744359841</v>
      </c>
      <c r="AS97" s="407">
        <f>AS96/Macro!AS12</f>
        <v>1.1615713636456424</v>
      </c>
      <c r="AT97" s="408">
        <f>AT96/Macro!AT12</f>
        <v>1.2330259129616548</v>
      </c>
      <c r="AU97" s="407">
        <f>AU96/Macro!AU12</f>
        <v>1.2107172359154714</v>
      </c>
      <c r="AV97" s="407">
        <f>AV96/Macro!AV12</f>
        <v>1.0429157391784054</v>
      </c>
      <c r="AW97" s="407">
        <f>AW96/Macro!AW12</f>
        <v>1.2505094427287053</v>
      </c>
      <c r="AX97" s="407">
        <f>AX96/Macro!AX12</f>
        <v>1.4161559642293993</v>
      </c>
      <c r="AY97" s="408">
        <f>AY96/Macro!AY12</f>
        <v>1.1706714946866383</v>
      </c>
      <c r="AZ97" s="407">
        <f>AZ96/Macro!AZ12</f>
        <v>1.0797894489803441</v>
      </c>
      <c r="BA97" s="407">
        <f>BA96/Macro!BA12</f>
        <v>1.8531489661015663</v>
      </c>
      <c r="BB97" s="407">
        <f>BB96/Macro!BB12</f>
        <v>2.4627312855978505</v>
      </c>
      <c r="BC97" s="407">
        <f>BC96/Macro!BC12</f>
        <v>1.9616764288859723</v>
      </c>
      <c r="BD97" s="408">
        <f>BD96/Macro!BD12</f>
        <v>1.6603183867689668</v>
      </c>
      <c r="BE97" s="407">
        <f>BE96/Macro!BE12</f>
        <v>2.9649139343356348</v>
      </c>
      <c r="BF97" s="407">
        <f>BF96/Macro!BF12</f>
        <v>1.6949523338535688</v>
      </c>
      <c r="BG97" s="407">
        <f>BG96/Macro!BG12</f>
        <v>1.5462180717153213</v>
      </c>
      <c r="BH97" s="407">
        <f>BH96/Macro!BH12</f>
        <v>1.241743586733179</v>
      </c>
      <c r="BI97" s="408">
        <f>BI96/Macro!BI12</f>
        <v>1.5311972620007008</v>
      </c>
      <c r="BJ97" s="407">
        <f>BJ96/Macro!BJ12</f>
        <v>1.0447677291768172</v>
      </c>
      <c r="BK97" s="407">
        <f>BK96/Macro!BK12</f>
        <v>1.0160604085546106</v>
      </c>
      <c r="BL97" s="407">
        <f>BL96/Macro!BL12</f>
        <v>1.0270130672568853</v>
      </c>
      <c r="BM97" s="407">
        <f>BM96/Macro!BM12</f>
        <v>1.3658786367210107</v>
      </c>
      <c r="BN97" s="408">
        <f>BN96/Macro!BN12</f>
        <v>1.0411719040831202</v>
      </c>
      <c r="BO97" s="407">
        <f>BO96/Macro!BO12</f>
        <v>1.0516483511165926</v>
      </c>
      <c r="BP97" s="407">
        <f>BP96/Macro!BP12</f>
        <v>1.1166507506559207</v>
      </c>
      <c r="BQ97" s="407">
        <f>BQ96/Macro!BQ12</f>
        <v>1.0028536656279143</v>
      </c>
      <c r="BR97" s="407">
        <f>BR96/Macro!BR12</f>
        <v>1.0923622037938308</v>
      </c>
      <c r="BS97" s="408">
        <f>BS96/Macro!BS12</f>
        <v>1.0095100638210563</v>
      </c>
      <c r="BT97" s="407">
        <f>BT96/Macro!BT12</f>
        <v>1.1696826440120329</v>
      </c>
      <c r="BU97" s="407">
        <f>BU96/Macro!BU12</f>
        <v>1.3234688193046114</v>
      </c>
      <c r="BV97" s="407">
        <f>BV96/Macro!BV12</f>
        <v>1.1900181006937833</v>
      </c>
      <c r="BW97" s="407">
        <f>BW96/Macro!BW12</f>
        <v>1.2167068158705274</v>
      </c>
      <c r="BX97" s="408">
        <f>BX96/Macro!BX12</f>
        <v>1.1441275179358192</v>
      </c>
      <c r="BY97" s="407">
        <f>BY96/Macro!BY12</f>
        <v>0.97531174190921111</v>
      </c>
      <c r="BZ97" s="407">
        <f>BZ96/Macro!BZ12</f>
        <v>1.0163475249678069</v>
      </c>
      <c r="CA97" s="407">
        <f>CA96/Macro!CA12</f>
        <v>0.92249566982548126</v>
      </c>
      <c r="CB97" s="407">
        <f>CB96/Macro!CB12</f>
        <v>0.88960020257812766</v>
      </c>
      <c r="CC97" s="408">
        <f>CC96/Macro!CC12</f>
        <v>0.86170007519599912</v>
      </c>
      <c r="CD97" s="407">
        <f>CD96/Macro!CD12</f>
        <v>0.92916266874085585</v>
      </c>
      <c r="CE97" s="407">
        <f>CE96/Macro!CE12</f>
        <v>1.0901560887042312</v>
      </c>
      <c r="CF97" s="407">
        <f>CF96/Macro!CF12</f>
        <v>0.99999999999999745</v>
      </c>
      <c r="CG97" s="407">
        <f>CG96/Macro!CG12</f>
        <v>1.0499999999999978</v>
      </c>
      <c r="CH97" s="408">
        <f>CH96/Macro!CH12</f>
        <v>1.0500444671511591</v>
      </c>
      <c r="CI97" s="407">
        <f>CI96/Macro!CI12</f>
        <v>0.99999999999999911</v>
      </c>
      <c r="CJ97" s="407">
        <f>CJ96/Macro!CJ12</f>
        <v>1.0500000000000023</v>
      </c>
      <c r="CK97" s="407">
        <f>CK96/Macro!CK12</f>
        <v>1.0499999999999987</v>
      </c>
      <c r="CL97" s="407">
        <f>CL96/Macro!CL12</f>
        <v>1.0499999999999978</v>
      </c>
      <c r="CM97" s="408">
        <f>CM96/Macro!CM12</f>
        <v>1.0735404338547063</v>
      </c>
      <c r="CN97" s="407">
        <f>CN96/Macro!CN12</f>
        <v>1.0499999999999978</v>
      </c>
      <c r="CO97" s="407">
        <f>CO96/Macro!CO12</f>
        <v>1.0499999999999978</v>
      </c>
      <c r="CP97" s="407">
        <f>CP96/Macro!CP12</f>
        <v>1.0499999999999978</v>
      </c>
      <c r="CQ97" s="407">
        <f>CQ96/Macro!CQ12</f>
        <v>1.0499999999999978</v>
      </c>
      <c r="CR97" s="408">
        <f>CR96/Macro!CR12</f>
        <v>1.1616362191396052</v>
      </c>
      <c r="CS97" s="407">
        <f>CS96/Macro!CS12</f>
        <v>1.0499999999999996</v>
      </c>
      <c r="CT97" s="407">
        <f>CT96/Macro!CT12</f>
        <v>1.0499999999999996</v>
      </c>
      <c r="CU97" s="407">
        <f>CU96/Macro!CU12</f>
        <v>1.0499999999999996</v>
      </c>
      <c r="CV97" s="407">
        <f>CV96/Macro!CV12</f>
        <v>1.0499999999999996</v>
      </c>
      <c r="CW97" s="408">
        <f>CW96/Macro!CW12</f>
        <v>1.0063531688731457</v>
      </c>
      <c r="CX97" s="407">
        <f>CX96/Macro!CX12</f>
        <v>1.0499999999999996</v>
      </c>
      <c r="CY97" s="407">
        <f>CY96/Macro!CY12</f>
        <v>1.0499999999999996</v>
      </c>
      <c r="CZ97" s="407">
        <f>CZ96/Macro!CZ12</f>
        <v>1.0499999999999996</v>
      </c>
      <c r="DA97" s="407">
        <f>DA96/Macro!DA12</f>
        <v>1.0499999999999996</v>
      </c>
      <c r="DB97" s="408">
        <f>DB96/Macro!DB12</f>
        <v>1.0050726699333183</v>
      </c>
    </row>
    <row r="98" spans="1:106" s="33" customFormat="1" ht="11.25" customHeight="1" x14ac:dyDescent="0.35">
      <c r="A98" s="598" t="s">
        <v>267</v>
      </c>
      <c r="B98" s="599">
        <f t="shared" ref="B98:BG98" si="245">B94/-B95</f>
        <v>0.13498507761308501</v>
      </c>
      <c r="C98" s="599">
        <f t="shared" si="245"/>
        <v>0.14947674418604651</v>
      </c>
      <c r="D98" s="599">
        <f t="shared" si="245"/>
        <v>0.58707832420088191</v>
      </c>
      <c r="E98" s="599">
        <f t="shared" si="245"/>
        <v>0.66901719100620771</v>
      </c>
      <c r="F98" s="600">
        <f t="shared" si="245"/>
        <v>0.48405268518582967</v>
      </c>
      <c r="G98" s="599">
        <f t="shared" si="245"/>
        <v>0.52765586786827035</v>
      </c>
      <c r="H98" s="599">
        <f t="shared" si="245"/>
        <v>0.49432256000930491</v>
      </c>
      <c r="I98" s="599">
        <f t="shared" si="245"/>
        <v>0.47885250709712407</v>
      </c>
      <c r="J98" s="599">
        <f t="shared" si="245"/>
        <v>0.55694902094458965</v>
      </c>
      <c r="K98" s="600">
        <f t="shared" si="245"/>
        <v>0.51653364442917049</v>
      </c>
      <c r="L98" s="599">
        <f t="shared" si="245"/>
        <v>0.4957345497897615</v>
      </c>
      <c r="M98" s="599">
        <f t="shared" si="245"/>
        <v>0.44331828761367947</v>
      </c>
      <c r="N98" s="599">
        <f t="shared" si="245"/>
        <v>0.61262168512923798</v>
      </c>
      <c r="O98" s="599">
        <f t="shared" si="245"/>
        <v>0.58236084037253633</v>
      </c>
      <c r="P98" s="600">
        <f t="shared" si="245"/>
        <v>0.52839198362586037</v>
      </c>
      <c r="Q98" s="599">
        <f t="shared" si="245"/>
        <v>0.55827605183930251</v>
      </c>
      <c r="R98" s="599">
        <f t="shared" si="245"/>
        <v>0.54991318951919477</v>
      </c>
      <c r="S98" s="599">
        <f t="shared" si="245"/>
        <v>0.54582670229909214</v>
      </c>
      <c r="T98" s="599">
        <f t="shared" si="245"/>
        <v>0.45929554466993233</v>
      </c>
      <c r="U98" s="600">
        <f t="shared" si="245"/>
        <v>0.52732372977875264</v>
      </c>
      <c r="V98" s="599">
        <f t="shared" si="245"/>
        <v>0.44632716614764611</v>
      </c>
      <c r="W98" s="599">
        <f t="shared" si="245"/>
        <v>0.41992801571179311</v>
      </c>
      <c r="X98" s="599">
        <f t="shared" si="245"/>
        <v>0.39881209892566155</v>
      </c>
      <c r="Y98" s="599">
        <f t="shared" si="245"/>
        <v>0.4072014755807426</v>
      </c>
      <c r="Z98" s="600">
        <f t="shared" si="245"/>
        <v>0.41795714374406867</v>
      </c>
      <c r="AA98" s="599">
        <f t="shared" si="245"/>
        <v>0.42730493281565907</v>
      </c>
      <c r="AB98" s="599">
        <f t="shared" si="245"/>
        <v>0.35850464851703973</v>
      </c>
      <c r="AC98" s="599">
        <f t="shared" si="245"/>
        <v>0.35584127687874084</v>
      </c>
      <c r="AD98" s="599">
        <f t="shared" si="245"/>
        <v>0.40300566402129284</v>
      </c>
      <c r="AE98" s="600">
        <f t="shared" si="245"/>
        <v>0.38371230675109719</v>
      </c>
      <c r="AF98" s="599">
        <f t="shared" si="245"/>
        <v>0.49577280304834487</v>
      </c>
      <c r="AG98" s="599">
        <f t="shared" si="245"/>
        <v>0.51994669635477286</v>
      </c>
      <c r="AH98" s="599">
        <f t="shared" si="245"/>
        <v>0.52732726448327583</v>
      </c>
      <c r="AI98" s="599">
        <f t="shared" si="245"/>
        <v>0.48340464688290774</v>
      </c>
      <c r="AJ98" s="600">
        <f t="shared" si="245"/>
        <v>0.50696087243224652</v>
      </c>
      <c r="AK98" s="599">
        <f t="shared" si="245"/>
        <v>0.49140275033743469</v>
      </c>
      <c r="AL98" s="599">
        <f t="shared" si="245"/>
        <v>0.52704849008133203</v>
      </c>
      <c r="AM98" s="599">
        <f t="shared" si="245"/>
        <v>0.49914253048780488</v>
      </c>
      <c r="AN98" s="599">
        <f t="shared" si="245"/>
        <v>0.52611218568665374</v>
      </c>
      <c r="AO98" s="600">
        <f t="shared" si="245"/>
        <v>0.50934866752941044</v>
      </c>
      <c r="AP98" s="599">
        <f t="shared" si="245"/>
        <v>0.43567686686899537</v>
      </c>
      <c r="AQ98" s="599">
        <f t="shared" si="245"/>
        <v>0.38091011430550747</v>
      </c>
      <c r="AR98" s="599">
        <f t="shared" si="245"/>
        <v>6.2698977489793625E-2</v>
      </c>
      <c r="AS98" s="599">
        <f t="shared" si="245"/>
        <v>0.12207855773544887</v>
      </c>
      <c r="AT98" s="600">
        <f t="shared" si="245"/>
        <v>0.24689675825409899</v>
      </c>
      <c r="AU98" s="599">
        <f t="shared" si="245"/>
        <v>0.12485408894280287</v>
      </c>
      <c r="AV98" s="599">
        <f t="shared" si="245"/>
        <v>0.1034305611050859</v>
      </c>
      <c r="AW98" s="599">
        <f t="shared" si="245"/>
        <v>6.6831386283493652E-2</v>
      </c>
      <c r="AX98" s="599">
        <f t="shared" si="245"/>
        <v>3.0369780194029153E-2</v>
      </c>
      <c r="AY98" s="600">
        <f t="shared" si="245"/>
        <v>8.0697774235084924E-2</v>
      </c>
      <c r="AZ98" s="599">
        <f t="shared" si="245"/>
        <v>3.2571369107495925E-2</v>
      </c>
      <c r="BA98" s="599">
        <f t="shared" si="245"/>
        <v>5.4346115511724281E-2</v>
      </c>
      <c r="BB98" s="599">
        <f t="shared" si="245"/>
        <v>0.10881320830696657</v>
      </c>
      <c r="BC98" s="599">
        <f t="shared" si="245"/>
        <v>0.10452351292432265</v>
      </c>
      <c r="BD98" s="600">
        <f t="shared" si="245"/>
        <v>7.4398197929502627E-2</v>
      </c>
      <c r="BE98" s="599">
        <f t="shared" si="245"/>
        <v>5.833698030634573E-2</v>
      </c>
      <c r="BF98" s="599">
        <f t="shared" si="245"/>
        <v>6.25385360697613E-2</v>
      </c>
      <c r="BG98" s="599">
        <f t="shared" si="245"/>
        <v>8.0436474717657247E-2</v>
      </c>
      <c r="BH98" s="599">
        <f t="shared" ref="BH98:BW98" si="246">BH94/-BH95</f>
        <v>9.4903536436179173E-2</v>
      </c>
      <c r="BI98" s="600">
        <f t="shared" si="246"/>
        <v>7.828709968425801E-2</v>
      </c>
      <c r="BJ98" s="599">
        <f t="shared" si="246"/>
        <v>0.1331149642896495</v>
      </c>
      <c r="BK98" s="599">
        <f t="shared" si="246"/>
        <v>0.13422607716882129</v>
      </c>
      <c r="BL98" s="599">
        <f t="shared" si="246"/>
        <v>0.14037473032873882</v>
      </c>
      <c r="BM98" s="599">
        <f t="shared" si="246"/>
        <v>0.10568856052303389</v>
      </c>
      <c r="BN98" s="600">
        <f t="shared" si="246"/>
        <v>0.12509236741589794</v>
      </c>
      <c r="BO98" s="599">
        <f t="shared" si="246"/>
        <v>0.15244870328439039</v>
      </c>
      <c r="BP98" s="599">
        <f t="shared" si="246"/>
        <v>0.1761049456175795</v>
      </c>
      <c r="BQ98" s="599">
        <f t="shared" si="246"/>
        <v>0.19961114306434269</v>
      </c>
      <c r="BR98" s="599">
        <f t="shared" si="246"/>
        <v>0.1703929890989038</v>
      </c>
      <c r="BS98" s="600">
        <f t="shared" si="246"/>
        <v>0.17428617094012033</v>
      </c>
      <c r="BT98" s="599">
        <f t="shared" si="246"/>
        <v>8.7926948718758891E-2</v>
      </c>
      <c r="BU98" s="599">
        <f t="shared" si="246"/>
        <v>0.20310635981422068</v>
      </c>
      <c r="BV98" s="599">
        <f t="shared" si="246"/>
        <v>0.20566865780811899</v>
      </c>
      <c r="BW98" s="599">
        <f t="shared" si="246"/>
        <v>0.1819612201024022</v>
      </c>
      <c r="BX98" s="600">
        <f>BX94/-BX95</f>
        <v>0.17128616245634906</v>
      </c>
      <c r="BY98" s="599">
        <f>BY94/-BY95</f>
        <v>0.21441587053203756</v>
      </c>
      <c r="BZ98" s="599">
        <f>BZ94/-BZ95</f>
        <v>0.20868836845417282</v>
      </c>
      <c r="CA98" s="599">
        <f>CA94/-CA95</f>
        <v>0.22061845541701119</v>
      </c>
      <c r="CB98" s="599">
        <f t="shared" ref="CB98" si="247">CB94/-CB95</f>
        <v>0.24422209321297531</v>
      </c>
      <c r="CC98" s="600">
        <f>CC94/-CC95</f>
        <v>0.22297616647089011</v>
      </c>
      <c r="CD98" s="599">
        <f>CD94/-CD95</f>
        <v>0.234042042289274</v>
      </c>
      <c r="CE98" s="599">
        <f>CE94/-CE95</f>
        <v>0.18069608139104237</v>
      </c>
      <c r="CF98" s="601">
        <v>0.22500000000000001</v>
      </c>
      <c r="CG98" s="601">
        <v>0.22500000000000001</v>
      </c>
      <c r="CH98" s="600">
        <f>CH94/-CH95</f>
        <v>0.21519654207772185</v>
      </c>
      <c r="CI98" s="601">
        <f>CG98</f>
        <v>0.22500000000000001</v>
      </c>
      <c r="CJ98" s="601">
        <f>CI98</f>
        <v>0.22500000000000001</v>
      </c>
      <c r="CK98" s="601">
        <f>CJ98</f>
        <v>0.22500000000000001</v>
      </c>
      <c r="CL98" s="601">
        <f>CK98</f>
        <v>0.22500000000000001</v>
      </c>
      <c r="CM98" s="600">
        <f>CM94/-CM95</f>
        <v>0.22500000000000001</v>
      </c>
      <c r="CN98" s="601">
        <f>CL98</f>
        <v>0.22500000000000001</v>
      </c>
      <c r="CO98" s="601">
        <f>CN98</f>
        <v>0.22500000000000001</v>
      </c>
      <c r="CP98" s="601">
        <f>CO98</f>
        <v>0.22500000000000001</v>
      </c>
      <c r="CQ98" s="601">
        <f>CP98</f>
        <v>0.22500000000000001</v>
      </c>
      <c r="CR98" s="600">
        <f>CR94/-CR95</f>
        <v>0.22499999999999998</v>
      </c>
      <c r="CS98" s="601">
        <f>CQ98</f>
        <v>0.22500000000000001</v>
      </c>
      <c r="CT98" s="601">
        <f>CS98</f>
        <v>0.22500000000000001</v>
      </c>
      <c r="CU98" s="601">
        <f>CT98</f>
        <v>0.22500000000000001</v>
      </c>
      <c r="CV98" s="601">
        <f>CU98</f>
        <v>0.22500000000000001</v>
      </c>
      <c r="CW98" s="600">
        <f>CW94/-CW95</f>
        <v>0.22500000000000001</v>
      </c>
      <c r="CX98" s="601">
        <f>CV98</f>
        <v>0.22500000000000001</v>
      </c>
      <c r="CY98" s="601">
        <f>CX98</f>
        <v>0.22500000000000001</v>
      </c>
      <c r="CZ98" s="601">
        <f>CY98</f>
        <v>0.22500000000000001</v>
      </c>
      <c r="DA98" s="601">
        <f>CZ98</f>
        <v>0.22500000000000001</v>
      </c>
      <c r="DB98" s="600">
        <f>DB94/-DB95</f>
        <v>0.22500000000000001</v>
      </c>
    </row>
    <row r="99" spans="1:106" ht="11.25" customHeight="1" x14ac:dyDescent="0.35">
      <c r="A99" s="594" t="s">
        <v>101</v>
      </c>
      <c r="B99" s="595">
        <v>0</v>
      </c>
      <c r="C99" s="595">
        <v>0</v>
      </c>
      <c r="D99" s="595">
        <v>0</v>
      </c>
      <c r="E99" s="595">
        <v>0</v>
      </c>
      <c r="F99" s="172">
        <f>SUM(B99:E99)</f>
        <v>0</v>
      </c>
      <c r="G99" s="595">
        <v>0</v>
      </c>
      <c r="H99" s="595">
        <v>0</v>
      </c>
      <c r="I99" s="595">
        <v>0</v>
      </c>
      <c r="J99" s="595">
        <v>0</v>
      </c>
      <c r="K99" s="172">
        <f>SUM(G99:J99)</f>
        <v>0</v>
      </c>
      <c r="L99" s="595">
        <v>0</v>
      </c>
      <c r="M99" s="595">
        <v>0</v>
      </c>
      <c r="N99" s="595">
        <v>0</v>
      </c>
      <c r="O99" s="595">
        <v>0</v>
      </c>
      <c r="P99" s="172">
        <f>SUM(L99:O99)</f>
        <v>0</v>
      </c>
      <c r="Q99" s="595">
        <v>0</v>
      </c>
      <c r="R99" s="595">
        <v>0</v>
      </c>
      <c r="S99" s="595">
        <v>0</v>
      </c>
      <c r="T99" s="595">
        <v>0</v>
      </c>
      <c r="U99" s="172">
        <f>SUM(Q99:T99)</f>
        <v>0</v>
      </c>
      <c r="V99" s="595">
        <v>0</v>
      </c>
      <c r="W99" s="595">
        <v>0</v>
      </c>
      <c r="X99" s="595">
        <v>0</v>
      </c>
      <c r="Y99" s="595">
        <v>0</v>
      </c>
      <c r="Z99" s="172">
        <f>SUM(V99:Y99)</f>
        <v>0</v>
      </c>
      <c r="AA99" s="595">
        <v>0</v>
      </c>
      <c r="AB99" s="595">
        <v>0</v>
      </c>
      <c r="AC99" s="595">
        <v>0</v>
      </c>
      <c r="AD99" s="595">
        <v>0</v>
      </c>
      <c r="AE99" s="172">
        <f>SUM(AA99:AD99)</f>
        <v>0</v>
      </c>
      <c r="AF99" s="595">
        <v>0</v>
      </c>
      <c r="AG99" s="595">
        <v>0</v>
      </c>
      <c r="AH99" s="595">
        <v>0</v>
      </c>
      <c r="AI99" s="595">
        <v>0</v>
      </c>
      <c r="AJ99" s="172">
        <f>SUM(AF99:AI99)</f>
        <v>0</v>
      </c>
      <c r="AK99" s="595">
        <v>0</v>
      </c>
      <c r="AL99" s="595">
        <v>0</v>
      </c>
      <c r="AM99" s="595">
        <v>0</v>
      </c>
      <c r="AN99" s="595">
        <v>0</v>
      </c>
      <c r="AO99" s="172">
        <f>SUM(AK99:AN99)</f>
        <v>0</v>
      </c>
      <c r="AP99" s="595">
        <v>0</v>
      </c>
      <c r="AQ99" s="595">
        <v>0</v>
      </c>
      <c r="AR99" s="595">
        <v>0</v>
      </c>
      <c r="AS99" s="595">
        <v>0</v>
      </c>
      <c r="AT99" s="172">
        <f>SUM(AP99:AS99)</f>
        <v>0</v>
      </c>
      <c r="AU99" s="595">
        <v>0</v>
      </c>
      <c r="AV99" s="595">
        <v>0</v>
      </c>
      <c r="AW99" s="595">
        <v>0</v>
      </c>
      <c r="AX99" s="595">
        <v>0</v>
      </c>
      <c r="AY99" s="172">
        <f>SUM(AU99:AX99)</f>
        <v>0</v>
      </c>
      <c r="AZ99" s="595">
        <v>0</v>
      </c>
      <c r="BA99" s="595">
        <v>0</v>
      </c>
      <c r="BB99" s="595">
        <v>0</v>
      </c>
      <c r="BC99" s="595">
        <v>0</v>
      </c>
      <c r="BD99" s="172">
        <f>SUM(AZ99:BC99)</f>
        <v>0</v>
      </c>
      <c r="BE99" s="595">
        <v>0</v>
      </c>
      <c r="BF99" s="595">
        <v>0</v>
      </c>
      <c r="BG99" s="595">
        <v>0</v>
      </c>
      <c r="BH99" s="595">
        <v>0</v>
      </c>
      <c r="BI99" s="172">
        <f>SUM(BE99:BH99)</f>
        <v>0</v>
      </c>
      <c r="BJ99" s="595">
        <v>0</v>
      </c>
      <c r="BK99" s="595">
        <v>0</v>
      </c>
      <c r="BL99" s="595">
        <v>0</v>
      </c>
      <c r="BM99" s="595">
        <v>0</v>
      </c>
      <c r="BN99" s="172">
        <f>SUM(BJ99:BM99)</f>
        <v>0</v>
      </c>
      <c r="BO99" s="595">
        <v>0</v>
      </c>
      <c r="BP99" s="595">
        <v>0</v>
      </c>
      <c r="BQ99" s="595">
        <v>0</v>
      </c>
      <c r="BR99" s="595">
        <v>0</v>
      </c>
      <c r="BS99" s="172">
        <f>SUM(BO99:BR99)</f>
        <v>0</v>
      </c>
      <c r="BT99" s="595">
        <v>0</v>
      </c>
      <c r="BU99" s="595">
        <v>0</v>
      </c>
      <c r="BV99" s="595">
        <v>0</v>
      </c>
      <c r="BW99" s="595">
        <v>0</v>
      </c>
      <c r="BX99" s="172">
        <f>SUM(BT99:BW99)</f>
        <v>0</v>
      </c>
      <c r="BY99" s="595">
        <v>0</v>
      </c>
      <c r="BZ99" s="595">
        <v>0</v>
      </c>
      <c r="CA99" s="595">
        <v>0</v>
      </c>
      <c r="CB99" s="595">
        <v>0</v>
      </c>
      <c r="CC99" s="172">
        <f>SUM(BY99:CB99)</f>
        <v>0</v>
      </c>
      <c r="CD99" s="595">
        <v>0</v>
      </c>
      <c r="CE99" s="595">
        <v>0</v>
      </c>
      <c r="CF99" s="596">
        <f>IFERROR(-CF100*AVERAGE('BS &amp; FCF'!CE32:CF32)/4,0)</f>
        <v>0</v>
      </c>
      <c r="CG99" s="596">
        <f>IFERROR(-CG100*AVERAGE('BS &amp; FCF'!CF32:CG32)/4,0)</f>
        <v>0</v>
      </c>
      <c r="CH99" s="172">
        <f>SUM(CD99:CG99)</f>
        <v>0</v>
      </c>
      <c r="CI99" s="596">
        <f>IFERROR(-CI100*AVERAGE('BS &amp; FCF'!CH32:CI32)/4,0)</f>
        <v>0</v>
      </c>
      <c r="CJ99" s="596">
        <f>IFERROR(-CJ100*AVERAGE('BS &amp; FCF'!CI32:CJ32)/4,0)</f>
        <v>0</v>
      </c>
      <c r="CK99" s="596">
        <f>IFERROR(-CK100*AVERAGE('BS &amp; FCF'!CJ32:CK32)/4,0)</f>
        <v>0</v>
      </c>
      <c r="CL99" s="596">
        <f>IFERROR(-CL100*AVERAGE('BS &amp; FCF'!CK32:CL32)/4,0)</f>
        <v>0</v>
      </c>
      <c r="CM99" s="172">
        <f>SUM(CI99:CL99)</f>
        <v>0</v>
      </c>
      <c r="CN99" s="596">
        <f>IFERROR(-CN100*AVERAGE('BS &amp; FCF'!CM32:CN32)/4,0)</f>
        <v>0</v>
      </c>
      <c r="CO99" s="596">
        <f>IFERROR(-CO100*AVERAGE('BS &amp; FCF'!CN32:CO32)/4,0)</f>
        <v>0</v>
      </c>
      <c r="CP99" s="596">
        <f>IFERROR(-CP100*AVERAGE('BS &amp; FCF'!CO32:CP32)/4,0)</f>
        <v>0</v>
      </c>
      <c r="CQ99" s="596">
        <f>IFERROR(-CQ100*AVERAGE('BS &amp; FCF'!CP32:CQ32)/4,0)</f>
        <v>0</v>
      </c>
      <c r="CR99" s="172">
        <f>SUM(CN99:CQ99)</f>
        <v>0</v>
      </c>
      <c r="CS99" s="596">
        <f>IFERROR(-CS100*AVERAGE('BS &amp; FCF'!CR32:CS32)/4,0)</f>
        <v>0</v>
      </c>
      <c r="CT99" s="596">
        <f>IFERROR(-CT100*AVERAGE('BS &amp; FCF'!CS32:CT32)/4,0)</f>
        <v>0</v>
      </c>
      <c r="CU99" s="596">
        <f>IFERROR(-CU100*AVERAGE('BS &amp; FCF'!CT32:CU32)/4,0)</f>
        <v>0</v>
      </c>
      <c r="CV99" s="596">
        <f>IFERROR(-CV100*AVERAGE('BS &amp; FCF'!CU32:CV32)/4,0)</f>
        <v>0</v>
      </c>
      <c r="CW99" s="172">
        <f>SUM(CS99:CV99)</f>
        <v>0</v>
      </c>
      <c r="CX99" s="596">
        <f>IFERROR(-CX100*AVERAGE('BS &amp; FCF'!CW32:CX32)/4,0)</f>
        <v>0</v>
      </c>
      <c r="CY99" s="596">
        <f>IFERROR(-CY100*AVERAGE('BS &amp; FCF'!CX32:CY32)/4,0)</f>
        <v>0</v>
      </c>
      <c r="CZ99" s="596">
        <f>IFERROR(-CZ100*AVERAGE('BS &amp; FCF'!CY32:CZ32)/4,0)</f>
        <v>0</v>
      </c>
      <c r="DA99" s="596">
        <f>IFERROR(-DA100*AVERAGE('BS &amp; FCF'!CZ32:DA32)/4,0)</f>
        <v>0</v>
      </c>
      <c r="DB99" s="172">
        <f>SUM(CX99:DA99)</f>
        <v>0</v>
      </c>
    </row>
    <row r="100" spans="1:106" ht="11.25" customHeight="1" x14ac:dyDescent="0.35">
      <c r="A100" s="7" t="s">
        <v>102</v>
      </c>
      <c r="B100" s="409">
        <f>IFERROR(-B99/AVERAGE('BS &amp; FCF'!B32:B32)*4,0)</f>
        <v>0</v>
      </c>
      <c r="C100" s="409">
        <f>IFERROR(-C99/AVERAGE('BS &amp; FCF'!B32:C32)*4,0)</f>
        <v>0</v>
      </c>
      <c r="D100" s="409">
        <f>IFERROR(-D99/AVERAGE('BS &amp; FCF'!C32:D32)*4,0)</f>
        <v>0</v>
      </c>
      <c r="E100" s="409">
        <f>IFERROR(-E99/AVERAGE('BS &amp; FCF'!D32:E32)*4,0)</f>
        <v>0</v>
      </c>
      <c r="F100" s="410">
        <f>IFERROR(((1-F99/(AVERAGE('BS &amp; FCF'!B32:E32)))-1),0)</f>
        <v>0</v>
      </c>
      <c r="G100" s="409">
        <f>IFERROR(-G99/AVERAGE('BS &amp; FCF'!F32:G32)*4,0)</f>
        <v>0</v>
      </c>
      <c r="H100" s="409">
        <f>IFERROR(-H99/AVERAGE('BS &amp; FCF'!G32:H32)*4,0)</f>
        <v>0</v>
      </c>
      <c r="I100" s="409">
        <f>IFERROR(-I99/AVERAGE('BS &amp; FCF'!H32:I32)*4,0)</f>
        <v>0</v>
      </c>
      <c r="J100" s="409">
        <f>IFERROR(-J99/AVERAGE('BS &amp; FCF'!I32:J32)*4,0)</f>
        <v>0</v>
      </c>
      <c r="K100" s="410">
        <f>IFERROR(((1-K99/(AVERAGE('BS &amp; FCF'!G32:J32)))-1),0)</f>
        <v>0</v>
      </c>
      <c r="L100" s="409">
        <f>IFERROR(-L99/AVERAGE('BS &amp; FCF'!K32:L32)*4,0)</f>
        <v>0</v>
      </c>
      <c r="M100" s="409">
        <f>IFERROR(-M99/AVERAGE('BS &amp; FCF'!L32:M32)*4,0)</f>
        <v>0</v>
      </c>
      <c r="N100" s="409">
        <f>IFERROR(-N99/AVERAGE('BS &amp; FCF'!M32:N32)*4,0)</f>
        <v>0</v>
      </c>
      <c r="O100" s="409">
        <f>IFERROR(-O99/AVERAGE('BS &amp; FCF'!N32:O32)*4,0)</f>
        <v>0</v>
      </c>
      <c r="P100" s="410">
        <f>IFERROR(((1-P99/(AVERAGE('BS &amp; FCF'!L32:O32)))-1),0)</f>
        <v>0</v>
      </c>
      <c r="Q100" s="409">
        <f>IFERROR(-Q99/AVERAGE('BS &amp; FCF'!P32:Q32)*4,0)</f>
        <v>0</v>
      </c>
      <c r="R100" s="409">
        <f>IFERROR(-R99/AVERAGE('BS &amp; FCF'!Q32:R32)*4,0)</f>
        <v>0</v>
      </c>
      <c r="S100" s="409">
        <f>IFERROR(-S99/AVERAGE('BS &amp; FCF'!R32:S32)*4,0)</f>
        <v>0</v>
      </c>
      <c r="T100" s="409">
        <f>IFERROR(-T99/AVERAGE('BS &amp; FCF'!S32:T32)*4,0)</f>
        <v>0</v>
      </c>
      <c r="U100" s="410">
        <f>IFERROR(((1-U99/(AVERAGE('BS &amp; FCF'!Q32:T32)))-1),0)</f>
        <v>0</v>
      </c>
      <c r="V100" s="409">
        <f>IFERROR(-V99/AVERAGE('BS &amp; FCF'!U32:V32)*4,0)</f>
        <v>0</v>
      </c>
      <c r="W100" s="409">
        <f>IFERROR(-W99/AVERAGE('BS &amp; FCF'!V32:W32)*4,0)</f>
        <v>0</v>
      </c>
      <c r="X100" s="409">
        <f>IFERROR(-X99/AVERAGE('BS &amp; FCF'!W32:X32)*4,0)</f>
        <v>0</v>
      </c>
      <c r="Y100" s="409">
        <f>IFERROR(-Y99/AVERAGE('BS &amp; FCF'!X32:Y32)*4,0)</f>
        <v>0</v>
      </c>
      <c r="Z100" s="410">
        <f>IFERROR(((1-Z99/(AVERAGE('BS &amp; FCF'!V32:Y32)))-1),0)</f>
        <v>0</v>
      </c>
      <c r="AA100" s="409">
        <f>IFERROR(-AA99/AVERAGE('BS &amp; FCF'!Z32:AA32)*4,0)</f>
        <v>0</v>
      </c>
      <c r="AB100" s="409">
        <f>IFERROR(-AB99/AVERAGE('BS &amp; FCF'!AA32:AB32)*4,0)</f>
        <v>0</v>
      </c>
      <c r="AC100" s="409">
        <f>IFERROR(-AC99/AVERAGE('BS &amp; FCF'!AB32:AC32)*4,0)</f>
        <v>0</v>
      </c>
      <c r="AD100" s="409">
        <f>IFERROR(-AD99/AVERAGE('BS &amp; FCF'!AC32:AD32)*4,0)</f>
        <v>0</v>
      </c>
      <c r="AE100" s="410">
        <f>IFERROR(((1-AE99/(AVERAGE('BS &amp; FCF'!AA32:AD32)))-1),0)</f>
        <v>0</v>
      </c>
      <c r="AF100" s="409">
        <f>IFERROR(-AF99/AVERAGE('BS &amp; FCF'!AE32:AF32)*4,0)</f>
        <v>0</v>
      </c>
      <c r="AG100" s="409">
        <f>IFERROR(-AG99/AVERAGE('BS &amp; FCF'!AF32:AG32)*4,0)</f>
        <v>0</v>
      </c>
      <c r="AH100" s="409">
        <f>IFERROR(-AH99/AVERAGE('BS &amp; FCF'!AG32:AH32)*4,0)</f>
        <v>0</v>
      </c>
      <c r="AI100" s="409">
        <f>IFERROR(-AI99/AVERAGE('BS &amp; FCF'!AH32:AI32)*4,0)</f>
        <v>0</v>
      </c>
      <c r="AJ100" s="410">
        <f>IFERROR(((1-AJ99/(AVERAGE('BS &amp; FCF'!AF32:AI32)))-1),0)</f>
        <v>0</v>
      </c>
      <c r="AK100" s="409">
        <f>IFERROR(-AK99/AVERAGE('BS &amp; FCF'!AJ32:AK32)*4,0)</f>
        <v>0</v>
      </c>
      <c r="AL100" s="409">
        <f>IFERROR(-AL99/AVERAGE('BS &amp; FCF'!AK32:AL32)*4,0)</f>
        <v>0</v>
      </c>
      <c r="AM100" s="409">
        <f>IFERROR(-AM99/AVERAGE('BS &amp; FCF'!AL32:AM32)*4,0)</f>
        <v>0</v>
      </c>
      <c r="AN100" s="409">
        <f>IFERROR(-AN99/AVERAGE('BS &amp; FCF'!AM32:AN32)*4,0)</f>
        <v>0</v>
      </c>
      <c r="AO100" s="410">
        <f>IFERROR(((1-AO99/(AVERAGE('BS &amp; FCF'!AK32:AN32)))-1),0)</f>
        <v>0</v>
      </c>
      <c r="AP100" s="409">
        <f>IFERROR(-AP99/AVERAGE('BS &amp; FCF'!AO32:AP32)*4,0)</f>
        <v>0</v>
      </c>
      <c r="AQ100" s="409">
        <f>IFERROR(-AQ99/AVERAGE('BS &amp; FCF'!AP32:AQ32)*4,0)</f>
        <v>0</v>
      </c>
      <c r="AR100" s="409">
        <f>IFERROR(-AR99/AVERAGE('BS &amp; FCF'!AQ32:AR32)*4,0)</f>
        <v>0</v>
      </c>
      <c r="AS100" s="409">
        <f>IFERROR(-AS99/AVERAGE('BS &amp; FCF'!AR32:AS32)*4,0)</f>
        <v>0</v>
      </c>
      <c r="AT100" s="410">
        <f>IFERROR(((1-AT99/(AVERAGE('BS &amp; FCF'!AP32:AS32)))-1),0)</f>
        <v>0</v>
      </c>
      <c r="AU100" s="409">
        <f>IFERROR(-AU99/AVERAGE('BS &amp; FCF'!AT32:AU32)*4,0)</f>
        <v>0</v>
      </c>
      <c r="AV100" s="409">
        <f>IFERROR(-AV99/AVERAGE('BS &amp; FCF'!AU32:AV32)*4,0)</f>
        <v>0</v>
      </c>
      <c r="AW100" s="409">
        <f>IFERROR(-AW99/AVERAGE('BS &amp; FCF'!AV32:AW32)*4,0)</f>
        <v>0</v>
      </c>
      <c r="AX100" s="409">
        <f>IFERROR(-AX99/AVERAGE('BS &amp; FCF'!AW32:AX32)*4,0)</f>
        <v>0</v>
      </c>
      <c r="AY100" s="410">
        <f>IFERROR(((1-AY99/(AVERAGE('BS &amp; FCF'!AU32:AX32)))-1),0)</f>
        <v>0</v>
      </c>
      <c r="AZ100" s="409">
        <f>IFERROR(-AZ99/AVERAGE('BS &amp; FCF'!AY32:AZ32)*4,0)</f>
        <v>0</v>
      </c>
      <c r="BA100" s="409">
        <f>IFERROR(-BA99/AVERAGE('BS &amp; FCF'!AZ32:BA32)*4,0)</f>
        <v>0</v>
      </c>
      <c r="BB100" s="409">
        <f>IFERROR(-BB99/AVERAGE('BS &amp; FCF'!BA32:BB32)*4,0)</f>
        <v>0</v>
      </c>
      <c r="BC100" s="409">
        <f>IFERROR(-BC99/AVERAGE('BS &amp; FCF'!BB32:BC32)*4,0)</f>
        <v>0</v>
      </c>
      <c r="BD100" s="410">
        <f>IFERROR(((1-BD99/(AVERAGE('BS &amp; FCF'!AZ32:BC32)))-1),0)</f>
        <v>0</v>
      </c>
      <c r="BE100" s="409">
        <f>IFERROR(-BE99/AVERAGE('BS &amp; FCF'!BD32:BE32)*4,0)</f>
        <v>0</v>
      </c>
      <c r="BF100" s="409">
        <f>IFERROR(-BF99/AVERAGE('BS &amp; FCF'!BE32:BF32)*4,0)</f>
        <v>0</v>
      </c>
      <c r="BG100" s="409">
        <f>IFERROR(-BG99/AVERAGE('BS &amp; FCF'!BF32:BG32)*4,0)</f>
        <v>0</v>
      </c>
      <c r="BH100" s="409">
        <f>IFERROR(-BH99/AVERAGE('BS &amp; FCF'!BG32:BH32)*4,0)</f>
        <v>0</v>
      </c>
      <c r="BI100" s="410">
        <f>IFERROR(((1-BI99/(AVERAGE('BS &amp; FCF'!BE32:BH32)))-1),0)</f>
        <v>0</v>
      </c>
      <c r="BJ100" s="409">
        <f>IFERROR(-BJ99/AVERAGE('BS &amp; FCF'!BI32:BJ32)*4,0)</f>
        <v>0</v>
      </c>
      <c r="BK100" s="409">
        <f>IFERROR(-BK99/AVERAGE('BS &amp; FCF'!BJ32:BK32)*4,0)</f>
        <v>0</v>
      </c>
      <c r="BL100" s="409">
        <f>IFERROR(-BL99/AVERAGE('BS &amp; FCF'!BK32:BL32)*4,0)</f>
        <v>0</v>
      </c>
      <c r="BM100" s="409">
        <f>IFERROR(-BM99/AVERAGE('BS &amp; FCF'!BL32:BM32)*4,0)</f>
        <v>0</v>
      </c>
      <c r="BN100" s="410">
        <f>IFERROR(((1-BN99/(AVERAGE('BS &amp; FCF'!BJ32:BM32)))-1),0)</f>
        <v>0</v>
      </c>
      <c r="BO100" s="409">
        <f>IFERROR(-BO99/AVERAGE('BS &amp; FCF'!BN32:BO32)*4,0)</f>
        <v>0</v>
      </c>
      <c r="BP100" s="409">
        <f>IFERROR(-BP99/AVERAGE('BS &amp; FCF'!BO32:BP32)*4,0)</f>
        <v>0</v>
      </c>
      <c r="BQ100" s="409">
        <f>IFERROR(-BQ99/AVERAGE('BS &amp; FCF'!BP32:BQ32)*4,0)</f>
        <v>0</v>
      </c>
      <c r="BR100" s="409">
        <f>IFERROR(-BR99/AVERAGE('BS &amp; FCF'!BQ32:BR32)*4,0)</f>
        <v>0</v>
      </c>
      <c r="BS100" s="410">
        <f>IFERROR(((1-BS99/(AVERAGE('BS &amp; FCF'!BO32:BR32)))-1),0)</f>
        <v>0</v>
      </c>
      <c r="BT100" s="409">
        <f>IFERROR(-BT99/AVERAGE('BS &amp; FCF'!BS32:BT32)*4,0)</f>
        <v>0</v>
      </c>
      <c r="BU100" s="409">
        <f>IFERROR(-BU99/AVERAGE('BS &amp; FCF'!BT32:BU32)*4,0)</f>
        <v>0</v>
      </c>
      <c r="BV100" s="409">
        <f>IFERROR(-BV99/AVERAGE('BS &amp; FCF'!BU32:BV32)*4,0)</f>
        <v>0</v>
      </c>
      <c r="BW100" s="409">
        <f>IFERROR(-BW99/AVERAGE('BS &amp; FCF'!BV32:BW32)*4,0)</f>
        <v>0</v>
      </c>
      <c r="BX100" s="410">
        <f>IFERROR(((1-BX99/(AVERAGE('BS &amp; FCF'!BT32:BW32)))-1),0)</f>
        <v>0</v>
      </c>
      <c r="BY100" s="409">
        <f>IFERROR(-BY99/AVERAGE('BS &amp; FCF'!BX32:BY32)*4,0)</f>
        <v>0</v>
      </c>
      <c r="BZ100" s="409">
        <f>IFERROR(-BZ99/AVERAGE('BS &amp; FCF'!BY32:BZ32)*4,0)</f>
        <v>0</v>
      </c>
      <c r="CA100" s="409">
        <f>IFERROR(-CA99/AVERAGE('BS &amp; FCF'!BZ32:CA32)*4,0)</f>
        <v>0</v>
      </c>
      <c r="CB100" s="409">
        <f>IFERROR(-CB99/AVERAGE('BS &amp; FCF'!CA32:CB32)*4,0)</f>
        <v>0</v>
      </c>
      <c r="CC100" s="593">
        <f>IFERROR(((1-CC99/(AVERAGE('BS &amp; FCF'!BY32:CB32)))-1),0)</f>
        <v>0</v>
      </c>
      <c r="CD100" s="409">
        <f>IFERROR(-CD99/AVERAGE('BS &amp; FCF'!CC32:CD32)*4,0)</f>
        <v>0</v>
      </c>
      <c r="CE100" s="409">
        <f>IFERROR(-CE99/AVERAGE('BS &amp; FCF'!CD32:CE32)*4,0)</f>
        <v>0</v>
      </c>
      <c r="CF100" s="448">
        <f>CF101*Macro!CF12</f>
        <v>0</v>
      </c>
      <c r="CG100" s="448">
        <f>CG101*Macro!CG12</f>
        <v>0</v>
      </c>
      <c r="CH100" s="593">
        <f>IFERROR(((1-CH99/(AVERAGE('BS &amp; FCF'!CD32:CG32)))-1),0)</f>
        <v>0</v>
      </c>
      <c r="CI100" s="448">
        <f>CI101*Macro!CI12</f>
        <v>0</v>
      </c>
      <c r="CJ100" s="448">
        <f>CJ101*Macro!CJ12</f>
        <v>0</v>
      </c>
      <c r="CK100" s="448">
        <f>CK101*Macro!CK12</f>
        <v>0</v>
      </c>
      <c r="CL100" s="448">
        <f>CL101*Macro!CL12</f>
        <v>0</v>
      </c>
      <c r="CM100" s="593">
        <f>IFERROR(((1-CM99/(AVERAGE('BS &amp; FCF'!CI32:CL32)))-1),0)</f>
        <v>0</v>
      </c>
      <c r="CN100" s="448">
        <f>CN101*Macro!CN12</f>
        <v>0</v>
      </c>
      <c r="CO100" s="448">
        <f>CO101*Macro!CO12</f>
        <v>0</v>
      </c>
      <c r="CP100" s="448">
        <f>CP101*Macro!CP12</f>
        <v>0</v>
      </c>
      <c r="CQ100" s="448">
        <f>CQ101*Macro!CQ12</f>
        <v>0</v>
      </c>
      <c r="CR100" s="593">
        <f>IFERROR(((1-CR99/(AVERAGE('BS &amp; FCF'!CN32:CQ32)))-1),0)</f>
        <v>0</v>
      </c>
      <c r="CS100" s="448">
        <f>CS101*Macro!CS12</f>
        <v>0</v>
      </c>
      <c r="CT100" s="448">
        <f>CT101*Macro!CT12</f>
        <v>0</v>
      </c>
      <c r="CU100" s="448">
        <f>CU101*Macro!CU12</f>
        <v>0</v>
      </c>
      <c r="CV100" s="448">
        <f>CV101*Macro!CV12</f>
        <v>0</v>
      </c>
      <c r="CW100" s="593">
        <f>IFERROR(((1-CW99/(AVERAGE('BS &amp; FCF'!CS32:CV32)))-1),0)</f>
        <v>0</v>
      </c>
      <c r="CX100" s="448">
        <f>CX101*Macro!CX12</f>
        <v>0</v>
      </c>
      <c r="CY100" s="448">
        <f>CY101*Macro!CY12</f>
        <v>0</v>
      </c>
      <c r="CZ100" s="448">
        <f>CZ101*Macro!CZ12</f>
        <v>0</v>
      </c>
      <c r="DA100" s="448">
        <f>DA101*Macro!DA12</f>
        <v>0</v>
      </c>
      <c r="DB100" s="593">
        <f>IFERROR(((1-DB99/(AVERAGE('BS &amp; FCF'!CX32:DA32)))-1),0)</f>
        <v>0</v>
      </c>
    </row>
    <row r="101" spans="1:106" ht="11.25" customHeight="1" x14ac:dyDescent="0.35">
      <c r="A101" s="230" t="s">
        <v>20</v>
      </c>
      <c r="B101" s="411">
        <f>B100/Macro!B12</f>
        <v>0</v>
      </c>
      <c r="C101" s="411">
        <f>C100/Macro!C12</f>
        <v>0</v>
      </c>
      <c r="D101" s="411">
        <f>D100/Macro!D12</f>
        <v>0</v>
      </c>
      <c r="E101" s="411">
        <f>E100/Macro!E12</f>
        <v>0</v>
      </c>
      <c r="F101" s="412">
        <f>F100/Macro!F12</f>
        <v>0</v>
      </c>
      <c r="G101" s="411">
        <f>G100/Macro!G12</f>
        <v>0</v>
      </c>
      <c r="H101" s="411">
        <f>H100/Macro!H12</f>
        <v>0</v>
      </c>
      <c r="I101" s="411">
        <f>I100/Macro!I12</f>
        <v>0</v>
      </c>
      <c r="J101" s="411">
        <f>J100/Macro!J12</f>
        <v>0</v>
      </c>
      <c r="K101" s="412">
        <f>K100/Macro!K12</f>
        <v>0</v>
      </c>
      <c r="L101" s="411">
        <f>L100/Macro!L12</f>
        <v>0</v>
      </c>
      <c r="M101" s="411">
        <f>M100/Macro!M12</f>
        <v>0</v>
      </c>
      <c r="N101" s="411">
        <f>N100/Macro!N12</f>
        <v>0</v>
      </c>
      <c r="O101" s="411">
        <f>O100/Macro!O12</f>
        <v>0</v>
      </c>
      <c r="P101" s="412">
        <f>P100/Macro!P12</f>
        <v>0</v>
      </c>
      <c r="Q101" s="411">
        <f>Q100/Macro!Q12</f>
        <v>0</v>
      </c>
      <c r="R101" s="411">
        <f>R100/Macro!R12</f>
        <v>0</v>
      </c>
      <c r="S101" s="411">
        <f>S100/Macro!S12</f>
        <v>0</v>
      </c>
      <c r="T101" s="411">
        <f>T100/Macro!T12</f>
        <v>0</v>
      </c>
      <c r="U101" s="412">
        <f>U100/Macro!U12</f>
        <v>0</v>
      </c>
      <c r="V101" s="411">
        <f>V100/Macro!V12</f>
        <v>0</v>
      </c>
      <c r="W101" s="411">
        <f>W100/Macro!W12</f>
        <v>0</v>
      </c>
      <c r="X101" s="411">
        <f>X100/Macro!X12</f>
        <v>0</v>
      </c>
      <c r="Y101" s="411">
        <f>Y100/Macro!Y12</f>
        <v>0</v>
      </c>
      <c r="Z101" s="412">
        <f>Z100/Macro!Z12</f>
        <v>0</v>
      </c>
      <c r="AA101" s="411">
        <f>AA100/Macro!AA12</f>
        <v>0</v>
      </c>
      <c r="AB101" s="411">
        <f>AB100/Macro!AB12</f>
        <v>0</v>
      </c>
      <c r="AC101" s="411">
        <f>AC100/Macro!AC12</f>
        <v>0</v>
      </c>
      <c r="AD101" s="411">
        <f>AD100/Macro!AD12</f>
        <v>0</v>
      </c>
      <c r="AE101" s="412">
        <f>AE100/Macro!AE12</f>
        <v>0</v>
      </c>
      <c r="AF101" s="411">
        <f>AF100/Macro!AF12</f>
        <v>0</v>
      </c>
      <c r="AG101" s="411">
        <f>AG100/Macro!AG12</f>
        <v>0</v>
      </c>
      <c r="AH101" s="411">
        <f>AH100/Macro!AH12</f>
        <v>0</v>
      </c>
      <c r="AI101" s="411">
        <f>AI100/Macro!AI12</f>
        <v>0</v>
      </c>
      <c r="AJ101" s="412">
        <f>AJ100/Macro!AJ12</f>
        <v>0</v>
      </c>
      <c r="AK101" s="411">
        <f>AK100/Macro!AK12</f>
        <v>0</v>
      </c>
      <c r="AL101" s="411">
        <f>AL100/Macro!AL12</f>
        <v>0</v>
      </c>
      <c r="AM101" s="411">
        <f>AM100/Macro!AM12</f>
        <v>0</v>
      </c>
      <c r="AN101" s="411">
        <f>AN100/Macro!AN12</f>
        <v>0</v>
      </c>
      <c r="AO101" s="412">
        <f>AO100/Macro!AO12</f>
        <v>0</v>
      </c>
      <c r="AP101" s="411">
        <f>AP100/Macro!AP12</f>
        <v>0</v>
      </c>
      <c r="AQ101" s="411">
        <f>AQ100/Macro!AQ12</f>
        <v>0</v>
      </c>
      <c r="AR101" s="411">
        <f>AR100/Macro!AR12</f>
        <v>0</v>
      </c>
      <c r="AS101" s="411">
        <f>AS100/Macro!AS12</f>
        <v>0</v>
      </c>
      <c r="AT101" s="412">
        <f>AT100/Macro!AT12</f>
        <v>0</v>
      </c>
      <c r="AU101" s="411">
        <f>AU100/Macro!AU12</f>
        <v>0</v>
      </c>
      <c r="AV101" s="411">
        <f>AV100/Macro!AV12</f>
        <v>0</v>
      </c>
      <c r="AW101" s="411">
        <f>AW100/Macro!AW12</f>
        <v>0</v>
      </c>
      <c r="AX101" s="411">
        <f>AX100/Macro!AX12</f>
        <v>0</v>
      </c>
      <c r="AY101" s="412">
        <f>AY100/Macro!AY12</f>
        <v>0</v>
      </c>
      <c r="AZ101" s="411">
        <f>AZ100/Macro!AZ12</f>
        <v>0</v>
      </c>
      <c r="BA101" s="411">
        <f>BA100/Macro!BA12</f>
        <v>0</v>
      </c>
      <c r="BB101" s="411">
        <f>BB100/Macro!BB12</f>
        <v>0</v>
      </c>
      <c r="BC101" s="411">
        <f>BC100/Macro!BC12</f>
        <v>0</v>
      </c>
      <c r="BD101" s="412">
        <f>BD100/Macro!BD12</f>
        <v>0</v>
      </c>
      <c r="BE101" s="411">
        <f>BE100/Macro!BE12</f>
        <v>0</v>
      </c>
      <c r="BF101" s="411">
        <f>BF100/Macro!BF12</f>
        <v>0</v>
      </c>
      <c r="BG101" s="411">
        <f>BG100/Macro!BG12</f>
        <v>0</v>
      </c>
      <c r="BH101" s="411">
        <f>BH100/Macro!BH12</f>
        <v>0</v>
      </c>
      <c r="BI101" s="412">
        <f>BI100/Macro!BI12</f>
        <v>0</v>
      </c>
      <c r="BJ101" s="411">
        <f>BJ100/Macro!BJ12</f>
        <v>0</v>
      </c>
      <c r="BK101" s="411">
        <f>BK100/Macro!BK12</f>
        <v>0</v>
      </c>
      <c r="BL101" s="411">
        <f>BL100/Macro!BL12</f>
        <v>0</v>
      </c>
      <c r="BM101" s="411">
        <f>BM100/Macro!BM12</f>
        <v>0</v>
      </c>
      <c r="BN101" s="412">
        <f>BN100/Macro!BN12</f>
        <v>0</v>
      </c>
      <c r="BO101" s="411">
        <f>BO100/Macro!BO12</f>
        <v>0</v>
      </c>
      <c r="BP101" s="411">
        <f>BP100/Macro!BP12</f>
        <v>0</v>
      </c>
      <c r="BQ101" s="411">
        <f>BQ100/Macro!BQ12</f>
        <v>0</v>
      </c>
      <c r="BR101" s="411">
        <f>BR100/Macro!BR12</f>
        <v>0</v>
      </c>
      <c r="BS101" s="412">
        <f>BS100/Macro!BS12</f>
        <v>0</v>
      </c>
      <c r="BT101" s="411">
        <f>BT100/Macro!BT12</f>
        <v>0</v>
      </c>
      <c r="BU101" s="411">
        <f>BU100/Macro!BU12</f>
        <v>0</v>
      </c>
      <c r="BV101" s="411">
        <f>BV100/Macro!BV12</f>
        <v>0</v>
      </c>
      <c r="BW101" s="411">
        <f>BW100/Macro!BW12</f>
        <v>0</v>
      </c>
      <c r="BX101" s="412">
        <f>BX100/Macro!BX12</f>
        <v>0</v>
      </c>
      <c r="BY101" s="411">
        <f>BY100/Macro!BY12</f>
        <v>0</v>
      </c>
      <c r="BZ101" s="411">
        <f>BZ100/Macro!BZ12</f>
        <v>0</v>
      </c>
      <c r="CA101" s="411">
        <f>CA100/Macro!CA12</f>
        <v>0</v>
      </c>
      <c r="CB101" s="411">
        <f>CB100/Macro!CB12</f>
        <v>0</v>
      </c>
      <c r="CC101" s="412">
        <f>CC100/Macro!CC12</f>
        <v>0</v>
      </c>
      <c r="CD101" s="411">
        <f>CD100/Macro!CD12</f>
        <v>0</v>
      </c>
      <c r="CE101" s="411">
        <f>CE100/Macro!CE12</f>
        <v>0</v>
      </c>
      <c r="CF101" s="496">
        <f>CE101</f>
        <v>0</v>
      </c>
      <c r="CG101" s="496">
        <f>CF101</f>
        <v>0</v>
      </c>
      <c r="CH101" s="412">
        <f>CH100/Macro!CH12</f>
        <v>0</v>
      </c>
      <c r="CI101" s="496">
        <f>CG101</f>
        <v>0</v>
      </c>
      <c r="CJ101" s="496">
        <f>CI101</f>
        <v>0</v>
      </c>
      <c r="CK101" s="496">
        <f>CJ101</f>
        <v>0</v>
      </c>
      <c r="CL101" s="496">
        <f>CK101</f>
        <v>0</v>
      </c>
      <c r="CM101" s="412">
        <f>CM100/Macro!CM12</f>
        <v>0</v>
      </c>
      <c r="CN101" s="496">
        <f>CL101</f>
        <v>0</v>
      </c>
      <c r="CO101" s="496">
        <f>CN101</f>
        <v>0</v>
      </c>
      <c r="CP101" s="496">
        <f>CO101</f>
        <v>0</v>
      </c>
      <c r="CQ101" s="496">
        <f>CP101</f>
        <v>0</v>
      </c>
      <c r="CR101" s="412">
        <f>CR100/Macro!CR12</f>
        <v>0</v>
      </c>
      <c r="CS101" s="496">
        <f>CQ101</f>
        <v>0</v>
      </c>
      <c r="CT101" s="496">
        <f>CS101</f>
        <v>0</v>
      </c>
      <c r="CU101" s="496">
        <f>CT101</f>
        <v>0</v>
      </c>
      <c r="CV101" s="496">
        <f>CU101</f>
        <v>0</v>
      </c>
      <c r="CW101" s="412">
        <f>CW100/Macro!CW12</f>
        <v>0</v>
      </c>
      <c r="CX101" s="496">
        <f>CV101</f>
        <v>0</v>
      </c>
      <c r="CY101" s="496">
        <f>CX101</f>
        <v>0</v>
      </c>
      <c r="CZ101" s="496">
        <f>CY101</f>
        <v>0</v>
      </c>
      <c r="DA101" s="496">
        <f>CZ101</f>
        <v>0</v>
      </c>
      <c r="DB101" s="412">
        <f>DB100/Macro!DB12</f>
        <v>0</v>
      </c>
    </row>
    <row r="102" spans="1:106" ht="11.25" customHeight="1" x14ac:dyDescent="0.35">
      <c r="A102" s="11" t="s">
        <v>103</v>
      </c>
      <c r="B102" s="48">
        <f>B95-B99</f>
        <v>-59977</v>
      </c>
      <c r="C102" s="48">
        <f>C95-C99</f>
        <v>-68800</v>
      </c>
      <c r="D102" s="48">
        <f>D95-D99</f>
        <v>-145817</v>
      </c>
      <c r="E102" s="48">
        <f>E95-E99</f>
        <v>-156419</v>
      </c>
      <c r="F102" s="413">
        <f>SUM(B102:E102)</f>
        <v>-431013</v>
      </c>
      <c r="G102" s="48">
        <f>G95-G99</f>
        <v>-119396</v>
      </c>
      <c r="H102" s="48">
        <f>H95-H99</f>
        <v>-137562</v>
      </c>
      <c r="I102" s="48">
        <f>I95-I99</f>
        <v>-180707</v>
      </c>
      <c r="J102" s="48">
        <f>J95-J99</f>
        <v>-211224</v>
      </c>
      <c r="K102" s="413">
        <f>SUM(G102:J102)</f>
        <v>-648889</v>
      </c>
      <c r="L102" s="48">
        <f>L95-L99</f>
        <v>-140079</v>
      </c>
      <c r="M102" s="48">
        <f>M95-M99</f>
        <v>-134479</v>
      </c>
      <c r="N102" s="48">
        <f>N95-N99</f>
        <v>-116181</v>
      </c>
      <c r="O102" s="48">
        <f>O95-O99</f>
        <v>-115425</v>
      </c>
      <c r="P102" s="413">
        <f>SUM(L102:O102)</f>
        <v>-506164</v>
      </c>
      <c r="Q102" s="48">
        <f>Q95-Q99</f>
        <v>-92671</v>
      </c>
      <c r="R102" s="48">
        <f>R95-R99</f>
        <v>-88123</v>
      </c>
      <c r="S102" s="48">
        <f>S95-S99</f>
        <v>-99909</v>
      </c>
      <c r="T102" s="48">
        <f>T95-T99</f>
        <v>-98601</v>
      </c>
      <c r="U102" s="413">
        <f>SUM(Q102:T102)</f>
        <v>-379304</v>
      </c>
      <c r="V102" s="48">
        <f>V95-V99</f>
        <v>-109180</v>
      </c>
      <c r="W102" s="48">
        <f>W95-W99</f>
        <v>-118637</v>
      </c>
      <c r="X102" s="48">
        <f>X95-X99</f>
        <v>-110952</v>
      </c>
      <c r="Y102" s="48">
        <f>Y95-Y99</f>
        <v>-112227</v>
      </c>
      <c r="Z102" s="413">
        <f>SUM(V102:Y102)</f>
        <v>-450996</v>
      </c>
      <c r="AA102" s="48">
        <f>AA95-AA99</f>
        <v>-111782</v>
      </c>
      <c r="AB102" s="48">
        <f>AB95-AB99</f>
        <v>-138001</v>
      </c>
      <c r="AC102" s="48">
        <f>AC95-AC99</f>
        <v>-135330</v>
      </c>
      <c r="AD102" s="48">
        <f>AD95-AD99</f>
        <v>-123234</v>
      </c>
      <c r="AE102" s="413">
        <f>SUM(AA102:AD102)</f>
        <v>-508347</v>
      </c>
      <c r="AF102" s="48">
        <f>AF95-AF99</f>
        <v>-117572</v>
      </c>
      <c r="AG102" s="48">
        <f>AG95-AG99</f>
        <v>-118566</v>
      </c>
      <c r="AH102" s="48">
        <f>AH95-AH99</f>
        <v>-114684</v>
      </c>
      <c r="AI102" s="48">
        <f>AI95-AI99</f>
        <v>-108675</v>
      </c>
      <c r="AJ102" s="413">
        <f>SUM(AF102:AI102)</f>
        <v>-459497</v>
      </c>
      <c r="AK102" s="48">
        <f>AK95-AK99</f>
        <v>-102242</v>
      </c>
      <c r="AL102" s="48">
        <f>AL95-AL99</f>
        <v>-93813</v>
      </c>
      <c r="AM102" s="48">
        <f>AM95-AM99</f>
        <v>-83968</v>
      </c>
      <c r="AN102" s="48">
        <f>AN95-AN99</f>
        <v>-61523</v>
      </c>
      <c r="AO102" s="413">
        <f>SUM(AK102:AN102)</f>
        <v>-341546</v>
      </c>
      <c r="AP102" s="48">
        <f>AP95-AP99</f>
        <v>-51731</v>
      </c>
      <c r="AQ102" s="48">
        <f>AQ95-AQ99</f>
        <v>-46192</v>
      </c>
      <c r="AR102" s="48">
        <f>AR95-AR99</f>
        <v>-53398</v>
      </c>
      <c r="AS102" s="48">
        <f>AS95-AS99</f>
        <v>-49034</v>
      </c>
      <c r="AT102" s="413">
        <f>SUM(AP102:AS102)</f>
        <v>-200355</v>
      </c>
      <c r="AU102" s="48">
        <f>AU95-AU99</f>
        <v>-43691</v>
      </c>
      <c r="AV102" s="48">
        <f>AV95-AV99</f>
        <v>-35038</v>
      </c>
      <c r="AW102" s="48">
        <f>AW95-AW99</f>
        <v>-41687</v>
      </c>
      <c r="AX102" s="48">
        <f>AX95-AX99</f>
        <v>-42674</v>
      </c>
      <c r="AY102" s="413">
        <f>SUM(AU102:AX102)</f>
        <v>-163090</v>
      </c>
      <c r="AZ102" s="48">
        <f>AZ95-AZ99</f>
        <v>-28829</v>
      </c>
      <c r="BA102" s="48">
        <f>BA95-BA99</f>
        <v>-38126</v>
      </c>
      <c r="BB102" s="48">
        <f>BB95-BB99</f>
        <v>-34766</v>
      </c>
      <c r="BC102" s="48">
        <f>BC95-BC99</f>
        <v>-25688</v>
      </c>
      <c r="BD102" s="413">
        <f>SUM(AZ102:BC102)</f>
        <v>-127409</v>
      </c>
      <c r="BE102" s="48">
        <f>BE95-BE99</f>
        <v>-45700</v>
      </c>
      <c r="BF102" s="48">
        <f>BF95-BF99</f>
        <v>-45412</v>
      </c>
      <c r="BG102" s="48">
        <f>BG95-BG99</f>
        <v>-68091</v>
      </c>
      <c r="BH102" s="48">
        <f>BH95-BH99</f>
        <v>-89101</v>
      </c>
      <c r="BI102" s="413">
        <f>SUM(BE102:BH102)</f>
        <v>-248304</v>
      </c>
      <c r="BJ102" s="48">
        <f>BJ95-BJ99</f>
        <v>-99831</v>
      </c>
      <c r="BK102" s="48">
        <f>BK95-BK99</f>
        <v>-120826</v>
      </c>
      <c r="BL102" s="48">
        <f>BL95-BL99</f>
        <v>-144157</v>
      </c>
      <c r="BM102" s="48">
        <f>BM95-BM99</f>
        <v>-211688</v>
      </c>
      <c r="BN102" s="413">
        <f>SUM(BJ102:BM102)</f>
        <v>-576502</v>
      </c>
      <c r="BO102" s="48">
        <f>BO95-BO99</f>
        <v>-171356</v>
      </c>
      <c r="BP102" s="48">
        <f>BP95-BP99</f>
        <v>-180665</v>
      </c>
      <c r="BQ102" s="48">
        <f>BQ95-BQ99</f>
        <v>-159956</v>
      </c>
      <c r="BR102" s="48">
        <f>BR95-BR99</f>
        <v>-163745</v>
      </c>
      <c r="BS102" s="413">
        <f>SUM(BO102:BR102)</f>
        <v>-675722</v>
      </c>
      <c r="BT102" s="48">
        <f>BT95-BT99</f>
        <v>-158245</v>
      </c>
      <c r="BU102" s="48">
        <f>BU95-BU99</f>
        <v>-172678</v>
      </c>
      <c r="BV102" s="48">
        <f>BV95-BV99</f>
        <v>-164060</v>
      </c>
      <c r="BW102" s="48">
        <f>BW95-BW99</f>
        <v>-192574</v>
      </c>
      <c r="BX102" s="413">
        <f>SUM(BT102:BW102)</f>
        <v>-687557</v>
      </c>
      <c r="BY102" s="48">
        <f>BY95-BY99</f>
        <v>-194272</v>
      </c>
      <c r="BZ102" s="48">
        <f>BZ95-BZ99</f>
        <v>-235188</v>
      </c>
      <c r="CA102" s="48">
        <f>CA95-CA99</f>
        <v>-244286</v>
      </c>
      <c r="CB102" s="48">
        <f>CB95-CB99</f>
        <v>-263547</v>
      </c>
      <c r="CC102" s="413">
        <f>SUM(BY102:CB102)</f>
        <v>-937293</v>
      </c>
      <c r="CD102" s="48">
        <f>CD95-CD99</f>
        <v>-291516</v>
      </c>
      <c r="CE102" s="48">
        <f>CE95-CE99</f>
        <v>-321313</v>
      </c>
      <c r="CF102" s="461">
        <f>-(AVERAGE('BS &amp; FCF'!CE28:CF28)+AVERAGE('BS &amp; FCF'!CE31:CF31))*((1+CF103)^(1/4)-1)</f>
        <v>-283447.38952000393</v>
      </c>
      <c r="CG102" s="461">
        <f>-(AVERAGE('BS &amp; FCF'!CF28:CG28)+AVERAGE('BS &amp; FCF'!CF31:CG31))*((1+CG103)^(1/4)-1)</f>
        <v>-286931.11664374481</v>
      </c>
      <c r="CH102" s="413">
        <f>SUM(CD102:CG102)</f>
        <v>-1183207.5061637487</v>
      </c>
      <c r="CI102" s="461">
        <f>-(AVERAGE('BS &amp; FCF'!CH28:CI28)+AVERAGE('BS &amp; FCF'!CH31:CI31))*((1+CI103)^(1/4)-1)</f>
        <v>-331414.99482753506</v>
      </c>
      <c r="CJ102" s="461">
        <f>-(AVERAGE('BS &amp; FCF'!CI28:CJ28)+AVERAGE('BS &amp; FCF'!CI31:CJ31))*((1+CJ103)^(1/4)-1)</f>
        <v>-327828.13387744594</v>
      </c>
      <c r="CK102" s="461">
        <f>-(AVERAGE('BS &amp; FCF'!CJ28:CK28)+AVERAGE('BS &amp; FCF'!CJ31:CK31))*((1+CK103)^(1/4)-1)</f>
        <v>-310968.26049524988</v>
      </c>
      <c r="CL102" s="461">
        <f>-(AVERAGE('BS &amp; FCF'!CK28:CL28)+AVERAGE('BS &amp; FCF'!CK31:CL31))*((1+CL103)^(1/4)-1)</f>
        <v>-298618.9493711181</v>
      </c>
      <c r="CM102" s="413">
        <f>SUM(CI102:CL102)</f>
        <v>-1268830.3385713489</v>
      </c>
      <c r="CN102" s="461">
        <f>-(AVERAGE('BS &amp; FCF'!CM28:CN28)+AVERAGE('BS &amp; FCF'!CM31:CN31))*((1+CN103)^(1/4)-1)</f>
        <v>-300527.53460671683</v>
      </c>
      <c r="CO102" s="461">
        <f>-(AVERAGE('BS &amp; FCF'!CN28:CO28)+AVERAGE('BS &amp; FCF'!CN31:CO31))*((1+CO103)^(1/4)-1)</f>
        <v>-301784.16348880035</v>
      </c>
      <c r="CP102" s="461">
        <f>-(AVERAGE('BS &amp; FCF'!CO28:CP28)+AVERAGE('BS &amp; FCF'!CO31:CP31))*((1+CP103)^(1/4)-1)</f>
        <v>-304385.29115554341</v>
      </c>
      <c r="CQ102" s="461">
        <f>-(AVERAGE('BS &amp; FCF'!CP28:CQ28)+AVERAGE('BS &amp; FCF'!CP31:CQ31))*((1+CQ103)^(1/4)-1)</f>
        <v>-308202.20670389448</v>
      </c>
      <c r="CR102" s="413">
        <f>SUM(CN102:CQ102)</f>
        <v>-1214899.1959549552</v>
      </c>
      <c r="CS102" s="461">
        <f>-(AVERAGE('BS &amp; FCF'!CR28:CS28)+AVERAGE('BS &amp; FCF'!CR31:CS31))*((1+CS103)^(1/4)-1)</f>
        <v>-267757.00075582298</v>
      </c>
      <c r="CT102" s="461">
        <f>-(AVERAGE('BS &amp; FCF'!CS28:CT28)+AVERAGE('BS &amp; FCF'!CS31:CT31))*((1+CT103)^(1/4)-1)</f>
        <v>-267455.34276609559</v>
      </c>
      <c r="CU102" s="461">
        <f>-(AVERAGE('BS &amp; FCF'!CT28:CU28)+AVERAGE('BS &amp; FCF'!CT31:CU31))*((1+CU103)^(1/4)-1)</f>
        <v>-268693.46930779354</v>
      </c>
      <c r="CV102" s="461">
        <f>-(AVERAGE('BS &amp; FCF'!CU28:CV28)+AVERAGE('BS &amp; FCF'!CU31:CV31))*((1+CV103)^(1/4)-1)</f>
        <v>-271631.45081879036</v>
      </c>
      <c r="CW102" s="413">
        <f>SUM(CS102:CV102)</f>
        <v>-1075537.2636485025</v>
      </c>
      <c r="CX102" s="461">
        <f>-(AVERAGE('BS &amp; FCF'!CW28:CX28)+AVERAGE('BS &amp; FCF'!CW31:CX31))*((1+CX103)^(1/4)-1)</f>
        <v>-273798.42745480995</v>
      </c>
      <c r="CY102" s="461">
        <f>-(AVERAGE('BS &amp; FCF'!CX28:CY28)+AVERAGE('BS &amp; FCF'!CX31:CY31))*((1+CY103)^(1/4)-1)</f>
        <v>-274343.10847183171</v>
      </c>
      <c r="CZ102" s="461">
        <f>-(AVERAGE('BS &amp; FCF'!CY28:CZ28)+AVERAGE('BS &amp; FCF'!CY31:CZ31))*((1+CZ103)^(1/4)-1)</f>
        <v>-275891.27727435553</v>
      </c>
      <c r="DA102" s="461">
        <f>-(AVERAGE('BS &amp; FCF'!CZ28:DA28)+AVERAGE('BS &amp; FCF'!CZ31:DA31))*((1+DA103)^(1/4)-1)</f>
        <v>-279460.78230570065</v>
      </c>
      <c r="DB102" s="413">
        <f>SUM(CX102:DA102)</f>
        <v>-1103493.5955066979</v>
      </c>
    </row>
    <row r="103" spans="1:106" ht="11.25" customHeight="1" x14ac:dyDescent="0.35">
      <c r="A103" s="7" t="s">
        <v>104</v>
      </c>
      <c r="B103" s="144">
        <f>-B102/AVERAGE('BS &amp; FCF'!B28:B28)*4</f>
        <v>9.3249961811157828E-2</v>
      </c>
      <c r="C103" s="144">
        <f>-C102/AVERAGE('BS &amp; FCF'!B28:C28)*4</f>
        <v>0.10315254338300986</v>
      </c>
      <c r="D103" s="144">
        <f>-D102/AVERAGE('BS &amp; FCF'!C28:D28)*4</f>
        <v>0.20311712923648947</v>
      </c>
      <c r="E103" s="144">
        <f>-E102/AVERAGE('BS &amp; FCF'!D28:E28)*4</f>
        <v>0.19513393946623814</v>
      </c>
      <c r="F103" s="173">
        <f>-F102/AVERAGE('BS &amp; FCF'!B28:E28)</f>
        <v>0.14674566406879067</v>
      </c>
      <c r="G103" s="144">
        <f>-G102/AVERAGE('BS &amp; FCF'!F28:G28)*4</f>
        <v>0.13502415093582137</v>
      </c>
      <c r="H103" s="144">
        <f>-H102/AVERAGE('BS &amp; FCF'!G28:H28)*4</f>
        <v>0.14059142896344712</v>
      </c>
      <c r="I103" s="144">
        <f>-I102/AVERAGE('BS &amp; FCF'!H28:I28)*4</f>
        <v>0.16420786574732302</v>
      </c>
      <c r="J103" s="144">
        <f>-J102/AVERAGE('BS &amp; FCF'!I28:J28)*4</f>
        <v>0.18353943873682385</v>
      </c>
      <c r="K103" s="173">
        <f>-K102/AVERAGE('BS &amp; FCF'!G28:J28)</f>
        <v>0.15237219694481405</v>
      </c>
      <c r="L103" s="144">
        <f>-L102/AVERAGE('BS &amp; FCF'!K28:L28)*4</f>
        <v>0.12154701525780388</v>
      </c>
      <c r="M103" s="144">
        <f>-M102/AVERAGE('BS &amp; FCF'!L28:M28)*4</f>
        <v>0.11827758741567421</v>
      </c>
      <c r="N103" s="144">
        <f>-N102/AVERAGE('BS &amp; FCF'!M28:N28)*4</f>
        <v>0.10513009261919444</v>
      </c>
      <c r="O103" s="144">
        <f>-O102/AVERAGE('BS &amp; FCF'!N28:O28)*4</f>
        <v>0.10917879902375188</v>
      </c>
      <c r="P103" s="173">
        <f>-P102/AVERAGE('BS &amp; FCF'!L28:O28)</f>
        <v>0.11534195242671992</v>
      </c>
      <c r="Q103" s="144">
        <f>-Q102/AVERAGE('BS &amp; FCF'!P28:Q28)*4</f>
        <v>9.4071942891526331E-2</v>
      </c>
      <c r="R103" s="144">
        <f>-R102/AVERAGE('BS &amp; FCF'!Q28:R28)*4</f>
        <v>9.3019009030833405E-2</v>
      </c>
      <c r="S103" s="144">
        <f>-S102/AVERAGE('BS &amp; FCF'!R28:S28)*4</f>
        <v>0.10440604230806962</v>
      </c>
      <c r="T103" s="144">
        <f>-T102/AVERAGE('BS &amp; FCF'!S28:T28)*4</f>
        <v>9.7514180084414176E-2</v>
      </c>
      <c r="U103" s="173">
        <f>-U102/AVERAGE('BS &amp; FCF'!Q28:T28)</f>
        <v>9.6834801647118857E-2</v>
      </c>
      <c r="V103" s="144">
        <f>-V102/AVERAGE('BS &amp; FCF'!U28:V28)*4</f>
        <v>9.9217305141036272E-2</v>
      </c>
      <c r="W103" s="144">
        <f>-W102/AVERAGE('BS &amp; FCF'!V28:W28)*4</f>
        <v>0.10699944600411584</v>
      </c>
      <c r="X103" s="144">
        <f>-X102/AVERAGE('BS &amp; FCF'!W28:X28)*4</f>
        <v>0.10442901149416092</v>
      </c>
      <c r="Y103" s="144">
        <f>-Y102/AVERAGE('BS &amp; FCF'!X28:Y28)*4</f>
        <v>0.11091843970755018</v>
      </c>
      <c r="Z103" s="173">
        <f>-Z102/AVERAGE('BS &amp; FCF'!V28:Y28)</f>
        <v>0.10633887907688545</v>
      </c>
      <c r="AA103" s="144">
        <f>-AA102/AVERAGE('BS &amp; FCF'!Z28:AA28)*4</f>
        <v>0.11651390646194754</v>
      </c>
      <c r="AB103" s="144">
        <f>-AB102/AVERAGE('BS &amp; FCF'!AA28:AB28)*4</f>
        <v>0.1424097568551613</v>
      </c>
      <c r="AC103" s="144">
        <f>-AC102/AVERAGE('BS &amp; FCF'!AB28:AC28)*4</f>
        <v>0.13561468913616911</v>
      </c>
      <c r="AD103" s="144">
        <f>-AD102/AVERAGE('BS &amp; FCF'!AC28:AD28)*4</f>
        <v>0.12684326158682224</v>
      </c>
      <c r="AE103" s="173">
        <f>-AE102/AVERAGE('BS &amp; FCF'!AA28:AD28)</f>
        <v>0.13097762030539983</v>
      </c>
      <c r="AF103" s="144">
        <f>-AF102/AVERAGE('BS &amp; FCF'!AE28:AF28)*4</f>
        <v>0.12684871616679994</v>
      </c>
      <c r="AG103" s="144">
        <f>-AG102/AVERAGE('BS &amp; FCF'!AF28:AG28)*4</f>
        <v>0.13155421621243776</v>
      </c>
      <c r="AH103" s="144">
        <f>-AH102/AVERAGE('BS &amp; FCF'!AG28:AH28)*4</f>
        <v>0.13089449824003946</v>
      </c>
      <c r="AI103" s="144">
        <f>-AI102/AVERAGE('BS &amp; FCF'!AH28:AI28)*4</f>
        <v>0.12607169642561944</v>
      </c>
      <c r="AJ103" s="173">
        <f>-AJ102/AVERAGE('BS &amp; FCF'!AF28:AI28)</f>
        <v>0.13029605896509375</v>
      </c>
      <c r="AK103" s="144">
        <f>-AK102/AVERAGE('BS &amp; FCF'!AJ28:AK28)*4</f>
        <v>0.11702137552651221</v>
      </c>
      <c r="AL103" s="144">
        <f>-AL102/AVERAGE('BS &amp; FCF'!AK28:AL28)*4</f>
        <v>0.10809300471314674</v>
      </c>
      <c r="AM103" s="144">
        <f>-AM102/AVERAGE('BS &amp; FCF'!AL28:AM28)*4</f>
        <v>0.10398058413230504</v>
      </c>
      <c r="AN103" s="144">
        <f>-AN102/AVERAGE('BS &amp; FCF'!AM28:AN28)*4</f>
        <v>8.7002020096316954E-2</v>
      </c>
      <c r="AO103" s="173">
        <f>-AO102/AVERAGE('BS &amp; FCF'!AK28:AN28)</f>
        <v>0.10842482330562603</v>
      </c>
      <c r="AP103" s="144">
        <f>-AP102/AVERAGE('BS &amp; FCF'!AO28:AP28)*4</f>
        <v>8.7698073896447321E-2</v>
      </c>
      <c r="AQ103" s="144">
        <f>-AQ102/AVERAGE('BS &amp; FCF'!AP28:AQ28)*4</f>
        <v>8.1940117476711982E-2</v>
      </c>
      <c r="AR103" s="144">
        <f>-AR102/AVERAGE('BS &amp; FCF'!AQ28:AR28)*4</f>
        <v>8.1310364071654775E-2</v>
      </c>
      <c r="AS103" s="144">
        <f>-AS102/AVERAGE('BS &amp; FCF'!AR28:AS28)*4</f>
        <v>7.4571152002177787E-2</v>
      </c>
      <c r="AT103" s="173">
        <f>-AT102/AVERAGE('BS &amp; FCF'!AP28:AS28)</f>
        <v>8.2026963209153717E-2</v>
      </c>
      <c r="AU103" s="144">
        <f>-AU102/AVERAGE('BS &amp; FCF'!AT28:AU28)*4</f>
        <v>7.8063762823095559E-2</v>
      </c>
      <c r="AV103" s="144">
        <f>-AV102/AVERAGE('BS &amp; FCF'!AU28:AV28)*4</f>
        <v>6.8406621900788625E-2</v>
      </c>
      <c r="AW103" s="144">
        <f>-AW102/AVERAGE('BS &amp; FCF'!AV28:AW28)*4</f>
        <v>7.5311422678065662E-2</v>
      </c>
      <c r="AX103" s="144">
        <f>-AX102/AVERAGE('BS &amp; FCF'!AW28:AX28)*4</f>
        <v>6.9095565616317953E-2</v>
      </c>
      <c r="AY103" s="173">
        <f>-AY102/AVERAGE('BS &amp; FCF'!AU28:AX28)</f>
        <v>7.2175836606191174E-2</v>
      </c>
      <c r="AZ103" s="144">
        <f>-AZ102/AVERAGE('BS &amp; FCF'!AY28:AZ28)*4</f>
        <v>4.5960262841879172E-2</v>
      </c>
      <c r="BA103" s="144">
        <f>-BA102/AVERAGE('BS &amp; FCF'!AZ28:BA28)*4</f>
        <v>5.622935814488543E-2</v>
      </c>
      <c r="BB103" s="144">
        <f>-BB102/AVERAGE('BS &amp; FCF'!BA28:BB28)*4</f>
        <v>5.2033946440177462E-2</v>
      </c>
      <c r="BC103" s="144">
        <f>-BC102/AVERAGE('BS &amp; FCF'!BB28:BC28)*4</f>
        <v>4.0000186858549634E-2</v>
      </c>
      <c r="BD103" s="173">
        <f>-BD102/AVERAGE('BS &amp; FCF'!AZ28:BC28)</f>
        <v>4.825216146555019E-2</v>
      </c>
      <c r="BE103" s="144">
        <f>-BE102/AVERAGE('BS &amp; FCF'!BD28:BE28)*4</f>
        <v>6.773732148547798E-2</v>
      </c>
      <c r="BF103" s="144">
        <f>-BF102/AVERAGE('BS &amp; FCF'!BE28:BF28)*4</f>
        <v>6.0108716405839729E-2</v>
      </c>
      <c r="BG103" s="144">
        <f>-BG102/AVERAGE('BS &amp; FCF'!BF28:BG28)*4</f>
        <v>8.0669037299255938E-2</v>
      </c>
      <c r="BH103" s="144">
        <f>-BH102/AVERAGE('BS &amp; FCF'!BG28:BH28)*4</f>
        <v>0.10129434473256135</v>
      </c>
      <c r="BI103" s="173">
        <f>-BI102/AVERAGE('BS &amp; FCF'!BE28:BH28)</f>
        <v>7.59282619443086E-2</v>
      </c>
      <c r="BJ103" s="144">
        <f>-BJ102/AVERAGE('BS &amp; FCF'!BI28:BJ28)*4</f>
        <v>0.10921877711587039</v>
      </c>
      <c r="BK103" s="144">
        <f>-BK102/AVERAGE('BS &amp; FCF'!BJ28:BK28)*4</f>
        <v>0.1253764440027467</v>
      </c>
      <c r="BL103" s="144">
        <f>-BL102/AVERAGE('BS &amp; FCF'!BK28:BL28)*4</f>
        <v>0.13712557748205814</v>
      </c>
      <c r="BM103" s="144">
        <f>-BM102/AVERAGE('BS &amp; FCF'!BL28:BM28)*4</f>
        <v>0.18102239840910175</v>
      </c>
      <c r="BN103" s="173">
        <f>-BN102/AVERAGE('BS &amp; FCF'!BJ28:BM28)</f>
        <v>0.13513192956005979</v>
      </c>
      <c r="BO103" s="144">
        <f>-BO102/AVERAGE('BS &amp; FCF'!BN28:BO28)*4</f>
        <v>0.14014900380427631</v>
      </c>
      <c r="BP103" s="144">
        <f>-BP102/AVERAGE('BS &amp; FCF'!BO28:BP28)*4</f>
        <v>0.14792507580377176</v>
      </c>
      <c r="BQ103" s="144">
        <f>-BQ102/AVERAGE('BS &amp; FCF'!BP28:BQ28)*4</f>
        <v>0.1288839487690413</v>
      </c>
      <c r="BR103" s="144">
        <f>-BR102/AVERAGE('BS &amp; FCF'!BQ28:BR28)*4</f>
        <v>0.12943441264180047</v>
      </c>
      <c r="BS103" s="173">
        <f>-BS102/AVERAGE('BS &amp; FCF'!BO28:BR28)</f>
        <v>0.13588313546008554</v>
      </c>
      <c r="BT103" s="144">
        <f>-BT102/AVERAGE('BS &amp; FCF'!BS28:BT28)*4</f>
        <v>0.12592430715321404</v>
      </c>
      <c r="BU103" s="144">
        <f>-BU102/AVERAGE('BS &amp; FCF'!BT28:BU28)*4</f>
        <v>0.13613889828943371</v>
      </c>
      <c r="BV103" s="144">
        <f>-BV102/AVERAGE('BS &amp; FCF'!BU28:BV28)*4</f>
        <v>0.12245924680770703</v>
      </c>
      <c r="BW103" s="144">
        <f>-BW102/AVERAGE('BS &amp; FCF'!BV28:BW28)*4</f>
        <v>0.13465648040954803</v>
      </c>
      <c r="BX103" s="173">
        <f>-BX102/AVERAGE('BS &amp; FCF'!BT28:BW28)</f>
        <v>0.12739572701979718</v>
      </c>
      <c r="BY103" s="144">
        <f>-BY102/AVERAGE('BS &amp; FCF'!BX28:BY28)*4</f>
        <v>0.12960065670238871</v>
      </c>
      <c r="BZ103" s="144">
        <f>-BZ102/AVERAGE('BS &amp; FCF'!BY28:BZ28)*4</f>
        <v>0.14577229478496559</v>
      </c>
      <c r="CA103" s="144">
        <f>-CA102/AVERAGE('BS &amp; FCF'!BZ28:CA28)*4</f>
        <v>0.1358456864715411</v>
      </c>
      <c r="CB103" s="144">
        <f>-CB102/AVERAGE('BS &amp; FCF'!CA28:CB28)*4</f>
        <v>0.13003692994633972</v>
      </c>
      <c r="CC103" s="173">
        <f>-CC102/AVERAGE('BS &amp; FCF'!BY28:CB28)</f>
        <v>0.12874543518098652</v>
      </c>
      <c r="CD103" s="144">
        <f>-CD102/AVERAGE('BS &amp; FCF'!CC28:CD28)*4</f>
        <v>0.13317991453311154</v>
      </c>
      <c r="CE103" s="144">
        <f>-CE102/AVERAGE('BS &amp; FCF'!CD28:CE28)*4</f>
        <v>0.14549370939497919</v>
      </c>
      <c r="CF103" s="453">
        <f>CF104*Macro!CF12</f>
        <v>0.13</v>
      </c>
      <c r="CG103" s="453">
        <f>CG104*Macro!CG12</f>
        <v>0.1295</v>
      </c>
      <c r="CH103" s="173">
        <f>-CH102/AVERAGE('BS &amp; FCF'!CD28:CG28)</f>
        <v>0.13194619667884427</v>
      </c>
      <c r="CI103" s="453">
        <f>CI104*Macro!CI12</f>
        <v>0.14833333333333334</v>
      </c>
      <c r="CJ103" s="453">
        <f>CJ104*Macro!CJ12</f>
        <v>0.14525000000000002</v>
      </c>
      <c r="CK103" s="453">
        <f>CK104*Macro!CK12</f>
        <v>0.13650000000000001</v>
      </c>
      <c r="CL103" s="453">
        <f>CL104*Macro!CL12</f>
        <v>0.1295</v>
      </c>
      <c r="CM103" s="173">
        <f>-CM102/AVERAGE('BS &amp; FCF'!CI28:CL28)</f>
        <v>0.13495581541124707</v>
      </c>
      <c r="CN103" s="453">
        <f>CN104*Macro!CN12</f>
        <v>0.1295</v>
      </c>
      <c r="CO103" s="453">
        <f>CO104*Macro!CO12</f>
        <v>0.1295</v>
      </c>
      <c r="CP103" s="453">
        <f>CP104*Macro!CP12</f>
        <v>0.1295</v>
      </c>
      <c r="CQ103" s="453">
        <f>CQ104*Macro!CQ12</f>
        <v>0.1295</v>
      </c>
      <c r="CR103" s="173">
        <f>-CR102/AVERAGE('BS &amp; FCF'!CN28:CQ28)</f>
        <v>0.12543775532943716</v>
      </c>
      <c r="CS103" s="453">
        <f>CS104*Macro!CS12</f>
        <v>0.1113</v>
      </c>
      <c r="CT103" s="453">
        <f>CT104*Macro!CT12</f>
        <v>0.1113</v>
      </c>
      <c r="CU103" s="453">
        <f>CU104*Macro!CU12</f>
        <v>0.1113</v>
      </c>
      <c r="CV103" s="453">
        <f>CV104*Macro!CV12</f>
        <v>0.1113</v>
      </c>
      <c r="CW103" s="173">
        <f>-CW102/AVERAGE('BS &amp; FCF'!CS28:CV28)</f>
        <v>0.10862617088941033</v>
      </c>
      <c r="CX103" s="453">
        <f>CX104*Macro!CX12</f>
        <v>0.1113</v>
      </c>
      <c r="CY103" s="453">
        <f>CY104*Macro!CY12</f>
        <v>0.1113</v>
      </c>
      <c r="CZ103" s="453">
        <f>CZ104*Macro!CZ12</f>
        <v>0.1113</v>
      </c>
      <c r="DA103" s="453">
        <f>DA104*Macro!DA12</f>
        <v>0.1113</v>
      </c>
      <c r="DB103" s="173">
        <f>-DB102/AVERAGE('BS &amp; FCF'!CX28:DA28)</f>
        <v>0.10843520318928329</v>
      </c>
    </row>
    <row r="104" spans="1:106" ht="11.25" customHeight="1" x14ac:dyDescent="0.35">
      <c r="A104" s="78" t="s">
        <v>20</v>
      </c>
      <c r="B104" s="104">
        <f>B103/Macro!B12</f>
        <v>1.0657138492703753</v>
      </c>
      <c r="C104" s="104">
        <f>C103/Macro!C12</f>
        <v>1.0579748039283061</v>
      </c>
      <c r="D104" s="104">
        <f>D103/Macro!D12</f>
        <v>1.8894616673161813</v>
      </c>
      <c r="E104" s="104">
        <f>E103/Macro!E12</f>
        <v>1.8151994368952384</v>
      </c>
      <c r="F104" s="105">
        <f>F103/Macro!F12</f>
        <v>1.4674566406879066</v>
      </c>
      <c r="G104" s="104">
        <f>G103/Macro!G12</f>
        <v>1.1826932928685083</v>
      </c>
      <c r="H104" s="104">
        <f>H103/Macro!H12</f>
        <v>1.1635152741802519</v>
      </c>
      <c r="I104" s="104">
        <f>I103/Macro!I12</f>
        <v>1.3496536910738879</v>
      </c>
      <c r="J104" s="104">
        <f>J103/Macro!J12</f>
        <v>1.6436367648073777</v>
      </c>
      <c r="K104" s="105">
        <f>K103/Macro!K12</f>
        <v>1.3013995468596216</v>
      </c>
      <c r="L104" s="104">
        <f>L103/Macro!L12</f>
        <v>1.1858245391005258</v>
      </c>
      <c r="M104" s="104">
        <f>M103/Macro!M12</f>
        <v>1.3647413932577794</v>
      </c>
      <c r="N104" s="104">
        <f>N103/Macro!N12</f>
        <v>1.3712620776416664</v>
      </c>
      <c r="O104" s="104">
        <f>O103/Macro!O12</f>
        <v>1.5059144692931294</v>
      </c>
      <c r="P104" s="105">
        <f>P103/Macro!P12</f>
        <v>1.3636486986410234</v>
      </c>
      <c r="Q104" s="104">
        <f>Q103/Macro!Q12</f>
        <v>1.2975440398831219</v>
      </c>
      <c r="R104" s="104">
        <f>R103/Macro!R12</f>
        <v>1.187476711031916</v>
      </c>
      <c r="S104" s="104">
        <f>S103/Macro!S12</f>
        <v>1.1819551959404107</v>
      </c>
      <c r="T104" s="104">
        <f>T103/Macro!T12</f>
        <v>0.99166962797709324</v>
      </c>
      <c r="U104" s="105">
        <f>U103/Macro!U12</f>
        <v>1.1476717232251124</v>
      </c>
      <c r="V104" s="104">
        <f>V103/Macro!V12</f>
        <v>0.93016223569721512</v>
      </c>
      <c r="W104" s="104">
        <f>W103/Macro!W12</f>
        <v>0.97272223640105315</v>
      </c>
      <c r="X104" s="104">
        <f>X103/Macro!X12</f>
        <v>0.94935464994691743</v>
      </c>
      <c r="Y104" s="104">
        <f>Y103/Macro!Y12</f>
        <v>0.9715483770004395</v>
      </c>
      <c r="Z104" s="105">
        <f>Z103/Macro!Z12</f>
        <v>0.96488964001710809</v>
      </c>
      <c r="AA104" s="104">
        <f>AA103/Macro!AA12</f>
        <v>0.9383670319083024</v>
      </c>
      <c r="AB104" s="104">
        <f>AB103/Macro!AB12</f>
        <v>1.0614391815291526</v>
      </c>
      <c r="AC104" s="104">
        <f>AC103/Macro!AC12</f>
        <v>0.95168202902574828</v>
      </c>
      <c r="AD104" s="104">
        <f>AD103/Macro!AD12</f>
        <v>0.89012815148647195</v>
      </c>
      <c r="AE104" s="105">
        <f>AE103/Macro!AE12</f>
        <v>0.96425241942625639</v>
      </c>
      <c r="AF104" s="104">
        <f>AF103/Macro!AF12</f>
        <v>0.89016642924070133</v>
      </c>
      <c r="AG104" s="104">
        <f>AG103/Macro!AG12</f>
        <v>0.92318748219254576</v>
      </c>
      <c r="AH104" s="104">
        <f>AH103/Macro!AH12</f>
        <v>0.91855788238624192</v>
      </c>
      <c r="AI104" s="104">
        <f>AI103/Macro!AI12</f>
        <v>0.90590440545355289</v>
      </c>
      <c r="AJ104" s="105">
        <f>AJ103/Macro!AJ12</f>
        <v>0.91973688681242649</v>
      </c>
      <c r="AK104" s="104">
        <f>AK103/Macro!AK12</f>
        <v>0.93617100421209765</v>
      </c>
      <c r="AL104" s="104">
        <f>AL103/Macro!AL12</f>
        <v>0.99016492867004657</v>
      </c>
      <c r="AM104" s="104">
        <f>AM103/Macro!AM12</f>
        <v>1.1661373921380005</v>
      </c>
      <c r="AN104" s="104">
        <f>AN103/Macro!AN12</f>
        <v>1.1863911831315948</v>
      </c>
      <c r="AO104" s="105">
        <f>AO103/Macro!AO12</f>
        <v>1.0933595627458086</v>
      </c>
      <c r="AP104" s="104">
        <f>AP103/Macro!AP12</f>
        <v>1.299230724391812</v>
      </c>
      <c r="AQ104" s="104">
        <f>AQ103/Macro!AQ12</f>
        <v>1.2606171919494151</v>
      </c>
      <c r="AR104" s="104">
        <f>AR103/Macro!AR12</f>
        <v>1.250928678025458</v>
      </c>
      <c r="AS104" s="104">
        <f>AS103/Macro!AS12</f>
        <v>1.1472484923411967</v>
      </c>
      <c r="AT104" s="105">
        <f>AT103/Macro!AT12</f>
        <v>1.2499346774728184</v>
      </c>
      <c r="AU104" s="104">
        <f>AU103/Macro!AU12</f>
        <v>1.2009809665091624</v>
      </c>
      <c r="AV104" s="104">
        <f>AV103/Macro!AV12</f>
        <v>1.0524095677044403</v>
      </c>
      <c r="AW104" s="104">
        <f>AW103/Macro!AW12</f>
        <v>1.2551903779677611</v>
      </c>
      <c r="AX104" s="104">
        <f>AX103/Macro!AX12</f>
        <v>1.4295634265445094</v>
      </c>
      <c r="AY104" s="105">
        <f>AY103/Macro!AY12</f>
        <v>1.2113427122717402</v>
      </c>
      <c r="AZ104" s="104">
        <f>AZ103/Macro!AZ12</f>
        <v>1.1030463082051001</v>
      </c>
      <c r="BA104" s="104">
        <f>BA103/Macro!BA12</f>
        <v>1.8743119381628477</v>
      </c>
      <c r="BB104" s="104">
        <f>BB103/Macro!BB12</f>
        <v>2.4976294291285179</v>
      </c>
      <c r="BC104" s="104">
        <f>BC103/Macro!BC12</f>
        <v>2.0000093429274814</v>
      </c>
      <c r="BD104" s="105">
        <f>BD103/Macro!BD12</f>
        <v>1.7156324076640068</v>
      </c>
      <c r="BE104" s="104">
        <f>BE103/Macro!BE12</f>
        <v>3.0105476215767992</v>
      </c>
      <c r="BF104" s="104">
        <f>BF103/Macro!BF12</f>
        <v>1.7173918973097064</v>
      </c>
      <c r="BG104" s="104">
        <f>BG103/Macro!BG12</f>
        <v>1.5365530914143988</v>
      </c>
      <c r="BH104" s="104">
        <f>BH103/Macro!BH12</f>
        <v>1.2278102391825618</v>
      </c>
      <c r="BI104" s="105">
        <f>BI103/Macro!BI12</f>
        <v>1.5777301183232955</v>
      </c>
      <c r="BJ104" s="104">
        <f>BJ103/Macro!BJ12</f>
        <v>1.0319884451893264</v>
      </c>
      <c r="BK104" s="104">
        <f>BK103/Macro!BK12</f>
        <v>0.99636909141255636</v>
      </c>
      <c r="BL104" s="104">
        <f>BL103/Macro!BL12</f>
        <v>1.0095134538556427</v>
      </c>
      <c r="BM104" s="104">
        <f>BM103/Macro!BM12</f>
        <v>1.3165265338843763</v>
      </c>
      <c r="BN104" s="105">
        <f>BN103/Macro!BN12</f>
        <v>1.0703519173074043</v>
      </c>
      <c r="BO104" s="104">
        <f>BO103/Macro!BO12</f>
        <v>1.0192654822129186</v>
      </c>
      <c r="BP104" s="104">
        <f>BP103/Macro!BP12</f>
        <v>1.07581873311834</v>
      </c>
      <c r="BQ104" s="104">
        <f>BQ103/Macro!BQ12</f>
        <v>0.97270904731351926</v>
      </c>
      <c r="BR104" s="104">
        <f>BR103/Macro!BR12</f>
        <v>1.0566074501371467</v>
      </c>
      <c r="BS104" s="105">
        <f>BS103/Macro!BS12</f>
        <v>1.0255330978119663</v>
      </c>
      <c r="BT104" s="104">
        <f>BT103/Macro!BT12</f>
        <v>1.1361591622846379</v>
      </c>
      <c r="BU104" s="104">
        <f>BU103/Macro!BU12</f>
        <v>1.286351794860791</v>
      </c>
      <c r="BV104" s="104">
        <f>BV103/Macro!BV12</f>
        <v>1.157095245427153</v>
      </c>
      <c r="BW104" s="104">
        <f>BW103/Macro!BW12</f>
        <v>1.1794728211055301</v>
      </c>
      <c r="BX104" s="105">
        <f>BX103/Macro!BX12</f>
        <v>1.1669837589599743</v>
      </c>
      <c r="BY104" s="104">
        <f>BY103/Macro!BY12</f>
        <v>0.95411526406666536</v>
      </c>
      <c r="BZ104" s="104">
        <f>BZ103/Macro!BZ12</f>
        <v>0.99390200989749267</v>
      </c>
      <c r="CA104" s="104">
        <f>CA103/Macro!CA12</f>
        <v>0.90563790981027403</v>
      </c>
      <c r="CB104" s="104">
        <f>CB103/Macro!CB12</f>
        <v>0.8669128663089315</v>
      </c>
      <c r="CC104" s="105">
        <f>CC103/Macro!CC12</f>
        <v>0.88408882527716059</v>
      </c>
      <c r="CD104" s="104">
        <f>CD103/Macro!CD12</f>
        <v>0.89784212044794287</v>
      </c>
      <c r="CE104" s="104">
        <f>CE103/Macro!CE12</f>
        <v>1.0517617546625002</v>
      </c>
      <c r="CF104" s="497">
        <v>1</v>
      </c>
      <c r="CG104" s="497">
        <v>1.05</v>
      </c>
      <c r="CH104" s="105">
        <f>CH103/Macro!CH12</f>
        <v>1.0698340271257643</v>
      </c>
      <c r="CI104" s="497">
        <v>1</v>
      </c>
      <c r="CJ104" s="497">
        <v>1.05</v>
      </c>
      <c r="CK104" s="497">
        <f>CJ104</f>
        <v>1.05</v>
      </c>
      <c r="CL104" s="497">
        <f>CK104</f>
        <v>1.05</v>
      </c>
      <c r="CM104" s="105">
        <f>CM103/Macro!CM12</f>
        <v>1.0942363411722735</v>
      </c>
      <c r="CN104" s="497">
        <f>CL104</f>
        <v>1.05</v>
      </c>
      <c r="CO104" s="497">
        <f>CN104</f>
        <v>1.05</v>
      </c>
      <c r="CP104" s="497">
        <f>CO104</f>
        <v>1.05</v>
      </c>
      <c r="CQ104" s="497">
        <f>CP104</f>
        <v>1.05</v>
      </c>
      <c r="CR104" s="105">
        <f>CR103/Macro!CR12</f>
        <v>1.183375050277709</v>
      </c>
      <c r="CS104" s="497">
        <f>CQ104</f>
        <v>1.05</v>
      </c>
      <c r="CT104" s="497">
        <f>CS104</f>
        <v>1.05</v>
      </c>
      <c r="CU104" s="497">
        <f>CT104</f>
        <v>1.05</v>
      </c>
      <c r="CV104" s="497">
        <f>CU104</f>
        <v>1.05</v>
      </c>
      <c r="CW104" s="105">
        <f>CW103/Macro!CW12</f>
        <v>1.0247751970699088</v>
      </c>
      <c r="CX104" s="497">
        <f>CV104</f>
        <v>1.05</v>
      </c>
      <c r="CY104" s="497">
        <f>CX104</f>
        <v>1.05</v>
      </c>
      <c r="CZ104" s="497">
        <f>CY104</f>
        <v>1.05</v>
      </c>
      <c r="DA104" s="497">
        <f>CZ104</f>
        <v>1.05</v>
      </c>
      <c r="DB104" s="105">
        <f>DB103/Macro!DB12</f>
        <v>1.0229736149932387</v>
      </c>
    </row>
    <row r="105" spans="1:106" ht="11.25" customHeight="1" x14ac:dyDescent="0.35">
      <c r="F105" s="188"/>
      <c r="K105" s="188"/>
      <c r="P105" s="188"/>
      <c r="U105" s="188"/>
      <c r="Z105" s="188"/>
      <c r="AE105" s="188"/>
      <c r="AJ105" s="188"/>
      <c r="AO105" s="188"/>
      <c r="AT105" s="188"/>
      <c r="AY105" s="188"/>
      <c r="BD105" s="188"/>
      <c r="BI105" s="188"/>
      <c r="BN105" s="188"/>
      <c r="BS105" s="188"/>
      <c r="BX105" s="188"/>
      <c r="BY105" s="81"/>
      <c r="BZ105" s="81"/>
      <c r="CC105" s="188"/>
      <c r="CH105" s="188"/>
      <c r="CM105" s="188"/>
      <c r="CR105" s="188"/>
      <c r="CW105" s="188"/>
      <c r="DB105" s="188"/>
    </row>
    <row r="106" spans="1:106" s="85" customFormat="1" ht="11.25" customHeight="1" thickBot="1" x14ac:dyDescent="0.4">
      <c r="A106" s="124" t="s">
        <v>29</v>
      </c>
      <c r="B106" s="129" t="str">
        <f>Macro!B$3</f>
        <v>1Q10</v>
      </c>
      <c r="C106" s="129" t="str">
        <f>Macro!C$3</f>
        <v>2Q10</v>
      </c>
      <c r="D106" s="129" t="str">
        <f>Macro!D$3</f>
        <v>3Q10</v>
      </c>
      <c r="E106" s="130" t="str">
        <f>Macro!E$3</f>
        <v>4Q10</v>
      </c>
      <c r="F106" s="131" t="str">
        <f>Macro!F$3</f>
        <v>2010</v>
      </c>
      <c r="G106" s="129" t="str">
        <f>Macro!G$3</f>
        <v>1Q11</v>
      </c>
      <c r="H106" s="129" t="str">
        <f>Macro!H$3</f>
        <v>2Q11</v>
      </c>
      <c r="I106" s="129" t="str">
        <f>Macro!I$3</f>
        <v>3Q11</v>
      </c>
      <c r="J106" s="130" t="str">
        <f>Macro!J$3</f>
        <v>4Q11</v>
      </c>
      <c r="K106" s="131" t="str">
        <f>Macro!K$3</f>
        <v>2011</v>
      </c>
      <c r="L106" s="129" t="str">
        <f>Macro!L$3</f>
        <v>1Q12</v>
      </c>
      <c r="M106" s="129" t="str">
        <f>Macro!M$3</f>
        <v>2Q12</v>
      </c>
      <c r="N106" s="129" t="str">
        <f>Macro!N$3</f>
        <v>3Q12</v>
      </c>
      <c r="O106" s="130" t="str">
        <f>Macro!O$3</f>
        <v>4Q12</v>
      </c>
      <c r="P106" s="131" t="str">
        <f>Macro!P$3</f>
        <v>2012</v>
      </c>
      <c r="Q106" s="129" t="str">
        <f>Macro!Q$3</f>
        <v>1Q13</v>
      </c>
      <c r="R106" s="129" t="str">
        <f>Macro!R$3</f>
        <v>2Q13</v>
      </c>
      <c r="S106" s="129" t="str">
        <f>Macro!S$3</f>
        <v>3Q13</v>
      </c>
      <c r="T106" s="130" t="str">
        <f>Macro!T$3</f>
        <v>4Q13</v>
      </c>
      <c r="U106" s="131" t="str">
        <f>Macro!U$3</f>
        <v>2013</v>
      </c>
      <c r="V106" s="129" t="str">
        <f>Macro!V$3</f>
        <v>1Q14</v>
      </c>
      <c r="W106" s="129" t="str">
        <f>Macro!W$3</f>
        <v>2Q14</v>
      </c>
      <c r="X106" s="129" t="str">
        <f>Macro!X$3</f>
        <v>3Q14</v>
      </c>
      <c r="Y106" s="130" t="str">
        <f>Macro!Y$3</f>
        <v>4Q14</v>
      </c>
      <c r="Z106" s="131" t="str">
        <f>Macro!Z$3</f>
        <v>2014</v>
      </c>
      <c r="AA106" s="129" t="str">
        <f>Macro!AA$3</f>
        <v>1Q15</v>
      </c>
      <c r="AB106" s="129" t="str">
        <f>Macro!AB$3</f>
        <v>2Q15</v>
      </c>
      <c r="AC106" s="129" t="str">
        <f>Macro!AC$3</f>
        <v>3Q15</v>
      </c>
      <c r="AD106" s="130" t="str">
        <f>Macro!AD$3</f>
        <v>4Q15</v>
      </c>
      <c r="AE106" s="131" t="str">
        <f>Macro!AE$3</f>
        <v>2015</v>
      </c>
      <c r="AF106" s="129" t="str">
        <f>Macro!AF$3</f>
        <v>1Q16</v>
      </c>
      <c r="AG106" s="129" t="str">
        <f>Macro!AG$3</f>
        <v>2Q16</v>
      </c>
      <c r="AH106" s="129" t="str">
        <f>Macro!AH$3</f>
        <v>3Q16</v>
      </c>
      <c r="AI106" s="130" t="str">
        <f>Macro!AI$3</f>
        <v>4Q16</v>
      </c>
      <c r="AJ106" s="131" t="str">
        <f>Macro!AJ$3</f>
        <v>2016</v>
      </c>
      <c r="AK106" s="129" t="str">
        <f>Macro!AK$3</f>
        <v>1Q17</v>
      </c>
      <c r="AL106" s="129" t="str">
        <f>Macro!AL$3</f>
        <v>2Q17</v>
      </c>
      <c r="AM106" s="129" t="str">
        <f>Macro!AM$3</f>
        <v>3Q17</v>
      </c>
      <c r="AN106" s="130" t="str">
        <f>Macro!AN$3</f>
        <v>4Q17</v>
      </c>
      <c r="AO106" s="131" t="str">
        <f>Macro!AO$3</f>
        <v>2017</v>
      </c>
      <c r="AP106" s="129" t="str">
        <f>Macro!AP$3</f>
        <v>1Q18</v>
      </c>
      <c r="AQ106" s="129" t="str">
        <f>Macro!AQ$3</f>
        <v>2Q18</v>
      </c>
      <c r="AR106" s="129" t="str">
        <f>Macro!AR$3</f>
        <v>3Q18</v>
      </c>
      <c r="AS106" s="130" t="str">
        <f>Macro!AS$3</f>
        <v>4Q18</v>
      </c>
      <c r="AT106" s="131" t="str">
        <f>Macro!AT$3</f>
        <v>2018</v>
      </c>
      <c r="AU106" s="129" t="str">
        <f>Macro!AU$3</f>
        <v>1Q19</v>
      </c>
      <c r="AV106" s="129" t="str">
        <f>Macro!AV$3</f>
        <v>2Q19</v>
      </c>
      <c r="AW106" s="129" t="str">
        <f>Macro!AW$3</f>
        <v>3Q19</v>
      </c>
      <c r="AX106" s="130" t="str">
        <f>Macro!AX$3</f>
        <v>4Q19</v>
      </c>
      <c r="AY106" s="131" t="str">
        <f>Macro!AY$3</f>
        <v>2019</v>
      </c>
      <c r="AZ106" s="129" t="str">
        <f>Macro!AZ$3</f>
        <v>1Q20</v>
      </c>
      <c r="BA106" s="129" t="str">
        <f>Macro!BA$3</f>
        <v>2Q20</v>
      </c>
      <c r="BB106" s="129" t="str">
        <f>Macro!BB$3</f>
        <v>3Q20</v>
      </c>
      <c r="BC106" s="130" t="str">
        <f>Macro!BC$3</f>
        <v>4Q20</v>
      </c>
      <c r="BD106" s="131" t="str">
        <f>Macro!BD$3</f>
        <v>2020</v>
      </c>
      <c r="BE106" s="129" t="str">
        <f>Macro!BE$3</f>
        <v>1Q21</v>
      </c>
      <c r="BF106" s="129" t="str">
        <f>Macro!BF$3</f>
        <v>2Q21</v>
      </c>
      <c r="BG106" s="129" t="str">
        <f>Macro!BG$3</f>
        <v>3Q21</v>
      </c>
      <c r="BH106" s="130" t="str">
        <f>Macro!BH$3</f>
        <v>4Q21</v>
      </c>
      <c r="BI106" s="131" t="str">
        <f>Macro!BI$3</f>
        <v>2021</v>
      </c>
      <c r="BJ106" s="129" t="str">
        <f>Macro!BJ$3</f>
        <v>1Q22</v>
      </c>
      <c r="BK106" s="129" t="str">
        <f>Macro!BK$3</f>
        <v>2Q22</v>
      </c>
      <c r="BL106" s="129" t="str">
        <f>Macro!BL$3</f>
        <v>3Q22</v>
      </c>
      <c r="BM106" s="130" t="str">
        <f>Macro!BM$3</f>
        <v>4Q22</v>
      </c>
      <c r="BN106" s="131" t="str">
        <f>Macro!BN$3</f>
        <v>2022</v>
      </c>
      <c r="BO106" s="129" t="str">
        <f>Macro!BO$3</f>
        <v>1Q23</v>
      </c>
      <c r="BP106" s="129" t="str">
        <f>Macro!BP$3</f>
        <v>2Q23</v>
      </c>
      <c r="BQ106" s="129" t="str">
        <f>Macro!BQ$3</f>
        <v>3Q23</v>
      </c>
      <c r="BR106" s="130" t="str">
        <f>Macro!BR$3</f>
        <v>4Q23</v>
      </c>
      <c r="BS106" s="131" t="str">
        <f>Macro!BS$3</f>
        <v>2023</v>
      </c>
      <c r="BT106" s="129" t="str">
        <f>Macro!BT$3</f>
        <v>1Q24</v>
      </c>
      <c r="BU106" s="129" t="str">
        <f>Macro!BU$3</f>
        <v>2Q24</v>
      </c>
      <c r="BV106" s="129" t="str">
        <f>Macro!BV$3</f>
        <v>3Q24</v>
      </c>
      <c r="BW106" s="130" t="str">
        <f>Macro!BW$3</f>
        <v>4Q24</v>
      </c>
      <c r="BX106" s="131" t="str">
        <f>Macro!BX$3</f>
        <v>2024</v>
      </c>
      <c r="BY106" s="129" t="str">
        <f>Macro!BY$3</f>
        <v>1Q25</v>
      </c>
      <c r="BZ106" s="129" t="str">
        <f>Macro!BZ$3</f>
        <v>2Q25</v>
      </c>
      <c r="CA106" s="125" t="str">
        <f>Macro!CA$3</f>
        <v>3Q25</v>
      </c>
      <c r="CB106" s="125" t="str">
        <f>Macro!CB$3</f>
        <v>4Q25</v>
      </c>
      <c r="CC106" s="126" t="str">
        <f>Macro!CC$3</f>
        <v>2025</v>
      </c>
      <c r="CD106" s="125" t="str">
        <f>Macro!CD$3</f>
        <v>1Q26</v>
      </c>
      <c r="CE106" s="125" t="str">
        <f>Macro!CE$3</f>
        <v>2Q26</v>
      </c>
      <c r="CF106" s="125" t="str">
        <f>Macro!CF$3</f>
        <v>3Q26E</v>
      </c>
      <c r="CG106" s="125" t="str">
        <f>Macro!CG$3</f>
        <v>4Q26E</v>
      </c>
      <c r="CH106" s="126" t="str">
        <f>Macro!CH$3</f>
        <v>2026E</v>
      </c>
      <c r="CI106" s="125" t="str">
        <f>Macro!CI$3</f>
        <v>1Q27E</v>
      </c>
      <c r="CJ106" s="125" t="str">
        <f>Macro!CJ$3</f>
        <v>2Q27E</v>
      </c>
      <c r="CK106" s="125" t="str">
        <f>Macro!CK$3</f>
        <v>3Q27E</v>
      </c>
      <c r="CL106" s="125" t="str">
        <f>Macro!CL$3</f>
        <v>4Q27E</v>
      </c>
      <c r="CM106" s="126" t="str">
        <f>Macro!CM$3</f>
        <v>2027E</v>
      </c>
      <c r="CN106" s="125" t="str">
        <f>Macro!CN$3</f>
        <v>1Q28E</v>
      </c>
      <c r="CO106" s="125" t="str">
        <f>Macro!CO$3</f>
        <v>2Q28E</v>
      </c>
      <c r="CP106" s="125" t="str">
        <f>Macro!CP$3</f>
        <v>3Q28E</v>
      </c>
      <c r="CQ106" s="125" t="str">
        <f>Macro!CQ$3</f>
        <v>4Q28E</v>
      </c>
      <c r="CR106" s="126" t="str">
        <f>Macro!CR$3</f>
        <v>2028E</v>
      </c>
      <c r="CS106" s="125" t="str">
        <f>Macro!CS$3</f>
        <v>1Q29E</v>
      </c>
      <c r="CT106" s="125" t="str">
        <f>Macro!CT$3</f>
        <v>2Q29E</v>
      </c>
      <c r="CU106" s="125" t="str">
        <f>Macro!CU$3</f>
        <v>3Q29E</v>
      </c>
      <c r="CV106" s="125" t="str">
        <f>Macro!CV$3</f>
        <v>4Q29E</v>
      </c>
      <c r="CW106" s="126" t="str">
        <f>Macro!CW$3</f>
        <v>2029E</v>
      </c>
      <c r="CX106" s="125" t="str">
        <f>Macro!CX$3</f>
        <v>1Q30E</v>
      </c>
      <c r="CY106" s="125" t="str">
        <f>Macro!CY$3</f>
        <v>2Q30E</v>
      </c>
      <c r="CZ106" s="125" t="str">
        <f>Macro!CZ$3</f>
        <v>3Q30E</v>
      </c>
      <c r="DA106" s="125" t="str">
        <f>Macro!DA$3</f>
        <v>4Q30E</v>
      </c>
      <c r="DB106" s="126" t="str">
        <f>Macro!DB$3</f>
        <v>2030E</v>
      </c>
    </row>
    <row r="107" spans="1:106" s="54" customFormat="1" ht="11.25" customHeight="1" thickTop="1" x14ac:dyDescent="0.35">
      <c r="A107" s="158" t="s">
        <v>277</v>
      </c>
      <c r="B107" s="558">
        <v>5232174</v>
      </c>
      <c r="C107" s="558">
        <v>5855621</v>
      </c>
      <c r="D107" s="558">
        <v>5805608</v>
      </c>
      <c r="E107" s="558">
        <v>6136163</v>
      </c>
      <c r="F107" s="189">
        <f>E107</f>
        <v>6136163</v>
      </c>
      <c r="G107" s="558">
        <v>5973998</v>
      </c>
      <c r="H107" s="558">
        <v>6309143</v>
      </c>
      <c r="I107" s="558">
        <v>6353160</v>
      </c>
      <c r="J107" s="558">
        <v>6393107</v>
      </c>
      <c r="K107" s="189">
        <f>J107</f>
        <v>6393107</v>
      </c>
      <c r="L107" s="558">
        <v>6364599</v>
      </c>
      <c r="M107" s="558">
        <v>6163228</v>
      </c>
      <c r="N107" s="558">
        <v>5911000</v>
      </c>
      <c r="O107" s="558">
        <v>5859663</v>
      </c>
      <c r="P107" s="189">
        <f>O107</f>
        <v>5859663</v>
      </c>
      <c r="Q107" s="558">
        <v>5615465</v>
      </c>
      <c r="R107" s="558">
        <v>5537249</v>
      </c>
      <c r="S107" s="558">
        <v>5563129</v>
      </c>
      <c r="T107" s="558">
        <v>5174827</v>
      </c>
      <c r="U107" s="189">
        <f>T107</f>
        <v>5174827</v>
      </c>
      <c r="V107" s="558">
        <v>5341345</v>
      </c>
      <c r="W107" s="558">
        <v>5084443</v>
      </c>
      <c r="X107" s="558">
        <v>4778927</v>
      </c>
      <c r="Y107" s="558">
        <v>4526998</v>
      </c>
      <c r="Z107" s="189">
        <f>Y107</f>
        <v>4526998</v>
      </c>
      <c r="AA107" s="558">
        <v>4326712</v>
      </c>
      <c r="AB107" s="558">
        <v>4202747</v>
      </c>
      <c r="AC107" s="558">
        <v>3896118</v>
      </c>
      <c r="AD107" s="558">
        <v>3522505</v>
      </c>
      <c r="AE107" s="189">
        <f>AD107</f>
        <v>3522505</v>
      </c>
      <c r="AF107" s="558">
        <v>3103436</v>
      </c>
      <c r="AG107" s="558">
        <v>2753979</v>
      </c>
      <c r="AH107" s="558">
        <v>2305948</v>
      </c>
      <c r="AI107" s="558">
        <v>2164418</v>
      </c>
      <c r="AJ107" s="189">
        <f>AI107</f>
        <v>2164418</v>
      </c>
      <c r="AK107" s="558">
        <v>1978884</v>
      </c>
      <c r="AL107" s="558">
        <v>1788427</v>
      </c>
      <c r="AM107" s="558">
        <v>1635741</v>
      </c>
      <c r="AN107" s="558">
        <v>1654031</v>
      </c>
      <c r="AO107" s="189">
        <f>AN107</f>
        <v>1654031</v>
      </c>
      <c r="AP107" s="558">
        <v>1586324</v>
      </c>
      <c r="AQ107" s="558">
        <v>1524369</v>
      </c>
      <c r="AR107" s="558">
        <v>1478452</v>
      </c>
      <c r="AS107" s="558">
        <v>1741082</v>
      </c>
      <c r="AT107" s="189">
        <f>AS107</f>
        <v>1741082</v>
      </c>
      <c r="AU107" s="558">
        <v>1900930</v>
      </c>
      <c r="AV107" s="558">
        <v>2340856</v>
      </c>
      <c r="AW107" s="558">
        <v>2550134</v>
      </c>
      <c r="AX107" s="558">
        <v>2965999</v>
      </c>
      <c r="AY107" s="189">
        <f>AX107</f>
        <v>2965999</v>
      </c>
      <c r="AZ107" s="558">
        <v>3055603</v>
      </c>
      <c r="BA107" s="558">
        <v>3042962</v>
      </c>
      <c r="BB107" s="558">
        <v>3020133</v>
      </c>
      <c r="BC107" s="558">
        <v>3355329</v>
      </c>
      <c r="BD107" s="189">
        <f>BC107</f>
        <v>3355329</v>
      </c>
      <c r="BE107" s="558">
        <v>3595960</v>
      </c>
      <c r="BF107" s="558">
        <v>3950785</v>
      </c>
      <c r="BG107" s="558">
        <v>3883986</v>
      </c>
      <c r="BH107" s="558">
        <v>4353240</v>
      </c>
      <c r="BI107" s="189">
        <f>BH107</f>
        <v>4353240</v>
      </c>
      <c r="BJ107" s="558">
        <v>4470134</v>
      </c>
      <c r="BK107" s="558">
        <v>4661255</v>
      </c>
      <c r="BL107" s="558">
        <v>5108347</v>
      </c>
      <c r="BM107" s="558">
        <v>5243826</v>
      </c>
      <c r="BN107" s="189">
        <f>BM107</f>
        <v>5243826</v>
      </c>
      <c r="BO107" s="558">
        <v>5757631</v>
      </c>
      <c r="BP107" s="558">
        <v>6251830</v>
      </c>
      <c r="BQ107" s="558">
        <v>6352544</v>
      </c>
      <c r="BR107" s="558">
        <v>6633654</v>
      </c>
      <c r="BS107" s="189">
        <f>BR107</f>
        <v>6633654</v>
      </c>
      <c r="BT107" s="558">
        <v>7105013</v>
      </c>
      <c r="BU107" s="558">
        <v>7265935</v>
      </c>
      <c r="BV107" s="558">
        <v>7789363</v>
      </c>
      <c r="BW107" s="558">
        <v>8790289</v>
      </c>
      <c r="BX107" s="189">
        <f>BW107</f>
        <v>8790289</v>
      </c>
      <c r="BY107" s="558">
        <v>9436956</v>
      </c>
      <c r="BZ107" s="558">
        <v>9849026</v>
      </c>
      <c r="CA107" s="558">
        <v>9631190</v>
      </c>
      <c r="CB107" s="558">
        <v>11217258</v>
      </c>
      <c r="CC107" s="189">
        <f>CB107</f>
        <v>11217258</v>
      </c>
      <c r="CD107" s="558">
        <v>11662105</v>
      </c>
      <c r="CE107" s="558">
        <v>12228757</v>
      </c>
      <c r="CF107" s="472">
        <f>CE107-Operating!CF39+CF112</f>
        <v>13064540.923191583</v>
      </c>
      <c r="CG107" s="472">
        <f>CF107-Operating!CG39+CG112</f>
        <v>13894479.147527568</v>
      </c>
      <c r="CH107" s="189">
        <f>CG107</f>
        <v>13894479.147527568</v>
      </c>
      <c r="CI107" s="472">
        <f>CH107-Operating!CI39+CI112</f>
        <v>14800244.732684294</v>
      </c>
      <c r="CJ107" s="472">
        <f>CI107-Operating!CJ39+CJ112</f>
        <v>15664512.464294028</v>
      </c>
      <c r="CK107" s="472">
        <f>CJ107-Operating!CK39+CK112</f>
        <v>16695155.495891111</v>
      </c>
      <c r="CL107" s="472">
        <f>CK107-Operating!CL39+CL112</f>
        <v>17754238.419834688</v>
      </c>
      <c r="CM107" s="189">
        <f>CL107</f>
        <v>17754238.419834688</v>
      </c>
      <c r="CN107" s="472">
        <f>CM107-Operating!CN39+CN112</f>
        <v>18357074.962266736</v>
      </c>
      <c r="CO107" s="472">
        <f>CN107-Operating!CO39+CO112</f>
        <v>19138905.140748914</v>
      </c>
      <c r="CP107" s="472">
        <f>CO107-Operating!CP39+CP112</f>
        <v>20118930.323021974</v>
      </c>
      <c r="CQ107" s="472">
        <f>CP107-Operating!CQ39+CQ112</f>
        <v>21387106.387081731</v>
      </c>
      <c r="CR107" s="189">
        <f>CQ107</f>
        <v>21387106.387081731</v>
      </c>
      <c r="CS107" s="472">
        <f>CR107-Operating!CS39+CS112</f>
        <v>21883440.639624409</v>
      </c>
      <c r="CT107" s="472">
        <f>CS107-Operating!CT39+CT112</f>
        <v>22569567.750058822</v>
      </c>
      <c r="CU107" s="472">
        <f>CT107-Operating!CU39+CU112</f>
        <v>23472113.354255896</v>
      </c>
      <c r="CV107" s="472">
        <f>CU107-Operating!CV39+CV112</f>
        <v>24688048.057996396</v>
      </c>
      <c r="CW107" s="189">
        <f>CV107</f>
        <v>24688048.057996396</v>
      </c>
      <c r="CX107" s="472">
        <f>CW107-Operating!CX39+CX112</f>
        <v>24910555.481725499</v>
      </c>
      <c r="CY107" s="472">
        <f>CX107-Operating!CY39+CY112</f>
        <v>25373259.756493129</v>
      </c>
      <c r="CZ107" s="472">
        <f>CY107-Operating!CZ39+CZ112</f>
        <v>26096135.112016194</v>
      </c>
      <c r="DA107" s="472">
        <f>CZ107-Operating!DA39+DA112</f>
        <v>27173030.242882852</v>
      </c>
      <c r="DB107" s="189">
        <f>DA107</f>
        <v>27173030.242882852</v>
      </c>
    </row>
    <row r="108" spans="1:106" s="54" customFormat="1" ht="11.25" customHeight="1" x14ac:dyDescent="0.35">
      <c r="A108" s="19" t="s">
        <v>336</v>
      </c>
      <c r="B108" s="397">
        <v>-3309648</v>
      </c>
      <c r="C108" s="397">
        <v>-3754922</v>
      </c>
      <c r="D108" s="397">
        <v>-3672819</v>
      </c>
      <c r="E108" s="397">
        <v>-4079003</v>
      </c>
      <c r="F108" s="20">
        <f>E108</f>
        <v>-4079003</v>
      </c>
      <c r="G108" s="397">
        <v>-3975747</v>
      </c>
      <c r="H108" s="397">
        <v>-4154186</v>
      </c>
      <c r="I108" s="397">
        <v>-4095556</v>
      </c>
      <c r="J108" s="397">
        <v>-4084845</v>
      </c>
      <c r="K108" s="20">
        <f>J108</f>
        <v>-4084845</v>
      </c>
      <c r="L108" s="397">
        <v>-4041286</v>
      </c>
      <c r="M108" s="397">
        <v>-3926939</v>
      </c>
      <c r="N108" s="397">
        <v>-3770000</v>
      </c>
      <c r="O108" s="397">
        <v>-3579267</v>
      </c>
      <c r="P108" s="20">
        <f>O108</f>
        <v>-3579267</v>
      </c>
      <c r="Q108" s="397">
        <v>-3386000</v>
      </c>
      <c r="R108" s="397">
        <v>-3344525</v>
      </c>
      <c r="S108" s="397">
        <v>-3356297</v>
      </c>
      <c r="T108" s="397">
        <v>-3129742</v>
      </c>
      <c r="U108" s="20">
        <f>T108</f>
        <v>-3129742</v>
      </c>
      <c r="V108" s="397">
        <v>-3258395</v>
      </c>
      <c r="W108" s="397">
        <v>-3094884</v>
      </c>
      <c r="X108" s="397">
        <v>-2937296</v>
      </c>
      <c r="Y108" s="397">
        <v>-2793351</v>
      </c>
      <c r="Z108" s="20">
        <f>Y108</f>
        <v>-2793351</v>
      </c>
      <c r="AA108" s="397">
        <v>-2673742</v>
      </c>
      <c r="AB108" s="397">
        <v>-2578506</v>
      </c>
      <c r="AC108" s="397">
        <v>-2388287</v>
      </c>
      <c r="AD108" s="397">
        <v>-2159093</v>
      </c>
      <c r="AE108" s="20">
        <f>AD108</f>
        <v>-2159093</v>
      </c>
      <c r="AF108" s="397">
        <v>-1898665</v>
      </c>
      <c r="AG108" s="397">
        <v>-1689180</v>
      </c>
      <c r="AH108" s="397">
        <v>-1411730</v>
      </c>
      <c r="AI108" s="397">
        <v>-1330574</v>
      </c>
      <c r="AJ108" s="20">
        <f>AI108</f>
        <v>-1330574</v>
      </c>
      <c r="AK108" s="397">
        <v>-1208247</v>
      </c>
      <c r="AL108" s="397">
        <v>-1075856</v>
      </c>
      <c r="AM108" s="397">
        <v>-999953</v>
      </c>
      <c r="AN108" s="397">
        <v>-1009394</v>
      </c>
      <c r="AO108" s="20">
        <f>AN108</f>
        <v>-1009394</v>
      </c>
      <c r="AP108" s="397">
        <v>-943573</v>
      </c>
      <c r="AQ108" s="397">
        <v>-914740</v>
      </c>
      <c r="AR108" s="397">
        <v>-881176</v>
      </c>
      <c r="AS108" s="397">
        <v>-1037246</v>
      </c>
      <c r="AT108" s="20">
        <f>AS108</f>
        <v>-1037246</v>
      </c>
      <c r="AU108" s="397">
        <v>-1156463</v>
      </c>
      <c r="AV108" s="397">
        <v>-1437794</v>
      </c>
      <c r="AW108" s="397">
        <v>-1573050</v>
      </c>
      <c r="AX108" s="397">
        <v>-1834490</v>
      </c>
      <c r="AY108" s="20">
        <f>AX108</f>
        <v>-1834490</v>
      </c>
      <c r="AZ108" s="397">
        <v>-1894692</v>
      </c>
      <c r="BA108" s="397">
        <v>-1905803</v>
      </c>
      <c r="BB108" s="397">
        <v>-1905989</v>
      </c>
      <c r="BC108" s="397">
        <v>-2125833</v>
      </c>
      <c r="BD108" s="20">
        <f>BC108</f>
        <v>-2125833</v>
      </c>
      <c r="BE108" s="397">
        <v>-2289257</v>
      </c>
      <c r="BF108" s="397">
        <v>-2494414</v>
      </c>
      <c r="BG108" s="397">
        <v>-2467581</v>
      </c>
      <c r="BH108" s="397">
        <v>-2743073</v>
      </c>
      <c r="BI108" s="20">
        <f>BH108</f>
        <v>-2743073</v>
      </c>
      <c r="BJ108" s="397">
        <v>-2840642</v>
      </c>
      <c r="BK108" s="397">
        <v>-2994830</v>
      </c>
      <c r="BL108" s="397">
        <v>-3271111</v>
      </c>
      <c r="BM108" s="397">
        <v>-3356137</v>
      </c>
      <c r="BN108" s="20">
        <f>BM108</f>
        <v>-3356137</v>
      </c>
      <c r="BO108" s="397">
        <v>-3743304</v>
      </c>
      <c r="BP108" s="397">
        <v>-4077387</v>
      </c>
      <c r="BQ108" s="397">
        <v>-4135445</v>
      </c>
      <c r="BR108" s="397">
        <v>-4250769</v>
      </c>
      <c r="BS108" s="20">
        <f>BR108</f>
        <v>-4250769</v>
      </c>
      <c r="BT108" s="397">
        <v>-4539892</v>
      </c>
      <c r="BU108" s="397">
        <v>-4628406</v>
      </c>
      <c r="BV108" s="397">
        <v>-4955681</v>
      </c>
      <c r="BW108" s="397">
        <v>-5592610</v>
      </c>
      <c r="BX108" s="20">
        <f>BW108</f>
        <v>-5592610</v>
      </c>
      <c r="BY108" s="397">
        <v>-6010824</v>
      </c>
      <c r="BZ108" s="397">
        <v>-6275909</v>
      </c>
      <c r="CA108" s="397">
        <v>-6130286</v>
      </c>
      <c r="CB108" s="397">
        <v>-7184517</v>
      </c>
      <c r="CC108" s="20">
        <f>CB108</f>
        <v>-7184517</v>
      </c>
      <c r="CD108" s="397">
        <v>-7468268</v>
      </c>
      <c r="CE108" s="397">
        <v>-7804846</v>
      </c>
      <c r="CF108" s="448">
        <f>CE108+CF114+Operating!CF39*(1-IS!CF12)</f>
        <v>-8332744.1593108987</v>
      </c>
      <c r="CG108" s="448">
        <f>CF108+CG114+Operating!CG39*(1-IS!CG12)</f>
        <v>-8857151.5579594504</v>
      </c>
      <c r="CH108" s="20">
        <f>CG108</f>
        <v>-8857151.5579594504</v>
      </c>
      <c r="CI108" s="448">
        <f>CH108+CI114+Operating!CI39*(1-IS!CI12)</f>
        <v>-9439037.1375644952</v>
      </c>
      <c r="CJ108" s="448">
        <f>CI108+CJ114+Operating!CJ39*(1-IS!CJ12)</f>
        <v>-9994319.9031330235</v>
      </c>
      <c r="CK108" s="448">
        <f>CJ108+CK114+Operating!CK39*(1-IS!CK12)</f>
        <v>-10655957.619788526</v>
      </c>
      <c r="CL108" s="448">
        <f>CK108+CL114+Operating!CL39*(1-IS!CL12)</f>
        <v>-11335684.250886273</v>
      </c>
      <c r="CM108" s="20">
        <f>CL108</f>
        <v>-11335684.250886273</v>
      </c>
      <c r="CN108" s="448">
        <f>CM108+CN114+Operating!CN39*(1-IS!CN12)</f>
        <v>-11731971.04086946</v>
      </c>
      <c r="CO108" s="448">
        <f>CN108+CO114+Operating!CO39*(1-IS!CO12)</f>
        <v>-12243385.507872177</v>
      </c>
      <c r="CP108" s="448">
        <f>CO108+CP114+Operating!CP39*(1-IS!CP12)</f>
        <v>-12882176.747655621</v>
      </c>
      <c r="CQ108" s="448">
        <f>CP108+CQ114+Operating!CQ39*(1-IS!CQ12)</f>
        <v>-13706290.162840756</v>
      </c>
      <c r="CR108" s="20">
        <f>CQ108</f>
        <v>-13706290.162840756</v>
      </c>
      <c r="CS108" s="448">
        <f>CR108+CS114+Operating!CS39*(1-IS!CS12)</f>
        <v>-14032099.128034841</v>
      </c>
      <c r="CT108" s="448">
        <f>CS108+CT114+Operating!CT39*(1-IS!CT12)</f>
        <v>-14480055.624780731</v>
      </c>
      <c r="CU108" s="448">
        <f>CT108+CU114+Operating!CU39*(1-IS!CU12)</f>
        <v>-15067235.133234024</v>
      </c>
      <c r="CV108" s="448">
        <f>CU108+CV114+Operating!CV39*(1-IS!CV12)</f>
        <v>-15856128.003788996</v>
      </c>
      <c r="CW108" s="20">
        <f>CV108</f>
        <v>-15856128.003788996</v>
      </c>
      <c r="CX108" s="448">
        <f>CW108+CX114+Operating!CX39*(1-IS!CX12)</f>
        <v>-16004303.719104854</v>
      </c>
      <c r="CY108" s="448">
        <f>CX108+CY114+Operating!CY39*(1-IS!CY12)</f>
        <v>-16307115.243852502</v>
      </c>
      <c r="CZ108" s="448">
        <f>CY108+CZ114+Operating!CZ39*(1-IS!CZ12)</f>
        <v>-16777383.86902355</v>
      </c>
      <c r="DA108" s="448">
        <f>CZ108+DA114+Operating!DA39*(1-IS!DA12)</f>
        <v>-17475618.331890419</v>
      </c>
      <c r="DB108" s="20">
        <f>DA108</f>
        <v>-17475618.331890419</v>
      </c>
    </row>
    <row r="109" spans="1:106" s="58" customFormat="1" ht="11.25" customHeight="1" x14ac:dyDescent="0.35">
      <c r="A109" s="16" t="s">
        <v>337</v>
      </c>
      <c r="B109" s="160">
        <f>B107+B108</f>
        <v>1922526</v>
      </c>
      <c r="C109" s="160">
        <f>C107+C108</f>
        <v>2100699</v>
      </c>
      <c r="D109" s="160">
        <f>D107+D108</f>
        <v>2132789</v>
      </c>
      <c r="E109" s="160">
        <f>E107+E108</f>
        <v>2057160</v>
      </c>
      <c r="F109" s="18">
        <f>E109</f>
        <v>2057160</v>
      </c>
      <c r="G109" s="160">
        <f>G107+G108</f>
        <v>1998251</v>
      </c>
      <c r="H109" s="160">
        <f>H107+H108</f>
        <v>2154957</v>
      </c>
      <c r="I109" s="160">
        <f>I107+I108</f>
        <v>2257604</v>
      </c>
      <c r="J109" s="160">
        <f>J107+J108</f>
        <v>2308262</v>
      </c>
      <c r="K109" s="18">
        <f>J109</f>
        <v>2308262</v>
      </c>
      <c r="L109" s="160">
        <f>L107+L108</f>
        <v>2323313</v>
      </c>
      <c r="M109" s="160">
        <f>M107+M108</f>
        <v>2236289</v>
      </c>
      <c r="N109" s="160">
        <f>N107+N108</f>
        <v>2141000</v>
      </c>
      <c r="O109" s="160">
        <f>O107+O108</f>
        <v>2280396</v>
      </c>
      <c r="P109" s="18">
        <f>O109</f>
        <v>2280396</v>
      </c>
      <c r="Q109" s="160">
        <f>Q107+Q108</f>
        <v>2229465</v>
      </c>
      <c r="R109" s="160">
        <f>R107+R108</f>
        <v>2192724</v>
      </c>
      <c r="S109" s="160">
        <f>S107+S108</f>
        <v>2206832</v>
      </c>
      <c r="T109" s="160">
        <f>T107+T108</f>
        <v>2045085</v>
      </c>
      <c r="U109" s="18">
        <f>T109</f>
        <v>2045085</v>
      </c>
      <c r="V109" s="160">
        <f>V107+V108</f>
        <v>2082950</v>
      </c>
      <c r="W109" s="160">
        <f>W107+W108</f>
        <v>1989559</v>
      </c>
      <c r="X109" s="160">
        <f>X107+X108</f>
        <v>1841631</v>
      </c>
      <c r="Y109" s="160">
        <f>Y107+Y108</f>
        <v>1733647</v>
      </c>
      <c r="Z109" s="18">
        <f>Y109</f>
        <v>1733647</v>
      </c>
      <c r="AA109" s="160">
        <f>AA107+AA108</f>
        <v>1652970</v>
      </c>
      <c r="AB109" s="160">
        <f>AB107+AB108</f>
        <v>1624241</v>
      </c>
      <c r="AC109" s="160">
        <f>AC107+AC108</f>
        <v>1507831</v>
      </c>
      <c r="AD109" s="160">
        <f>AD107+AD108</f>
        <v>1363412</v>
      </c>
      <c r="AE109" s="18">
        <f>AD109</f>
        <v>1363412</v>
      </c>
      <c r="AF109" s="160">
        <f>AF107+AF108</f>
        <v>1204771</v>
      </c>
      <c r="AG109" s="160">
        <f>AG107+AG108</f>
        <v>1064799</v>
      </c>
      <c r="AH109" s="160">
        <f>AH107+AH108</f>
        <v>894218</v>
      </c>
      <c r="AI109" s="160">
        <f>AI107+AI108</f>
        <v>833844</v>
      </c>
      <c r="AJ109" s="18">
        <f>AI109</f>
        <v>833844</v>
      </c>
      <c r="AK109" s="160">
        <f>AK107+AK108</f>
        <v>770637</v>
      </c>
      <c r="AL109" s="160">
        <f>AL107+AL108</f>
        <v>712571</v>
      </c>
      <c r="AM109" s="160">
        <f>AM107+AM108</f>
        <v>635788</v>
      </c>
      <c r="AN109" s="160">
        <f>AN107+AN108</f>
        <v>644637</v>
      </c>
      <c r="AO109" s="18">
        <f>AN109</f>
        <v>644637</v>
      </c>
      <c r="AP109" s="160">
        <f>AP107+AP108</f>
        <v>642751</v>
      </c>
      <c r="AQ109" s="160">
        <f>AQ107+AQ108</f>
        <v>609629</v>
      </c>
      <c r="AR109" s="160">
        <f>AR107+AR108</f>
        <v>597276</v>
      </c>
      <c r="AS109" s="160">
        <f>AS107+AS108</f>
        <v>703836</v>
      </c>
      <c r="AT109" s="18">
        <f>AS109</f>
        <v>703836</v>
      </c>
      <c r="AU109" s="160">
        <f>AU107+AU108</f>
        <v>744467</v>
      </c>
      <c r="AV109" s="160">
        <f>AV107+AV108</f>
        <v>903062</v>
      </c>
      <c r="AW109" s="160">
        <f>AW107+AW108</f>
        <v>977084</v>
      </c>
      <c r="AX109" s="160">
        <f>AX107+AX108</f>
        <v>1131509</v>
      </c>
      <c r="AY109" s="18">
        <f>AX109</f>
        <v>1131509</v>
      </c>
      <c r="AZ109" s="160">
        <f>AZ107+AZ108</f>
        <v>1160911</v>
      </c>
      <c r="BA109" s="160">
        <f>BA107+BA108</f>
        <v>1137159</v>
      </c>
      <c r="BB109" s="160">
        <f>BB107+BB108</f>
        <v>1114144</v>
      </c>
      <c r="BC109" s="160">
        <f>BC107+BC108</f>
        <v>1229496</v>
      </c>
      <c r="BD109" s="18">
        <f>BC109</f>
        <v>1229496</v>
      </c>
      <c r="BE109" s="160">
        <f>BE107+BE108</f>
        <v>1306703</v>
      </c>
      <c r="BF109" s="160">
        <f>BF107+BF108</f>
        <v>1456371</v>
      </c>
      <c r="BG109" s="160">
        <f>BG107+BG108</f>
        <v>1416405</v>
      </c>
      <c r="BH109" s="160">
        <f>BH107+BH108</f>
        <v>1610167</v>
      </c>
      <c r="BI109" s="18">
        <f>BH109</f>
        <v>1610167</v>
      </c>
      <c r="BJ109" s="160">
        <f>BJ107+BJ108</f>
        <v>1629492</v>
      </c>
      <c r="BK109" s="160">
        <f>BK107+BK108</f>
        <v>1666425</v>
      </c>
      <c r="BL109" s="160">
        <f>BL107+BL108</f>
        <v>1837236</v>
      </c>
      <c r="BM109" s="160">
        <f>BM107+BM108</f>
        <v>1887689</v>
      </c>
      <c r="BN109" s="18">
        <f>BM109</f>
        <v>1887689</v>
      </c>
      <c r="BO109" s="160">
        <f>BO107+BO108</f>
        <v>2014327</v>
      </c>
      <c r="BP109" s="160">
        <f>BP107+BP108</f>
        <v>2174443</v>
      </c>
      <c r="BQ109" s="160">
        <f>BQ107+BQ108</f>
        <v>2217099</v>
      </c>
      <c r="BR109" s="160">
        <f>BR107+BR108</f>
        <v>2382885</v>
      </c>
      <c r="BS109" s="18">
        <f>BR109</f>
        <v>2382885</v>
      </c>
      <c r="BT109" s="160">
        <f>BT107+BT108</f>
        <v>2565121</v>
      </c>
      <c r="BU109" s="160">
        <f>BU107+BU108</f>
        <v>2637529</v>
      </c>
      <c r="BV109" s="160">
        <f>BV107+BV108</f>
        <v>2833682</v>
      </c>
      <c r="BW109" s="160">
        <f>BW107+BW108</f>
        <v>3197679</v>
      </c>
      <c r="BX109" s="18">
        <f>BW109</f>
        <v>3197679</v>
      </c>
      <c r="BY109" s="160">
        <f>BY107+BY108</f>
        <v>3426132</v>
      </c>
      <c r="BZ109" s="160">
        <f>BZ107+BZ108</f>
        <v>3573117</v>
      </c>
      <c r="CA109" s="160">
        <f>CA107+CA108</f>
        <v>3500904</v>
      </c>
      <c r="CB109" s="160">
        <f>CB107+CB108</f>
        <v>4032741</v>
      </c>
      <c r="CC109" s="18">
        <f>CB109</f>
        <v>4032741</v>
      </c>
      <c r="CD109" s="160">
        <f>CD107+CD108</f>
        <v>4193837</v>
      </c>
      <c r="CE109" s="160">
        <f>CE107+CE108</f>
        <v>4423911</v>
      </c>
      <c r="CF109" s="160">
        <f>CF107+CF108</f>
        <v>4731796.763880684</v>
      </c>
      <c r="CG109" s="160">
        <f>CG107+CG108</f>
        <v>5037327.5895681176</v>
      </c>
      <c r="CH109" s="18">
        <f>CG109</f>
        <v>5037327.5895681176</v>
      </c>
      <c r="CI109" s="160">
        <f>CI107+CI108</f>
        <v>5361207.5951197986</v>
      </c>
      <c r="CJ109" s="160">
        <f>CJ107+CJ108</f>
        <v>5670192.561161004</v>
      </c>
      <c r="CK109" s="160">
        <f>CK107+CK108</f>
        <v>6039197.8761025853</v>
      </c>
      <c r="CL109" s="160">
        <f>CL107+CL108</f>
        <v>6418554.1689484157</v>
      </c>
      <c r="CM109" s="18">
        <f>CL109</f>
        <v>6418554.1689484157</v>
      </c>
      <c r="CN109" s="160">
        <f>CN107+CN108</f>
        <v>6625103.9213972762</v>
      </c>
      <c r="CO109" s="160">
        <f>CO107+CO108</f>
        <v>6895519.632876737</v>
      </c>
      <c r="CP109" s="160">
        <f>CP107+CP108</f>
        <v>7236753.5753663536</v>
      </c>
      <c r="CQ109" s="160">
        <f>CQ107+CQ108</f>
        <v>7680816.2242409755</v>
      </c>
      <c r="CR109" s="18">
        <f>CQ109</f>
        <v>7680816.2242409755</v>
      </c>
      <c r="CS109" s="160">
        <f>CS107+CS108</f>
        <v>7851341.5115895681</v>
      </c>
      <c r="CT109" s="160">
        <f>CT107+CT108</f>
        <v>8089512.1252780911</v>
      </c>
      <c r="CU109" s="160">
        <f>CU107+CU108</f>
        <v>8404878.221021872</v>
      </c>
      <c r="CV109" s="160">
        <f>CV107+CV108</f>
        <v>8831920.0542073995</v>
      </c>
      <c r="CW109" s="18">
        <f>CV109</f>
        <v>8831920.0542073995</v>
      </c>
      <c r="CX109" s="160">
        <f>CX107+CX108</f>
        <v>8906251.7626206446</v>
      </c>
      <c r="CY109" s="160">
        <f>CY107+CY108</f>
        <v>9066144.5126406271</v>
      </c>
      <c r="CZ109" s="160">
        <f>CZ107+CZ108</f>
        <v>9318751.2429926433</v>
      </c>
      <c r="DA109" s="160">
        <f>DA107+DA108</f>
        <v>9697411.9109924324</v>
      </c>
      <c r="DB109" s="18">
        <f>DA109</f>
        <v>9697411.9109924324</v>
      </c>
    </row>
    <row r="110" spans="1:106" s="58" customFormat="1" ht="11.25" customHeight="1" x14ac:dyDescent="0.35">
      <c r="A110" s="167" t="s">
        <v>338</v>
      </c>
      <c r="B110" s="228">
        <f t="shared" ref="B110:AG110" si="248">(B109)/B107</f>
        <v>0.36744305521949383</v>
      </c>
      <c r="C110" s="228">
        <f t="shared" si="248"/>
        <v>0.3587491403559076</v>
      </c>
      <c r="D110" s="228">
        <f t="shared" si="248"/>
        <v>0.36736703545950744</v>
      </c>
      <c r="E110" s="228">
        <f t="shared" si="248"/>
        <v>0.33525185038272287</v>
      </c>
      <c r="F110" s="229">
        <f t="shared" si="248"/>
        <v>0.33525185038272287</v>
      </c>
      <c r="G110" s="228">
        <f t="shared" si="248"/>
        <v>0.33449140759672163</v>
      </c>
      <c r="H110" s="228">
        <f t="shared" si="248"/>
        <v>0.3415609695326291</v>
      </c>
      <c r="I110" s="228">
        <f t="shared" si="248"/>
        <v>0.35535135271266582</v>
      </c>
      <c r="J110" s="228">
        <f t="shared" si="248"/>
        <v>0.3610548048077406</v>
      </c>
      <c r="K110" s="229">
        <f t="shared" si="248"/>
        <v>0.3610548048077406</v>
      </c>
      <c r="L110" s="228">
        <f t="shared" si="248"/>
        <v>0.36503682321541386</v>
      </c>
      <c r="M110" s="228">
        <f t="shared" si="248"/>
        <v>0.36284378900147779</v>
      </c>
      <c r="N110" s="228">
        <f t="shared" si="248"/>
        <v>0.36220605650482152</v>
      </c>
      <c r="O110" s="228">
        <f t="shared" si="248"/>
        <v>0.38916845559207075</v>
      </c>
      <c r="P110" s="229">
        <f t="shared" si="248"/>
        <v>0.38916845559207075</v>
      </c>
      <c r="Q110" s="228">
        <f t="shared" si="248"/>
        <v>0.39702233029677864</v>
      </c>
      <c r="R110" s="228">
        <f t="shared" si="248"/>
        <v>0.39599519544813677</v>
      </c>
      <c r="S110" s="228">
        <f t="shared" si="248"/>
        <v>0.39668898564099447</v>
      </c>
      <c r="T110" s="228">
        <f t="shared" si="248"/>
        <v>0.39519871872045192</v>
      </c>
      <c r="U110" s="229">
        <f t="shared" si="248"/>
        <v>0.39519871872045192</v>
      </c>
      <c r="V110" s="228">
        <f t="shared" si="248"/>
        <v>0.38996732096503783</v>
      </c>
      <c r="W110" s="228">
        <f t="shared" si="248"/>
        <v>0.39130323616569207</v>
      </c>
      <c r="X110" s="228">
        <f t="shared" si="248"/>
        <v>0.38536495744756094</v>
      </c>
      <c r="Y110" s="228">
        <f t="shared" si="248"/>
        <v>0.38295731520093446</v>
      </c>
      <c r="Z110" s="229">
        <f t="shared" si="248"/>
        <v>0.38295731520093446</v>
      </c>
      <c r="AA110" s="228">
        <f t="shared" si="248"/>
        <v>0.38203837001399676</v>
      </c>
      <c r="AB110" s="228">
        <f t="shared" si="248"/>
        <v>0.38647127700049516</v>
      </c>
      <c r="AC110" s="228">
        <f t="shared" si="248"/>
        <v>0.38700855569569503</v>
      </c>
      <c r="AD110" s="228">
        <f t="shared" si="248"/>
        <v>0.38705750595102068</v>
      </c>
      <c r="AE110" s="229">
        <f t="shared" si="248"/>
        <v>0.38705750595102068</v>
      </c>
      <c r="AF110" s="228">
        <f t="shared" si="248"/>
        <v>0.38820552445740786</v>
      </c>
      <c r="AG110" s="228">
        <f t="shared" si="248"/>
        <v>0.38664020313880387</v>
      </c>
      <c r="AH110" s="228">
        <f t="shared" ref="AH110:BM110" si="249">(AH109)/AH107</f>
        <v>0.38778758237393035</v>
      </c>
      <c r="AI110" s="228">
        <f t="shared" si="249"/>
        <v>0.38525090809631041</v>
      </c>
      <c r="AJ110" s="229">
        <f t="shared" si="249"/>
        <v>0.38525090809631041</v>
      </c>
      <c r="AK110" s="228">
        <f t="shared" si="249"/>
        <v>0.38943010302776715</v>
      </c>
      <c r="AL110" s="228">
        <f t="shared" si="249"/>
        <v>0.39843449019725158</v>
      </c>
      <c r="AM110" s="228">
        <f t="shared" si="249"/>
        <v>0.38868500575580117</v>
      </c>
      <c r="AN110" s="228">
        <f t="shared" si="249"/>
        <v>0.38973695172581407</v>
      </c>
      <c r="AO110" s="229">
        <f t="shared" si="249"/>
        <v>0.38973695172581407</v>
      </c>
      <c r="AP110" s="228">
        <f t="shared" si="249"/>
        <v>0.40518267390520474</v>
      </c>
      <c r="AQ110" s="228">
        <f t="shared" si="249"/>
        <v>0.3999221973157418</v>
      </c>
      <c r="AR110" s="228">
        <f t="shared" si="249"/>
        <v>0.40398741386260767</v>
      </c>
      <c r="AS110" s="228">
        <f t="shared" si="249"/>
        <v>0.40425206854128637</v>
      </c>
      <c r="AT110" s="229">
        <f t="shared" si="249"/>
        <v>0.40425206854128637</v>
      </c>
      <c r="AU110" s="228">
        <f t="shared" si="249"/>
        <v>0.39163304277380018</v>
      </c>
      <c r="AV110" s="228">
        <f t="shared" si="249"/>
        <v>0.38578280765668627</v>
      </c>
      <c r="AW110" s="228">
        <f t="shared" si="249"/>
        <v>0.38315006191831485</v>
      </c>
      <c r="AX110" s="228">
        <f t="shared" si="249"/>
        <v>0.38149338553384543</v>
      </c>
      <c r="AY110" s="229">
        <f t="shared" si="249"/>
        <v>0.38149338553384543</v>
      </c>
      <c r="AZ110" s="228">
        <f t="shared" si="249"/>
        <v>0.37992860983576726</v>
      </c>
      <c r="BA110" s="228">
        <f t="shared" si="249"/>
        <v>0.37370134756858614</v>
      </c>
      <c r="BB110" s="228">
        <f t="shared" si="249"/>
        <v>0.36890560779939163</v>
      </c>
      <c r="BC110" s="228">
        <f t="shared" si="249"/>
        <v>0.36643083286318567</v>
      </c>
      <c r="BD110" s="229">
        <f t="shared" si="249"/>
        <v>0.36643083286318567</v>
      </c>
      <c r="BE110" s="228">
        <f t="shared" si="249"/>
        <v>0.36338084962012923</v>
      </c>
      <c r="BF110" s="228">
        <f t="shared" si="249"/>
        <v>0.36862825995340165</v>
      </c>
      <c r="BG110" s="228">
        <f t="shared" si="249"/>
        <v>0.36467819399966939</v>
      </c>
      <c r="BH110" s="228">
        <f t="shared" si="249"/>
        <v>0.36987783811597796</v>
      </c>
      <c r="BI110" s="229">
        <f t="shared" si="249"/>
        <v>0.36987783811597796</v>
      </c>
      <c r="BJ110" s="228">
        <f t="shared" si="249"/>
        <v>0.36452866961035174</v>
      </c>
      <c r="BK110" s="228">
        <f t="shared" si="249"/>
        <v>0.35750565030233272</v>
      </c>
      <c r="BL110" s="228">
        <f t="shared" si="249"/>
        <v>0.35965371968662269</v>
      </c>
      <c r="BM110" s="228">
        <f t="shared" si="249"/>
        <v>0.35998314970786599</v>
      </c>
      <c r="BN110" s="229">
        <f t="shared" ref="BN110:CS110" si="250">(BN109)/BN107</f>
        <v>0.35998314970786599</v>
      </c>
      <c r="BO110" s="228">
        <f t="shared" si="250"/>
        <v>0.34985343798517132</v>
      </c>
      <c r="BP110" s="228">
        <f t="shared" si="250"/>
        <v>0.34780904151264508</v>
      </c>
      <c r="BQ110" s="228">
        <f t="shared" si="250"/>
        <v>0.34900962512026679</v>
      </c>
      <c r="BR110" s="228">
        <f t="shared" si="250"/>
        <v>0.359211529573294</v>
      </c>
      <c r="BS110" s="229">
        <f t="shared" si="250"/>
        <v>0.359211529573294</v>
      </c>
      <c r="BT110" s="228">
        <f t="shared" si="250"/>
        <v>0.3610297405507914</v>
      </c>
      <c r="BU110" s="228">
        <f t="shared" si="250"/>
        <v>0.36299925611776046</v>
      </c>
      <c r="BV110" s="228">
        <f t="shared" si="250"/>
        <v>0.36378866924034736</v>
      </c>
      <c r="BW110" s="228">
        <f t="shared" si="250"/>
        <v>0.36377404656433937</v>
      </c>
      <c r="BX110" s="229">
        <f t="shared" si="250"/>
        <v>0.36377404656433937</v>
      </c>
      <c r="BY110" s="228">
        <f t="shared" si="250"/>
        <v>0.36305478164781102</v>
      </c>
      <c r="BZ110" s="228">
        <f>(BZ109)/BZ107</f>
        <v>0.36278886866579496</v>
      </c>
      <c r="CA110" s="228">
        <f>(CA109)/CA107</f>
        <v>0.36349651496855528</v>
      </c>
      <c r="CB110" s="228">
        <f t="shared" ref="CB110" si="251">(CB109)/CB107</f>
        <v>0.35951219094719938</v>
      </c>
      <c r="CC110" s="229">
        <f t="shared" si="250"/>
        <v>0.35951219094719938</v>
      </c>
      <c r="CD110" s="228">
        <f t="shared" ref="CD110" si="252">(CD109)/CD107</f>
        <v>0.35961235128649588</v>
      </c>
      <c r="CE110" s="228">
        <f>(CE109)/CE107</f>
        <v>0.36176293306016305</v>
      </c>
      <c r="CF110" s="228">
        <f t="shared" si="250"/>
        <v>0.36218622542496021</v>
      </c>
      <c r="CG110" s="228">
        <f t="shared" si="250"/>
        <v>0.36254166392876103</v>
      </c>
      <c r="CH110" s="229">
        <f t="shared" si="250"/>
        <v>0.36254166392876103</v>
      </c>
      <c r="CI110" s="228">
        <f t="shared" si="250"/>
        <v>0.36223776646613909</v>
      </c>
      <c r="CJ110" s="228">
        <f t="shared" si="250"/>
        <v>0.36197695741158514</v>
      </c>
      <c r="CK110" s="228">
        <f t="shared" si="250"/>
        <v>0.36173355064521012</v>
      </c>
      <c r="CL110" s="228">
        <f t="shared" si="250"/>
        <v>0.36152235974130731</v>
      </c>
      <c r="CM110" s="229">
        <f t="shared" si="250"/>
        <v>0.36152235974130731</v>
      </c>
      <c r="CN110" s="228">
        <f t="shared" si="250"/>
        <v>0.36090193753717759</v>
      </c>
      <c r="CO110" s="228">
        <f t="shared" si="250"/>
        <v>0.3602880928750406</v>
      </c>
      <c r="CP110" s="228">
        <f t="shared" si="250"/>
        <v>0.35969872449358697</v>
      </c>
      <c r="CQ110" s="228">
        <f t="shared" si="250"/>
        <v>0.35913302553543908</v>
      </c>
      <c r="CR110" s="229">
        <f t="shared" si="250"/>
        <v>0.35913302553543908</v>
      </c>
      <c r="CS110" s="228">
        <f t="shared" si="250"/>
        <v>0.35878003102369199</v>
      </c>
      <c r="CT110" s="228">
        <f t="shared" ref="CT110:DB110" si="253">(CT109)/CT107</f>
        <v>0.35842565594801912</v>
      </c>
      <c r="CU110" s="228">
        <f t="shared" si="253"/>
        <v>0.35807931284968525</v>
      </c>
      <c r="CV110" s="228">
        <f t="shared" si="253"/>
        <v>0.35774071864489759</v>
      </c>
      <c r="CW110" s="229">
        <f t="shared" si="253"/>
        <v>0.35774071864489759</v>
      </c>
      <c r="CX110" s="228">
        <f t="shared" si="253"/>
        <v>0.35752923170076689</v>
      </c>
      <c r="CY110" s="228">
        <f t="shared" si="253"/>
        <v>0.35731098801053973</v>
      </c>
      <c r="CZ110" s="228">
        <f t="shared" si="253"/>
        <v>0.35709315586359541</v>
      </c>
      <c r="DA110" s="228">
        <f t="shared" si="253"/>
        <v>0.35687635218866964</v>
      </c>
      <c r="DB110" s="229">
        <f t="shared" si="253"/>
        <v>0.35687635218866964</v>
      </c>
    </row>
    <row r="111" spans="1:106" s="54" customFormat="1" ht="11.25" customHeight="1" outlineLevel="1" x14ac:dyDescent="0.35">
      <c r="A111" s="19" t="s">
        <v>339</v>
      </c>
      <c r="B111" s="23"/>
      <c r="C111" s="23">
        <f>B107-(IS!C5+36600)</f>
        <v>3977177</v>
      </c>
      <c r="D111" s="23">
        <f>C107-IS!D5</f>
        <v>4669992</v>
      </c>
      <c r="E111" s="23">
        <f>D107-(IS!E5+267000)</f>
        <v>4124734</v>
      </c>
      <c r="F111" s="29">
        <f>E111</f>
        <v>4124734</v>
      </c>
      <c r="G111" s="23">
        <f>F107-IS!G5</f>
        <v>4910372</v>
      </c>
      <c r="H111" s="23">
        <f>G107-IS!H5</f>
        <v>4561553</v>
      </c>
      <c r="I111" s="23">
        <f>H107-IS!I5</f>
        <v>4722241</v>
      </c>
      <c r="J111" s="23">
        <f>I107-IS!J5</f>
        <v>4311647</v>
      </c>
      <c r="K111" s="29">
        <f>J111</f>
        <v>4311647</v>
      </c>
      <c r="L111" s="23">
        <f>K107-IS!L5</f>
        <v>4887531</v>
      </c>
      <c r="M111" s="23">
        <f>L107-IS!M5</f>
        <v>4950351</v>
      </c>
      <c r="N111" s="23">
        <f>M107-IS!N5</f>
        <v>4768498</v>
      </c>
      <c r="O111" s="23">
        <f>N107-IS!O5</f>
        <v>4509600</v>
      </c>
      <c r="P111" s="29">
        <f>O111</f>
        <v>4509600</v>
      </c>
      <c r="Q111" s="23">
        <f>P107-Operating!Q39</f>
        <v>4922116.92</v>
      </c>
      <c r="R111" s="23">
        <f>Q107-Operating!R39</f>
        <v>4716990.5999999996</v>
      </c>
      <c r="S111" s="23">
        <f>R107-Operating!S39</f>
        <v>4651289.16</v>
      </c>
      <c r="T111" s="23">
        <f>S107-Operating!T39</f>
        <v>4617397.07</v>
      </c>
      <c r="U111" s="29">
        <f>T111</f>
        <v>4617397.07</v>
      </c>
      <c r="V111" s="23">
        <f>U107-Operating!V39</f>
        <v>4346854.68</v>
      </c>
      <c r="W111" s="23">
        <f>V107-Operating!W39</f>
        <v>4486729.8</v>
      </c>
      <c r="X111" s="23">
        <f>W107-Operating!X39</f>
        <v>3965865.54</v>
      </c>
      <c r="Y111" s="23">
        <f>X107-Operating!Y39</f>
        <v>3966509.41</v>
      </c>
      <c r="Z111" s="29">
        <f>Y111</f>
        <v>3966509.41</v>
      </c>
      <c r="AA111" s="23">
        <f>Z107-Operating!AA39</f>
        <v>3757408.34</v>
      </c>
      <c r="AB111" s="23">
        <f>AA107-Operating!AB39</f>
        <v>3591170.96</v>
      </c>
      <c r="AC111" s="23">
        <f>AB107-Operating!AC39</f>
        <v>3488280.01</v>
      </c>
      <c r="AD111" s="23">
        <f>AC107-Operating!AD39</f>
        <v>3194816.76</v>
      </c>
      <c r="AE111" s="29">
        <f>AD111</f>
        <v>3194816.76</v>
      </c>
      <c r="AF111" s="23">
        <f>AE107-Operating!AF39</f>
        <v>2923679.15</v>
      </c>
      <c r="AG111" s="23">
        <f>AF107-Operating!AG39</f>
        <v>2575851.88</v>
      </c>
      <c r="AH111" s="23">
        <f>AG107-Operating!AH39</f>
        <v>2285802.5699999998</v>
      </c>
      <c r="AI111" s="23">
        <f>AH107-Operating!AI39</f>
        <v>1890877.36</v>
      </c>
      <c r="AJ111" s="29">
        <f>AI111</f>
        <v>1890877.36</v>
      </c>
      <c r="AK111" s="23">
        <f>AJ107-Operating!AK39</f>
        <v>1796466.94</v>
      </c>
      <c r="AL111" s="23">
        <f>AK107-Operating!AL39</f>
        <v>1622684.88</v>
      </c>
      <c r="AM111" s="23">
        <f>AL107-Operating!AM39</f>
        <v>1466510.1400000001</v>
      </c>
      <c r="AN111" s="23">
        <f>AM107-Operating!AN39</f>
        <v>1341307.6200000001</v>
      </c>
      <c r="AO111" s="29">
        <f>AN111</f>
        <v>1341307.6200000001</v>
      </c>
      <c r="AP111" s="23">
        <f>AO107-Operating!AP39</f>
        <v>1389386.04</v>
      </c>
      <c r="AQ111" s="23">
        <f>AP107-Operating!AQ39</f>
        <v>1332512.1599999999</v>
      </c>
      <c r="AR111" s="23">
        <f>AQ107-Operating!AR39</f>
        <v>1280469.96</v>
      </c>
      <c r="AS111" s="23">
        <f>AR107-Operating!AS39</f>
        <v>1241899.68</v>
      </c>
      <c r="AT111" s="29">
        <f>AS111</f>
        <v>1241899.68</v>
      </c>
      <c r="AU111" s="23">
        <f>AT107-Operating!AU39</f>
        <v>1462508.88</v>
      </c>
      <c r="AV111" s="23">
        <f>AU107-Operating!AV39</f>
        <v>1596781.2</v>
      </c>
      <c r="AW111" s="23">
        <f>AV107-Operating!AW39</f>
        <v>1966319.04</v>
      </c>
      <c r="AX111" s="23">
        <f>AW107-Operating!AX39</f>
        <v>2142112.56</v>
      </c>
      <c r="AY111" s="29">
        <f>AX111</f>
        <v>2142112.56</v>
      </c>
      <c r="AZ111" s="23">
        <f>AY107-Operating!AZ39</f>
        <v>2491439.16</v>
      </c>
      <c r="BA111" s="23">
        <f>AZ107-Operating!BA39</f>
        <v>2566706.52</v>
      </c>
      <c r="BB111" s="23">
        <f>BA107-Operating!BB39</f>
        <v>2556088.08</v>
      </c>
      <c r="BC111" s="23">
        <f>BB107-Operating!BC39</f>
        <v>2536911.7199999997</v>
      </c>
      <c r="BD111" s="29">
        <f>BC111</f>
        <v>2536911.7199999997</v>
      </c>
      <c r="BE111" s="23">
        <f>BD107-Operating!BE39</f>
        <v>2852029.65</v>
      </c>
      <c r="BF111" s="23">
        <f>BE107-Operating!BF39</f>
        <v>3056566</v>
      </c>
      <c r="BG111" s="23">
        <f>BF107-Operating!BG39</f>
        <v>3358167.25</v>
      </c>
      <c r="BH111" s="23">
        <f>BG107-Operating!BH39</f>
        <v>3301388.1</v>
      </c>
      <c r="BI111" s="29">
        <f>BH111</f>
        <v>3301388.1</v>
      </c>
      <c r="BJ111" s="23">
        <f>BI107-Operating!BJ39</f>
        <v>3809085</v>
      </c>
      <c r="BK111" s="23">
        <f>BJ107-Operating!BK39</f>
        <v>3911367.25</v>
      </c>
      <c r="BL111" s="23">
        <f>BK107-Operating!BL39</f>
        <v>4078598.125</v>
      </c>
      <c r="BM111" s="23">
        <f>BL107-Operating!BM39</f>
        <v>4469803.625</v>
      </c>
      <c r="BN111" s="29">
        <f>BM111</f>
        <v>4469803.625</v>
      </c>
      <c r="BO111" s="23">
        <f>BN107-Operating!BO39</f>
        <v>4588347.75</v>
      </c>
      <c r="BP111" s="23">
        <f>BO107-Operating!BP39</f>
        <v>5037927.125</v>
      </c>
      <c r="BQ111" s="23">
        <f>BP107-Operating!BQ39</f>
        <v>5470351.25</v>
      </c>
      <c r="BR111" s="23">
        <f>BQ107-Operating!BR39</f>
        <v>5558476</v>
      </c>
      <c r="BS111" s="29">
        <f>BR111</f>
        <v>5558476</v>
      </c>
      <c r="BT111" s="23">
        <f>BS107-Operating!BT39</f>
        <v>5804447.25</v>
      </c>
      <c r="BU111" s="23">
        <f>BT107-Operating!BU39</f>
        <v>6216886.375</v>
      </c>
      <c r="BV111" s="23">
        <f>BU107-Operating!BV39</f>
        <v>6357693.125</v>
      </c>
      <c r="BW111" s="23">
        <f>BV107-Operating!BW39</f>
        <v>6815692.625</v>
      </c>
      <c r="BX111" s="29">
        <f>BW111</f>
        <v>6815692.625</v>
      </c>
      <c r="BY111" s="23">
        <f>BX107-Operating!BY39</f>
        <v>7691502.875</v>
      </c>
      <c r="BZ111" s="23">
        <f>BY107-Operating!BZ39</f>
        <v>8257336.5</v>
      </c>
      <c r="CA111" s="23">
        <f>BZ107-Operating!CA39</f>
        <v>8617897.75</v>
      </c>
      <c r="CB111" s="23">
        <f>CA107-Operating!CB39</f>
        <v>8427291.25</v>
      </c>
      <c r="CC111" s="29">
        <f>CB111</f>
        <v>8427291.25</v>
      </c>
      <c r="CD111" s="23">
        <f>CC107-Operating!CD39</f>
        <v>9815100.75</v>
      </c>
      <c r="CE111" s="23">
        <f>CD107-Operating!CE39</f>
        <v>10204341.875</v>
      </c>
      <c r="CF111" s="448">
        <f>CE107-Operating!CF39</f>
        <v>10700162.375</v>
      </c>
      <c r="CG111" s="448">
        <f>CF107-Operating!CG39</f>
        <v>11431473.307792636</v>
      </c>
      <c r="CH111" s="29">
        <f>CG111</f>
        <v>11431473.307792636</v>
      </c>
      <c r="CI111" s="448">
        <f>CH107-Operating!CI39</f>
        <v>12366086.441299535</v>
      </c>
      <c r="CJ111" s="448">
        <f>CI107-Operating!CJ39</f>
        <v>13172217.812089022</v>
      </c>
      <c r="CK111" s="448">
        <f>CJ107-Operating!CK39</f>
        <v>13941416.093221685</v>
      </c>
      <c r="CL111" s="448">
        <f>CK107-Operating!CL39</f>
        <v>14858688.391343089</v>
      </c>
      <c r="CM111" s="29">
        <f>CL111</f>
        <v>14858688.391343089</v>
      </c>
      <c r="CN111" s="448">
        <f>CM107-Operating!CN39</f>
        <v>15890043.385752046</v>
      </c>
      <c r="CO111" s="448">
        <f>CN107-Operating!CO39</f>
        <v>16429582.091228729</v>
      </c>
      <c r="CP111" s="448">
        <f>CO107-Operating!CP39</f>
        <v>17129320.100970279</v>
      </c>
      <c r="CQ111" s="448">
        <f>CP107-Operating!CQ39</f>
        <v>18006442.639104668</v>
      </c>
      <c r="CR111" s="29">
        <f>CQ111</f>
        <v>18006442.639104668</v>
      </c>
      <c r="CS111" s="448">
        <f>CR107-Operating!CS39</f>
        <v>19248395.748373557</v>
      </c>
      <c r="CT111" s="448">
        <f>CS107-Operating!CT39</f>
        <v>19695096.575661968</v>
      </c>
      <c r="CU111" s="448">
        <f>CT107-Operating!CU39</f>
        <v>20312610.975052942</v>
      </c>
      <c r="CV111" s="448">
        <f>CU107-Operating!CV39</f>
        <v>21124902.018830307</v>
      </c>
      <c r="CW111" s="29">
        <f>CV111</f>
        <v>21124902.018830307</v>
      </c>
      <c r="CX111" s="448">
        <f>CW107-Operating!CX39</f>
        <v>22219243.252196755</v>
      </c>
      <c r="CY111" s="448">
        <f>CX107-Operating!CY39</f>
        <v>22419499.933552951</v>
      </c>
      <c r="CZ111" s="448">
        <f>CY107-Operating!CZ39</f>
        <v>22835933.780843817</v>
      </c>
      <c r="DA111" s="448">
        <f>CZ107-Operating!DA39</f>
        <v>23486521.600814573</v>
      </c>
      <c r="DB111" s="29">
        <f>DA111</f>
        <v>23486521.600814573</v>
      </c>
    </row>
    <row r="112" spans="1:106" s="54" customFormat="1" ht="11.25" customHeight="1" outlineLevel="1" x14ac:dyDescent="0.35">
      <c r="A112" s="170" t="s">
        <v>278</v>
      </c>
      <c r="B112" s="227"/>
      <c r="C112" s="227">
        <f>C107-C111</f>
        <v>1878444</v>
      </c>
      <c r="D112" s="227">
        <f>D107-D111</f>
        <v>1135616</v>
      </c>
      <c r="E112" s="227">
        <f>E107-E111</f>
        <v>2011429</v>
      </c>
      <c r="F112" s="202">
        <f>SUM(B112:E112)</f>
        <v>5025489</v>
      </c>
      <c r="G112" s="227">
        <f>G107-G111</f>
        <v>1063626</v>
      </c>
      <c r="H112" s="227">
        <f>H107-H111</f>
        <v>1747590</v>
      </c>
      <c r="I112" s="227">
        <f>I107-I111</f>
        <v>1630919</v>
      </c>
      <c r="J112" s="227">
        <f>J107-J111</f>
        <v>2081460</v>
      </c>
      <c r="K112" s="202">
        <f>SUM(G112:J112)</f>
        <v>6523595</v>
      </c>
      <c r="L112" s="227">
        <f>L107-L111</f>
        <v>1477068</v>
      </c>
      <c r="M112" s="227">
        <f>M107-M111</f>
        <v>1212877</v>
      </c>
      <c r="N112" s="227">
        <f>N107-N111</f>
        <v>1142502</v>
      </c>
      <c r="O112" s="227">
        <f>O107-O111</f>
        <v>1350063</v>
      </c>
      <c r="P112" s="202">
        <f>SUM(L112:O112)</f>
        <v>5182510</v>
      </c>
      <c r="Q112" s="227">
        <f>Q107-Q111</f>
        <v>693348.08000000007</v>
      </c>
      <c r="R112" s="227">
        <f>R107-R111</f>
        <v>820258.40000000037</v>
      </c>
      <c r="S112" s="227">
        <f>S107-S111</f>
        <v>911839.83999999985</v>
      </c>
      <c r="T112" s="227">
        <f>T107-T111</f>
        <v>557429.9299999997</v>
      </c>
      <c r="U112" s="202">
        <f>SUM(Q112:T112)</f>
        <v>2982876.25</v>
      </c>
      <c r="V112" s="227">
        <f>V107-V111</f>
        <v>994490.3200000003</v>
      </c>
      <c r="W112" s="227">
        <f>W107-W111</f>
        <v>597713.20000000019</v>
      </c>
      <c r="X112" s="227">
        <f>X107-X111</f>
        <v>813061.46</v>
      </c>
      <c r="Y112" s="227">
        <f>Y107-Y111</f>
        <v>560488.58999999985</v>
      </c>
      <c r="Z112" s="202">
        <f>SUM(V112:Y112)</f>
        <v>2965753.5700000003</v>
      </c>
      <c r="AA112" s="227">
        <f>AA107-AA111</f>
        <v>569303.66000000015</v>
      </c>
      <c r="AB112" s="227">
        <f>AB107-AB111</f>
        <v>611576.04</v>
      </c>
      <c r="AC112" s="227">
        <f>AC107-AC111</f>
        <v>407837.99000000022</v>
      </c>
      <c r="AD112" s="227">
        <f>AD107-AD111</f>
        <v>327688.24000000022</v>
      </c>
      <c r="AE112" s="202">
        <f>SUM(AA112:AD112)</f>
        <v>1916405.9300000006</v>
      </c>
      <c r="AF112" s="227">
        <f>AF107-AF111</f>
        <v>179756.85000000009</v>
      </c>
      <c r="AG112" s="227">
        <f>AG107-AG111</f>
        <v>178127.12000000011</v>
      </c>
      <c r="AH112" s="227">
        <f>AH107-AH111</f>
        <v>20145.430000000168</v>
      </c>
      <c r="AI112" s="227">
        <f>AI107-AI111</f>
        <v>273540.6399999999</v>
      </c>
      <c r="AJ112" s="202">
        <f>SUM(AF112:AI112)</f>
        <v>651570.04000000027</v>
      </c>
      <c r="AK112" s="227">
        <f>AK107-AK111</f>
        <v>182417.06000000006</v>
      </c>
      <c r="AL112" s="227">
        <f>AL107-AL111</f>
        <v>165742.12000000011</v>
      </c>
      <c r="AM112" s="227">
        <f>AM107-AM111</f>
        <v>169230.85999999987</v>
      </c>
      <c r="AN112" s="227">
        <f>AN107-AN111</f>
        <v>312723.37999999989</v>
      </c>
      <c r="AO112" s="202">
        <f>SUM(AK112:AN112)</f>
        <v>830113.41999999993</v>
      </c>
      <c r="AP112" s="227">
        <f>AP107-AP111</f>
        <v>196937.95999999996</v>
      </c>
      <c r="AQ112" s="227">
        <f>AQ107-AQ111</f>
        <v>191856.84000000008</v>
      </c>
      <c r="AR112" s="227">
        <f>AR107-AR111</f>
        <v>197982.04000000004</v>
      </c>
      <c r="AS112" s="227">
        <f>AS107-AS111</f>
        <v>499182.32000000007</v>
      </c>
      <c r="AT112" s="202">
        <f>SUM(AP112:AS112)</f>
        <v>1085959.1600000001</v>
      </c>
      <c r="AU112" s="227">
        <f>AU107-AU111</f>
        <v>438421.12000000011</v>
      </c>
      <c r="AV112" s="227">
        <f>AV107-AV111</f>
        <v>744074.8</v>
      </c>
      <c r="AW112" s="227">
        <f>AW107-AW111</f>
        <v>583814.96</v>
      </c>
      <c r="AX112" s="227">
        <f>AX107-AX111</f>
        <v>823886.44</v>
      </c>
      <c r="AY112" s="202">
        <f>SUM(AU112:AX112)</f>
        <v>2590197.3200000003</v>
      </c>
      <c r="AZ112" s="227">
        <f>AZ107-AZ111</f>
        <v>564163.83999999985</v>
      </c>
      <c r="BA112" s="227">
        <f>BA107-BA111</f>
        <v>476255.48</v>
      </c>
      <c r="BB112" s="227">
        <f>BB107-BB111</f>
        <v>464044.91999999993</v>
      </c>
      <c r="BC112" s="227">
        <f>BC107-BC111</f>
        <v>818417.28000000026</v>
      </c>
      <c r="BD112" s="202">
        <f>SUM(AZ112:BC112)</f>
        <v>2322881.52</v>
      </c>
      <c r="BE112" s="227">
        <f>BE107-BE111</f>
        <v>743930.35000000009</v>
      </c>
      <c r="BF112" s="227">
        <f>BF107-BF111</f>
        <v>894219</v>
      </c>
      <c r="BG112" s="227">
        <f>BG107-BG111</f>
        <v>525818.75</v>
      </c>
      <c r="BH112" s="227">
        <f>BH107-BH111</f>
        <v>1051851.8999999999</v>
      </c>
      <c r="BI112" s="202">
        <f>SUM(BE112:BH112)</f>
        <v>3215820</v>
      </c>
      <c r="BJ112" s="227">
        <f>BJ107-BJ111</f>
        <v>661049</v>
      </c>
      <c r="BK112" s="227">
        <f>BK107-BK111</f>
        <v>749887.75</v>
      </c>
      <c r="BL112" s="227">
        <f>BL107-BL111</f>
        <v>1029748.875</v>
      </c>
      <c r="BM112" s="227">
        <f>BM107-BM111</f>
        <v>774022.375</v>
      </c>
      <c r="BN112" s="202">
        <f>SUM(BJ112:BM112)</f>
        <v>3214708</v>
      </c>
      <c r="BO112" s="227">
        <f>BO107-BO111</f>
        <v>1169283.25</v>
      </c>
      <c r="BP112" s="227">
        <f>BP107-BP111</f>
        <v>1213902.875</v>
      </c>
      <c r="BQ112" s="227">
        <f>BQ107-BQ111</f>
        <v>882192.75</v>
      </c>
      <c r="BR112" s="227">
        <f>BR107-BR111</f>
        <v>1075178</v>
      </c>
      <c r="BS112" s="202">
        <f>SUM(BO112:BR112)</f>
        <v>4340556.875</v>
      </c>
      <c r="BT112" s="227">
        <f>BT107-BT111</f>
        <v>1300565.75</v>
      </c>
      <c r="BU112" s="227">
        <f>BU107-BU111</f>
        <v>1049048.625</v>
      </c>
      <c r="BV112" s="227">
        <f>BV107-BV111</f>
        <v>1431669.875</v>
      </c>
      <c r="BW112" s="227">
        <f>BW107-BW111</f>
        <v>1974596.375</v>
      </c>
      <c r="BX112" s="202">
        <f>SUM(BT112:BW112)</f>
        <v>5755880.625</v>
      </c>
      <c r="BY112" s="227">
        <f>BY107-BY111</f>
        <v>1745453.125</v>
      </c>
      <c r="BZ112" s="227">
        <f>BZ107-BZ111</f>
        <v>1591689.5</v>
      </c>
      <c r="CA112" s="227">
        <f>CA107-CA111</f>
        <v>1013292.25</v>
      </c>
      <c r="CB112" s="227">
        <f>CB107-CB111</f>
        <v>2789966.75</v>
      </c>
      <c r="CC112" s="202">
        <f>SUM(BY112:CB112)</f>
        <v>7140401.625</v>
      </c>
      <c r="CD112" s="227">
        <f>CD107-CD111</f>
        <v>1847004.25</v>
      </c>
      <c r="CE112" s="227">
        <f>CE107-CE111</f>
        <v>2024415.125</v>
      </c>
      <c r="CF112" s="498">
        <f>Operating!CF9-Operating!CF37</f>
        <v>2364378.5481915832</v>
      </c>
      <c r="CG112" s="498">
        <f>Operating!CG9-Operating!CG37</f>
        <v>2463005.8397349315</v>
      </c>
      <c r="CH112" s="202">
        <f>SUM(CD112:CG112)</f>
        <v>8698803.7629265152</v>
      </c>
      <c r="CI112" s="498">
        <f>Operating!CI9-Operating!CI37</f>
        <v>2434158.2913847584</v>
      </c>
      <c r="CJ112" s="498">
        <f>Operating!CJ9-Operating!CJ37</f>
        <v>2492294.6522050044</v>
      </c>
      <c r="CK112" s="498">
        <f>Operating!CK9-Operating!CK37</f>
        <v>2753739.4026694261</v>
      </c>
      <c r="CL112" s="498">
        <f>Operating!CL9-Operating!CL37</f>
        <v>2895550.0284915995</v>
      </c>
      <c r="CM112" s="202">
        <f>SUM(CI112:CL112)</f>
        <v>10575742.374750789</v>
      </c>
      <c r="CN112" s="498">
        <f>Operating!CN9-Operating!CN37</f>
        <v>2467031.5765146879</v>
      </c>
      <c r="CO112" s="498">
        <f>Operating!CO9-Operating!CO37</f>
        <v>2709323.0495201857</v>
      </c>
      <c r="CP112" s="498">
        <f>Operating!CP9-Operating!CP37</f>
        <v>2989610.2220516936</v>
      </c>
      <c r="CQ112" s="498">
        <f>Operating!CQ9-Operating!CQ37</f>
        <v>3380663.747977064</v>
      </c>
      <c r="CR112" s="202">
        <f>SUM(CN112:CQ112)</f>
        <v>11546628.596063633</v>
      </c>
      <c r="CS112" s="498">
        <f>Operating!CS9-Operating!CS37</f>
        <v>2635044.8912508525</v>
      </c>
      <c r="CT112" s="498">
        <f>Operating!CT9-Operating!CT37</f>
        <v>2874471.174396853</v>
      </c>
      <c r="CU112" s="498">
        <f>Operating!CU9-Operating!CU37</f>
        <v>3159502.3792029554</v>
      </c>
      <c r="CV112" s="498">
        <f>Operating!CV9-Operating!CV37</f>
        <v>3563146.0391660887</v>
      </c>
      <c r="CW112" s="202">
        <f>SUM(CS112:CV112)</f>
        <v>12232164.48401675</v>
      </c>
      <c r="CX112" s="498">
        <f>Operating!CX9-Operating!CX37</f>
        <v>2691312.2295287419</v>
      </c>
      <c r="CY112" s="498">
        <f>Operating!CY9-Operating!CY37</f>
        <v>2953759.8229401791</v>
      </c>
      <c r="CZ112" s="498">
        <f>Operating!CZ9-Operating!CZ37</f>
        <v>3260201.3311723778</v>
      </c>
      <c r="DA112" s="498">
        <f>Operating!DA9-Operating!DA37</f>
        <v>3686508.642068279</v>
      </c>
      <c r="DB112" s="202">
        <f>SUM(CX112:DA112)</f>
        <v>12591782.025709577</v>
      </c>
    </row>
    <row r="113" spans="1:106" s="54" customFormat="1" ht="11.25" customHeight="1" outlineLevel="1" x14ac:dyDescent="0.35">
      <c r="A113" s="19" t="s">
        <v>340</v>
      </c>
      <c r="B113" s="23"/>
      <c r="C113" s="23">
        <f>B108-IS!C11</f>
        <v>-2528999</v>
      </c>
      <c r="D113" s="23">
        <f>C108-IS!D11</f>
        <v>-3031633</v>
      </c>
      <c r="E113" s="23">
        <f>D108-IS!E11</f>
        <v>-2693295</v>
      </c>
      <c r="F113" s="29">
        <f>E113</f>
        <v>-2693295</v>
      </c>
      <c r="G113" s="23">
        <f>F108-IS!G11</f>
        <v>-3264706</v>
      </c>
      <c r="H113" s="23">
        <f>G108-IS!H11</f>
        <v>-3037278</v>
      </c>
      <c r="I113" s="23">
        <f>H108-IS!I11</f>
        <v>-3120338</v>
      </c>
      <c r="J113" s="23">
        <f>I108-IS!J11</f>
        <v>-2743989</v>
      </c>
      <c r="K113" s="29">
        <f>J113</f>
        <v>-2743989</v>
      </c>
      <c r="L113" s="23">
        <f>K108-IS!L11</f>
        <v>-3131256</v>
      </c>
      <c r="M113" s="23">
        <f>L108-IS!M11</f>
        <v>-3120454</v>
      </c>
      <c r="N113" s="23">
        <f>M108-IS!N11</f>
        <v>-3057271</v>
      </c>
      <c r="O113" s="23">
        <f>N108-IS!O11</f>
        <v>-2933281</v>
      </c>
      <c r="P113" s="29">
        <f>O113</f>
        <v>-2933281</v>
      </c>
      <c r="Q113" s="23">
        <f>P108+Operating!Q39*(1-IS!Q12)</f>
        <v>-2989524.8187552663</v>
      </c>
      <c r="R113" s="23">
        <f>Q108+Operating!R39*(1-IS!R12)</f>
        <v>-2818297.9085811237</v>
      </c>
      <c r="S113" s="23">
        <f>R108+Operating!S39*(1-IS!S12)</f>
        <v>-2797981.1462602969</v>
      </c>
      <c r="T113" s="23">
        <f>S108+Operating!T39*(1-IS!T12)</f>
        <v>-2792863.3441050868</v>
      </c>
      <c r="U113" s="29">
        <f>T113</f>
        <v>-2792863.3441050868</v>
      </c>
      <c r="V113" s="23">
        <f>U108+Operating!V39*(1-IS!V12)</f>
        <v>-2622590.5396797401</v>
      </c>
      <c r="W113" s="23">
        <f>V108+Operating!W39*(1-IS!W12)</f>
        <v>-2737471.2892409805</v>
      </c>
      <c r="X113" s="23">
        <f>W108+Operating!X39*(1-IS!X12)</f>
        <v>-2353558.798567859</v>
      </c>
      <c r="Y113" s="23">
        <f>X108+Operating!Y39*(1-IS!Y12)</f>
        <v>-2431025.1420179047</v>
      </c>
      <c r="Z113" s="29">
        <f>Y113</f>
        <v>-2431025.1420179047</v>
      </c>
      <c r="AA113" s="23">
        <f>Z108+Operating!AA39*(1-IS!AA12)</f>
        <v>-2341123.9375679977</v>
      </c>
      <c r="AB113" s="23">
        <f>AA108+Operating!AB39*(1-IS!AB12)</f>
        <v>-2234713.8257832406</v>
      </c>
      <c r="AC113" s="23">
        <f>AB108+Operating!AC39*(1-IS!AC12)</f>
        <v>-2153183.6543659749</v>
      </c>
      <c r="AD113" s="23">
        <f>AC108+Operating!AD39*(1-IS!AD12)</f>
        <v>-1967060.2928172396</v>
      </c>
      <c r="AE113" s="29">
        <f>AD113</f>
        <v>-1967060.2928172396</v>
      </c>
      <c r="AF113" s="23">
        <f>AE108+Operating!AF39*(1-IS!AF12)</f>
        <v>-1817804.8331691013</v>
      </c>
      <c r="AG113" s="23">
        <f>AF108+Operating!AG39*(1-IS!AG12)</f>
        <v>-1635605.7303008509</v>
      </c>
      <c r="AH113" s="23">
        <f>AG108+Operating!AH39*(1-IS!AH12)</f>
        <v>-1409624.1257210937</v>
      </c>
      <c r="AI113" s="23">
        <f>AH108+Operating!AI39*(1-IS!AI12)</f>
        <v>-1147515.3829311756</v>
      </c>
      <c r="AJ113" s="29">
        <f>AI113</f>
        <v>-1147515.3829311756</v>
      </c>
      <c r="AK113" s="23">
        <f>AJ108+Operating!AK39*(1-IS!AK12)</f>
        <v>-1105524.9310386078</v>
      </c>
      <c r="AL113" s="23">
        <f>AK108+Operating!AL39*(1-IS!AL12)</f>
        <v>-983245.72561502061</v>
      </c>
      <c r="AM113" s="23">
        <f>AL108+Operating!AM39*(1-IS!AM12)</f>
        <v>-860345.46867084003</v>
      </c>
      <c r="AN113" s="23">
        <f>AM108+Operating!AN39*(1-IS!AN12)</f>
        <v>-805725.17098175641</v>
      </c>
      <c r="AO113" s="29">
        <f>AN113</f>
        <v>-805725.17098175641</v>
      </c>
      <c r="AP113" s="23">
        <f>AO108+Operating!AP39*(1-IS!AP12)</f>
        <v>-838052.53784566687</v>
      </c>
      <c r="AQ113" s="23">
        <f>AP108+Operating!AQ39*(1-IS!AQ12)</f>
        <v>-774197.78967565624</v>
      </c>
      <c r="AR113" s="23">
        <f>AQ108+Operating!AR39*(1-IS!AR12)</f>
        <v>-755634.48795999889</v>
      </c>
      <c r="AS113" s="23">
        <f>AR108+Operating!AS39*(1-IS!AS12)</f>
        <v>-723593.15197761089</v>
      </c>
      <c r="AT113" s="29">
        <f>AS113</f>
        <v>-723593.15197761089</v>
      </c>
      <c r="AU113" s="23">
        <f>AT108+Operating!AU39*(1-IS!AU12)</f>
        <v>-856002.85555828502</v>
      </c>
      <c r="AV113" s="23">
        <f>AU108+Operating!AV39*(1-IS!AV12)</f>
        <v>-958448.75219439506</v>
      </c>
      <c r="AW113" s="23">
        <f>AV108+Operating!AW39*(1-IS!AW12)</f>
        <v>-1192253.765477434</v>
      </c>
      <c r="AX113" s="23">
        <f>AW108+Operating!AX39*(1-IS!AX12)</f>
        <v>-1305602.0212384504</v>
      </c>
      <c r="AY113" s="29">
        <f>AX113</f>
        <v>-1305602.0212384504</v>
      </c>
      <c r="AZ113" s="23">
        <f>AY108+Operating!AZ39*(1-IS!AZ12)</f>
        <v>-1535066.573069891</v>
      </c>
      <c r="BA113" s="23">
        <f>AZ108+Operating!BA39*(1-IS!BA12)</f>
        <v>-1586926.0579306632</v>
      </c>
      <c r="BB113" s="23">
        <f>BA108+Operating!BB39*(1-IS!BB12)</f>
        <v>-1591676.3283982202</v>
      </c>
      <c r="BC113" s="23">
        <f>BB108+Operating!BC39*(1-IS!BC12)</f>
        <v>-1590941.6047360329</v>
      </c>
      <c r="BD113" s="29">
        <f>BC113</f>
        <v>-1590941.6047360329</v>
      </c>
      <c r="BE113" s="23">
        <f>BD108+Operating!BE39*(1-IS!BE12)</f>
        <v>-1808517.2597365088</v>
      </c>
      <c r="BF113" s="23">
        <f>BE108+Operating!BF39*(1-IS!BF12)</f>
        <v>-1960858.7477793391</v>
      </c>
      <c r="BG113" s="23">
        <f>BF108+Operating!BG39*(1-IS!BG12)</f>
        <v>-2125174.6555680847</v>
      </c>
      <c r="BH113" s="23">
        <f>BG108+Operating!BH39*(1-IS!BH12)</f>
        <v>-2090588.4491011531</v>
      </c>
      <c r="BI113" s="29">
        <f>BH113</f>
        <v>-2090588.4491011531</v>
      </c>
      <c r="BJ113" s="23">
        <f>BI108+Operating!BJ39*(1-IS!BJ12)</f>
        <v>-2385178.0838725921</v>
      </c>
      <c r="BK113" s="23">
        <f>BJ108+Operating!BK39*(1-IS!BK12)</f>
        <v>-2477131.891774646</v>
      </c>
      <c r="BL113" s="23">
        <f>BK108+Operating!BL39*(1-IS!BL12)</f>
        <v>-2628713.2432254888</v>
      </c>
      <c r="BM113" s="23">
        <f>BL108+Operating!BM39*(1-IS!BM12)</f>
        <v>-2856872.9376462623</v>
      </c>
      <c r="BN113" s="29">
        <f>BM113</f>
        <v>-2856872.9376462623</v>
      </c>
      <c r="BO113" s="23">
        <f>BN108+Operating!BO39*(1-IS!BO12)</f>
        <v>-2925801.6560928738</v>
      </c>
      <c r="BP113" s="23">
        <f>BO108+Operating!BP39*(1-IS!BP12)</f>
        <v>-3279398.8563020206</v>
      </c>
      <c r="BQ113" s="23">
        <f>BP108+Operating!BQ39*(1-IS!BQ12)</f>
        <v>-3582213.4551528539</v>
      </c>
      <c r="BR113" s="23">
        <f>BQ108+Operating!BR39*(1-IS!BR12)</f>
        <v>-3632706.000480026</v>
      </c>
      <c r="BS113" s="29">
        <f>BR113</f>
        <v>-3632706.000480026</v>
      </c>
      <c r="BT113" s="23">
        <f>BS108+Operating!BT39*(1-IS!BT12)</f>
        <v>-3709672.6263081413</v>
      </c>
      <c r="BU113" s="23">
        <f>BT108+Operating!BU39*(1-IS!BU12)</f>
        <v>-3973084.0338691268</v>
      </c>
      <c r="BV113" s="23">
        <f>BU108+Operating!BV39*(1-IS!BV12)</f>
        <v>-4051715.9033627426</v>
      </c>
      <c r="BW113" s="23">
        <f>BV108+Operating!BW39*(1-IS!BW12)</f>
        <v>-4320227.1375296395</v>
      </c>
      <c r="BX113" s="29">
        <f>BW113</f>
        <v>-4320227.1375296395</v>
      </c>
      <c r="BY113" s="23">
        <f>BX108+Operating!BY39*(1-IS!BY12)</f>
        <v>-4885159.098712015</v>
      </c>
      <c r="BZ113" s="23">
        <f>BY108+Operating!BZ39*(1-IS!BZ12)</f>
        <v>-5257538.8773558522</v>
      </c>
      <c r="CA113" s="23">
        <f>BZ108+Operating!CA39*(1-IS!CA12)</f>
        <v>-5494970.954778973</v>
      </c>
      <c r="CB113" s="23">
        <f>CA108+Operating!CB39*(1-IS!CB12)</f>
        <v>-5346251.396739874</v>
      </c>
      <c r="CC113" s="29">
        <f>CB113</f>
        <v>-5346251.396739874</v>
      </c>
      <c r="CD113" s="23">
        <f>CC108+Operating!CD39*(1-IS!CD12)</f>
        <v>-6304779.82809225</v>
      </c>
      <c r="CE113" s="23">
        <f>CD108+Operating!CE39*(1-IS!CE12)</f>
        <v>-6567300.7152783517</v>
      </c>
      <c r="CF113" s="448">
        <f>CE108+Operating!CF39*(1-IS!CF12)</f>
        <v>-6831363.7812092444</v>
      </c>
      <c r="CG113" s="448">
        <f>CF108+Operating!CG39*(1-IS!CG12)</f>
        <v>-7293142.8497277694</v>
      </c>
      <c r="CH113" s="29">
        <f>CG113</f>
        <v>-7293142.8497277694</v>
      </c>
      <c r="CI113" s="448">
        <f>CH108+Operating!CI39*(1-IS!CI12)</f>
        <v>-7881175.831078249</v>
      </c>
      <c r="CJ113" s="448">
        <f>CI108+Operating!CJ39*(1-IS!CJ12)</f>
        <v>-8399251.3257218208</v>
      </c>
      <c r="CK113" s="448">
        <f>CJ108+Operating!CK39*(1-IS!CK12)</f>
        <v>-8893564.4020800926</v>
      </c>
      <c r="CL113" s="448">
        <f>CK108+Operating!CL39*(1-IS!CL12)</f>
        <v>-9482532.232651649</v>
      </c>
      <c r="CM113" s="29">
        <f>CL113</f>
        <v>-9482532.232651649</v>
      </c>
      <c r="CN113" s="448">
        <f>CM108+Operating!CN39*(1-IS!CN12)</f>
        <v>-10140735.674017485</v>
      </c>
      <c r="CO113" s="448">
        <f>CN108+Operating!CO39*(1-IS!CO12)</f>
        <v>-10495872.140931657</v>
      </c>
      <c r="CP113" s="448">
        <f>CO108+Operating!CP39*(1-IS!CP12)</f>
        <v>-10953878.154432278</v>
      </c>
      <c r="CQ113" s="448">
        <f>CP108+Operating!CQ39*(1-IS!CQ12)</f>
        <v>-11525762.045395549</v>
      </c>
      <c r="CR113" s="29">
        <f>CQ113</f>
        <v>-11525762.045395549</v>
      </c>
      <c r="CS113" s="448">
        <f>CR108+Operating!CS39*(1-IS!CS12)</f>
        <v>-12332495.173178041</v>
      </c>
      <c r="CT113" s="448">
        <f>CS108+Operating!CT39*(1-IS!CT12)</f>
        <v>-12626021.717294762</v>
      </c>
      <c r="CU113" s="448">
        <f>CT108+Operating!CU39*(1-IS!CU12)</f>
        <v>-13029356.098648118</v>
      </c>
      <c r="CV113" s="448">
        <f>CU108+Operating!CV39*(1-IS!CV12)</f>
        <v>-13557898.80852687</v>
      </c>
      <c r="CW113" s="29">
        <f>CV113</f>
        <v>-13557898.80852687</v>
      </c>
      <c r="CX113" s="448">
        <f>CW108+Operating!CX39*(1-IS!CX12)</f>
        <v>-14268407.331058817</v>
      </c>
      <c r="CY113" s="448">
        <f>CX108+Operating!CY39*(1-IS!CY12)</f>
        <v>-14401940.158056088</v>
      </c>
      <c r="CZ113" s="448">
        <f>CY108+Operating!CZ39*(1-IS!CZ12)</f>
        <v>-14674554.010417366</v>
      </c>
      <c r="DA113" s="448">
        <f>CZ108+Operating!DA39*(1-IS!DA12)</f>
        <v>-15097820.257756379</v>
      </c>
      <c r="DB113" s="29">
        <f>DA113</f>
        <v>-15097820.257756379</v>
      </c>
    </row>
    <row r="114" spans="1:106" s="54" customFormat="1" ht="11.25" customHeight="1" outlineLevel="1" x14ac:dyDescent="0.35">
      <c r="A114" s="170" t="s">
        <v>341</v>
      </c>
      <c r="B114" s="227"/>
      <c r="C114" s="227">
        <f>C108-C113</f>
        <v>-1225923</v>
      </c>
      <c r="D114" s="227">
        <f>D108-D113</f>
        <v>-641186</v>
      </c>
      <c r="E114" s="227">
        <f>E108-E113</f>
        <v>-1385708</v>
      </c>
      <c r="F114" s="202">
        <f>SUM(B114:E114)</f>
        <v>-3252817</v>
      </c>
      <c r="G114" s="227">
        <f>G108-G113</f>
        <v>-711041</v>
      </c>
      <c r="H114" s="227">
        <f>H108-H113</f>
        <v>-1116908</v>
      </c>
      <c r="I114" s="227">
        <f>I108-I113</f>
        <v>-975218</v>
      </c>
      <c r="J114" s="227">
        <f>J108-J113</f>
        <v>-1340856</v>
      </c>
      <c r="K114" s="202">
        <f>SUM(G114:J114)</f>
        <v>-4144023</v>
      </c>
      <c r="L114" s="227">
        <f>L108-L113</f>
        <v>-910030</v>
      </c>
      <c r="M114" s="227">
        <f>M108-M113</f>
        <v>-806485</v>
      </c>
      <c r="N114" s="227">
        <f>N108-N113</f>
        <v>-712729</v>
      </c>
      <c r="O114" s="227">
        <f>O108-O113</f>
        <v>-645986</v>
      </c>
      <c r="P114" s="202">
        <f>SUM(L114:O114)</f>
        <v>-3075230</v>
      </c>
      <c r="Q114" s="227">
        <f>Q108-Q113</f>
        <v>-396475.18124473374</v>
      </c>
      <c r="R114" s="227">
        <f>R108-R113</f>
        <v>-526227.09141887631</v>
      </c>
      <c r="S114" s="227">
        <f>S108-S113</f>
        <v>-558315.85373970307</v>
      </c>
      <c r="T114" s="227">
        <f>T108-T113</f>
        <v>-336878.65589491324</v>
      </c>
      <c r="U114" s="202">
        <f>SUM(Q114:T114)</f>
        <v>-1817896.7822982264</v>
      </c>
      <c r="V114" s="227">
        <f>V108-V113</f>
        <v>-635804.46032025991</v>
      </c>
      <c r="W114" s="227">
        <f>W108-W113</f>
        <v>-357412.71075901948</v>
      </c>
      <c r="X114" s="227">
        <f>X108-X113</f>
        <v>-583737.20143214101</v>
      </c>
      <c r="Y114" s="227">
        <f>Y108-Y113</f>
        <v>-362325.85798209533</v>
      </c>
      <c r="Z114" s="202">
        <f>SUM(V114:Y114)</f>
        <v>-1939280.2304935157</v>
      </c>
      <c r="AA114" s="227">
        <f>AA108-AA113</f>
        <v>-332618.06243200228</v>
      </c>
      <c r="AB114" s="227">
        <f>AB108-AB113</f>
        <v>-343792.17421675939</v>
      </c>
      <c r="AC114" s="227">
        <f>AC108-AC113</f>
        <v>-235103.34563402506</v>
      </c>
      <c r="AD114" s="227">
        <f>AD108-AD113</f>
        <v>-192032.70718276035</v>
      </c>
      <c r="AE114" s="202">
        <f>SUM(AA114:AD114)</f>
        <v>-1103546.2894655471</v>
      </c>
      <c r="AF114" s="227">
        <f>AF108-AF113</f>
        <v>-80860.166830898728</v>
      </c>
      <c r="AG114" s="227">
        <f>AG108-AG113</f>
        <v>-53574.269699149067</v>
      </c>
      <c r="AH114" s="227">
        <f>AH108-AH113</f>
        <v>-2105.8742789062671</v>
      </c>
      <c r="AI114" s="227">
        <f>AI108-AI113</f>
        <v>-183058.61706882436</v>
      </c>
      <c r="AJ114" s="202">
        <f>SUM(AF114:AI114)</f>
        <v>-319598.92787777842</v>
      </c>
      <c r="AK114" s="227">
        <f>AK108-AK113</f>
        <v>-102722.06896139216</v>
      </c>
      <c r="AL114" s="227">
        <f>AL108-AL113</f>
        <v>-92610.274384979391</v>
      </c>
      <c r="AM114" s="227">
        <f>AM108-AM113</f>
        <v>-139607.53132915997</v>
      </c>
      <c r="AN114" s="227">
        <f>AN108-AN113</f>
        <v>-203668.82901824359</v>
      </c>
      <c r="AO114" s="202">
        <f>SUM(AK114:AN114)</f>
        <v>-538608.70369377511</v>
      </c>
      <c r="AP114" s="227">
        <f>AP108-AP113</f>
        <v>-105520.46215433313</v>
      </c>
      <c r="AQ114" s="227">
        <f>AQ108-AQ113</f>
        <v>-140542.21032434376</v>
      </c>
      <c r="AR114" s="227">
        <f>AR108-AR113</f>
        <v>-125541.51204000111</v>
      </c>
      <c r="AS114" s="227">
        <f>AS108-AS113</f>
        <v>-313652.84802238911</v>
      </c>
      <c r="AT114" s="202">
        <f>SUM(AP114:AS114)</f>
        <v>-685257.03254106711</v>
      </c>
      <c r="AU114" s="227">
        <f>AU108-AU113</f>
        <v>-300460.14444171498</v>
      </c>
      <c r="AV114" s="227">
        <f>AV108-AV113</f>
        <v>-479345.24780560494</v>
      </c>
      <c r="AW114" s="227">
        <f>AW108-AW113</f>
        <v>-380796.23452256597</v>
      </c>
      <c r="AX114" s="227">
        <f>AX108-AX113</f>
        <v>-528887.97876154957</v>
      </c>
      <c r="AY114" s="202">
        <f>SUM(AU114:AX114)</f>
        <v>-1689489.6055314355</v>
      </c>
      <c r="AZ114" s="227">
        <f>AZ108-AZ113</f>
        <v>-359625.42693010904</v>
      </c>
      <c r="BA114" s="227">
        <f>BA108-BA113</f>
        <v>-318876.94206933677</v>
      </c>
      <c r="BB114" s="227">
        <f>BB108-BB113</f>
        <v>-314312.67160177976</v>
      </c>
      <c r="BC114" s="227">
        <f>BC108-BC113</f>
        <v>-534891.3952639671</v>
      </c>
      <c r="BD114" s="202">
        <f>SUM(AZ114:BC114)</f>
        <v>-1527706.4358651927</v>
      </c>
      <c r="BE114" s="227">
        <f>BE108-BE113</f>
        <v>-480739.74026349117</v>
      </c>
      <c r="BF114" s="227">
        <f>BF108-BF113</f>
        <v>-533555.25222066091</v>
      </c>
      <c r="BG114" s="227">
        <f>BG108-BG113</f>
        <v>-342406.34443191532</v>
      </c>
      <c r="BH114" s="227">
        <f>BH108-BH113</f>
        <v>-652484.55089884694</v>
      </c>
      <c r="BI114" s="202">
        <f>SUM(BE114:BH114)</f>
        <v>-2009185.8878149143</v>
      </c>
      <c r="BJ114" s="227">
        <f>BJ108-BJ113</f>
        <v>-455463.91612740792</v>
      </c>
      <c r="BK114" s="227">
        <f>BK108-BK113</f>
        <v>-517698.10822535399</v>
      </c>
      <c r="BL114" s="227">
        <f>BL108-BL113</f>
        <v>-642397.75677451119</v>
      </c>
      <c r="BM114" s="227">
        <f>BM108-BM113</f>
        <v>-499264.06235373765</v>
      </c>
      <c r="BN114" s="202">
        <f>SUM(BJ114:BM114)</f>
        <v>-2114823.8434810108</v>
      </c>
      <c r="BO114" s="227">
        <f>BO108-BO113</f>
        <v>-817502.34390712623</v>
      </c>
      <c r="BP114" s="227">
        <f>BP108-BP113</f>
        <v>-797988.14369797939</v>
      </c>
      <c r="BQ114" s="227">
        <f>BQ108-BQ113</f>
        <v>-553231.54484714614</v>
      </c>
      <c r="BR114" s="227">
        <f>BR108-BR113</f>
        <v>-618062.99951997399</v>
      </c>
      <c r="BS114" s="202">
        <f>SUM(BO114:BR114)</f>
        <v>-2786785.0319722258</v>
      </c>
      <c r="BT114" s="227">
        <f>BT108-BT113</f>
        <v>-830219.37369185872</v>
      </c>
      <c r="BU114" s="227">
        <f>BU108-BU113</f>
        <v>-655321.96613087319</v>
      </c>
      <c r="BV114" s="227">
        <f>BV108-BV113</f>
        <v>-903965.09663725737</v>
      </c>
      <c r="BW114" s="227">
        <f>BW108-BW113</f>
        <v>-1272382.8624703605</v>
      </c>
      <c r="BX114" s="202">
        <f>SUM(BT114:BW114)</f>
        <v>-3661889.2989303498</v>
      </c>
      <c r="BY114" s="227">
        <f>BY108-BY113</f>
        <v>-1125664.901287985</v>
      </c>
      <c r="BZ114" s="227">
        <f>BZ108-BZ113</f>
        <v>-1018370.1226441478</v>
      </c>
      <c r="CA114" s="227">
        <f>CA108-CA113</f>
        <v>-635315.04522102699</v>
      </c>
      <c r="CB114" s="227">
        <f>CB108-CB113</f>
        <v>-1838265.603260126</v>
      </c>
      <c r="CC114" s="202">
        <f>SUM(BY114:CB114)</f>
        <v>-4617615.6724132858</v>
      </c>
      <c r="CD114" s="227">
        <f>CD108-CD113</f>
        <v>-1163488.17190775</v>
      </c>
      <c r="CE114" s="227">
        <f>CE108-CE113</f>
        <v>-1237545.2847216483</v>
      </c>
      <c r="CF114" s="227">
        <f>CF116-CF112</f>
        <v>-1501380.3781016553</v>
      </c>
      <c r="CG114" s="227">
        <f>CG116-CG112</f>
        <v>-1564008.7082316815</v>
      </c>
      <c r="CH114" s="202">
        <f>SUM(CD114:CG114)</f>
        <v>-5466422.5429627355</v>
      </c>
      <c r="CI114" s="227">
        <f>CI116-CI112</f>
        <v>-1557861.3064862455</v>
      </c>
      <c r="CJ114" s="227">
        <f>CJ116-CJ112</f>
        <v>-1595068.5774112027</v>
      </c>
      <c r="CK114" s="227">
        <f>CK116-CK112</f>
        <v>-1762393.2177084326</v>
      </c>
      <c r="CL114" s="227">
        <f>CL116-CL112</f>
        <v>-1853152.0182346236</v>
      </c>
      <c r="CM114" s="202">
        <f>SUM(CI114:CL114)</f>
        <v>-6768475.1198405046</v>
      </c>
      <c r="CN114" s="227">
        <f>CN116-CN112</f>
        <v>-1591235.3668519738</v>
      </c>
      <c r="CO114" s="227">
        <f>CO116-CO112</f>
        <v>-1747513.3669405198</v>
      </c>
      <c r="CP114" s="227">
        <f>CP116-CP112</f>
        <v>-1928298.5932233424</v>
      </c>
      <c r="CQ114" s="227">
        <f>CQ116-CQ112</f>
        <v>-2180528.1174452063</v>
      </c>
      <c r="CR114" s="202">
        <f>SUM(CN114:CQ114)</f>
        <v>-7447575.4444610421</v>
      </c>
      <c r="CS114" s="227">
        <f>CS116-CS112</f>
        <v>-1699603.9548567999</v>
      </c>
      <c r="CT114" s="227">
        <f>CT116-CT112</f>
        <v>-1854033.9074859703</v>
      </c>
      <c r="CU114" s="227">
        <f>CU116-CU112</f>
        <v>-2037879.0345859062</v>
      </c>
      <c r="CV114" s="227">
        <f>CV116-CV112</f>
        <v>-2298229.1952621276</v>
      </c>
      <c r="CW114" s="202">
        <f>SUM(CS114:CV114)</f>
        <v>-7889746.092190804</v>
      </c>
      <c r="CX114" s="227">
        <f>CX116-CX112</f>
        <v>-1735896.3880460386</v>
      </c>
      <c r="CY114" s="227">
        <f>CY116-CY112</f>
        <v>-1905175.0857964156</v>
      </c>
      <c r="CZ114" s="227">
        <f>CZ116-CZ112</f>
        <v>-2102829.8586061839</v>
      </c>
      <c r="DA114" s="227">
        <f>DA116-DA112</f>
        <v>-2377798.0741340397</v>
      </c>
      <c r="DB114" s="202">
        <f>SUM(CX114:DA114)</f>
        <v>-8121699.4065826777</v>
      </c>
    </row>
    <row r="115" spans="1:106" s="54" customFormat="1" ht="11.25" customHeight="1" outlineLevel="1" x14ac:dyDescent="0.35">
      <c r="A115" s="19" t="s">
        <v>342</v>
      </c>
      <c r="B115" s="23"/>
      <c r="C115" s="23">
        <f t="shared" ref="C115:E116" si="254">C111+C113</f>
        <v>1448178</v>
      </c>
      <c r="D115" s="23">
        <f t="shared" si="254"/>
        <v>1638359</v>
      </c>
      <c r="E115" s="23">
        <f t="shared" si="254"/>
        <v>1431439</v>
      </c>
      <c r="F115" s="29">
        <f>E115</f>
        <v>1431439</v>
      </c>
      <c r="G115" s="23">
        <f t="shared" ref="G115:J116" si="255">G111+G113</f>
        <v>1645666</v>
      </c>
      <c r="H115" s="23">
        <f t="shared" si="255"/>
        <v>1524275</v>
      </c>
      <c r="I115" s="23">
        <f t="shared" si="255"/>
        <v>1601903</v>
      </c>
      <c r="J115" s="23">
        <f t="shared" si="255"/>
        <v>1567658</v>
      </c>
      <c r="K115" s="29">
        <f>J115</f>
        <v>1567658</v>
      </c>
      <c r="L115" s="23">
        <f t="shared" ref="L115:O116" si="256">L111+L113</f>
        <v>1756275</v>
      </c>
      <c r="M115" s="23">
        <f t="shared" si="256"/>
        <v>1829897</v>
      </c>
      <c r="N115" s="23">
        <f t="shared" si="256"/>
        <v>1711227</v>
      </c>
      <c r="O115" s="23">
        <f t="shared" si="256"/>
        <v>1576319</v>
      </c>
      <c r="P115" s="29">
        <f>O115</f>
        <v>1576319</v>
      </c>
      <c r="Q115" s="23">
        <f t="shared" ref="Q115:T116" si="257">Q111+Q113</f>
        <v>1932592.1012447337</v>
      </c>
      <c r="R115" s="23">
        <f t="shared" si="257"/>
        <v>1898692.6914188759</v>
      </c>
      <c r="S115" s="23">
        <f t="shared" si="257"/>
        <v>1853308.0137397032</v>
      </c>
      <c r="T115" s="23">
        <f t="shared" si="257"/>
        <v>1824533.7258949135</v>
      </c>
      <c r="U115" s="29">
        <f>T115</f>
        <v>1824533.7258949135</v>
      </c>
      <c r="V115" s="23">
        <f t="shared" ref="V115:Y116" si="258">V111+V113</f>
        <v>1724264.1403202596</v>
      </c>
      <c r="W115" s="23">
        <f t="shared" si="258"/>
        <v>1749258.5107590193</v>
      </c>
      <c r="X115" s="23">
        <f t="shared" si="258"/>
        <v>1612306.741432141</v>
      </c>
      <c r="Y115" s="23">
        <f t="shared" si="258"/>
        <v>1535484.2679820955</v>
      </c>
      <c r="Z115" s="29">
        <f>Y115</f>
        <v>1535484.2679820955</v>
      </c>
      <c r="AA115" s="23">
        <f t="shared" ref="AA115:AD116" si="259">AA111+AA113</f>
        <v>1416284.4024320021</v>
      </c>
      <c r="AB115" s="23">
        <f t="shared" si="259"/>
        <v>1356457.1342167594</v>
      </c>
      <c r="AC115" s="23">
        <f t="shared" si="259"/>
        <v>1335096.3556340248</v>
      </c>
      <c r="AD115" s="23">
        <f t="shared" si="259"/>
        <v>1227756.4671827601</v>
      </c>
      <c r="AE115" s="29">
        <f>AD115</f>
        <v>1227756.4671827601</v>
      </c>
      <c r="AF115" s="23">
        <f t="shared" ref="AF115:AI116" si="260">AF111+AF113</f>
        <v>1105874.3168308986</v>
      </c>
      <c r="AG115" s="23">
        <f t="shared" si="260"/>
        <v>940246.14969914895</v>
      </c>
      <c r="AH115" s="23">
        <f t="shared" si="260"/>
        <v>876178.4442789061</v>
      </c>
      <c r="AI115" s="23">
        <f t="shared" si="260"/>
        <v>743361.97706882446</v>
      </c>
      <c r="AJ115" s="29">
        <f>AI115</f>
        <v>743361.97706882446</v>
      </c>
      <c r="AK115" s="23">
        <f t="shared" ref="AK115:AN116" si="261">AK111+AK113</f>
        <v>690942.0089613921</v>
      </c>
      <c r="AL115" s="23">
        <f t="shared" si="261"/>
        <v>639439.15438497928</v>
      </c>
      <c r="AM115" s="23">
        <f t="shared" si="261"/>
        <v>606164.6713291601</v>
      </c>
      <c r="AN115" s="23">
        <f t="shared" si="261"/>
        <v>535582.4490182437</v>
      </c>
      <c r="AO115" s="29">
        <f>AN115</f>
        <v>535582.4490182437</v>
      </c>
      <c r="AP115" s="23">
        <f t="shared" ref="AP115:AS116" si="262">AP111+AP113</f>
        <v>551333.50215433317</v>
      </c>
      <c r="AQ115" s="23">
        <f t="shared" si="262"/>
        <v>558314.37032434368</v>
      </c>
      <c r="AR115" s="23">
        <f t="shared" si="262"/>
        <v>524835.47204000107</v>
      </c>
      <c r="AS115" s="23">
        <f t="shared" si="262"/>
        <v>518306.52802238904</v>
      </c>
      <c r="AT115" s="29">
        <f>AS115</f>
        <v>518306.52802238904</v>
      </c>
      <c r="AU115" s="23">
        <f t="shared" ref="AU115:AX116" si="263">AU111+AU113</f>
        <v>606506.02444171486</v>
      </c>
      <c r="AV115" s="23">
        <f t="shared" si="263"/>
        <v>638332.4478056049</v>
      </c>
      <c r="AW115" s="23">
        <f t="shared" si="263"/>
        <v>774065.274522566</v>
      </c>
      <c r="AX115" s="23">
        <f t="shared" si="263"/>
        <v>836510.53876154963</v>
      </c>
      <c r="AY115" s="29">
        <f>AX115</f>
        <v>836510.53876154963</v>
      </c>
      <c r="AZ115" s="23">
        <f t="shared" ref="AZ115:BC116" si="264">AZ111+AZ113</f>
        <v>956372.58693010919</v>
      </c>
      <c r="BA115" s="23">
        <f t="shared" si="264"/>
        <v>979780.46206933679</v>
      </c>
      <c r="BB115" s="23">
        <f t="shared" si="264"/>
        <v>964411.75160177983</v>
      </c>
      <c r="BC115" s="23">
        <f t="shared" si="264"/>
        <v>945970.11526396684</v>
      </c>
      <c r="BD115" s="29">
        <f>BC115</f>
        <v>945970.11526396684</v>
      </c>
      <c r="BE115" s="23">
        <f t="shared" ref="BE115:BH116" si="265">BE111+BE113</f>
        <v>1043512.3902634911</v>
      </c>
      <c r="BF115" s="23">
        <f t="shared" si="265"/>
        <v>1095707.2522206609</v>
      </c>
      <c r="BG115" s="23">
        <f t="shared" si="265"/>
        <v>1232992.5944319153</v>
      </c>
      <c r="BH115" s="23">
        <f t="shared" si="265"/>
        <v>1210799.650898847</v>
      </c>
      <c r="BI115" s="29">
        <f>BH115</f>
        <v>1210799.650898847</v>
      </c>
      <c r="BJ115" s="23">
        <f t="shared" ref="BJ115:BM116" si="266">BJ111+BJ113</f>
        <v>1423906.9161274079</v>
      </c>
      <c r="BK115" s="23">
        <f t="shared" si="266"/>
        <v>1434235.358225354</v>
      </c>
      <c r="BL115" s="23">
        <f t="shared" si="266"/>
        <v>1449884.8817745112</v>
      </c>
      <c r="BM115" s="23">
        <f t="shared" si="266"/>
        <v>1612930.6873537377</v>
      </c>
      <c r="BN115" s="29">
        <f>BM115</f>
        <v>1612930.6873537377</v>
      </c>
      <c r="BO115" s="23">
        <f t="shared" ref="BO115:BR116" si="267">BO111+BO113</f>
        <v>1662546.0939071262</v>
      </c>
      <c r="BP115" s="23">
        <f t="shared" si="267"/>
        <v>1758528.2686979794</v>
      </c>
      <c r="BQ115" s="23">
        <f t="shared" si="267"/>
        <v>1888137.7948471461</v>
      </c>
      <c r="BR115" s="23">
        <f t="shared" si="267"/>
        <v>1925769.999519974</v>
      </c>
      <c r="BS115" s="29">
        <f>BR115</f>
        <v>1925769.999519974</v>
      </c>
      <c r="BT115" s="23">
        <f t="shared" ref="BT115:BW116" si="268">BT111+BT113</f>
        <v>2094774.6236918587</v>
      </c>
      <c r="BU115" s="23">
        <f t="shared" si="268"/>
        <v>2243802.3411308732</v>
      </c>
      <c r="BV115" s="23">
        <f t="shared" si="268"/>
        <v>2305977.2216372574</v>
      </c>
      <c r="BW115" s="23">
        <f t="shared" si="268"/>
        <v>2495465.4874703605</v>
      </c>
      <c r="BX115" s="29">
        <f>BW115</f>
        <v>2495465.4874703605</v>
      </c>
      <c r="BY115" s="23">
        <f t="shared" ref="BY115:CA116" si="269">BY111+BY113</f>
        <v>2806343.776287985</v>
      </c>
      <c r="BZ115" s="23">
        <f t="shared" si="269"/>
        <v>2999797.6226441478</v>
      </c>
      <c r="CA115" s="23">
        <f t="shared" si="269"/>
        <v>3122926.795221027</v>
      </c>
      <c r="CB115" s="23">
        <f t="shared" ref="CB115" si="270">CB111+CB113</f>
        <v>3081039.853260126</v>
      </c>
      <c r="CC115" s="29">
        <f>CB115</f>
        <v>3081039.853260126</v>
      </c>
      <c r="CD115" s="23">
        <f t="shared" ref="CD115:CE115" si="271">CD111+CD113</f>
        <v>3510320.92190775</v>
      </c>
      <c r="CE115" s="23">
        <f t="shared" si="271"/>
        <v>3637041.1597216483</v>
      </c>
      <c r="CF115" s="23">
        <f>CF111+CF113</f>
        <v>3868798.5937907556</v>
      </c>
      <c r="CG115" s="23">
        <f>CG111+CG113</f>
        <v>4138330.4580648663</v>
      </c>
      <c r="CH115" s="29">
        <f>CG115</f>
        <v>4138330.4580648663</v>
      </c>
      <c r="CI115" s="23">
        <f>CI111+CI113</f>
        <v>4484910.6102212863</v>
      </c>
      <c r="CJ115" s="23">
        <f>CJ111+CJ113</f>
        <v>4772966.4863672014</v>
      </c>
      <c r="CK115" s="23">
        <f>CK111+CK113</f>
        <v>5047851.6911415923</v>
      </c>
      <c r="CL115" s="23">
        <f>CL111+CL113</f>
        <v>5376156.1586914398</v>
      </c>
      <c r="CM115" s="29">
        <f>CL115</f>
        <v>5376156.1586914398</v>
      </c>
      <c r="CN115" s="23">
        <f>CN111+CN113</f>
        <v>5749307.7117345612</v>
      </c>
      <c r="CO115" s="23">
        <f>CO111+CO113</f>
        <v>5933709.9502970725</v>
      </c>
      <c r="CP115" s="23">
        <f>CP111+CP113</f>
        <v>6175441.9465380013</v>
      </c>
      <c r="CQ115" s="23">
        <f>CQ111+CQ113</f>
        <v>6480680.5937091187</v>
      </c>
      <c r="CR115" s="29">
        <f>CQ115</f>
        <v>6480680.5937091187</v>
      </c>
      <c r="CS115" s="23">
        <f>CS111+CS113</f>
        <v>6915900.5751955155</v>
      </c>
      <c r="CT115" s="23">
        <f>CT111+CT113</f>
        <v>7069074.8583672065</v>
      </c>
      <c r="CU115" s="23">
        <f>CU111+CU113</f>
        <v>7283254.8764048237</v>
      </c>
      <c r="CV115" s="23">
        <f>CV111+CV113</f>
        <v>7567003.210303437</v>
      </c>
      <c r="CW115" s="29">
        <f>CV115</f>
        <v>7567003.210303437</v>
      </c>
      <c r="CX115" s="23">
        <f>CX111+CX113</f>
        <v>7950835.9211379383</v>
      </c>
      <c r="CY115" s="23">
        <f>CY111+CY113</f>
        <v>8017559.7754968628</v>
      </c>
      <c r="CZ115" s="23">
        <f>CZ111+CZ113</f>
        <v>8161379.7704264503</v>
      </c>
      <c r="DA115" s="23">
        <f>DA111+DA113</f>
        <v>8388701.343058195</v>
      </c>
      <c r="DB115" s="29">
        <f>DA115</f>
        <v>8388701.343058195</v>
      </c>
    </row>
    <row r="116" spans="1:106" s="54" customFormat="1" ht="11.25" customHeight="1" outlineLevel="1" x14ac:dyDescent="0.35">
      <c r="A116" s="170" t="s">
        <v>30</v>
      </c>
      <c r="B116" s="227"/>
      <c r="C116" s="227">
        <f t="shared" si="254"/>
        <v>652521</v>
      </c>
      <c r="D116" s="227">
        <f t="shared" si="254"/>
        <v>494430</v>
      </c>
      <c r="E116" s="227">
        <f t="shared" si="254"/>
        <v>625721</v>
      </c>
      <c r="F116" s="202">
        <f>SUM(B116:E116)</f>
        <v>1772672</v>
      </c>
      <c r="G116" s="227">
        <f t="shared" si="255"/>
        <v>352585</v>
      </c>
      <c r="H116" s="227">
        <f t="shared" si="255"/>
        <v>630682</v>
      </c>
      <c r="I116" s="227">
        <f t="shared" si="255"/>
        <v>655701</v>
      </c>
      <c r="J116" s="227">
        <f t="shared" si="255"/>
        <v>740604</v>
      </c>
      <c r="K116" s="202">
        <f>SUM(G116:J116)</f>
        <v>2379572</v>
      </c>
      <c r="L116" s="227">
        <f t="shared" si="256"/>
        <v>567038</v>
      </c>
      <c r="M116" s="227">
        <f t="shared" si="256"/>
        <v>406392</v>
      </c>
      <c r="N116" s="227">
        <f t="shared" si="256"/>
        <v>429773</v>
      </c>
      <c r="O116" s="227">
        <f t="shared" si="256"/>
        <v>704077</v>
      </c>
      <c r="P116" s="202">
        <f>SUM(L116:O116)</f>
        <v>2107280</v>
      </c>
      <c r="Q116" s="227">
        <f t="shared" si="257"/>
        <v>296872.89875526633</v>
      </c>
      <c r="R116" s="227">
        <f t="shared" si="257"/>
        <v>294031.30858112406</v>
      </c>
      <c r="S116" s="227">
        <f t="shared" si="257"/>
        <v>353523.98626029678</v>
      </c>
      <c r="T116" s="227">
        <f t="shared" si="257"/>
        <v>220551.27410508646</v>
      </c>
      <c r="U116" s="202">
        <f>SUM(Q116:T116)</f>
        <v>1164979.4677017736</v>
      </c>
      <c r="V116" s="227">
        <f t="shared" si="258"/>
        <v>358685.85967974039</v>
      </c>
      <c r="W116" s="227">
        <f t="shared" si="258"/>
        <v>240300.48924098071</v>
      </c>
      <c r="X116" s="227">
        <f t="shared" si="258"/>
        <v>229324.25856785895</v>
      </c>
      <c r="Y116" s="227">
        <f t="shared" si="258"/>
        <v>198162.73201790452</v>
      </c>
      <c r="Z116" s="202">
        <f>SUM(V116:Y116)</f>
        <v>1026473.3395064846</v>
      </c>
      <c r="AA116" s="227">
        <f t="shared" si="259"/>
        <v>236685.59756799787</v>
      </c>
      <c r="AB116" s="227">
        <f t="shared" si="259"/>
        <v>267783.86578324065</v>
      </c>
      <c r="AC116" s="227">
        <f t="shared" si="259"/>
        <v>172734.64436597517</v>
      </c>
      <c r="AD116" s="227">
        <f t="shared" si="259"/>
        <v>135655.53281723987</v>
      </c>
      <c r="AE116" s="202">
        <f>SUM(AA116:AD116)</f>
        <v>812859.64053445356</v>
      </c>
      <c r="AF116" s="227">
        <f t="shared" si="260"/>
        <v>98896.683169101365</v>
      </c>
      <c r="AG116" s="227">
        <f t="shared" si="260"/>
        <v>124552.85030085105</v>
      </c>
      <c r="AH116" s="227">
        <f t="shared" si="260"/>
        <v>18039.555721093901</v>
      </c>
      <c r="AI116" s="227">
        <f t="shared" si="260"/>
        <v>90482.022931175539</v>
      </c>
      <c r="AJ116" s="202">
        <f>SUM(AF116:AI116)</f>
        <v>331971.11212222185</v>
      </c>
      <c r="AK116" s="227">
        <f t="shared" si="261"/>
        <v>79694.991038607899</v>
      </c>
      <c r="AL116" s="227">
        <f t="shared" si="261"/>
        <v>73131.84561502072</v>
      </c>
      <c r="AM116" s="227">
        <f t="shared" si="261"/>
        <v>29623.328670839895</v>
      </c>
      <c r="AN116" s="227">
        <f t="shared" si="261"/>
        <v>109054.5509817563</v>
      </c>
      <c r="AO116" s="202">
        <f>SUM(AK116:AN116)</f>
        <v>291504.71630622481</v>
      </c>
      <c r="AP116" s="227">
        <f t="shared" si="262"/>
        <v>91417.497845666832</v>
      </c>
      <c r="AQ116" s="227">
        <f t="shared" si="262"/>
        <v>51314.629675656324</v>
      </c>
      <c r="AR116" s="227">
        <f t="shared" si="262"/>
        <v>72440.52795999893</v>
      </c>
      <c r="AS116" s="227">
        <f t="shared" si="262"/>
        <v>185529.47197761096</v>
      </c>
      <c r="AT116" s="202">
        <f>SUM(AP116:AS116)</f>
        <v>400702.12745893304</v>
      </c>
      <c r="AU116" s="227">
        <f t="shared" si="263"/>
        <v>137960.97555828514</v>
      </c>
      <c r="AV116" s="227">
        <f t="shared" si="263"/>
        <v>264729.5521943951</v>
      </c>
      <c r="AW116" s="227">
        <f t="shared" si="263"/>
        <v>203018.725477434</v>
      </c>
      <c r="AX116" s="227">
        <f t="shared" si="263"/>
        <v>294998.46123845037</v>
      </c>
      <c r="AY116" s="202">
        <f>SUM(AU116:AX116)</f>
        <v>900707.71446856461</v>
      </c>
      <c r="AZ116" s="227">
        <f t="shared" si="264"/>
        <v>204538.41306989081</v>
      </c>
      <c r="BA116" s="227">
        <f t="shared" si="264"/>
        <v>157378.53793066321</v>
      </c>
      <c r="BB116" s="227">
        <f t="shared" si="264"/>
        <v>149732.24839822017</v>
      </c>
      <c r="BC116" s="227">
        <f t="shared" si="264"/>
        <v>283525.88473603316</v>
      </c>
      <c r="BD116" s="202">
        <f>SUM(AZ116:BC116)</f>
        <v>795175.08413480734</v>
      </c>
      <c r="BE116" s="227">
        <f t="shared" si="265"/>
        <v>263190.60973650892</v>
      </c>
      <c r="BF116" s="227">
        <f t="shared" si="265"/>
        <v>360663.74777933909</v>
      </c>
      <c r="BG116" s="227">
        <f t="shared" si="265"/>
        <v>183412.40556808468</v>
      </c>
      <c r="BH116" s="227">
        <f t="shared" si="265"/>
        <v>399367.34910115297</v>
      </c>
      <c r="BI116" s="202">
        <f>SUM(BE116:BH116)</f>
        <v>1206634.1121850857</v>
      </c>
      <c r="BJ116" s="227">
        <f t="shared" si="266"/>
        <v>205585.08387259208</v>
      </c>
      <c r="BK116" s="227">
        <f t="shared" si="266"/>
        <v>232189.64177464601</v>
      </c>
      <c r="BL116" s="227">
        <f t="shared" si="266"/>
        <v>387351.11822548881</v>
      </c>
      <c r="BM116" s="227">
        <f t="shared" si="266"/>
        <v>274758.31264626235</v>
      </c>
      <c r="BN116" s="202">
        <f>SUM(BJ116:BM116)</f>
        <v>1099884.1565189892</v>
      </c>
      <c r="BO116" s="227">
        <f t="shared" si="267"/>
        <v>351780.90609287377</v>
      </c>
      <c r="BP116" s="227">
        <f t="shared" si="267"/>
        <v>415914.73130202061</v>
      </c>
      <c r="BQ116" s="227">
        <f t="shared" si="267"/>
        <v>328961.20515285386</v>
      </c>
      <c r="BR116" s="227">
        <f t="shared" si="267"/>
        <v>457115.00048002601</v>
      </c>
      <c r="BS116" s="202">
        <f>SUM(BO116:BR116)</f>
        <v>1553771.8430277742</v>
      </c>
      <c r="BT116" s="227">
        <f t="shared" si="268"/>
        <v>470346.37630814128</v>
      </c>
      <c r="BU116" s="227">
        <f t="shared" si="268"/>
        <v>393726.65886912681</v>
      </c>
      <c r="BV116" s="227">
        <f t="shared" si="268"/>
        <v>527704.77836274263</v>
      </c>
      <c r="BW116" s="227">
        <f t="shared" si="268"/>
        <v>702213.51252963953</v>
      </c>
      <c r="BX116" s="202">
        <f>SUM(BT116:BW116)</f>
        <v>2093991.3260696502</v>
      </c>
      <c r="BY116" s="227">
        <f t="shared" si="269"/>
        <v>619788.22371201497</v>
      </c>
      <c r="BZ116" s="227">
        <f t="shared" si="269"/>
        <v>573319.37735585216</v>
      </c>
      <c r="CA116" s="227">
        <f t="shared" si="269"/>
        <v>377977.20477897301</v>
      </c>
      <c r="CB116" s="227">
        <f t="shared" ref="CB116" si="272">CB112+CB114</f>
        <v>951701.14673987404</v>
      </c>
      <c r="CC116" s="202">
        <f>SUM(BY116:CB116)</f>
        <v>2522785.9525867142</v>
      </c>
      <c r="CD116" s="227">
        <f t="shared" ref="CD116:CE116" si="273">CD112+CD114</f>
        <v>683516.07809225004</v>
      </c>
      <c r="CE116" s="227">
        <f t="shared" si="273"/>
        <v>786869.84027835168</v>
      </c>
      <c r="CF116" s="227">
        <f>CF118*CF112</f>
        <v>862998.17008992785</v>
      </c>
      <c r="CG116" s="227">
        <f>CG118*CG112</f>
        <v>898997.13150324998</v>
      </c>
      <c r="CH116" s="202">
        <f>SUM(CD116:CG116)</f>
        <v>3232381.2199637797</v>
      </c>
      <c r="CI116" s="227">
        <f>CI118*CI112</f>
        <v>876296.98489851295</v>
      </c>
      <c r="CJ116" s="227">
        <f>CJ118*CJ112</f>
        <v>897226.07479380153</v>
      </c>
      <c r="CK116" s="227">
        <f>CK118*CK112</f>
        <v>991346.18496099336</v>
      </c>
      <c r="CL116" s="227">
        <f>CL118*CL112</f>
        <v>1042398.0102569758</v>
      </c>
      <c r="CM116" s="202">
        <f>SUM(CI116:CL116)</f>
        <v>3807267.2549102837</v>
      </c>
      <c r="CN116" s="227">
        <f>CN118*CN112</f>
        <v>875796.20966271416</v>
      </c>
      <c r="CO116" s="227">
        <f>CO118*CO112</f>
        <v>961809.68257966591</v>
      </c>
      <c r="CP116" s="227">
        <f>CP118*CP112</f>
        <v>1061311.6288283512</v>
      </c>
      <c r="CQ116" s="227">
        <f>CQ118*CQ112</f>
        <v>1200135.6305318577</v>
      </c>
      <c r="CR116" s="202">
        <f>SUM(CN116:CQ116)</f>
        <v>4099053.1516025886</v>
      </c>
      <c r="CS116" s="227">
        <f>CS118*CS112</f>
        <v>935440.93639405258</v>
      </c>
      <c r="CT116" s="227">
        <f>CT118*CT112</f>
        <v>1020437.2669108828</v>
      </c>
      <c r="CU116" s="227">
        <f>CU118*CU112</f>
        <v>1121623.3446170492</v>
      </c>
      <c r="CV116" s="227">
        <f>CV118*CV112</f>
        <v>1264916.8439039614</v>
      </c>
      <c r="CW116" s="202">
        <f>SUM(CS116:CV116)</f>
        <v>4342418.391825946</v>
      </c>
      <c r="CX116" s="227">
        <f>CX118*CX112</f>
        <v>955415.84148270334</v>
      </c>
      <c r="CY116" s="227">
        <f>CY118*CY112</f>
        <v>1048584.7371437636</v>
      </c>
      <c r="CZ116" s="227">
        <f>CZ118*CZ112</f>
        <v>1157371.4725661941</v>
      </c>
      <c r="DA116" s="227">
        <f>DA118*DA112</f>
        <v>1308710.5679342391</v>
      </c>
      <c r="DB116" s="202">
        <f>SUM(CX116:DA116)</f>
        <v>4470082.6191269001</v>
      </c>
    </row>
    <row r="117" spans="1:106" s="54" customFormat="1" ht="11.25" customHeight="1" outlineLevel="1" x14ac:dyDescent="0.35">
      <c r="A117" s="19" t="s">
        <v>343</v>
      </c>
      <c r="B117" s="21"/>
      <c r="C117" s="21">
        <f t="shared" ref="C117:AG117" si="274">C115/C111</f>
        <v>0.36412208961280829</v>
      </c>
      <c r="D117" s="21">
        <f t="shared" si="274"/>
        <v>0.35082693931809733</v>
      </c>
      <c r="E117" s="21">
        <f t="shared" si="274"/>
        <v>0.34703789383751776</v>
      </c>
      <c r="F117" s="22">
        <f t="shared" si="274"/>
        <v>0.34703789383751776</v>
      </c>
      <c r="G117" s="21">
        <f t="shared" si="274"/>
        <v>0.33514079992310153</v>
      </c>
      <c r="H117" s="21">
        <f t="shared" si="274"/>
        <v>0.33415702941520137</v>
      </c>
      <c r="I117" s="21">
        <f t="shared" si="274"/>
        <v>0.33922516872815256</v>
      </c>
      <c r="J117" s="21">
        <f t="shared" si="274"/>
        <v>0.36358681496885065</v>
      </c>
      <c r="K117" s="22">
        <f t="shared" si="274"/>
        <v>0.36358681496885065</v>
      </c>
      <c r="L117" s="21">
        <f t="shared" si="274"/>
        <v>0.35933787427639846</v>
      </c>
      <c r="M117" s="21">
        <f t="shared" si="274"/>
        <v>0.36964995007424728</v>
      </c>
      <c r="N117" s="21">
        <f t="shared" si="274"/>
        <v>0.35886079851559127</v>
      </c>
      <c r="O117" s="21">
        <f t="shared" si="274"/>
        <v>0.34954740996984213</v>
      </c>
      <c r="P117" s="22">
        <f t="shared" si="274"/>
        <v>0.34954740996984213</v>
      </c>
      <c r="Q117" s="21">
        <f t="shared" si="274"/>
        <v>0.39263433450596164</v>
      </c>
      <c r="R117" s="21">
        <f t="shared" si="274"/>
        <v>0.40252204263855773</v>
      </c>
      <c r="S117" s="21">
        <f t="shared" si="274"/>
        <v>0.39845039729581189</v>
      </c>
      <c r="T117" s="21">
        <f t="shared" si="274"/>
        <v>0.39514334553318226</v>
      </c>
      <c r="U117" s="22">
        <f t="shared" si="274"/>
        <v>0.39514334553318226</v>
      </c>
      <c r="V117" s="21">
        <f t="shared" si="274"/>
        <v>0.39666937757400711</v>
      </c>
      <c r="W117" s="21">
        <f t="shared" si="274"/>
        <v>0.38987382542158422</v>
      </c>
      <c r="X117" s="21">
        <f t="shared" si="274"/>
        <v>0.4065459923364273</v>
      </c>
      <c r="Y117" s="21">
        <f t="shared" si="274"/>
        <v>0.38711222116629124</v>
      </c>
      <c r="Z117" s="22">
        <f t="shared" si="274"/>
        <v>0.38711222116629124</v>
      </c>
      <c r="AA117" s="21">
        <f t="shared" si="274"/>
        <v>0.37693119146906512</v>
      </c>
      <c r="AB117" s="21">
        <f t="shared" si="274"/>
        <v>0.37772001091720775</v>
      </c>
      <c r="AC117" s="21">
        <f t="shared" si="274"/>
        <v>0.38273772512718235</v>
      </c>
      <c r="AD117" s="21">
        <f t="shared" si="274"/>
        <v>0.38429636483525903</v>
      </c>
      <c r="AE117" s="22">
        <f t="shared" si="274"/>
        <v>0.38429636483525903</v>
      </c>
      <c r="AF117" s="21">
        <f t="shared" si="274"/>
        <v>0.3782474957386821</v>
      </c>
      <c r="AG117" s="21">
        <f t="shared" si="274"/>
        <v>0.36502337614969887</v>
      </c>
      <c r="AH117" s="21">
        <f t="shared" ref="AH117:BM117" si="275">AH115/AH111</f>
        <v>0.38331326413676498</v>
      </c>
      <c r="AI117" s="21">
        <f t="shared" si="275"/>
        <v>0.39313071952420248</v>
      </c>
      <c r="AJ117" s="22">
        <f t="shared" si="275"/>
        <v>0.39313071952420248</v>
      </c>
      <c r="AK117" s="21">
        <f t="shared" si="275"/>
        <v>0.38461159155057545</v>
      </c>
      <c r="AL117" s="21">
        <f t="shared" si="275"/>
        <v>0.39406243458987511</v>
      </c>
      <c r="AM117" s="21">
        <f t="shared" si="275"/>
        <v>0.41333820666876536</v>
      </c>
      <c r="AN117" s="21">
        <f t="shared" si="275"/>
        <v>0.39929874477134758</v>
      </c>
      <c r="AO117" s="22">
        <f t="shared" si="275"/>
        <v>0.39929874477134758</v>
      </c>
      <c r="AP117" s="21">
        <f t="shared" si="275"/>
        <v>0.39681808099520932</v>
      </c>
      <c r="AQ117" s="21">
        <f t="shared" si="275"/>
        <v>0.41899382766183818</v>
      </c>
      <c r="AR117" s="21">
        <f t="shared" si="275"/>
        <v>0.40987722354689293</v>
      </c>
      <c r="AS117" s="21">
        <f t="shared" si="275"/>
        <v>0.41734975567623067</v>
      </c>
      <c r="AT117" s="22">
        <f t="shared" si="275"/>
        <v>0.41734975567623067</v>
      </c>
      <c r="AU117" s="21">
        <f t="shared" si="275"/>
        <v>0.41470245598899536</v>
      </c>
      <c r="AV117" s="21">
        <f t="shared" si="275"/>
        <v>0.39976200108418419</v>
      </c>
      <c r="AW117" s="21">
        <f t="shared" si="275"/>
        <v>0.39366209591428558</v>
      </c>
      <c r="AX117" s="21">
        <f t="shared" si="275"/>
        <v>0.39050727509928312</v>
      </c>
      <c r="AY117" s="22">
        <f t="shared" si="275"/>
        <v>0.39050727509928312</v>
      </c>
      <c r="AZ117" s="21">
        <f t="shared" si="275"/>
        <v>0.38386351241669858</v>
      </c>
      <c r="BA117" s="21">
        <f t="shared" si="275"/>
        <v>0.38172672038458716</v>
      </c>
      <c r="BB117" s="21">
        <f t="shared" si="275"/>
        <v>0.37729989007334197</v>
      </c>
      <c r="BC117" s="21">
        <f t="shared" si="275"/>
        <v>0.37288255157099709</v>
      </c>
      <c r="BD117" s="22">
        <f t="shared" si="275"/>
        <v>0.37288255157099709</v>
      </c>
      <c r="BE117" s="21">
        <f t="shared" si="275"/>
        <v>0.36588413106556977</v>
      </c>
      <c r="BF117" s="21">
        <f t="shared" si="275"/>
        <v>0.35847655578864024</v>
      </c>
      <c r="BG117" s="21">
        <f t="shared" si="275"/>
        <v>0.36716235453487772</v>
      </c>
      <c r="BH117" s="21">
        <f t="shared" si="275"/>
        <v>0.36675471475130322</v>
      </c>
      <c r="BI117" s="22">
        <f t="shared" si="275"/>
        <v>0.36675471475130322</v>
      </c>
      <c r="BJ117" s="21">
        <f t="shared" si="275"/>
        <v>0.37381862471627908</v>
      </c>
      <c r="BK117" s="21">
        <f t="shared" si="275"/>
        <v>0.36668388994292317</v>
      </c>
      <c r="BL117" s="21">
        <f t="shared" si="275"/>
        <v>0.35548608549770055</v>
      </c>
      <c r="BM117" s="21">
        <f t="shared" si="275"/>
        <v>0.36085045847036235</v>
      </c>
      <c r="BN117" s="22">
        <f t="shared" ref="BN117:CS117" si="276">BN115/BN111</f>
        <v>0.36085045847036235</v>
      </c>
      <c r="BO117" s="21">
        <f t="shared" si="276"/>
        <v>0.3623409088613927</v>
      </c>
      <c r="BP117" s="21">
        <f t="shared" si="276"/>
        <v>0.34905790120931524</v>
      </c>
      <c r="BQ117" s="21">
        <f t="shared" si="276"/>
        <v>0.34515842010092973</v>
      </c>
      <c r="BR117" s="21">
        <f t="shared" si="276"/>
        <v>0.34645647467398871</v>
      </c>
      <c r="BS117" s="22">
        <f t="shared" si="276"/>
        <v>0.34645647467398871</v>
      </c>
      <c r="BT117" s="21">
        <f t="shared" si="276"/>
        <v>0.36089131892651083</v>
      </c>
      <c r="BU117" s="21">
        <f t="shared" si="276"/>
        <v>0.36092059686885836</v>
      </c>
      <c r="BV117" s="21">
        <f t="shared" si="276"/>
        <v>0.36270659440443775</v>
      </c>
      <c r="BW117" s="21">
        <f t="shared" si="276"/>
        <v>0.36613527410508195</v>
      </c>
      <c r="BX117" s="22">
        <f t="shared" si="276"/>
        <v>0.36613527410508195</v>
      </c>
      <c r="BY117" s="21">
        <f t="shared" si="276"/>
        <v>0.36486286515078303</v>
      </c>
      <c r="BZ117" s="21">
        <f>BZ115/BZ111</f>
        <v>0.36328877025226569</v>
      </c>
      <c r="CA117" s="21">
        <f>CA115/CA111</f>
        <v>0.36237686798048013</v>
      </c>
      <c r="CB117" s="21">
        <f t="shared" ref="CB117" si="277">CB115/CB111</f>
        <v>0.36560263100674562</v>
      </c>
      <c r="CC117" s="22">
        <f t="shared" si="276"/>
        <v>0.36560263100674562</v>
      </c>
      <c r="CD117" s="21">
        <f t="shared" ref="CD117" si="278">CD115/CD111</f>
        <v>0.35764491993704189</v>
      </c>
      <c r="CE117" s="21">
        <f>CE115/CE111</f>
        <v>0.35642094358208165</v>
      </c>
      <c r="CF117" s="21">
        <f t="shared" si="276"/>
        <v>0.36156447521113022</v>
      </c>
      <c r="CG117" s="21">
        <f t="shared" si="276"/>
        <v>0.36201199501063774</v>
      </c>
      <c r="CH117" s="22">
        <f t="shared" si="276"/>
        <v>0.36201199501063774</v>
      </c>
      <c r="CI117" s="21">
        <f t="shared" si="276"/>
        <v>0.36267825164498635</v>
      </c>
      <c r="CJ117" s="21">
        <f t="shared" si="276"/>
        <v>0.36235101441966228</v>
      </c>
      <c r="CK117" s="21">
        <f t="shared" si="276"/>
        <v>0.36207596541041892</v>
      </c>
      <c r="CL117" s="21">
        <f t="shared" si="276"/>
        <v>0.36181902581816544</v>
      </c>
      <c r="CM117" s="22">
        <f t="shared" si="276"/>
        <v>0.36181902581816544</v>
      </c>
      <c r="CN117" s="21">
        <f t="shared" si="276"/>
        <v>0.36181825135164392</v>
      </c>
      <c r="CO117" s="21">
        <f t="shared" si="276"/>
        <v>0.36116012673657144</v>
      </c>
      <c r="CP117" s="21">
        <f t="shared" si="276"/>
        <v>0.36051880110455742</v>
      </c>
      <c r="CQ117" s="21">
        <f t="shared" si="276"/>
        <v>0.3599089905540252</v>
      </c>
      <c r="CR117" s="22">
        <f t="shared" si="276"/>
        <v>0.3599089905540252</v>
      </c>
      <c r="CS117" s="21">
        <f t="shared" si="276"/>
        <v>0.35929750539235938</v>
      </c>
      <c r="CT117" s="21">
        <f t="shared" ref="CT117:DB117" si="279">CT115/CT111</f>
        <v>0.35892562553375595</v>
      </c>
      <c r="CU117" s="21">
        <f t="shared" si="279"/>
        <v>0.35855828112642918</v>
      </c>
      <c r="CV117" s="21">
        <f t="shared" si="279"/>
        <v>0.35820299680246398</v>
      </c>
      <c r="CW117" s="22">
        <f t="shared" si="279"/>
        <v>0.35820299680246398</v>
      </c>
      <c r="CX117" s="21">
        <f t="shared" si="279"/>
        <v>0.3578355856179693</v>
      </c>
      <c r="CY117" s="21">
        <f t="shared" si="279"/>
        <v>0.3576154597229802</v>
      </c>
      <c r="CZ117" s="21">
        <f t="shared" si="279"/>
        <v>0.35739198794107191</v>
      </c>
      <c r="DA117" s="21">
        <f t="shared" si="279"/>
        <v>0.35717086955810662</v>
      </c>
      <c r="DB117" s="22">
        <f t="shared" si="279"/>
        <v>0.35717086955810662</v>
      </c>
    </row>
    <row r="118" spans="1:106" s="54" customFormat="1" ht="11.25" customHeight="1" outlineLevel="1" x14ac:dyDescent="0.35">
      <c r="A118" s="72" t="s">
        <v>344</v>
      </c>
      <c r="B118" s="104"/>
      <c r="C118" s="104">
        <f t="shared" ref="C118:AG118" si="280">C116/C112</f>
        <v>0.34737314500725069</v>
      </c>
      <c r="D118" s="104">
        <f t="shared" si="280"/>
        <v>0.43538484839945896</v>
      </c>
      <c r="E118" s="104">
        <f t="shared" si="280"/>
        <v>0.311082817240877</v>
      </c>
      <c r="F118" s="105">
        <f t="shared" si="280"/>
        <v>0.35273622129110221</v>
      </c>
      <c r="G118" s="104">
        <f t="shared" si="280"/>
        <v>0.33149340087587176</v>
      </c>
      <c r="H118" s="104">
        <f t="shared" si="280"/>
        <v>0.36088670683627166</v>
      </c>
      <c r="I118" s="104">
        <f t="shared" si="280"/>
        <v>0.4020438783287214</v>
      </c>
      <c r="J118" s="104">
        <f t="shared" si="280"/>
        <v>0.35580986422991556</v>
      </c>
      <c r="K118" s="105">
        <f t="shared" si="280"/>
        <v>0.36476390701752637</v>
      </c>
      <c r="L118" s="104">
        <f t="shared" si="280"/>
        <v>0.38389430953754328</v>
      </c>
      <c r="M118" s="104">
        <f t="shared" si="280"/>
        <v>0.33506447892078089</v>
      </c>
      <c r="N118" s="104">
        <f t="shared" si="280"/>
        <v>0.37616826928968178</v>
      </c>
      <c r="O118" s="104">
        <f t="shared" si="280"/>
        <v>0.52151418119006299</v>
      </c>
      <c r="P118" s="105">
        <f t="shared" si="280"/>
        <v>0.40661378366853129</v>
      </c>
      <c r="Q118" s="104">
        <f t="shared" si="280"/>
        <v>0.42817295860293764</v>
      </c>
      <c r="R118" s="104">
        <f t="shared" si="280"/>
        <v>0.35846180737816757</v>
      </c>
      <c r="S118" s="104">
        <f t="shared" si="280"/>
        <v>0.38770403611701904</v>
      </c>
      <c r="T118" s="104">
        <f t="shared" si="280"/>
        <v>0.39565739519061449</v>
      </c>
      <c r="U118" s="105">
        <f t="shared" si="280"/>
        <v>0.39055574890234673</v>
      </c>
      <c r="V118" s="104">
        <f t="shared" si="280"/>
        <v>0.36067305278520989</v>
      </c>
      <c r="W118" s="104">
        <f t="shared" si="280"/>
        <v>0.40203309754742012</v>
      </c>
      <c r="X118" s="104">
        <f t="shared" si="280"/>
        <v>0.28205033672098906</v>
      </c>
      <c r="Y118" s="104">
        <f t="shared" si="280"/>
        <v>0.35355355229961877</v>
      </c>
      <c r="Z118" s="105">
        <f t="shared" si="280"/>
        <v>0.34610877649773325</v>
      </c>
      <c r="AA118" s="104">
        <f t="shared" si="280"/>
        <v>0.41574578594488187</v>
      </c>
      <c r="AB118" s="104">
        <f t="shared" si="280"/>
        <v>0.43785866068795082</v>
      </c>
      <c r="AC118" s="104">
        <f t="shared" si="280"/>
        <v>0.42353740603217244</v>
      </c>
      <c r="AD118" s="104">
        <f t="shared" si="280"/>
        <v>0.41397742200708754</v>
      </c>
      <c r="AE118" s="105">
        <f t="shared" si="280"/>
        <v>0.42415838304907211</v>
      </c>
      <c r="AF118" s="104">
        <f t="shared" si="280"/>
        <v>0.55016920450653928</v>
      </c>
      <c r="AG118" s="104">
        <f t="shared" si="280"/>
        <v>0.69923574973227531</v>
      </c>
      <c r="AH118" s="104">
        <f t="shared" ref="AH118:BM118" si="281">AH116/AH112</f>
        <v>0.89546640211173201</v>
      </c>
      <c r="AI118" s="104">
        <f t="shared" si="281"/>
        <v>0.33078091405787297</v>
      </c>
      <c r="AJ118" s="105">
        <f t="shared" si="281"/>
        <v>0.50949413223821916</v>
      </c>
      <c r="AK118" s="104">
        <f t="shared" si="281"/>
        <v>0.43688343096094123</v>
      </c>
      <c r="AL118" s="104">
        <f t="shared" si="281"/>
        <v>0.44123874857532092</v>
      </c>
      <c r="AM118" s="104">
        <f t="shared" si="281"/>
        <v>0.17504684825710817</v>
      </c>
      <c r="AN118" s="104">
        <f t="shared" si="281"/>
        <v>0.34872528872563457</v>
      </c>
      <c r="AO118" s="105">
        <f t="shared" si="281"/>
        <v>0.35116251500454582</v>
      </c>
      <c r="AP118" s="104">
        <f t="shared" si="281"/>
        <v>0.46419439830526754</v>
      </c>
      <c r="AQ118" s="104">
        <f t="shared" si="281"/>
        <v>0.26746312341877571</v>
      </c>
      <c r="AR118" s="104">
        <f t="shared" si="281"/>
        <v>0.36589444153620659</v>
      </c>
      <c r="AS118" s="104">
        <f t="shared" si="281"/>
        <v>0.37166675289623824</v>
      </c>
      <c r="AT118" s="105">
        <f t="shared" si="281"/>
        <v>0.36898452742820731</v>
      </c>
      <c r="AU118" s="104">
        <f t="shared" si="281"/>
        <v>0.31467684667719725</v>
      </c>
      <c r="AV118" s="104">
        <f t="shared" si="281"/>
        <v>0.35578352095030646</v>
      </c>
      <c r="AW118" s="104">
        <f t="shared" si="281"/>
        <v>0.34774498666055764</v>
      </c>
      <c r="AX118" s="104">
        <f t="shared" si="281"/>
        <v>0.35805718715124185</v>
      </c>
      <c r="AY118" s="105">
        <f t="shared" si="281"/>
        <v>0.34773710385452972</v>
      </c>
      <c r="AZ118" s="104">
        <f t="shared" si="281"/>
        <v>0.36255144085429308</v>
      </c>
      <c r="BA118" s="104">
        <f t="shared" si="281"/>
        <v>0.33044982061028089</v>
      </c>
      <c r="BB118" s="104">
        <f t="shared" si="281"/>
        <v>0.32266757364399162</v>
      </c>
      <c r="BC118" s="104">
        <f t="shared" si="281"/>
        <v>0.34643193840681502</v>
      </c>
      <c r="BD118" s="105">
        <f t="shared" si="281"/>
        <v>0.34232270448938235</v>
      </c>
      <c r="BE118" s="104">
        <f t="shared" si="281"/>
        <v>0.35378393923101659</v>
      </c>
      <c r="BF118" s="104">
        <f t="shared" si="281"/>
        <v>0.40332820906214145</v>
      </c>
      <c r="BG118" s="104">
        <f t="shared" si="281"/>
        <v>0.34881298083813989</v>
      </c>
      <c r="BH118" s="104">
        <f t="shared" si="281"/>
        <v>0.37968020887841053</v>
      </c>
      <c r="BI118" s="105">
        <f t="shared" si="281"/>
        <v>0.37521817520417361</v>
      </c>
      <c r="BJ118" s="104">
        <f t="shared" si="281"/>
        <v>0.31099825258428965</v>
      </c>
      <c r="BK118" s="104">
        <f t="shared" si="281"/>
        <v>0.309632530701623</v>
      </c>
      <c r="BL118" s="104">
        <f t="shared" si="281"/>
        <v>0.37616075883111677</v>
      </c>
      <c r="BM118" s="104">
        <f t="shared" si="281"/>
        <v>0.35497463835753112</v>
      </c>
      <c r="BN118" s="105">
        <f t="shared" ref="BN118:BY118" si="282">BN116/BN112</f>
        <v>0.34214123227334775</v>
      </c>
      <c r="BO118" s="104">
        <f t="shared" si="282"/>
        <v>0.30085174494107719</v>
      </c>
      <c r="BP118" s="104">
        <f t="shared" si="282"/>
        <v>0.34262603694881322</v>
      </c>
      <c r="BQ118" s="104">
        <f t="shared" si="282"/>
        <v>0.37289039742488689</v>
      </c>
      <c r="BR118" s="104">
        <f t="shared" si="282"/>
        <v>0.42515285885688325</v>
      </c>
      <c r="BS118" s="105">
        <f t="shared" si="282"/>
        <v>0.35796601398703576</v>
      </c>
      <c r="BT118" s="104">
        <f t="shared" si="282"/>
        <v>0.36164751863421074</v>
      </c>
      <c r="BU118" s="104">
        <f t="shared" si="282"/>
        <v>0.37531783511858358</v>
      </c>
      <c r="BV118" s="104">
        <f t="shared" si="282"/>
        <v>0.36859389694341554</v>
      </c>
      <c r="BW118" s="104">
        <f t="shared" si="282"/>
        <v>0.35562382339005333</v>
      </c>
      <c r="BX118" s="105">
        <f t="shared" si="282"/>
        <v>0.3638003395995813</v>
      </c>
      <c r="BY118" s="104">
        <f t="shared" si="282"/>
        <v>0.35508729213911999</v>
      </c>
      <c r="BZ118" s="104">
        <f>BZ116/BZ112</f>
        <v>0.36019548872807927</v>
      </c>
      <c r="CA118" s="104">
        <f>CA116/CA112</f>
        <v>0.37301894372425431</v>
      </c>
      <c r="CB118" s="104">
        <f t="shared" ref="CB118" si="283">CB116/CB112</f>
        <v>0.34111558739539605</v>
      </c>
      <c r="CC118" s="105">
        <f>CC116/CC112</f>
        <v>0.35331149213707069</v>
      </c>
      <c r="CD118" s="104">
        <f t="shared" ref="CD118" si="284">CD116/CD112</f>
        <v>0.37006740947794248</v>
      </c>
      <c r="CE118" s="104">
        <f>CE116/CE112</f>
        <v>0.38868996312125048</v>
      </c>
      <c r="CF118" s="499">
        <v>0.36499999999999999</v>
      </c>
      <c r="CG118" s="499">
        <v>0.36499999999999999</v>
      </c>
      <c r="CH118" s="105">
        <f>CH116/CH112</f>
        <v>0.37158916421817501</v>
      </c>
      <c r="CI118" s="499">
        <v>0.36</v>
      </c>
      <c r="CJ118" s="499">
        <f>CI118</f>
        <v>0.36</v>
      </c>
      <c r="CK118" s="499">
        <f>CJ118</f>
        <v>0.36</v>
      </c>
      <c r="CL118" s="499">
        <f>CK118</f>
        <v>0.36</v>
      </c>
      <c r="CM118" s="105">
        <f>CM116/CM112</f>
        <v>0.36</v>
      </c>
      <c r="CN118" s="499">
        <v>0.35499999999999998</v>
      </c>
      <c r="CO118" s="499">
        <f>CN118</f>
        <v>0.35499999999999998</v>
      </c>
      <c r="CP118" s="499">
        <f>CO118</f>
        <v>0.35499999999999998</v>
      </c>
      <c r="CQ118" s="499">
        <f>CP118</f>
        <v>0.35499999999999998</v>
      </c>
      <c r="CR118" s="105">
        <f>CR116/CR112</f>
        <v>0.35499999999999993</v>
      </c>
      <c r="CS118" s="499">
        <f>CQ118</f>
        <v>0.35499999999999998</v>
      </c>
      <c r="CT118" s="499">
        <f>CS118</f>
        <v>0.35499999999999998</v>
      </c>
      <c r="CU118" s="499">
        <f>CT118</f>
        <v>0.35499999999999998</v>
      </c>
      <c r="CV118" s="499">
        <f>CU118</f>
        <v>0.35499999999999998</v>
      </c>
      <c r="CW118" s="105">
        <f>CW116/CW112</f>
        <v>0.35499999999999998</v>
      </c>
      <c r="CX118" s="499">
        <f>CV118</f>
        <v>0.35499999999999998</v>
      </c>
      <c r="CY118" s="499">
        <f>CX118</f>
        <v>0.35499999999999998</v>
      </c>
      <c r="CZ118" s="499">
        <f>CY118</f>
        <v>0.35499999999999998</v>
      </c>
      <c r="DA118" s="499">
        <f>CZ118</f>
        <v>0.35499999999999998</v>
      </c>
      <c r="DB118" s="105">
        <f>DB116/DB112</f>
        <v>0.35500000000000004</v>
      </c>
    </row>
    <row r="123" spans="1:106" ht="11.25" customHeight="1" x14ac:dyDescent="0.35">
      <c r="BU123" s="7">
        <v>113</v>
      </c>
      <c r="BV123" s="76">
        <f t="shared" ref="BV123:BV125" si="285">BU123/$BU$127</f>
        <v>0.15353260869565216</v>
      </c>
    </row>
    <row r="124" spans="1:106" ht="11.25" customHeight="1" x14ac:dyDescent="0.35">
      <c r="BU124" s="7">
        <v>370</v>
      </c>
      <c r="BV124" s="76">
        <f t="shared" si="285"/>
        <v>0.50271739130434778</v>
      </c>
    </row>
    <row r="125" spans="1:106" ht="11.25" customHeight="1" x14ac:dyDescent="0.35">
      <c r="BU125" s="7">
        <v>226</v>
      </c>
      <c r="BV125" s="76">
        <f t="shared" si="285"/>
        <v>0.30706521739130432</v>
      </c>
    </row>
    <row r="126" spans="1:106" ht="11.25" customHeight="1" x14ac:dyDescent="0.35">
      <c r="BU126" s="7">
        <v>27</v>
      </c>
      <c r="BV126" s="76">
        <f>BU126/$BU$127</f>
        <v>3.6684782608695655E-2</v>
      </c>
    </row>
    <row r="127" spans="1:106" ht="11.25" customHeight="1" x14ac:dyDescent="0.35">
      <c r="BU127" s="7">
        <f>SUM(BU123:BU126)</f>
        <v>736</v>
      </c>
    </row>
    <row r="128" spans="1:106" ht="11.25" customHeight="1" x14ac:dyDescent="0.35">
      <c r="BY128" s="19" t="s">
        <v>487</v>
      </c>
      <c r="CB128" s="7">
        <f>CC128-CD128</f>
        <v>153.32400000000001</v>
      </c>
      <c r="CC128" s="7">
        <v>424.09100000000001</v>
      </c>
      <c r="CD128" s="7">
        <v>270.767</v>
      </c>
    </row>
    <row r="129" spans="77:82" ht="11.25" customHeight="1" x14ac:dyDescent="0.35">
      <c r="BY129" s="19" t="s">
        <v>488</v>
      </c>
      <c r="CB129" s="7">
        <f t="shared" ref="CB129:CB133" si="286">CC129-CD129</f>
        <v>136.86799999999999</v>
      </c>
      <c r="CC129" s="7">
        <v>396.88799999999998</v>
      </c>
      <c r="CD129" s="7">
        <v>260.02</v>
      </c>
    </row>
    <row r="130" spans="77:82" ht="11.25" customHeight="1" x14ac:dyDescent="0.35">
      <c r="BY130" s="19" t="s">
        <v>487</v>
      </c>
      <c r="CB130" s="7">
        <f t="shared" si="286"/>
        <v>16.456</v>
      </c>
      <c r="CC130" s="7">
        <v>27.202999999999999</v>
      </c>
      <c r="CD130" s="7">
        <v>10.747</v>
      </c>
    </row>
    <row r="131" spans="77:82" ht="11.25" customHeight="1" x14ac:dyDescent="0.35">
      <c r="BY131" s="19" t="s">
        <v>489</v>
      </c>
      <c r="CB131" s="7">
        <f t="shared" si="286"/>
        <v>-229.494</v>
      </c>
      <c r="CC131" s="7">
        <v>-282.84399999999999</v>
      </c>
      <c r="CD131" s="7">
        <v>-53.35</v>
      </c>
    </row>
    <row r="132" spans="77:82" ht="11.25" customHeight="1" x14ac:dyDescent="0.35">
      <c r="BY132" s="19" t="s">
        <v>490</v>
      </c>
      <c r="CB132" s="7">
        <f t="shared" si="286"/>
        <v>-96.646999999999991</v>
      </c>
      <c r="CC132" s="7">
        <v>-118.229</v>
      </c>
      <c r="CD132" s="7">
        <v>-21.582000000000001</v>
      </c>
    </row>
    <row r="133" spans="77:82" ht="11.25" customHeight="1" x14ac:dyDescent="0.35">
      <c r="BY133" s="19" t="s">
        <v>489</v>
      </c>
      <c r="CB133" s="7">
        <f t="shared" si="286"/>
        <v>-132.84700000000001</v>
      </c>
      <c r="CC133" s="7">
        <v>-164.61500000000001</v>
      </c>
      <c r="CD133" s="7">
        <v>-31.768000000000001</v>
      </c>
    </row>
  </sheetData>
  <pageMargins left="0.7" right="0.7" top="0.75" bottom="0.75" header="0.3" footer="0.3"/>
  <pageSetup orientation="portrait" r:id="rId1"/>
  <headerFooter>
    <oddFooter>&amp;L_x000D_&amp;1#&amp;"Calibri"&amp;9&amp;K000000 Corporativo | Interno</oddFooter>
  </headerFooter>
  <ignoredErrors>
    <ignoredError sqref="A3:CD3 A57:XFD58 A55:BZ55 CJ55:CM55 A47:XFD47 A4:BZ24 CB4:CC4 A54:XFD54 A49:BZ53 CC48 A56:BZ56 CB56:CC56 CC55 A76:XFD76 A59:BZ74 CC59:CC74 A84:CA84 A77:BZ83 CC77:CC83 A92:XFD93 A85:BZ91 CC85:CC91 A105:XFD106 A94:BZ104 CC94:CC97 A119:XFD122 A107:BZ118 CC107:CC117 A34:BZ45 A33:BU33 BW33:BZ33 A32:BZ32 A31:BU31 BW31:BZ31 CA62:CA64 CC118 CH118 CJ118:CM118 CC14:CC19 CC22:CC24 CC20 A75:CA75 CI75:XFD75 CF55:CH55 CC27:CC30 CC26 A46:BC46 CB46:XFD46 CC51:CD53 CC49 CC25 CC12 CH12:XFD12 CJ20:CM20 CC21 CM21:XFD21 CH20 CC13 CH13 CM13:XFD13 CH25:XFD25 CC44:CC45 CC43 CH43 CR20:XFD20 DC43:XFD43 CO55:CR55 CT55:CW55 CY55:XFD55 A30:BZ30 A25:BY25 CC10:CC11 CC5 CC6 CC7 CC8 CC9 CC84 A1:BZ1 CC1:XFD1 A134:XFD135 A128:BX133 CE128:XFD133 A143:XFD1048576 A136:BX142 CE136:XFD142 CC75:CD75 CF26:XFD26 CC99:CC104 CC98 CH98:XFD98 CC32:CC42 CC31 DC31:XFD31 A48:BV48 BX48 A127:BT127 A123:BT123 BW123:XFD123 A124:BT124 BW124:XFD124 A125:BT125 BW125:XFD125 A126:BT126 BW126:XFD126 BV127:XFD127 CF4:XFD4 CF14:XFD19 CF22:XFD24 CF27:XFD30 CH21 CF44:XFD45 CF10:XFD11 CF5:XFD5 CF6:XFD6 CF7:XFD7 CH8:XFD8 CF9:XFD9 CF32:XFD38 CF48:XFD48 CC50 CF50:XFD50 CF49:XFD49 CF56:XFD56 CF59:XFD74 CF77:XFD83 CF85:XFD91 CF84:XFD84 CF94:XFD97 CF99:XFD103 CF107:XFD117 CI40:XFD40 DC39:XFD39 CF42:XFD42 CI41:XFD41 CH104 A2:CF2 CH2:XFD2 CH31 CK104:XFD104 CF40:CH40 A26:BY29 CH39 CH41 CF3:XFD3 CF51:XFD53 CF75:CG75 BE46:BZ46 CO118:XFD118" formula="1"/>
    <ignoredError sqref="BZ26:BZ29" formula="1" formulaRange="1"/>
    <ignoredError sqref="BZ25:CB25 CA26:CB29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87B1-3C2C-4A2A-978C-3BDF2739EB39}">
  <sheetPr>
    <tabColor rgb="FFFFFF99"/>
  </sheetPr>
  <dimension ref="A1:DB154"/>
  <sheetViews>
    <sheetView showGridLines="0" zoomScaleNormal="100" workbookViewId="0">
      <pane xSplit="1" ySplit="3" topLeftCell="BD130" activePane="bottomRight" state="frozen"/>
      <selection pane="topRight" activeCell="B1" sqref="B1"/>
      <selection pane="bottomLeft" activeCell="A4" sqref="A4"/>
      <selection pane="bottomRight" activeCell="CD154" sqref="CD154:CG155"/>
    </sheetView>
  </sheetViews>
  <sheetFormatPr defaultColWidth="11" defaultRowHeight="11.5" customHeight="1" outlineLevelRow="1" outlineLevelCol="1" x14ac:dyDescent="0.35"/>
  <cols>
    <col min="1" max="1" width="30.7265625" style="54" customWidth="1"/>
    <col min="2" max="3" width="11" style="54" hidden="1" customWidth="1" outlineLevel="1" collapsed="1"/>
    <col min="4" max="5" width="11" style="54" hidden="1" customWidth="1" outlineLevel="1"/>
    <col min="6" max="6" width="11" style="54" collapsed="1"/>
    <col min="7" max="8" width="11" style="54" hidden="1" customWidth="1" outlineLevel="1" collapsed="1"/>
    <col min="9" max="10" width="11" style="54" hidden="1" customWidth="1" outlineLevel="1"/>
    <col min="11" max="11" width="11" style="54" collapsed="1"/>
    <col min="12" max="13" width="11" style="54" hidden="1" customWidth="1" outlineLevel="1" collapsed="1"/>
    <col min="14" max="15" width="11" style="54" hidden="1" customWidth="1" outlineLevel="1"/>
    <col min="16" max="16" width="11" style="54" collapsed="1"/>
    <col min="17" max="18" width="11" style="54" hidden="1" customWidth="1" outlineLevel="1" collapsed="1"/>
    <col min="19" max="20" width="11" style="54" hidden="1" customWidth="1" outlineLevel="1"/>
    <col min="21" max="21" width="11" style="54" collapsed="1"/>
    <col min="22" max="23" width="11" style="54" hidden="1" customWidth="1" outlineLevel="1" collapsed="1"/>
    <col min="24" max="25" width="11" style="54" hidden="1" customWidth="1" outlineLevel="1"/>
    <col min="26" max="26" width="11" style="54" collapsed="1"/>
    <col min="27" max="28" width="11" style="54" hidden="1" customWidth="1" outlineLevel="1" collapsed="1"/>
    <col min="29" max="30" width="11" style="54" hidden="1" customWidth="1" outlineLevel="1"/>
    <col min="31" max="31" width="11" style="54" collapsed="1"/>
    <col min="32" max="33" width="11" style="54" hidden="1" customWidth="1" outlineLevel="1" collapsed="1"/>
    <col min="34" max="35" width="11" style="54" hidden="1" customWidth="1" outlineLevel="1"/>
    <col min="36" max="36" width="11" style="54" collapsed="1"/>
    <col min="37" max="38" width="11" style="54" hidden="1" customWidth="1" outlineLevel="1" collapsed="1"/>
    <col min="39" max="40" width="11" style="54" hidden="1" customWidth="1" outlineLevel="1"/>
    <col min="41" max="41" width="11" style="54" collapsed="1"/>
    <col min="42" max="43" width="11" style="54" hidden="1" customWidth="1" outlineLevel="1" collapsed="1"/>
    <col min="44" max="45" width="11" style="54" hidden="1" customWidth="1" outlineLevel="1"/>
    <col min="46" max="46" width="11" style="54" collapsed="1"/>
    <col min="47" max="48" width="11" style="54" hidden="1" customWidth="1" outlineLevel="1" collapsed="1"/>
    <col min="49" max="50" width="11" style="54" hidden="1" customWidth="1" outlineLevel="1"/>
    <col min="51" max="51" width="11" style="54" collapsed="1"/>
    <col min="52" max="53" width="11" style="54" hidden="1" customWidth="1" outlineLevel="1" collapsed="1"/>
    <col min="54" max="55" width="11" style="54" hidden="1" customWidth="1" outlineLevel="1"/>
    <col min="56" max="56" width="11" style="54" collapsed="1"/>
    <col min="57" max="58" width="11" style="54" hidden="1" customWidth="1" outlineLevel="1" collapsed="1"/>
    <col min="59" max="60" width="11" style="54" hidden="1" customWidth="1" outlineLevel="1"/>
    <col min="61" max="61" width="11" style="54" collapsed="1"/>
    <col min="62" max="63" width="11" style="54" hidden="1" customWidth="1" outlineLevel="1" collapsed="1"/>
    <col min="64" max="65" width="11" style="54" hidden="1" customWidth="1" outlineLevel="1"/>
    <col min="66" max="66" width="11" style="54" collapsed="1"/>
    <col min="67" max="68" width="11" style="54" hidden="1" customWidth="1" outlineLevel="1" collapsed="1"/>
    <col min="69" max="70" width="11" style="54" hidden="1" customWidth="1" outlineLevel="1"/>
    <col min="71" max="71" width="11" style="54" collapsed="1"/>
    <col min="72" max="73" width="11" style="54" hidden="1" customWidth="1" outlineLevel="1" collapsed="1"/>
    <col min="74" max="75" width="11" style="54" hidden="1" customWidth="1" outlineLevel="1"/>
    <col min="76" max="76" width="11" style="54" collapsed="1"/>
    <col min="77" max="77" width="11" style="54" hidden="1" customWidth="1" outlineLevel="1" collapsed="1"/>
    <col min="78" max="80" width="11" style="54" hidden="1" customWidth="1" outlineLevel="1"/>
    <col min="81" max="81" width="11" style="54" collapsed="1"/>
    <col min="82" max="85" width="11" style="54" customWidth="1" outlineLevel="1"/>
    <col min="86" max="86" width="11" style="54"/>
    <col min="87" max="90" width="11" style="54" customWidth="1" outlineLevel="1"/>
    <col min="91" max="91" width="11" style="54"/>
    <col min="92" max="95" width="11" style="54" hidden="1" customWidth="1" outlineLevel="1"/>
    <col min="96" max="96" width="11" style="54" collapsed="1"/>
    <col min="97" max="100" width="11" style="54" hidden="1" customWidth="1" outlineLevel="1"/>
    <col min="101" max="101" width="11" style="54" collapsed="1"/>
    <col min="102" max="105" width="11" style="54" hidden="1" customWidth="1" outlineLevel="1"/>
    <col min="106" max="106" width="11" style="54" collapsed="1"/>
    <col min="107" max="16384" width="11" style="54"/>
  </cols>
  <sheetData>
    <row r="1" spans="1:106" s="7" customFormat="1" ht="45.75" customHeight="1" x14ac:dyDescent="0.35">
      <c r="F1" s="8"/>
      <c r="K1" s="8"/>
      <c r="P1" s="8"/>
      <c r="U1" s="8"/>
      <c r="Z1" s="8"/>
      <c r="AE1" s="8"/>
      <c r="AJ1" s="8"/>
      <c r="AO1" s="8"/>
      <c r="AT1" s="8"/>
      <c r="AY1" s="8"/>
      <c r="BD1" s="8"/>
      <c r="BI1" s="8"/>
      <c r="BN1" s="8"/>
      <c r="BS1" s="8"/>
      <c r="BX1" s="8"/>
      <c r="BZ1" s="9"/>
      <c r="CA1" s="9"/>
      <c r="CB1" s="9"/>
      <c r="CC1" s="10"/>
      <c r="CD1" s="9"/>
      <c r="CE1" s="9"/>
      <c r="CF1" s="9"/>
      <c r="CG1" s="9"/>
      <c r="CH1" s="10"/>
      <c r="CI1" s="9"/>
      <c r="CJ1" s="9"/>
      <c r="CK1" s="9"/>
      <c r="CL1" s="9"/>
      <c r="CM1" s="10"/>
      <c r="CN1" s="9"/>
      <c r="CO1" s="9"/>
      <c r="CP1" s="9"/>
      <c r="CQ1" s="9"/>
      <c r="CR1" s="10"/>
      <c r="CS1" s="9"/>
      <c r="CT1" s="9"/>
      <c r="CU1" s="9"/>
      <c r="CV1" s="9"/>
      <c r="CW1" s="10"/>
      <c r="CX1" s="9"/>
      <c r="CY1" s="9"/>
      <c r="CZ1" s="9"/>
      <c r="DA1" s="9"/>
      <c r="DB1" s="10"/>
    </row>
    <row r="2" spans="1:106" ht="11.5" customHeight="1" x14ac:dyDescent="0.35">
      <c r="A2" s="11" t="str">
        <f ca="1">Valuation!$A$2</f>
        <v>CYRE3 | TP R$35/sh</v>
      </c>
      <c r="B2" s="46"/>
      <c r="C2" s="46"/>
      <c r="D2" s="46"/>
      <c r="E2" s="70"/>
      <c r="F2" s="82"/>
      <c r="G2" s="46"/>
      <c r="H2" s="70"/>
      <c r="I2" s="46"/>
      <c r="J2" s="70"/>
      <c r="K2" s="82"/>
      <c r="L2" s="46"/>
      <c r="M2" s="70"/>
      <c r="N2" s="46"/>
      <c r="O2" s="70"/>
      <c r="P2" s="82"/>
      <c r="Q2" s="46"/>
      <c r="R2" s="70"/>
      <c r="S2" s="46"/>
      <c r="T2" s="70"/>
      <c r="U2" s="82"/>
      <c r="V2" s="46"/>
      <c r="W2" s="70"/>
      <c r="X2" s="46"/>
      <c r="Y2" s="70"/>
      <c r="Z2" s="82"/>
      <c r="AA2" s="46"/>
      <c r="AB2" s="70"/>
      <c r="AC2" s="46"/>
      <c r="AD2" s="70"/>
      <c r="AE2" s="82"/>
      <c r="AF2" s="46"/>
      <c r="AG2" s="70"/>
      <c r="AH2" s="46"/>
      <c r="AI2" s="70"/>
      <c r="AJ2" s="82"/>
      <c r="AK2" s="46"/>
      <c r="AL2" s="70"/>
      <c r="AM2" s="46"/>
      <c r="AN2" s="70"/>
      <c r="AO2" s="82"/>
      <c r="AP2" s="46"/>
      <c r="AQ2" s="70"/>
      <c r="AR2" s="46"/>
      <c r="AS2" s="70"/>
      <c r="AT2" s="82"/>
      <c r="AU2" s="46"/>
      <c r="AV2" s="70"/>
      <c r="AW2" s="46"/>
      <c r="AX2" s="70"/>
      <c r="AY2" s="82"/>
      <c r="AZ2" s="46"/>
      <c r="BA2" s="70"/>
      <c r="BB2" s="46"/>
      <c r="BC2" s="70"/>
      <c r="BD2" s="82"/>
      <c r="BE2" s="46"/>
      <c r="BF2" s="70"/>
      <c r="BG2" s="46"/>
      <c r="BH2" s="70"/>
      <c r="BI2" s="82"/>
      <c r="BJ2" s="46"/>
      <c r="BK2" s="70"/>
      <c r="BL2" s="46"/>
      <c r="BM2" s="70"/>
      <c r="BN2" s="82"/>
      <c r="BO2" s="46"/>
      <c r="BP2" s="70"/>
      <c r="BQ2" s="46"/>
      <c r="BR2" s="70"/>
      <c r="BS2" s="82"/>
      <c r="BT2" s="46"/>
      <c r="BU2" s="70"/>
      <c r="BV2" s="397"/>
      <c r="BW2" s="70"/>
      <c r="BX2" s="82"/>
      <c r="BY2" s="46"/>
      <c r="BZ2" s="84"/>
      <c r="CA2" s="84"/>
      <c r="CB2" s="84"/>
      <c r="CC2" s="55"/>
      <c r="CD2" s="23"/>
      <c r="CH2" s="55"/>
      <c r="CM2" s="55"/>
      <c r="CR2" s="55"/>
      <c r="CW2" s="55"/>
      <c r="DB2" s="55"/>
    </row>
    <row r="3" spans="1:106" s="85" customFormat="1" ht="11.5" customHeight="1" thickBot="1" x14ac:dyDescent="0.4">
      <c r="A3" s="124" t="s">
        <v>136</v>
      </c>
      <c r="B3" s="44" t="str">
        <f>Macro!B$3</f>
        <v>1Q10</v>
      </c>
      <c r="C3" s="44" t="str">
        <f>Macro!C$3</f>
        <v>2Q10</v>
      </c>
      <c r="D3" s="44" t="str">
        <f>Macro!D$3</f>
        <v>3Q10</v>
      </c>
      <c r="E3" s="45" t="str">
        <f>Macro!E$3</f>
        <v>4Q10</v>
      </c>
      <c r="F3" s="43" t="str">
        <f>Macro!F$3</f>
        <v>2010</v>
      </c>
      <c r="G3" s="44" t="str">
        <f>Macro!G$3</f>
        <v>1Q11</v>
      </c>
      <c r="H3" s="44" t="str">
        <f>Macro!H$3</f>
        <v>2Q11</v>
      </c>
      <c r="I3" s="44" t="str">
        <f>Macro!I$3</f>
        <v>3Q11</v>
      </c>
      <c r="J3" s="45" t="str">
        <f>Macro!J$3</f>
        <v>4Q11</v>
      </c>
      <c r="K3" s="43" t="str">
        <f>Macro!K$3</f>
        <v>2011</v>
      </c>
      <c r="L3" s="44" t="str">
        <f>Macro!L$3</f>
        <v>1Q12</v>
      </c>
      <c r="M3" s="44" t="str">
        <f>Macro!M$3</f>
        <v>2Q12</v>
      </c>
      <c r="N3" s="44" t="str">
        <f>Macro!N$3</f>
        <v>3Q12</v>
      </c>
      <c r="O3" s="45" t="str">
        <f>Macro!O$3</f>
        <v>4Q12</v>
      </c>
      <c r="P3" s="43" t="str">
        <f>Macro!P$3</f>
        <v>2012</v>
      </c>
      <c r="Q3" s="44" t="str">
        <f>Macro!Q$3</f>
        <v>1Q13</v>
      </c>
      <c r="R3" s="44" t="str">
        <f>Macro!R$3</f>
        <v>2Q13</v>
      </c>
      <c r="S3" s="44" t="str">
        <f>Macro!S$3</f>
        <v>3Q13</v>
      </c>
      <c r="T3" s="45" t="str">
        <f>Macro!T$3</f>
        <v>4Q13</v>
      </c>
      <c r="U3" s="43" t="str">
        <f>Macro!U$3</f>
        <v>2013</v>
      </c>
      <c r="V3" s="44" t="str">
        <f>Macro!V$3</f>
        <v>1Q14</v>
      </c>
      <c r="W3" s="44" t="str">
        <f>Macro!W$3</f>
        <v>2Q14</v>
      </c>
      <c r="X3" s="44" t="str">
        <f>Macro!X$3</f>
        <v>3Q14</v>
      </c>
      <c r="Y3" s="45" t="str">
        <f>Macro!Y$3</f>
        <v>4Q14</v>
      </c>
      <c r="Z3" s="43" t="str">
        <f>Macro!Z$3</f>
        <v>2014</v>
      </c>
      <c r="AA3" s="44" t="str">
        <f>Macro!AA$3</f>
        <v>1Q15</v>
      </c>
      <c r="AB3" s="44" t="str">
        <f>Macro!AB$3</f>
        <v>2Q15</v>
      </c>
      <c r="AC3" s="44" t="str">
        <f>Macro!AC$3</f>
        <v>3Q15</v>
      </c>
      <c r="AD3" s="45" t="str">
        <f>Macro!AD$3</f>
        <v>4Q15</v>
      </c>
      <c r="AE3" s="43" t="str">
        <f>Macro!AE$3</f>
        <v>2015</v>
      </c>
      <c r="AF3" s="44" t="str">
        <f>Macro!AF$3</f>
        <v>1Q16</v>
      </c>
      <c r="AG3" s="44" t="str">
        <f>Macro!AG$3</f>
        <v>2Q16</v>
      </c>
      <c r="AH3" s="44" t="str">
        <f>Macro!AH$3</f>
        <v>3Q16</v>
      </c>
      <c r="AI3" s="45" t="str">
        <f>Macro!AI$3</f>
        <v>4Q16</v>
      </c>
      <c r="AJ3" s="43" t="str">
        <f>Macro!AJ$3</f>
        <v>2016</v>
      </c>
      <c r="AK3" s="44" t="str">
        <f>Macro!AK$3</f>
        <v>1Q17</v>
      </c>
      <c r="AL3" s="44" t="str">
        <f>Macro!AL$3</f>
        <v>2Q17</v>
      </c>
      <c r="AM3" s="44" t="str">
        <f>Macro!AM$3</f>
        <v>3Q17</v>
      </c>
      <c r="AN3" s="45" t="str">
        <f>Macro!AN$3</f>
        <v>4Q17</v>
      </c>
      <c r="AO3" s="43" t="str">
        <f>Macro!AO$3</f>
        <v>2017</v>
      </c>
      <c r="AP3" s="44" t="str">
        <f>Macro!AP$3</f>
        <v>1Q18</v>
      </c>
      <c r="AQ3" s="44" t="str">
        <f>Macro!AQ$3</f>
        <v>2Q18</v>
      </c>
      <c r="AR3" s="44" t="str">
        <f>Macro!AR$3</f>
        <v>3Q18</v>
      </c>
      <c r="AS3" s="45" t="str">
        <f>Macro!AS$3</f>
        <v>4Q18</v>
      </c>
      <c r="AT3" s="43" t="str">
        <f>Macro!AT$3</f>
        <v>2018</v>
      </c>
      <c r="AU3" s="44" t="str">
        <f>Macro!AU$3</f>
        <v>1Q19</v>
      </c>
      <c r="AV3" s="44" t="str">
        <f>Macro!AV$3</f>
        <v>2Q19</v>
      </c>
      <c r="AW3" s="44" t="str">
        <f>Macro!AW$3</f>
        <v>3Q19</v>
      </c>
      <c r="AX3" s="45" t="str">
        <f>Macro!AX$3</f>
        <v>4Q19</v>
      </c>
      <c r="AY3" s="43" t="str">
        <f>Macro!AY$3</f>
        <v>2019</v>
      </c>
      <c r="AZ3" s="44" t="str">
        <f>Macro!AZ$3</f>
        <v>1Q20</v>
      </c>
      <c r="BA3" s="44" t="str">
        <f>Macro!BA$3</f>
        <v>2Q20</v>
      </c>
      <c r="BB3" s="44" t="str">
        <f>Macro!BB$3</f>
        <v>3Q20</v>
      </c>
      <c r="BC3" s="45" t="str">
        <f>Macro!BC$3</f>
        <v>4Q20</v>
      </c>
      <c r="BD3" s="43" t="str">
        <f>Macro!BD$3</f>
        <v>2020</v>
      </c>
      <c r="BE3" s="44" t="str">
        <f>Macro!BE$3</f>
        <v>1Q21</v>
      </c>
      <c r="BF3" s="44" t="str">
        <f>Macro!BF$3</f>
        <v>2Q21</v>
      </c>
      <c r="BG3" s="44" t="str">
        <f>Macro!BG$3</f>
        <v>3Q21</v>
      </c>
      <c r="BH3" s="45" t="str">
        <f>Macro!BH$3</f>
        <v>4Q21</v>
      </c>
      <c r="BI3" s="43" t="str">
        <f>Macro!BI$3</f>
        <v>2021</v>
      </c>
      <c r="BJ3" s="44" t="str">
        <f>Macro!BJ$3</f>
        <v>1Q22</v>
      </c>
      <c r="BK3" s="44" t="str">
        <f>Macro!BK$3</f>
        <v>2Q22</v>
      </c>
      <c r="BL3" s="44" t="str">
        <f>Macro!BL$3</f>
        <v>3Q22</v>
      </c>
      <c r="BM3" s="45" t="str">
        <f>Macro!BM$3</f>
        <v>4Q22</v>
      </c>
      <c r="BN3" s="43" t="str">
        <f>Macro!BN$3</f>
        <v>2022</v>
      </c>
      <c r="BO3" s="44" t="str">
        <f>Macro!BO$3</f>
        <v>1Q23</v>
      </c>
      <c r="BP3" s="44" t="str">
        <f>Macro!BP$3</f>
        <v>2Q23</v>
      </c>
      <c r="BQ3" s="44" t="str">
        <f>Macro!BQ$3</f>
        <v>3Q23</v>
      </c>
      <c r="BR3" s="45" t="str">
        <f>Macro!BR$3</f>
        <v>4Q23</v>
      </c>
      <c r="BS3" s="43" t="str">
        <f>Macro!BS$3</f>
        <v>2023</v>
      </c>
      <c r="BT3" s="44" t="str">
        <f>Macro!BT$3</f>
        <v>1Q24</v>
      </c>
      <c r="BU3" s="44" t="str">
        <f>Macro!BU$3</f>
        <v>2Q24</v>
      </c>
      <c r="BV3" s="44" t="str">
        <f>Macro!BV$3</f>
        <v>3Q24</v>
      </c>
      <c r="BW3" s="45" t="str">
        <f>Macro!BW$3</f>
        <v>4Q24</v>
      </c>
      <c r="BX3" s="43" t="str">
        <f>Macro!BX$3</f>
        <v>2024</v>
      </c>
      <c r="BY3" s="44" t="str">
        <f>Macro!BY$3</f>
        <v>1Q25</v>
      </c>
      <c r="BZ3" s="45" t="str">
        <f>Macro!BZ$3</f>
        <v>2Q25</v>
      </c>
      <c r="CA3" s="36" t="str">
        <f>Macro!CA$3</f>
        <v>3Q25</v>
      </c>
      <c r="CB3" s="36" t="str">
        <f>Macro!CB$3</f>
        <v>4Q25</v>
      </c>
      <c r="CC3" s="37" t="str">
        <f>Macro!CC$3</f>
        <v>2025</v>
      </c>
      <c r="CD3" s="36" t="str">
        <f>Macro!CD$3</f>
        <v>1Q26</v>
      </c>
      <c r="CE3" s="36" t="str">
        <f>Macro!CE$3</f>
        <v>2Q26</v>
      </c>
      <c r="CF3" s="36" t="str">
        <f>Macro!CF$3</f>
        <v>3Q26E</v>
      </c>
      <c r="CG3" s="36" t="str">
        <f>Macro!CG$3</f>
        <v>4Q26E</v>
      </c>
      <c r="CH3" s="37" t="str">
        <f>Macro!CH$3</f>
        <v>2026E</v>
      </c>
      <c r="CI3" s="36" t="str">
        <f>Macro!CI$3</f>
        <v>1Q27E</v>
      </c>
      <c r="CJ3" s="36" t="str">
        <f>Macro!CJ$3</f>
        <v>2Q27E</v>
      </c>
      <c r="CK3" s="36" t="str">
        <f>Macro!CK$3</f>
        <v>3Q27E</v>
      </c>
      <c r="CL3" s="36" t="str">
        <f>Macro!CL$3</f>
        <v>4Q27E</v>
      </c>
      <c r="CM3" s="37" t="str">
        <f>Macro!CM$3</f>
        <v>2027E</v>
      </c>
      <c r="CN3" s="36" t="str">
        <f>Macro!CN$3</f>
        <v>1Q28E</v>
      </c>
      <c r="CO3" s="36" t="str">
        <f>Macro!CO$3</f>
        <v>2Q28E</v>
      </c>
      <c r="CP3" s="36" t="str">
        <f>Macro!CP$3</f>
        <v>3Q28E</v>
      </c>
      <c r="CQ3" s="36" t="str">
        <f>Macro!CQ$3</f>
        <v>4Q28E</v>
      </c>
      <c r="CR3" s="37" t="str">
        <f>Macro!CR$3</f>
        <v>2028E</v>
      </c>
      <c r="CS3" s="36" t="str">
        <f>Macro!CS$3</f>
        <v>1Q29E</v>
      </c>
      <c r="CT3" s="36" t="str">
        <f>Macro!CT$3</f>
        <v>2Q29E</v>
      </c>
      <c r="CU3" s="36" t="str">
        <f>Macro!CU$3</f>
        <v>3Q29E</v>
      </c>
      <c r="CV3" s="36" t="str">
        <f>Macro!CV$3</f>
        <v>4Q29E</v>
      </c>
      <c r="CW3" s="37" t="str">
        <f>Macro!CW$3</f>
        <v>2029E</v>
      </c>
      <c r="CX3" s="36" t="str">
        <f>Macro!CX$3</f>
        <v>1Q30E</v>
      </c>
      <c r="CY3" s="36" t="str">
        <f>Macro!CY$3</f>
        <v>2Q30E</v>
      </c>
      <c r="CZ3" s="36" t="str">
        <f>Macro!CZ$3</f>
        <v>3Q30E</v>
      </c>
      <c r="DA3" s="36" t="str">
        <f>Macro!DA$3</f>
        <v>4Q30E</v>
      </c>
      <c r="DB3" s="37" t="str">
        <f>Macro!DB$3</f>
        <v>2030E</v>
      </c>
    </row>
    <row r="4" spans="1:106" ht="11.5" customHeight="1" thickTop="1" x14ac:dyDescent="0.35">
      <c r="A4" s="32" t="s">
        <v>191</v>
      </c>
      <c r="B4" s="86">
        <f t="shared" ref="B4:AG4" si="0">B5+B20</f>
        <v>10879642</v>
      </c>
      <c r="C4" s="86">
        <f t="shared" si="0"/>
        <v>11232125</v>
      </c>
      <c r="D4" s="86">
        <f t="shared" si="0"/>
        <v>11602592</v>
      </c>
      <c r="E4" s="86">
        <f t="shared" si="0"/>
        <v>12042561</v>
      </c>
      <c r="F4" s="87">
        <f t="shared" si="0"/>
        <v>12042561</v>
      </c>
      <c r="G4" s="86">
        <f t="shared" si="0"/>
        <v>12489039</v>
      </c>
      <c r="H4" s="86">
        <f t="shared" si="0"/>
        <v>12931957</v>
      </c>
      <c r="I4" s="86">
        <f t="shared" si="0"/>
        <v>13496668</v>
      </c>
      <c r="J4" s="86">
        <f t="shared" si="0"/>
        <v>13644677</v>
      </c>
      <c r="K4" s="87">
        <f t="shared" si="0"/>
        <v>13644677</v>
      </c>
      <c r="L4" s="86">
        <f t="shared" si="0"/>
        <v>13531460</v>
      </c>
      <c r="M4" s="86">
        <f t="shared" si="0"/>
        <v>13603554</v>
      </c>
      <c r="N4" s="86">
        <f t="shared" si="0"/>
        <v>13616873</v>
      </c>
      <c r="O4" s="86">
        <f t="shared" si="0"/>
        <v>13607903</v>
      </c>
      <c r="P4" s="87">
        <f t="shared" si="0"/>
        <v>13607903</v>
      </c>
      <c r="Q4" s="86">
        <f t="shared" si="0"/>
        <v>13898293</v>
      </c>
      <c r="R4" s="86">
        <f t="shared" si="0"/>
        <v>13620424</v>
      </c>
      <c r="S4" s="86">
        <f t="shared" si="0"/>
        <v>14039473</v>
      </c>
      <c r="T4" s="86">
        <f t="shared" si="0"/>
        <v>14387099</v>
      </c>
      <c r="U4" s="87">
        <f t="shared" si="0"/>
        <v>14387099</v>
      </c>
      <c r="V4" s="86">
        <f t="shared" si="0"/>
        <v>14416449</v>
      </c>
      <c r="W4" s="86">
        <f t="shared" si="0"/>
        <v>13896935</v>
      </c>
      <c r="X4" s="86">
        <f t="shared" si="0"/>
        <v>13965433</v>
      </c>
      <c r="Y4" s="86">
        <f t="shared" si="0"/>
        <v>13420612</v>
      </c>
      <c r="Z4" s="87">
        <f t="shared" si="0"/>
        <v>13420612</v>
      </c>
      <c r="AA4" s="86">
        <f t="shared" si="0"/>
        <v>13326248</v>
      </c>
      <c r="AB4" s="86">
        <f t="shared" si="0"/>
        <v>13314373</v>
      </c>
      <c r="AC4" s="86">
        <f t="shared" si="0"/>
        <v>13416693</v>
      </c>
      <c r="AD4" s="86">
        <f t="shared" si="0"/>
        <v>12729588</v>
      </c>
      <c r="AE4" s="87">
        <f t="shared" si="0"/>
        <v>12729588</v>
      </c>
      <c r="AF4" s="86">
        <f t="shared" si="0"/>
        <v>12666844</v>
      </c>
      <c r="AG4" s="86">
        <f t="shared" si="0"/>
        <v>12243534</v>
      </c>
      <c r="AH4" s="86">
        <f t="shared" ref="AH4:BM4" si="1">AH5+AH20</f>
        <v>12079418</v>
      </c>
      <c r="AI4" s="86">
        <f t="shared" si="1"/>
        <v>11879699</v>
      </c>
      <c r="AJ4" s="87">
        <f t="shared" si="1"/>
        <v>11879699</v>
      </c>
      <c r="AK4" s="86">
        <f t="shared" si="1"/>
        <v>11940930</v>
      </c>
      <c r="AL4" s="86">
        <f t="shared" si="1"/>
        <v>11340173</v>
      </c>
      <c r="AM4" s="86">
        <f t="shared" si="1"/>
        <v>10931386</v>
      </c>
      <c r="AN4" s="86">
        <f t="shared" si="1"/>
        <v>10401541</v>
      </c>
      <c r="AO4" s="87">
        <f t="shared" si="1"/>
        <v>10401541</v>
      </c>
      <c r="AP4" s="86">
        <f t="shared" si="1"/>
        <v>9652269</v>
      </c>
      <c r="AQ4" s="86">
        <f t="shared" si="1"/>
        <v>10010071</v>
      </c>
      <c r="AR4" s="86">
        <f t="shared" si="1"/>
        <v>10499600</v>
      </c>
      <c r="AS4" s="86">
        <f t="shared" si="1"/>
        <v>9829268</v>
      </c>
      <c r="AT4" s="87">
        <f t="shared" si="1"/>
        <v>9829268</v>
      </c>
      <c r="AU4" s="86">
        <f t="shared" si="1"/>
        <v>9742527</v>
      </c>
      <c r="AV4" s="86">
        <f t="shared" si="1"/>
        <v>9772333</v>
      </c>
      <c r="AW4" s="86">
        <f t="shared" si="1"/>
        <v>9971372</v>
      </c>
      <c r="AX4" s="86">
        <f t="shared" si="1"/>
        <v>9987778</v>
      </c>
      <c r="AY4" s="87">
        <f t="shared" si="1"/>
        <v>9987778</v>
      </c>
      <c r="AZ4" s="86">
        <f t="shared" si="1"/>
        <v>10290824</v>
      </c>
      <c r="BA4" s="86">
        <f t="shared" si="1"/>
        <v>10908726</v>
      </c>
      <c r="BB4" s="86">
        <f t="shared" si="1"/>
        <v>11391783</v>
      </c>
      <c r="BC4" s="86">
        <f t="shared" si="1"/>
        <v>11433926</v>
      </c>
      <c r="BD4" s="87">
        <f t="shared" si="1"/>
        <v>11433926</v>
      </c>
      <c r="BE4" s="86">
        <f t="shared" si="1"/>
        <v>11657074</v>
      </c>
      <c r="BF4" s="86">
        <f t="shared" si="1"/>
        <v>12376658</v>
      </c>
      <c r="BG4" s="86">
        <f t="shared" si="1"/>
        <v>13162967</v>
      </c>
      <c r="BH4" s="86">
        <f t="shared" si="1"/>
        <v>13841170</v>
      </c>
      <c r="BI4" s="87">
        <f t="shared" si="1"/>
        <v>13841170</v>
      </c>
      <c r="BJ4" s="86">
        <f t="shared" si="1"/>
        <v>14217086</v>
      </c>
      <c r="BK4" s="86">
        <f t="shared" si="1"/>
        <v>14743262</v>
      </c>
      <c r="BL4" s="86">
        <f t="shared" si="1"/>
        <v>15685516</v>
      </c>
      <c r="BM4" s="86">
        <f t="shared" si="1"/>
        <v>16560139</v>
      </c>
      <c r="BN4" s="87">
        <f t="shared" ref="BN4:CS4" si="2">BN5+BN20</f>
        <v>16560139</v>
      </c>
      <c r="BO4" s="86">
        <f t="shared" si="2"/>
        <v>16321140</v>
      </c>
      <c r="BP4" s="86">
        <f t="shared" si="2"/>
        <v>16825149</v>
      </c>
      <c r="BQ4" s="86">
        <f t="shared" si="2"/>
        <v>17023249</v>
      </c>
      <c r="BR4" s="86">
        <f t="shared" si="2"/>
        <v>17371200</v>
      </c>
      <c r="BS4" s="87">
        <f t="shared" si="2"/>
        <v>17371200</v>
      </c>
      <c r="BT4" s="86">
        <f t="shared" si="2"/>
        <v>17462659</v>
      </c>
      <c r="BU4" s="86">
        <f t="shared" si="2"/>
        <v>18260036</v>
      </c>
      <c r="BV4" s="86">
        <f t="shared" si="2"/>
        <v>19574005</v>
      </c>
      <c r="BW4" s="86">
        <f t="shared" si="2"/>
        <v>21240962</v>
      </c>
      <c r="BX4" s="87">
        <f t="shared" si="2"/>
        <v>21240962</v>
      </c>
      <c r="BY4" s="86">
        <f t="shared" si="2"/>
        <v>21847715</v>
      </c>
      <c r="BZ4" s="86">
        <f>BZ5+BZ20</f>
        <v>23414787</v>
      </c>
      <c r="CA4" s="86">
        <f t="shared" si="2"/>
        <v>24950414</v>
      </c>
      <c r="CB4" s="86">
        <f t="shared" si="2"/>
        <v>26109817</v>
      </c>
      <c r="CC4" s="87">
        <f t="shared" si="2"/>
        <v>26109817</v>
      </c>
      <c r="CD4" s="86">
        <f t="shared" ref="CD4:CE4" si="3">CD5+CD20</f>
        <v>26714090</v>
      </c>
      <c r="CE4" s="86">
        <f t="shared" si="3"/>
        <v>27740895</v>
      </c>
      <c r="CF4" s="86">
        <f t="shared" ca="1" si="2"/>
        <v>28554505.850046538</v>
      </c>
      <c r="CG4" s="86">
        <f t="shared" ca="1" si="2"/>
        <v>29363750.638674825</v>
      </c>
      <c r="CH4" s="87">
        <f t="shared" ca="1" si="2"/>
        <v>29363750.638674825</v>
      </c>
      <c r="CI4" s="86">
        <f t="shared" ca="1" si="2"/>
        <v>30240395.652939845</v>
      </c>
      <c r="CJ4" s="86">
        <f t="shared" ca="1" si="2"/>
        <v>29925885.474062227</v>
      </c>
      <c r="CK4" s="86">
        <f t="shared" ca="1" si="2"/>
        <v>30638410.902715988</v>
      </c>
      <c r="CL4" s="86">
        <f t="shared" ca="1" si="2"/>
        <v>31400852.281543594</v>
      </c>
      <c r="CM4" s="87">
        <f t="shared" ca="1" si="2"/>
        <v>31400852.281543594</v>
      </c>
      <c r="CN4" s="86">
        <f t="shared" ca="1" si="2"/>
        <v>32185401.678645823</v>
      </c>
      <c r="CO4" s="86">
        <f t="shared" ca="1" si="2"/>
        <v>31032204.532479793</v>
      </c>
      <c r="CP4" s="86">
        <f t="shared" ca="1" si="2"/>
        <v>31829021.195213273</v>
      </c>
      <c r="CQ4" s="86">
        <f t="shared" ca="1" si="2"/>
        <v>32679271.058986437</v>
      </c>
      <c r="CR4" s="87">
        <f t="shared" ca="1" si="2"/>
        <v>32679271.058986437</v>
      </c>
      <c r="CS4" s="86">
        <f t="shared" ca="1" si="2"/>
        <v>33427588.151016213</v>
      </c>
      <c r="CT4" s="86">
        <f t="shared" ref="CT4:DB4" ca="1" si="4">CT5+CT20</f>
        <v>32074772.996940978</v>
      </c>
      <c r="CU4" s="86">
        <f t="shared" ca="1" si="4"/>
        <v>32874092.435679015</v>
      </c>
      <c r="CV4" s="86">
        <f t="shared" ca="1" si="4"/>
        <v>33777222.390462108</v>
      </c>
      <c r="CW4" s="87">
        <f t="shared" ca="1" si="4"/>
        <v>33777222.390462108</v>
      </c>
      <c r="CX4" s="86">
        <f t="shared" ca="1" si="4"/>
        <v>34697391.351714909</v>
      </c>
      <c r="CY4" s="86">
        <f t="shared" ca="1" si="4"/>
        <v>33179607.023848373</v>
      </c>
      <c r="CZ4" s="86">
        <f t="shared" ca="1" si="4"/>
        <v>33850437.51133351</v>
      </c>
      <c r="DA4" s="86">
        <f t="shared" ca="1" si="4"/>
        <v>34468016.796707585</v>
      </c>
      <c r="DB4" s="87">
        <f t="shared" ca="1" si="4"/>
        <v>34468016.796707585</v>
      </c>
    </row>
    <row r="5" spans="1:106" ht="11.5" customHeight="1" x14ac:dyDescent="0.35">
      <c r="A5" s="69" t="s">
        <v>192</v>
      </c>
      <c r="B5" s="88">
        <f t="shared" ref="B5:AG5" si="5">SUM(B6:B8)+B12+SUM(B16:B19)</f>
        <v>10623268</v>
      </c>
      <c r="C5" s="88">
        <f t="shared" si="5"/>
        <v>10966253</v>
      </c>
      <c r="D5" s="88">
        <f t="shared" si="5"/>
        <v>11332206</v>
      </c>
      <c r="E5" s="88">
        <f t="shared" si="5"/>
        <v>11776969</v>
      </c>
      <c r="F5" s="89">
        <f t="shared" si="5"/>
        <v>11776969</v>
      </c>
      <c r="G5" s="88">
        <f t="shared" si="5"/>
        <v>12233824</v>
      </c>
      <c r="H5" s="88">
        <f t="shared" si="5"/>
        <v>12677762</v>
      </c>
      <c r="I5" s="88">
        <f t="shared" si="5"/>
        <v>13219327</v>
      </c>
      <c r="J5" s="88">
        <f t="shared" si="5"/>
        <v>13352048</v>
      </c>
      <c r="K5" s="89">
        <f t="shared" si="5"/>
        <v>13352048</v>
      </c>
      <c r="L5" s="88">
        <f t="shared" si="5"/>
        <v>13246566</v>
      </c>
      <c r="M5" s="88">
        <f t="shared" si="5"/>
        <v>13322657</v>
      </c>
      <c r="N5" s="88">
        <f t="shared" si="5"/>
        <v>13348444</v>
      </c>
      <c r="O5" s="88">
        <f t="shared" si="5"/>
        <v>12690276</v>
      </c>
      <c r="P5" s="89">
        <f t="shared" si="5"/>
        <v>12690276</v>
      </c>
      <c r="Q5" s="88">
        <f t="shared" si="5"/>
        <v>12600630</v>
      </c>
      <c r="R5" s="88">
        <f t="shared" si="5"/>
        <v>12704590</v>
      </c>
      <c r="S5" s="88">
        <f t="shared" si="5"/>
        <v>13110606</v>
      </c>
      <c r="T5" s="88">
        <f t="shared" si="5"/>
        <v>13431826</v>
      </c>
      <c r="U5" s="89">
        <f t="shared" si="5"/>
        <v>13431826</v>
      </c>
      <c r="V5" s="88">
        <f t="shared" si="5"/>
        <v>13445175</v>
      </c>
      <c r="W5" s="88">
        <f t="shared" si="5"/>
        <v>12923156</v>
      </c>
      <c r="X5" s="88">
        <f t="shared" si="5"/>
        <v>12974276</v>
      </c>
      <c r="Y5" s="88">
        <f t="shared" si="5"/>
        <v>12453788</v>
      </c>
      <c r="Z5" s="89">
        <f t="shared" si="5"/>
        <v>12453788</v>
      </c>
      <c r="AA5" s="88">
        <f t="shared" si="5"/>
        <v>12407360</v>
      </c>
      <c r="AB5" s="88">
        <f t="shared" si="5"/>
        <v>12290921</v>
      </c>
      <c r="AC5" s="88">
        <f t="shared" si="5"/>
        <v>12419986</v>
      </c>
      <c r="AD5" s="88">
        <f t="shared" si="5"/>
        <v>11758986</v>
      </c>
      <c r="AE5" s="89">
        <f t="shared" si="5"/>
        <v>11758986</v>
      </c>
      <c r="AF5" s="88">
        <f t="shared" si="5"/>
        <v>11756853</v>
      </c>
      <c r="AG5" s="88">
        <f t="shared" si="5"/>
        <v>11346761</v>
      </c>
      <c r="AH5" s="88">
        <f t="shared" ref="AH5:BM5" si="6">SUM(AH6:AH8)+AH12+SUM(AH16:AH19)</f>
        <v>11147694</v>
      </c>
      <c r="AI5" s="88">
        <f t="shared" si="6"/>
        <v>10824601</v>
      </c>
      <c r="AJ5" s="89">
        <f t="shared" si="6"/>
        <v>10824601</v>
      </c>
      <c r="AK5" s="88">
        <f t="shared" si="6"/>
        <v>10897858</v>
      </c>
      <c r="AL5" s="88">
        <f t="shared" si="6"/>
        <v>10316073</v>
      </c>
      <c r="AM5" s="88">
        <f t="shared" si="6"/>
        <v>10012134</v>
      </c>
      <c r="AN5" s="88">
        <f t="shared" si="6"/>
        <v>9463751</v>
      </c>
      <c r="AO5" s="89">
        <f t="shared" si="6"/>
        <v>9463751</v>
      </c>
      <c r="AP5" s="88">
        <f t="shared" si="6"/>
        <v>8633923</v>
      </c>
      <c r="AQ5" s="88">
        <f t="shared" si="6"/>
        <v>9031755</v>
      </c>
      <c r="AR5" s="88">
        <f t="shared" si="6"/>
        <v>9540501</v>
      </c>
      <c r="AS5" s="88">
        <f t="shared" si="6"/>
        <v>8856897</v>
      </c>
      <c r="AT5" s="89">
        <f t="shared" si="6"/>
        <v>8856897</v>
      </c>
      <c r="AU5" s="88">
        <f t="shared" si="6"/>
        <v>8858496</v>
      </c>
      <c r="AV5" s="88">
        <f t="shared" si="6"/>
        <v>8888302</v>
      </c>
      <c r="AW5" s="88">
        <f t="shared" si="6"/>
        <v>9023928</v>
      </c>
      <c r="AX5" s="88">
        <f t="shared" si="6"/>
        <v>9052677</v>
      </c>
      <c r="AY5" s="89">
        <f t="shared" si="6"/>
        <v>9052677</v>
      </c>
      <c r="AZ5" s="88">
        <f t="shared" si="6"/>
        <v>9387142</v>
      </c>
      <c r="BA5" s="88">
        <f t="shared" si="6"/>
        <v>10014495</v>
      </c>
      <c r="BB5" s="88">
        <f t="shared" si="6"/>
        <v>9220526</v>
      </c>
      <c r="BC5" s="88">
        <f t="shared" si="6"/>
        <v>9273504</v>
      </c>
      <c r="BD5" s="89">
        <f t="shared" si="6"/>
        <v>9273504</v>
      </c>
      <c r="BE5" s="88">
        <f t="shared" si="6"/>
        <v>9422040</v>
      </c>
      <c r="BF5" s="88">
        <f t="shared" si="6"/>
        <v>10160484</v>
      </c>
      <c r="BG5" s="88">
        <f t="shared" si="6"/>
        <v>10888655</v>
      </c>
      <c r="BH5" s="88">
        <f t="shared" si="6"/>
        <v>11611061</v>
      </c>
      <c r="BI5" s="89">
        <f t="shared" si="6"/>
        <v>11611061</v>
      </c>
      <c r="BJ5" s="88">
        <f t="shared" si="6"/>
        <v>11864716</v>
      </c>
      <c r="BK5" s="88">
        <f t="shared" si="6"/>
        <v>12254509</v>
      </c>
      <c r="BL5" s="88">
        <f t="shared" si="6"/>
        <v>13050251</v>
      </c>
      <c r="BM5" s="88">
        <f t="shared" si="6"/>
        <v>13970087</v>
      </c>
      <c r="BN5" s="89">
        <f t="shared" ref="BN5:CS5" si="7">SUM(BN6:BN8)+BN12+SUM(BN16:BN19)</f>
        <v>13970087</v>
      </c>
      <c r="BO5" s="88">
        <f t="shared" si="7"/>
        <v>13682280</v>
      </c>
      <c r="BP5" s="88">
        <f t="shared" si="7"/>
        <v>14161583</v>
      </c>
      <c r="BQ5" s="88">
        <f t="shared" si="7"/>
        <v>14317987</v>
      </c>
      <c r="BR5" s="88">
        <f t="shared" si="7"/>
        <v>14597876</v>
      </c>
      <c r="BS5" s="89">
        <f t="shared" si="7"/>
        <v>14597876</v>
      </c>
      <c r="BT5" s="88">
        <f t="shared" si="7"/>
        <v>14577735</v>
      </c>
      <c r="BU5" s="88">
        <f t="shared" si="7"/>
        <v>15191293</v>
      </c>
      <c r="BV5" s="88">
        <f t="shared" si="7"/>
        <v>16376360</v>
      </c>
      <c r="BW5" s="88">
        <f t="shared" si="7"/>
        <v>17806771</v>
      </c>
      <c r="BX5" s="89">
        <f t="shared" si="7"/>
        <v>17806771</v>
      </c>
      <c r="BY5" s="88">
        <f t="shared" si="7"/>
        <v>18476438</v>
      </c>
      <c r="BZ5" s="88">
        <f>SUM(BZ6:BZ8)+BZ12+SUM(BZ16:BZ19)</f>
        <v>19991033</v>
      </c>
      <c r="CA5" s="88">
        <f t="shared" si="7"/>
        <v>21444563</v>
      </c>
      <c r="CB5" s="88">
        <f t="shared" si="7"/>
        <v>22204723</v>
      </c>
      <c r="CC5" s="89">
        <f t="shared" si="7"/>
        <v>22204723</v>
      </c>
      <c r="CD5" s="88">
        <f t="shared" ref="CD5:CE5" si="8">SUM(CD6:CD8)+CD12+SUM(CD16:CD19)</f>
        <v>22866641</v>
      </c>
      <c r="CE5" s="88">
        <f t="shared" si="8"/>
        <v>23767858</v>
      </c>
      <c r="CF5" s="88">
        <f t="shared" ca="1" si="7"/>
        <v>24487680.947819471</v>
      </c>
      <c r="CG5" s="88">
        <f t="shared" ca="1" si="7"/>
        <v>25213546.274818923</v>
      </c>
      <c r="CH5" s="89">
        <f t="shared" ca="1" si="7"/>
        <v>25213546.274818923</v>
      </c>
      <c r="CI5" s="88">
        <f t="shared" ca="1" si="7"/>
        <v>25955466.070740223</v>
      </c>
      <c r="CJ5" s="88">
        <f t="shared" ca="1" si="7"/>
        <v>25605309.787746131</v>
      </c>
      <c r="CK5" s="88">
        <f t="shared" ca="1" si="7"/>
        <v>26277366.228304885</v>
      </c>
      <c r="CL5" s="88">
        <f t="shared" ca="1" si="7"/>
        <v>27011633.504025027</v>
      </c>
      <c r="CM5" s="89">
        <f t="shared" ca="1" si="7"/>
        <v>27011633.504025027</v>
      </c>
      <c r="CN5" s="88">
        <f t="shared" ca="1" si="7"/>
        <v>27701248.913756892</v>
      </c>
      <c r="CO5" s="88">
        <f t="shared" ca="1" si="7"/>
        <v>26487333.671896495</v>
      </c>
      <c r="CP5" s="88">
        <f t="shared" ca="1" si="7"/>
        <v>27220254.209795315</v>
      </c>
      <c r="CQ5" s="88">
        <f t="shared" ca="1" si="7"/>
        <v>28045586.120463736</v>
      </c>
      <c r="CR5" s="89">
        <f t="shared" ca="1" si="7"/>
        <v>28045586.120463736</v>
      </c>
      <c r="CS5" s="88">
        <f t="shared" ca="1" si="7"/>
        <v>28742643.730105419</v>
      </c>
      <c r="CT5" s="88">
        <f t="shared" ref="CT5:DB5" ca="1" si="9">SUM(CT6:CT8)+CT12+SUM(CT16:CT19)</f>
        <v>27351357.268962771</v>
      </c>
      <c r="CU5" s="88">
        <f t="shared" ca="1" si="9"/>
        <v>28114733.697866585</v>
      </c>
      <c r="CV5" s="88">
        <f t="shared" ca="1" si="9"/>
        <v>28985880.014412053</v>
      </c>
      <c r="CW5" s="89">
        <f t="shared" ca="1" si="9"/>
        <v>28985880.014412053</v>
      </c>
      <c r="CX5" s="88">
        <f t="shared" ca="1" si="9"/>
        <v>29813698.62895871</v>
      </c>
      <c r="CY5" s="88">
        <f t="shared" ca="1" si="9"/>
        <v>28281907.171008687</v>
      </c>
      <c r="CZ5" s="88">
        <f t="shared" ca="1" si="9"/>
        <v>28977909.714834403</v>
      </c>
      <c r="DA5" s="88">
        <f t="shared" ca="1" si="9"/>
        <v>29672635.187704649</v>
      </c>
      <c r="DB5" s="89">
        <f t="shared" ca="1" si="9"/>
        <v>29672635.187704649</v>
      </c>
    </row>
    <row r="6" spans="1:106" ht="11.5" customHeight="1" x14ac:dyDescent="0.35">
      <c r="A6" s="190" t="s">
        <v>160</v>
      </c>
      <c r="B6" s="395">
        <f>236742+943929+337+105107</f>
        <v>1286115</v>
      </c>
      <c r="C6" s="395">
        <f>197379+510697+319+288722</f>
        <v>997117</v>
      </c>
      <c r="D6" s="395">
        <f>297199+429602+347+259061</f>
        <v>986209</v>
      </c>
      <c r="E6" s="395">
        <f>242556+597105+304770+10164</f>
        <v>1154595</v>
      </c>
      <c r="F6" s="29">
        <f>E6</f>
        <v>1154595</v>
      </c>
      <c r="G6" s="395">
        <f>293439+908801+11367</f>
        <v>1213607</v>
      </c>
      <c r="H6" s="395">
        <f>255330+524132+788880</f>
        <v>1568342</v>
      </c>
      <c r="I6" s="395">
        <f>290792+574384+911342</f>
        <v>1776518</v>
      </c>
      <c r="J6" s="395">
        <f>265494+592619+969551</f>
        <v>1827664</v>
      </c>
      <c r="K6" s="29">
        <f>J6</f>
        <v>1827664</v>
      </c>
      <c r="L6" s="395">
        <f>478267+1334917+43564</f>
        <v>1856748</v>
      </c>
      <c r="M6" s="395">
        <f>264923+1311188+57478</f>
        <v>1633589</v>
      </c>
      <c r="N6" s="395">
        <f>360513+1219310+71689</f>
        <v>1651512</v>
      </c>
      <c r="O6" s="395">
        <f>1157419+554910</f>
        <v>1712329</v>
      </c>
      <c r="P6" s="29">
        <f>O6</f>
        <v>1712329</v>
      </c>
      <c r="Q6" s="395">
        <f>1042867+597801</f>
        <v>1640668</v>
      </c>
      <c r="R6" s="395">
        <f>968984+555057</f>
        <v>1524041</v>
      </c>
      <c r="S6" s="395">
        <f>1384733+196648</f>
        <v>1581381</v>
      </c>
      <c r="T6" s="395">
        <f>1330136+397284</f>
        <v>1727420</v>
      </c>
      <c r="U6" s="29">
        <f>T6</f>
        <v>1727420</v>
      </c>
      <c r="V6" s="395">
        <f>1658232+530621</f>
        <v>2188853</v>
      </c>
      <c r="W6" s="395">
        <f>879923+878666</f>
        <v>1758589</v>
      </c>
      <c r="X6" s="395">
        <f>925530+857400</f>
        <v>1782930</v>
      </c>
      <c r="Y6" s="395">
        <f>919160+835104</f>
        <v>1754264</v>
      </c>
      <c r="Z6" s="29">
        <f>Y6</f>
        <v>1754264</v>
      </c>
      <c r="AA6" s="395">
        <f>908265+1113477</f>
        <v>2021742</v>
      </c>
      <c r="AB6" s="395">
        <f>865387+1375726</f>
        <v>2241113</v>
      </c>
      <c r="AC6" s="395">
        <f>840887+1683269</f>
        <v>2524156</v>
      </c>
      <c r="AD6" s="395">
        <f>828512+1405073</f>
        <v>2233585</v>
      </c>
      <c r="AE6" s="29">
        <f>AD6</f>
        <v>2233585</v>
      </c>
      <c r="AF6" s="395">
        <f>781748+1359089</f>
        <v>2140837</v>
      </c>
      <c r="AG6" s="395">
        <f>588949+1291434</f>
        <v>1880383</v>
      </c>
      <c r="AH6" s="395">
        <f>508248+1073826</f>
        <v>1582074</v>
      </c>
      <c r="AI6" s="395">
        <f>513757+1184534</f>
        <v>1698291</v>
      </c>
      <c r="AJ6" s="29">
        <f>AI6</f>
        <v>1698291</v>
      </c>
      <c r="AK6" s="395">
        <f>458946+1518001</f>
        <v>1976947</v>
      </c>
      <c r="AL6" s="395">
        <f>268768+1363137</f>
        <v>1631905</v>
      </c>
      <c r="AM6" s="395">
        <f>251948+1362090</f>
        <v>1614038</v>
      </c>
      <c r="AN6" s="395">
        <f>195630+119633+1047498</f>
        <v>1362761</v>
      </c>
      <c r="AO6" s="29">
        <f>AN6</f>
        <v>1362761</v>
      </c>
      <c r="AP6" s="395">
        <f>98521+103067+913952</f>
        <v>1115540</v>
      </c>
      <c r="AQ6" s="395">
        <f>160640+127607+1238877</f>
        <v>1527124</v>
      </c>
      <c r="AR6" s="395">
        <f>129272+120830+1889726</f>
        <v>2139828</v>
      </c>
      <c r="AS6" s="395">
        <f>173830+143866+1230961</f>
        <v>1548657</v>
      </c>
      <c r="AT6" s="29">
        <f>AS6</f>
        <v>1548657</v>
      </c>
      <c r="AU6" s="395">
        <f>129100+145887+1161208</f>
        <v>1436195</v>
      </c>
      <c r="AV6" s="395">
        <f>140592+254054+1133470</f>
        <v>1528116</v>
      </c>
      <c r="AW6" s="395">
        <f>87371+270958+1403084</f>
        <v>1761413</v>
      </c>
      <c r="AX6" s="395">
        <f>212437+298112+1152619</f>
        <v>1663168</v>
      </c>
      <c r="AY6" s="29">
        <f>AX6</f>
        <v>1663168</v>
      </c>
      <c r="AZ6" s="395">
        <f>235565+383395+1053410</f>
        <v>1672370</v>
      </c>
      <c r="BA6" s="395">
        <f>274804+1318179+400961</f>
        <v>1993944</v>
      </c>
      <c r="BB6" s="395">
        <f>191225+511575+1693397</f>
        <v>2396197</v>
      </c>
      <c r="BC6" s="395">
        <f>200083+559437+1641818</f>
        <v>2401338</v>
      </c>
      <c r="BD6" s="29">
        <f>BC6</f>
        <v>2401338</v>
      </c>
      <c r="BE6" s="395">
        <f>183084+558828+1702058</f>
        <v>2443970</v>
      </c>
      <c r="BF6" s="395">
        <f>292013+712719+1776216</f>
        <v>2780948</v>
      </c>
      <c r="BG6" s="395">
        <f>255175+784099+1955222</f>
        <v>2994496</v>
      </c>
      <c r="BH6" s="395">
        <f>205944+793961+2298888</f>
        <v>3298793</v>
      </c>
      <c r="BI6" s="29">
        <f>BH6</f>
        <v>3298793</v>
      </c>
      <c r="BJ6" s="395">
        <f>247999+1080589+1912846</f>
        <v>3241434</v>
      </c>
      <c r="BK6" s="395">
        <f>262973+1166120+2134817</f>
        <v>3563910</v>
      </c>
      <c r="BL6" s="395">
        <f>236436+1351257+2392616</f>
        <v>3980309</v>
      </c>
      <c r="BM6" s="395">
        <f>129013+1759011+2727728</f>
        <v>4615752</v>
      </c>
      <c r="BN6" s="29">
        <f>BM6</f>
        <v>4615752</v>
      </c>
      <c r="BO6" s="395">
        <f>237859+1624356+2556506</f>
        <v>4418721</v>
      </c>
      <c r="BP6" s="395">
        <f>231861+1762565+2651825</f>
        <v>4646251</v>
      </c>
      <c r="BQ6" s="395">
        <f>256623+1901768+2395406</f>
        <v>4553797</v>
      </c>
      <c r="BR6" s="395">
        <f>241792+1898849+2461965</f>
        <v>4602606</v>
      </c>
      <c r="BS6" s="29">
        <f>BR6</f>
        <v>4602606</v>
      </c>
      <c r="BT6" s="395">
        <f>156059+1944515+2377409</f>
        <v>4477983</v>
      </c>
      <c r="BU6" s="395">
        <f>175184+2036318+2623713</f>
        <v>4835215</v>
      </c>
      <c r="BV6" s="395">
        <f>542674+2064873+2499176</f>
        <v>5106723</v>
      </c>
      <c r="BW6" s="395">
        <f>531729+2256462+2520865</f>
        <v>5309056</v>
      </c>
      <c r="BX6" s="29">
        <f>BW6</f>
        <v>5309056</v>
      </c>
      <c r="BY6" s="395">
        <f>145454+2866950+2490300</f>
        <v>5502704</v>
      </c>
      <c r="BZ6" s="395">
        <f>178909+3088183+25938+2540596+247722</f>
        <v>6081348</v>
      </c>
      <c r="CA6" s="395">
        <f>172898+4024868+24674+2680997+168054</f>
        <v>7071491</v>
      </c>
      <c r="CB6" s="395">
        <f>726554+3025840+3255010</f>
        <v>7007404</v>
      </c>
      <c r="CC6" s="29">
        <f>CB6</f>
        <v>7007404</v>
      </c>
      <c r="CD6" s="395">
        <f>194663+3675057+25276+3181628+135422</f>
        <v>7212046</v>
      </c>
      <c r="CE6" s="395">
        <f>230669+3636686+3844939</f>
        <v>7712294</v>
      </c>
      <c r="CF6" s="422">
        <f ca="1">'BS &amp; FCF'!CF88</f>
        <v>8035746.209104442</v>
      </c>
      <c r="CG6" s="422">
        <f ca="1">'BS &amp; FCF'!CG88</f>
        <v>8394839.8907742705</v>
      </c>
      <c r="CH6" s="29">
        <f ca="1">CG6</f>
        <v>8394839.8907742705</v>
      </c>
      <c r="CI6" s="422">
        <f ca="1">'BS &amp; FCF'!CI88</f>
        <v>8552423.3149326928</v>
      </c>
      <c r="CJ6" s="422">
        <f ca="1">'BS &amp; FCF'!CJ88</f>
        <v>8057287.1955988249</v>
      </c>
      <c r="CK6" s="422">
        <f ca="1">'BS &amp; FCF'!CK88</f>
        <v>8552972.3424084503</v>
      </c>
      <c r="CL6" s="422">
        <f ca="1">'BS &amp; FCF'!CL88</f>
        <v>9166090.0023675915</v>
      </c>
      <c r="CM6" s="29">
        <f ca="1">CL6</f>
        <v>9166090.0023675915</v>
      </c>
      <c r="CN6" s="422">
        <f ca="1">'BS &amp; FCF'!CN88</f>
        <v>9452394.0336970631</v>
      </c>
      <c r="CO6" s="422">
        <f ca="1">'BS &amp; FCF'!CO88</f>
        <v>7979493.2489260761</v>
      </c>
      <c r="CP6" s="422">
        <f ca="1">'BS &amp; FCF'!CP88</f>
        <v>8438758.3299464826</v>
      </c>
      <c r="CQ6" s="422">
        <f ca="1">'BS &amp; FCF'!CQ88</f>
        <v>9151448.675808331</v>
      </c>
      <c r="CR6" s="29">
        <f ca="1">CQ6</f>
        <v>9151448.675808331</v>
      </c>
      <c r="CS6" s="422">
        <f ca="1">'BS &amp; FCF'!CS88</f>
        <v>9633809.0309784673</v>
      </c>
      <c r="CT6" s="422">
        <f ca="1">'BS &amp; FCF'!CT88</f>
        <v>8085012.616099515</v>
      </c>
      <c r="CU6" s="422">
        <f ca="1">'BS &amp; FCF'!CU88</f>
        <v>8701975.5532729588</v>
      </c>
      <c r="CV6" s="422">
        <f ca="1">'BS &amp; FCF'!CV88</f>
        <v>9443595.8043333739</v>
      </c>
      <c r="CW6" s="29">
        <f ca="1">CV6</f>
        <v>9443595.8043333739</v>
      </c>
      <c r="CX6" s="422">
        <f ca="1">'BS &amp; FCF'!CX88</f>
        <v>9882676.7620078195</v>
      </c>
      <c r="CY6" s="422">
        <f ca="1">'BS &amp; FCF'!CY88</f>
        <v>8308794.9604485966</v>
      </c>
      <c r="CZ6" s="422">
        <f ca="1">'BS &amp; FCF'!CZ88</f>
        <v>9135295.2861108873</v>
      </c>
      <c r="DA6" s="422">
        <f ca="1">'BS &amp; FCF'!DA88</f>
        <v>10189998.141267924</v>
      </c>
      <c r="DB6" s="29">
        <f ca="1">DA6</f>
        <v>10189998.141267924</v>
      </c>
    </row>
    <row r="7" spans="1:106" ht="11.5" customHeight="1" x14ac:dyDescent="0.35">
      <c r="A7" s="190" t="s">
        <v>159</v>
      </c>
      <c r="B7" s="395">
        <v>411760</v>
      </c>
      <c r="C7" s="395">
        <v>452713</v>
      </c>
      <c r="D7" s="395">
        <v>437295</v>
      </c>
      <c r="E7" s="395">
        <v>366862</v>
      </c>
      <c r="F7" s="29">
        <f>E7</f>
        <v>366862</v>
      </c>
      <c r="G7" s="395">
        <v>423866</v>
      </c>
      <c r="H7" s="395">
        <v>403378</v>
      </c>
      <c r="I7" s="395">
        <v>379621</v>
      </c>
      <c r="J7" s="395">
        <v>481933</v>
      </c>
      <c r="K7" s="29">
        <f>J7</f>
        <v>481933</v>
      </c>
      <c r="L7" s="395">
        <v>440078</v>
      </c>
      <c r="M7" s="395">
        <v>518402</v>
      </c>
      <c r="N7" s="395">
        <v>513781</v>
      </c>
      <c r="O7" s="395">
        <v>349967</v>
      </c>
      <c r="P7" s="29">
        <f>O7</f>
        <v>349967</v>
      </c>
      <c r="Q7" s="395">
        <v>444786</v>
      </c>
      <c r="R7" s="395">
        <v>367929</v>
      </c>
      <c r="S7" s="395">
        <f>R7</f>
        <v>367929</v>
      </c>
      <c r="T7" s="395">
        <v>227174</v>
      </c>
      <c r="U7" s="29">
        <f>T7</f>
        <v>227174</v>
      </c>
      <c r="V7" s="395">
        <v>198590</v>
      </c>
      <c r="W7" s="395">
        <v>179240</v>
      </c>
      <c r="X7" s="395">
        <v>163447</v>
      </c>
      <c r="Y7" s="395">
        <v>190441</v>
      </c>
      <c r="Z7" s="29">
        <f>Y7</f>
        <v>190441</v>
      </c>
      <c r="AA7" s="395">
        <v>201691</v>
      </c>
      <c r="AB7" s="395">
        <v>209036</v>
      </c>
      <c r="AC7" s="395">
        <v>201112</v>
      </c>
      <c r="AD7" s="395">
        <v>216893</v>
      </c>
      <c r="AE7" s="29">
        <f>AD7</f>
        <v>216893</v>
      </c>
      <c r="AF7" s="395">
        <v>296251</v>
      </c>
      <c r="AG7" s="395">
        <v>291823</v>
      </c>
      <c r="AH7" s="395">
        <v>307731</v>
      </c>
      <c r="AI7" s="395">
        <v>340973</v>
      </c>
      <c r="AJ7" s="29">
        <f>AI7</f>
        <v>340973</v>
      </c>
      <c r="AK7" s="395">
        <v>322866</v>
      </c>
      <c r="AL7" s="395">
        <v>301131</v>
      </c>
      <c r="AM7" s="395">
        <v>285106</v>
      </c>
      <c r="AN7" s="395">
        <v>349914</v>
      </c>
      <c r="AO7" s="29">
        <f>AN7</f>
        <v>349914</v>
      </c>
      <c r="AP7" s="395">
        <v>365272</v>
      </c>
      <c r="AQ7" s="395">
        <v>338828</v>
      </c>
      <c r="AR7" s="395">
        <v>247826</v>
      </c>
      <c r="AS7" s="395">
        <v>289000</v>
      </c>
      <c r="AT7" s="29">
        <f>AS7</f>
        <v>289000</v>
      </c>
      <c r="AU7" s="395">
        <v>332881</v>
      </c>
      <c r="AV7" s="395">
        <v>333343</v>
      </c>
      <c r="AW7" s="395">
        <v>347004</v>
      </c>
      <c r="AX7" s="395">
        <v>368995</v>
      </c>
      <c r="AY7" s="29">
        <f>AX7</f>
        <v>368995</v>
      </c>
      <c r="AZ7" s="395">
        <v>420949</v>
      </c>
      <c r="BA7" s="395">
        <v>465761</v>
      </c>
      <c r="BB7" s="395">
        <v>494467</v>
      </c>
      <c r="BC7" s="395">
        <v>383831</v>
      </c>
      <c r="BD7" s="29">
        <f>BC7</f>
        <v>383831</v>
      </c>
      <c r="BE7" s="395">
        <v>384021</v>
      </c>
      <c r="BF7" s="395">
        <v>412597</v>
      </c>
      <c r="BG7" s="395">
        <v>427135</v>
      </c>
      <c r="BH7" s="395">
        <v>554070</v>
      </c>
      <c r="BI7" s="29">
        <f>BH7</f>
        <v>554070</v>
      </c>
      <c r="BJ7" s="395">
        <v>513646</v>
      </c>
      <c r="BK7" s="395">
        <v>597994</v>
      </c>
      <c r="BL7" s="395">
        <v>423118</v>
      </c>
      <c r="BM7" s="395">
        <v>534936</v>
      </c>
      <c r="BN7" s="29">
        <f>BM7</f>
        <v>534936</v>
      </c>
      <c r="BO7" s="395">
        <v>489060</v>
      </c>
      <c r="BP7" s="395">
        <v>492168</v>
      </c>
      <c r="BQ7" s="395">
        <v>534748</v>
      </c>
      <c r="BR7" s="395">
        <v>436490</v>
      </c>
      <c r="BS7" s="29">
        <f>BR7</f>
        <v>436490</v>
      </c>
      <c r="BT7" s="395">
        <v>293621</v>
      </c>
      <c r="BU7" s="395">
        <v>301661</v>
      </c>
      <c r="BV7" s="395">
        <v>240092</v>
      </c>
      <c r="BW7" s="395">
        <v>230216</v>
      </c>
      <c r="BX7" s="29">
        <f>BW7</f>
        <v>230216</v>
      </c>
      <c r="BY7" s="395">
        <v>228433</v>
      </c>
      <c r="BZ7" s="395">
        <v>204448</v>
      </c>
      <c r="CA7" s="395">
        <v>230337</v>
      </c>
      <c r="CB7" s="395">
        <v>186280</v>
      </c>
      <c r="CC7" s="29">
        <f>CB7</f>
        <v>186280</v>
      </c>
      <c r="CD7" s="395">
        <v>232350</v>
      </c>
      <c r="CE7" s="395">
        <v>259018</v>
      </c>
      <c r="CF7" s="90">
        <f>CE7</f>
        <v>259018</v>
      </c>
      <c r="CG7" s="90">
        <f>CF7</f>
        <v>259018</v>
      </c>
      <c r="CH7" s="29">
        <f>CG7</f>
        <v>259018</v>
      </c>
      <c r="CI7" s="90">
        <f>CH7</f>
        <v>259018</v>
      </c>
      <c r="CJ7" s="90">
        <f>CI7</f>
        <v>259018</v>
      </c>
      <c r="CK7" s="90">
        <f>CJ7</f>
        <v>259018</v>
      </c>
      <c r="CL7" s="90">
        <f>CK7</f>
        <v>259018</v>
      </c>
      <c r="CM7" s="29">
        <f>CL7</f>
        <v>259018</v>
      </c>
      <c r="CN7" s="90">
        <f>CM7</f>
        <v>259018</v>
      </c>
      <c r="CO7" s="90">
        <f>CN7</f>
        <v>259018</v>
      </c>
      <c r="CP7" s="90">
        <f>CO7</f>
        <v>259018</v>
      </c>
      <c r="CQ7" s="90">
        <f>CP7</f>
        <v>259018</v>
      </c>
      <c r="CR7" s="29">
        <f>CQ7</f>
        <v>259018</v>
      </c>
      <c r="CS7" s="90">
        <f>CR7</f>
        <v>259018</v>
      </c>
      <c r="CT7" s="90">
        <f>CS7</f>
        <v>259018</v>
      </c>
      <c r="CU7" s="90">
        <f>CT7</f>
        <v>259018</v>
      </c>
      <c r="CV7" s="90">
        <f>CU7</f>
        <v>259018</v>
      </c>
      <c r="CW7" s="29">
        <f>CV7</f>
        <v>259018</v>
      </c>
      <c r="CX7" s="90">
        <f>CW7</f>
        <v>259018</v>
      </c>
      <c r="CY7" s="90">
        <f>CX7</f>
        <v>259018</v>
      </c>
      <c r="CZ7" s="90">
        <f>CY7</f>
        <v>259018</v>
      </c>
      <c r="DA7" s="90">
        <f>CZ7</f>
        <v>259018</v>
      </c>
      <c r="DB7" s="29">
        <f>DA7</f>
        <v>259018</v>
      </c>
    </row>
    <row r="8" spans="1:106" ht="11.5" customHeight="1" x14ac:dyDescent="0.35">
      <c r="A8" s="217" t="s">
        <v>182</v>
      </c>
      <c r="B8" s="38">
        <f t="shared" ref="B8:AG8" si="10">B9+B10+B11</f>
        <v>5226703</v>
      </c>
      <c r="C8" s="38">
        <f t="shared" si="10"/>
        <v>5535211</v>
      </c>
      <c r="D8" s="38">
        <f t="shared" si="10"/>
        <v>5835349</v>
      </c>
      <c r="E8" s="38">
        <f t="shared" si="10"/>
        <v>6005084</v>
      </c>
      <c r="F8" s="39">
        <f t="shared" si="10"/>
        <v>6005084</v>
      </c>
      <c r="G8" s="38">
        <f t="shared" si="10"/>
        <v>6134788</v>
      </c>
      <c r="H8" s="120">
        <f t="shared" si="10"/>
        <v>6208435</v>
      </c>
      <c r="I8" s="120">
        <f t="shared" si="10"/>
        <v>6235639</v>
      </c>
      <c r="J8" s="120">
        <f t="shared" si="10"/>
        <v>6409068</v>
      </c>
      <c r="K8" s="39">
        <f t="shared" si="10"/>
        <v>6409068</v>
      </c>
      <c r="L8" s="38">
        <f t="shared" si="10"/>
        <v>6566617</v>
      </c>
      <c r="M8" s="120">
        <f t="shared" si="10"/>
        <v>6502734</v>
      </c>
      <c r="N8" s="120">
        <f t="shared" si="10"/>
        <v>6433064</v>
      </c>
      <c r="O8" s="120">
        <f t="shared" si="10"/>
        <v>5900650</v>
      </c>
      <c r="P8" s="39">
        <f t="shared" si="10"/>
        <v>5900650</v>
      </c>
      <c r="Q8" s="38">
        <f t="shared" si="10"/>
        <v>5708739</v>
      </c>
      <c r="R8" s="120">
        <f t="shared" si="10"/>
        <v>5746013</v>
      </c>
      <c r="S8" s="120">
        <f t="shared" si="10"/>
        <v>5818501</v>
      </c>
      <c r="T8" s="120">
        <f t="shared" si="10"/>
        <v>5622358</v>
      </c>
      <c r="U8" s="39">
        <f t="shared" si="10"/>
        <v>5622358</v>
      </c>
      <c r="V8" s="38">
        <f t="shared" si="10"/>
        <v>5382715</v>
      </c>
      <c r="W8" s="120">
        <f t="shared" si="10"/>
        <v>5352790</v>
      </c>
      <c r="X8" s="120">
        <f t="shared" si="10"/>
        <v>5075277</v>
      </c>
      <c r="Y8" s="120">
        <f t="shared" si="10"/>
        <v>4929986</v>
      </c>
      <c r="Z8" s="39">
        <f t="shared" si="10"/>
        <v>4929986</v>
      </c>
      <c r="AA8" s="38">
        <f t="shared" si="10"/>
        <v>4496726</v>
      </c>
      <c r="AB8" s="120">
        <f t="shared" si="10"/>
        <v>4157027</v>
      </c>
      <c r="AC8" s="120">
        <f t="shared" si="10"/>
        <v>4025882</v>
      </c>
      <c r="AD8" s="120">
        <f t="shared" si="10"/>
        <v>3846292</v>
      </c>
      <c r="AE8" s="39">
        <f t="shared" si="10"/>
        <v>3846292</v>
      </c>
      <c r="AF8" s="38">
        <f t="shared" si="10"/>
        <v>3933676</v>
      </c>
      <c r="AG8" s="120">
        <f t="shared" si="10"/>
        <v>3580176</v>
      </c>
      <c r="AH8" s="120">
        <f t="shared" ref="AH8:BM8" si="11">AH9+AH10+AH11</f>
        <v>3566502</v>
      </c>
      <c r="AI8" s="120">
        <f t="shared" si="11"/>
        <v>3379792</v>
      </c>
      <c r="AJ8" s="39">
        <f t="shared" si="11"/>
        <v>3379792</v>
      </c>
      <c r="AK8" s="38">
        <f t="shared" si="11"/>
        <v>3261831</v>
      </c>
      <c r="AL8" s="120">
        <f t="shared" si="11"/>
        <v>2939202</v>
      </c>
      <c r="AM8" s="120">
        <f t="shared" si="11"/>
        <v>2699093</v>
      </c>
      <c r="AN8" s="120">
        <f t="shared" si="11"/>
        <v>2667234</v>
      </c>
      <c r="AO8" s="39">
        <f t="shared" si="11"/>
        <v>2667234</v>
      </c>
      <c r="AP8" s="38">
        <f t="shared" si="11"/>
        <v>2270779</v>
      </c>
      <c r="AQ8" s="120">
        <f t="shared" si="11"/>
        <v>2141537</v>
      </c>
      <c r="AR8" s="120">
        <f t="shared" si="11"/>
        <v>2125099</v>
      </c>
      <c r="AS8" s="120">
        <f t="shared" si="11"/>
        <v>1948816</v>
      </c>
      <c r="AT8" s="39">
        <f t="shared" si="11"/>
        <v>1948816</v>
      </c>
      <c r="AU8" s="38">
        <f t="shared" si="11"/>
        <v>1969463</v>
      </c>
      <c r="AV8" s="120">
        <f t="shared" si="11"/>
        <v>1951187</v>
      </c>
      <c r="AW8" s="120">
        <f t="shared" si="11"/>
        <v>1949967</v>
      </c>
      <c r="AX8" s="120">
        <f t="shared" si="11"/>
        <v>2069474</v>
      </c>
      <c r="AY8" s="39">
        <f t="shared" si="11"/>
        <v>2069474</v>
      </c>
      <c r="AZ8" s="38">
        <f t="shared" si="11"/>
        <v>2064344</v>
      </c>
      <c r="BA8" s="120">
        <f t="shared" si="11"/>
        <v>2184470</v>
      </c>
      <c r="BB8" s="120">
        <f t="shared" si="11"/>
        <v>2066837</v>
      </c>
      <c r="BC8" s="120">
        <f t="shared" si="11"/>
        <v>2063554</v>
      </c>
      <c r="BD8" s="39">
        <f t="shared" si="11"/>
        <v>2063554</v>
      </c>
      <c r="BE8" s="38">
        <f t="shared" si="11"/>
        <v>2129231</v>
      </c>
      <c r="BF8" s="120">
        <f t="shared" si="11"/>
        <v>2161399</v>
      </c>
      <c r="BG8" s="120">
        <f t="shared" si="11"/>
        <v>2261540</v>
      </c>
      <c r="BH8" s="120">
        <f t="shared" si="11"/>
        <v>2333644</v>
      </c>
      <c r="BI8" s="39">
        <f t="shared" si="11"/>
        <v>2333644</v>
      </c>
      <c r="BJ8" s="38">
        <f t="shared" si="11"/>
        <v>2402290</v>
      </c>
      <c r="BK8" s="120">
        <f t="shared" si="11"/>
        <v>2499984</v>
      </c>
      <c r="BL8" s="120">
        <f t="shared" si="11"/>
        <v>2711354</v>
      </c>
      <c r="BM8" s="120">
        <f t="shared" si="11"/>
        <v>2709008</v>
      </c>
      <c r="BN8" s="39">
        <f t="shared" ref="BN8:CS8" si="12">BN9+BN10+BN11</f>
        <v>2709008</v>
      </c>
      <c r="BO8" s="38">
        <f t="shared" si="12"/>
        <v>2666053</v>
      </c>
      <c r="BP8" s="120">
        <f t="shared" si="12"/>
        <v>2960288</v>
      </c>
      <c r="BQ8" s="120">
        <f t="shared" si="12"/>
        <v>3198894</v>
      </c>
      <c r="BR8" s="120">
        <f t="shared" si="12"/>
        <v>3454712</v>
      </c>
      <c r="BS8" s="39">
        <f t="shared" si="12"/>
        <v>3454712</v>
      </c>
      <c r="BT8" s="38">
        <f t="shared" si="12"/>
        <v>3635115</v>
      </c>
      <c r="BU8" s="120">
        <f t="shared" si="12"/>
        <v>3993057</v>
      </c>
      <c r="BV8" s="120">
        <f t="shared" si="12"/>
        <v>4314766</v>
      </c>
      <c r="BW8" s="120">
        <f t="shared" si="12"/>
        <v>4776699</v>
      </c>
      <c r="BX8" s="39">
        <f t="shared" si="12"/>
        <v>4776699</v>
      </c>
      <c r="BY8" s="38">
        <f t="shared" si="12"/>
        <v>4892181</v>
      </c>
      <c r="BZ8" s="120">
        <f t="shared" si="12"/>
        <v>5289499</v>
      </c>
      <c r="CA8" s="120">
        <f t="shared" ref="CA8:CB8" si="13">CA9+CA10+CA11</f>
        <v>5369048</v>
      </c>
      <c r="CB8" s="120">
        <f t="shared" si="13"/>
        <v>6114370</v>
      </c>
      <c r="CC8" s="39">
        <f t="shared" si="12"/>
        <v>6114370</v>
      </c>
      <c r="CD8" s="38">
        <f t="shared" ref="CD8:CE8" si="14">CD9+CD10+CD11</f>
        <v>6311433</v>
      </c>
      <c r="CE8" s="120">
        <f t="shared" si="14"/>
        <v>6524467</v>
      </c>
      <c r="CF8" s="120">
        <f t="shared" si="12"/>
        <v>6855342.9663740303</v>
      </c>
      <c r="CG8" s="120">
        <f t="shared" si="12"/>
        <v>7164546.0319175124</v>
      </c>
      <c r="CH8" s="39">
        <f t="shared" si="12"/>
        <v>7164546.0319175124</v>
      </c>
      <c r="CI8" s="120">
        <f t="shared" si="12"/>
        <v>7673030.5358450394</v>
      </c>
      <c r="CJ8" s="120">
        <f t="shared" si="12"/>
        <v>7756884.4040543362</v>
      </c>
      <c r="CK8" s="120">
        <f t="shared" si="12"/>
        <v>7863216.9007081725</v>
      </c>
      <c r="CL8" s="120">
        <f t="shared" si="12"/>
        <v>7929689.6958350539</v>
      </c>
      <c r="CM8" s="39">
        <f t="shared" si="12"/>
        <v>7929689.6958350539</v>
      </c>
      <c r="CN8" s="120">
        <f t="shared" si="12"/>
        <v>8271749.549285654</v>
      </c>
      <c r="CO8" s="120">
        <f t="shared" si="12"/>
        <v>8429040.8104177862</v>
      </c>
      <c r="CP8" s="120">
        <f t="shared" si="12"/>
        <v>8613719.942858981</v>
      </c>
      <c r="CQ8" s="120">
        <f t="shared" si="12"/>
        <v>8685104.1813184712</v>
      </c>
      <c r="CR8" s="39">
        <f t="shared" si="12"/>
        <v>8685104.1813184712</v>
      </c>
      <c r="CS8" s="120">
        <f t="shared" si="12"/>
        <v>8859366.9945954978</v>
      </c>
      <c r="CT8" s="120">
        <f t="shared" ref="CT8:DB8" si="15">CT9+CT10+CT11</f>
        <v>8953185.8634207323</v>
      </c>
      <c r="CU8" s="120">
        <f t="shared" si="15"/>
        <v>9050397.8108699173</v>
      </c>
      <c r="CV8" s="120">
        <f t="shared" si="15"/>
        <v>9176737.6351424791</v>
      </c>
      <c r="CW8" s="39">
        <f t="shared" si="15"/>
        <v>9176737.6351424791</v>
      </c>
      <c r="CX8" s="120">
        <f t="shared" si="15"/>
        <v>9499064.8657890223</v>
      </c>
      <c r="CY8" s="120">
        <f t="shared" si="15"/>
        <v>9589012.2989135291</v>
      </c>
      <c r="CZ8" s="120">
        <f t="shared" si="15"/>
        <v>9713388.2398681454</v>
      </c>
      <c r="DA8" s="120">
        <f t="shared" si="15"/>
        <v>9897598.7857780457</v>
      </c>
      <c r="DB8" s="39">
        <f t="shared" si="15"/>
        <v>9897598.7857780457</v>
      </c>
    </row>
    <row r="9" spans="1:106" ht="11.5" customHeight="1" outlineLevel="1" collapsed="1" x14ac:dyDescent="0.35">
      <c r="A9" s="191" t="s">
        <v>162</v>
      </c>
      <c r="B9" s="414">
        <v>1439667</v>
      </c>
      <c r="C9" s="414">
        <v>1428778</v>
      </c>
      <c r="D9" s="414">
        <v>1426802</v>
      </c>
      <c r="E9" s="414">
        <v>1846372</v>
      </c>
      <c r="F9" s="71">
        <f t="shared" ref="F9:F19" si="16">E9</f>
        <v>1846372</v>
      </c>
      <c r="G9" s="414">
        <v>1741147</v>
      </c>
      <c r="H9" s="414">
        <v>1551166</v>
      </c>
      <c r="I9" s="414">
        <v>1604872</v>
      </c>
      <c r="J9" s="414">
        <v>1663146</v>
      </c>
      <c r="K9" s="71">
        <f t="shared" ref="K9:K19" si="17">J9</f>
        <v>1663146</v>
      </c>
      <c r="L9" s="414">
        <v>1748878</v>
      </c>
      <c r="M9" s="414">
        <v>1931387</v>
      </c>
      <c r="N9" s="414">
        <v>2075907</v>
      </c>
      <c r="O9" s="414">
        <v>1911404</v>
      </c>
      <c r="P9" s="71">
        <f t="shared" ref="P9:P19" si="18">O9</f>
        <v>1911404</v>
      </c>
      <c r="Q9" s="414">
        <v>1786248</v>
      </c>
      <c r="R9" s="414">
        <v>1932176</v>
      </c>
      <c r="S9" s="414">
        <v>1745546</v>
      </c>
      <c r="T9" s="414">
        <v>1654683</v>
      </c>
      <c r="U9" s="71">
        <f t="shared" ref="U9:U19" si="19">T9</f>
        <v>1654683</v>
      </c>
      <c r="V9" s="414">
        <v>1300719</v>
      </c>
      <c r="W9" s="414">
        <v>1652546</v>
      </c>
      <c r="X9" s="414">
        <v>1405542</v>
      </c>
      <c r="Y9" s="414">
        <v>1636784</v>
      </c>
      <c r="Z9" s="71">
        <f t="shared" ref="Z9:Z19" si="20">Y9</f>
        <v>1636784</v>
      </c>
      <c r="AA9" s="414">
        <v>1381832</v>
      </c>
      <c r="AB9" s="414">
        <v>1515432</v>
      </c>
      <c r="AC9" s="414">
        <v>1341530</v>
      </c>
      <c r="AD9" s="414">
        <v>1157511</v>
      </c>
      <c r="AE9" s="71">
        <f t="shared" ref="AE9:AE19" si="21">AD9</f>
        <v>1157511</v>
      </c>
      <c r="AF9" s="414">
        <v>1377289</v>
      </c>
      <c r="AG9" s="414">
        <v>1139154</v>
      </c>
      <c r="AH9" s="414">
        <v>1098911</v>
      </c>
      <c r="AI9" s="414">
        <v>1286697</v>
      </c>
      <c r="AJ9" s="71">
        <f t="shared" ref="AJ9:AJ19" si="22">AI9</f>
        <v>1286697</v>
      </c>
      <c r="AK9" s="414">
        <v>1319140</v>
      </c>
      <c r="AL9" s="414">
        <v>946290</v>
      </c>
      <c r="AM9" s="414">
        <v>947733</v>
      </c>
      <c r="AN9" s="414">
        <v>1399075</v>
      </c>
      <c r="AO9" s="71">
        <f t="shared" ref="AO9:AO19" si="23">AN9</f>
        <v>1399075</v>
      </c>
      <c r="AP9" s="414">
        <v>1377969</v>
      </c>
      <c r="AQ9" s="414">
        <v>1150196</v>
      </c>
      <c r="AR9" s="414">
        <v>1159383</v>
      </c>
      <c r="AS9" s="414">
        <v>1056548</v>
      </c>
      <c r="AT9" s="71">
        <f t="shared" ref="AT9:AT19" si="24">AS9</f>
        <v>1056548</v>
      </c>
      <c r="AU9" s="414">
        <v>1061417</v>
      </c>
      <c r="AV9" s="414">
        <v>916544</v>
      </c>
      <c r="AW9" s="414">
        <v>932038</v>
      </c>
      <c r="AX9" s="414">
        <v>1102434</v>
      </c>
      <c r="AY9" s="71">
        <f t="shared" ref="AY9:AY19" si="25">AX9</f>
        <v>1102434</v>
      </c>
      <c r="AZ9" s="414">
        <v>933180</v>
      </c>
      <c r="BA9" s="414">
        <v>933180</v>
      </c>
      <c r="BB9" s="414">
        <v>845884</v>
      </c>
      <c r="BC9" s="414">
        <v>829785</v>
      </c>
      <c r="BD9" s="71">
        <f t="shared" ref="BD9:BD19" si="26">BC9</f>
        <v>829785</v>
      </c>
      <c r="BE9" s="414">
        <v>705213</v>
      </c>
      <c r="BF9" s="414">
        <v>815309</v>
      </c>
      <c r="BG9" s="414">
        <v>824961</v>
      </c>
      <c r="BH9" s="414">
        <v>906394</v>
      </c>
      <c r="BI9" s="71">
        <f t="shared" ref="BI9:BI19" si="27">BH9</f>
        <v>906394</v>
      </c>
      <c r="BJ9" s="414">
        <v>899144</v>
      </c>
      <c r="BK9" s="414">
        <v>765406</v>
      </c>
      <c r="BL9" s="414">
        <v>843303</v>
      </c>
      <c r="BM9" s="414">
        <v>831133</v>
      </c>
      <c r="BN9" s="71">
        <f t="shared" ref="BN9:BN19" si="28">BM9</f>
        <v>831133</v>
      </c>
      <c r="BO9" s="414">
        <v>811131</v>
      </c>
      <c r="BP9" s="414">
        <v>790261</v>
      </c>
      <c r="BQ9" s="414">
        <v>917701</v>
      </c>
      <c r="BR9" s="414">
        <v>1146874</v>
      </c>
      <c r="BS9" s="71">
        <f t="shared" ref="BS9:BS19" si="29">BR9</f>
        <v>1146874</v>
      </c>
      <c r="BT9" s="414">
        <v>941999</v>
      </c>
      <c r="BU9" s="414">
        <v>966961</v>
      </c>
      <c r="BV9" s="414">
        <v>931511</v>
      </c>
      <c r="BW9" s="414">
        <v>1190631</v>
      </c>
      <c r="BX9" s="71">
        <f t="shared" ref="BX9:BX19" si="30">BW9</f>
        <v>1190631</v>
      </c>
      <c r="BY9" s="414">
        <v>978133</v>
      </c>
      <c r="BZ9" s="414">
        <v>1018027</v>
      </c>
      <c r="CA9" s="414">
        <v>1146549</v>
      </c>
      <c r="CB9" s="414">
        <v>1505006</v>
      </c>
      <c r="CC9" s="71">
        <f>CB9</f>
        <v>1505006</v>
      </c>
      <c r="CD9" s="414">
        <v>1349794</v>
      </c>
      <c r="CE9" s="414">
        <v>1563246</v>
      </c>
      <c r="CF9" s="500">
        <f>CE9+Operating!CF49*50%-(CE9+Operating!CF49*50%)*50%</f>
        <v>1371397.1961320513</v>
      </c>
      <c r="CG9" s="500">
        <f>CF9+Operating!CG49*50%-(CF9+Operating!CG49*50%)*50%</f>
        <v>1397834.4480056507</v>
      </c>
      <c r="CH9" s="71">
        <f>CG9</f>
        <v>1397834.4480056507</v>
      </c>
      <c r="CI9" s="500">
        <f>CH9+Operating!CI49*50%-(CH9+Operating!CI49*50%)*50%</f>
        <v>1520974.3042724961</v>
      </c>
      <c r="CJ9" s="500">
        <f>CI9+Operating!CJ49*50%-(CI9+Operating!CJ49*50%)*50%</f>
        <v>1601668.5724875056</v>
      </c>
      <c r="CK9" s="500">
        <f>CJ9+Operating!CK49*50%-(CJ9+Operating!CK49*50%)*50%</f>
        <v>1732184.7958517701</v>
      </c>
      <c r="CL9" s="500">
        <f>CK9+Operating!CL49*50%-(CK9+Operating!CL49*50%)*50%</f>
        <v>1853298.197798904</v>
      </c>
      <c r="CM9" s="71">
        <f t="shared" ref="CM9" si="31">CL9</f>
        <v>1853298.197798904</v>
      </c>
      <c r="CN9" s="500">
        <f>CM9+Operating!CN49*50%-(CM9+Operating!CN49*50%)*50%</f>
        <v>1936606.5731805605</v>
      </c>
      <c r="CO9" s="500">
        <f>CN9+Operating!CO49*50%-(CN9+Operating!CO49*50%)*50%</f>
        <v>2087808.863313739</v>
      </c>
      <c r="CP9" s="500">
        <f>CO9+Operating!CP49*50%-(CO9+Operating!CP49*50%)*50%</f>
        <v>2197970.9305134118</v>
      </c>
      <c r="CQ9" s="500">
        <f>CP9+Operating!CQ49*50%-(CP9+Operating!CQ49*50%)*50%</f>
        <v>2169581.8746136357</v>
      </c>
      <c r="CR9" s="71">
        <f t="shared" ref="CR9" si="32">CQ9</f>
        <v>2169581.8746136357</v>
      </c>
      <c r="CS9" s="500">
        <f>CR9+Operating!CS49*50%-(CR9+Operating!CS49*50%)*50%</f>
        <v>2105165.6594850956</v>
      </c>
      <c r="CT9" s="500">
        <f>CS9+Operating!CT49*50%-(CS9+Operating!CT49*50%)*50%</f>
        <v>2055900.6450799648</v>
      </c>
      <c r="CU9" s="500">
        <f>CT9+Operating!CU49*50%-(CT9+Operating!CU49*50%)*50%</f>
        <v>2015867.8330720072</v>
      </c>
      <c r="CV9" s="500">
        <f>CU9+Operating!CV49*50%-(CU9+Operating!CV49*50%)*50%</f>
        <v>2006841.6186533244</v>
      </c>
      <c r="CW9" s="71">
        <f t="shared" ref="CW9" si="33">CV9</f>
        <v>2006841.6186533244</v>
      </c>
      <c r="CX9" s="500">
        <f>CW9+Operating!CX49*50%-(CW9+Operating!CX49*50%)*50%</f>
        <v>2005415.701214374</v>
      </c>
      <c r="CY9" s="500">
        <f>CX9+Operating!CY49*50%-(CX9+Operating!CY49*50%)*50%</f>
        <v>1965295.2041581385</v>
      </c>
      <c r="CZ9" s="500">
        <f>CY9+Operating!CZ49*50%-(CY9+Operating!CZ49*50%)*50%</f>
        <v>1960489.4520055084</v>
      </c>
      <c r="DA9" s="500">
        <f>CZ9+Operating!DA49*50%-(CZ9+Operating!DA49*50%)*50%</f>
        <v>2015272.4630896803</v>
      </c>
      <c r="DB9" s="71">
        <f t="shared" ref="DB9" si="34">DA9</f>
        <v>2015272.4630896803</v>
      </c>
    </row>
    <row r="10" spans="1:106" ht="11.5" customHeight="1" outlineLevel="1" x14ac:dyDescent="0.35">
      <c r="A10" s="191" t="s">
        <v>161</v>
      </c>
      <c r="B10" s="414">
        <f>3391335+1835368-B9</f>
        <v>3787036</v>
      </c>
      <c r="C10" s="414">
        <f>3616142+1919069-C9</f>
        <v>4106433</v>
      </c>
      <c r="D10" s="414">
        <f>3721807+2113542-D9</f>
        <v>4408547</v>
      </c>
      <c r="E10" s="414">
        <f>6005084-E9</f>
        <v>4158712</v>
      </c>
      <c r="F10" s="71">
        <f t="shared" si="16"/>
        <v>4158712</v>
      </c>
      <c r="G10" s="414">
        <f>4347295+46346</f>
        <v>4393641</v>
      </c>
      <c r="H10" s="414">
        <f>6165232-H9+43203</f>
        <v>4657269</v>
      </c>
      <c r="I10" s="414">
        <f>6235639-I9</f>
        <v>4630767</v>
      </c>
      <c r="J10" s="414">
        <f>6409068-J9</f>
        <v>4745922</v>
      </c>
      <c r="K10" s="71">
        <f t="shared" si="17"/>
        <v>4745922</v>
      </c>
      <c r="L10" s="414">
        <f>6566617-L9</f>
        <v>4817739</v>
      </c>
      <c r="M10" s="414">
        <f>4514491+56856</f>
        <v>4571347</v>
      </c>
      <c r="N10" s="414">
        <f>6433064-N9</f>
        <v>4357157</v>
      </c>
      <c r="O10" s="414">
        <f>5838901-O9+61749</f>
        <v>3989246</v>
      </c>
      <c r="P10" s="71">
        <f t="shared" si="18"/>
        <v>3989246</v>
      </c>
      <c r="Q10" s="414">
        <f>5708739-Q9</f>
        <v>3922491</v>
      </c>
      <c r="R10" s="414">
        <f>5746013-R9</f>
        <v>3813837</v>
      </c>
      <c r="S10" s="414">
        <f>3940730+132225</f>
        <v>4072955</v>
      </c>
      <c r="T10" s="414">
        <f>5622358-T9</f>
        <v>3967675</v>
      </c>
      <c r="U10" s="71">
        <f t="shared" si="19"/>
        <v>3967675</v>
      </c>
      <c r="V10" s="414">
        <f>5382715-V9</f>
        <v>4081996</v>
      </c>
      <c r="W10" s="414">
        <f>5352790-W9</f>
        <v>3700244</v>
      </c>
      <c r="X10" s="414">
        <f>5075277-X9</f>
        <v>3669735</v>
      </c>
      <c r="Y10" s="414">
        <f>4929986-Y9</f>
        <v>3293202</v>
      </c>
      <c r="Z10" s="71">
        <f t="shared" si="20"/>
        <v>3293202</v>
      </c>
      <c r="AA10" s="414">
        <f>4496726-AA9</f>
        <v>3114894</v>
      </c>
      <c r="AB10" s="414">
        <f>4157027-AB9</f>
        <v>2641595</v>
      </c>
      <c r="AC10" s="414">
        <f>4025882-AC9</f>
        <v>2684352</v>
      </c>
      <c r="AD10" s="414">
        <f>3846292-AD9</f>
        <v>2688781</v>
      </c>
      <c r="AE10" s="71">
        <f t="shared" si="21"/>
        <v>2688781</v>
      </c>
      <c r="AF10" s="414">
        <f>3933676-AF9</f>
        <v>2556387</v>
      </c>
      <c r="AG10" s="414">
        <f>3580176-AG9</f>
        <v>2441022</v>
      </c>
      <c r="AH10" s="414">
        <f>3566502-AH9</f>
        <v>2467591</v>
      </c>
      <c r="AI10" s="414">
        <f>3379792-AI9</f>
        <v>2093095</v>
      </c>
      <c r="AJ10" s="71">
        <f t="shared" si="22"/>
        <v>2093095</v>
      </c>
      <c r="AK10" s="414">
        <f>3261831-AK9</f>
        <v>1942691</v>
      </c>
      <c r="AL10" s="414">
        <f>2939202-AL9</f>
        <v>1992912</v>
      </c>
      <c r="AM10" s="414">
        <f>2699093-AM9</f>
        <v>1751360</v>
      </c>
      <c r="AN10" s="414">
        <f>2667234-AN9</f>
        <v>1268159</v>
      </c>
      <c r="AO10" s="71">
        <f t="shared" si="23"/>
        <v>1268159</v>
      </c>
      <c r="AP10" s="414">
        <f>2270779-AP9</f>
        <v>892810</v>
      </c>
      <c r="AQ10" s="414">
        <f>2141537-AQ9</f>
        <v>991341</v>
      </c>
      <c r="AR10" s="414">
        <f>2125099-AR9</f>
        <v>965716</v>
      </c>
      <c r="AS10" s="414">
        <f>1948816-AS9</f>
        <v>892268</v>
      </c>
      <c r="AT10" s="71">
        <f t="shared" si="24"/>
        <v>892268</v>
      </c>
      <c r="AU10" s="414">
        <f>1969463-AU9</f>
        <v>908046</v>
      </c>
      <c r="AV10" s="414">
        <f>1426752+524435-AV9</f>
        <v>1034643</v>
      </c>
      <c r="AW10" s="414">
        <f>1295257+654710-AW9</f>
        <v>1017929</v>
      </c>
      <c r="AX10" s="414">
        <f>1251679+817795-AX9</f>
        <v>967040</v>
      </c>
      <c r="AY10" s="71">
        <f t="shared" si="25"/>
        <v>967040</v>
      </c>
      <c r="AZ10" s="414">
        <f>1329078+735266-AZ9</f>
        <v>1131164</v>
      </c>
      <c r="BA10" s="414">
        <f>1447389+737081-BA9</f>
        <v>1251290</v>
      </c>
      <c r="BB10" s="414">
        <f>1339500+727337-BB9</f>
        <v>1220953</v>
      </c>
      <c r="BC10" s="414">
        <f>1355208+708346-BC9</f>
        <v>1233769</v>
      </c>
      <c r="BD10" s="71">
        <f t="shared" si="26"/>
        <v>1233769</v>
      </c>
      <c r="BE10" s="414">
        <f>1464398+664833-BE9</f>
        <v>1424018</v>
      </c>
      <c r="BF10" s="414">
        <f>1518593+642806-BF9</f>
        <v>1346090</v>
      </c>
      <c r="BG10" s="414">
        <f>1649122+612418-BG9</f>
        <v>1436579</v>
      </c>
      <c r="BH10" s="414">
        <f>1724412+609232-BH9</f>
        <v>1427250</v>
      </c>
      <c r="BI10" s="71">
        <f t="shared" si="27"/>
        <v>1427250</v>
      </c>
      <c r="BJ10" s="414">
        <f>1844753+557537-BJ9</f>
        <v>1503146</v>
      </c>
      <c r="BK10" s="414">
        <f>1912589+587395-BK9</f>
        <v>1734578</v>
      </c>
      <c r="BL10" s="414">
        <f>2005263+706091-BL9</f>
        <v>1868051</v>
      </c>
      <c r="BM10" s="414">
        <f>2150674+558334-BM9</f>
        <v>1877875</v>
      </c>
      <c r="BN10" s="71">
        <f t="shared" si="28"/>
        <v>1877875</v>
      </c>
      <c r="BO10" s="414">
        <f>2121430+544623-BO9</f>
        <v>1854922</v>
      </c>
      <c r="BP10" s="414">
        <f>2316701+643587-BP9</f>
        <v>2170027</v>
      </c>
      <c r="BQ10" s="414">
        <f>2569020+629874-BQ9</f>
        <v>2281193</v>
      </c>
      <c r="BR10" s="414">
        <f>2857730+596982-BR9</f>
        <v>2307838</v>
      </c>
      <c r="BS10" s="71">
        <f t="shared" si="29"/>
        <v>2307838</v>
      </c>
      <c r="BT10" s="414">
        <f>2911257+723858-BT9</f>
        <v>2693116</v>
      </c>
      <c r="BU10" s="414">
        <f>3150670+842387-BU9</f>
        <v>3026096</v>
      </c>
      <c r="BV10" s="414">
        <f>3351383+963383-BV9</f>
        <v>3383255</v>
      </c>
      <c r="BW10" s="414">
        <f>3700652+1076047-BW9</f>
        <v>3586068</v>
      </c>
      <c r="BX10" s="71">
        <f t="shared" si="30"/>
        <v>3586068</v>
      </c>
      <c r="BY10" s="414">
        <f>3770590+1121591-BY9-BY11</f>
        <v>3914048</v>
      </c>
      <c r="BZ10" s="414">
        <f>3949072+1340427-BZ9</f>
        <v>4271472</v>
      </c>
      <c r="CA10" s="414">
        <f>3942075-CA9+1426973</f>
        <v>4222499</v>
      </c>
      <c r="CB10" s="414">
        <f>4577860+1536510-CB9</f>
        <v>4609364</v>
      </c>
      <c r="CC10" s="71">
        <f>CB10</f>
        <v>4609364</v>
      </c>
      <c r="CD10" s="414">
        <f>4914649+1396784-CD9-CD11</f>
        <v>4961639</v>
      </c>
      <c r="CE10" s="414">
        <f>5156483+1367984-CE9</f>
        <v>4961221</v>
      </c>
      <c r="CF10" s="92">
        <f>CF99</f>
        <v>5483945.7702419786</v>
      </c>
      <c r="CG10" s="92">
        <f>CG99</f>
        <v>5766711.5839118622</v>
      </c>
      <c r="CH10" s="71">
        <f>CG10</f>
        <v>5766711.5839118622</v>
      </c>
      <c r="CI10" s="92">
        <f>CI99</f>
        <v>6152056.2315725433</v>
      </c>
      <c r="CJ10" s="92">
        <f>CJ99</f>
        <v>6155215.8315668311</v>
      </c>
      <c r="CK10" s="92">
        <f>CK99</f>
        <v>6131032.1048564026</v>
      </c>
      <c r="CL10" s="92">
        <f>CL99</f>
        <v>6076391.4980361499</v>
      </c>
      <c r="CM10" s="71">
        <f>CL10</f>
        <v>6076391.4980361499</v>
      </c>
      <c r="CN10" s="92">
        <f>CN99</f>
        <v>6335142.976105093</v>
      </c>
      <c r="CO10" s="92">
        <f>CO99</f>
        <v>6341231.947104048</v>
      </c>
      <c r="CP10" s="92">
        <f>CP99</f>
        <v>6415749.0123455692</v>
      </c>
      <c r="CQ10" s="92">
        <f>CQ99</f>
        <v>6515522.306704836</v>
      </c>
      <c r="CR10" s="71">
        <f>CQ10</f>
        <v>6515522.306704836</v>
      </c>
      <c r="CS10" s="92">
        <f>CS99</f>
        <v>6754201.3351104027</v>
      </c>
      <c r="CT10" s="92">
        <f>CT99</f>
        <v>6897285.2183407666</v>
      </c>
      <c r="CU10" s="92">
        <f>CU99</f>
        <v>7034529.9777979106</v>
      </c>
      <c r="CV10" s="92">
        <f>CV99</f>
        <v>7169896.0164891556</v>
      </c>
      <c r="CW10" s="71">
        <f>CV10</f>
        <v>7169896.0164891556</v>
      </c>
      <c r="CX10" s="92">
        <f>CX99</f>
        <v>7493649.1645746483</v>
      </c>
      <c r="CY10" s="92">
        <f>CY99</f>
        <v>7623717.0947553907</v>
      </c>
      <c r="CZ10" s="92">
        <f>CZ99</f>
        <v>7752898.787862638</v>
      </c>
      <c r="DA10" s="92">
        <f>DA99</f>
        <v>7882326.3226883644</v>
      </c>
      <c r="DB10" s="71">
        <f>DA10</f>
        <v>7882326.3226883644</v>
      </c>
    </row>
    <row r="11" spans="1:106" ht="11.5" customHeight="1" outlineLevel="1" x14ac:dyDescent="0.35">
      <c r="A11" s="191" t="s">
        <v>195</v>
      </c>
      <c r="B11" s="414">
        <v>0</v>
      </c>
      <c r="C11" s="414">
        <v>0</v>
      </c>
      <c r="D11" s="414">
        <v>0</v>
      </c>
      <c r="E11" s="414">
        <v>0</v>
      </c>
      <c r="F11" s="71">
        <f t="shared" si="16"/>
        <v>0</v>
      </c>
      <c r="G11" s="414">
        <v>0</v>
      </c>
      <c r="H11" s="414">
        <v>0</v>
      </c>
      <c r="I11" s="414">
        <v>0</v>
      </c>
      <c r="J11" s="414">
        <v>0</v>
      </c>
      <c r="K11" s="71">
        <f t="shared" si="17"/>
        <v>0</v>
      </c>
      <c r="L11" s="414">
        <v>0</v>
      </c>
      <c r="M11" s="414">
        <v>0</v>
      </c>
      <c r="N11" s="414">
        <v>0</v>
      </c>
      <c r="O11" s="414">
        <v>0</v>
      </c>
      <c r="P11" s="71">
        <f t="shared" si="18"/>
        <v>0</v>
      </c>
      <c r="Q11" s="414">
        <v>0</v>
      </c>
      <c r="R11" s="414">
        <v>0</v>
      </c>
      <c r="S11" s="414">
        <v>0</v>
      </c>
      <c r="T11" s="414">
        <v>0</v>
      </c>
      <c r="U11" s="71">
        <f t="shared" si="19"/>
        <v>0</v>
      </c>
      <c r="V11" s="414">
        <v>0</v>
      </c>
      <c r="W11" s="414">
        <v>0</v>
      </c>
      <c r="X11" s="414">
        <v>0</v>
      </c>
      <c r="Y11" s="414">
        <v>0</v>
      </c>
      <c r="Z11" s="71">
        <f t="shared" si="20"/>
        <v>0</v>
      </c>
      <c r="AA11" s="414">
        <v>0</v>
      </c>
      <c r="AB11" s="414">
        <v>0</v>
      </c>
      <c r="AC11" s="414">
        <v>0</v>
      </c>
      <c r="AD11" s="414">
        <v>0</v>
      </c>
      <c r="AE11" s="71">
        <f t="shared" si="21"/>
        <v>0</v>
      </c>
      <c r="AF11" s="414">
        <v>0</v>
      </c>
      <c r="AG11" s="414">
        <v>0</v>
      </c>
      <c r="AH11" s="414">
        <v>0</v>
      </c>
      <c r="AI11" s="414">
        <v>0</v>
      </c>
      <c r="AJ11" s="71">
        <f t="shared" si="22"/>
        <v>0</v>
      </c>
      <c r="AK11" s="414">
        <v>0</v>
      </c>
      <c r="AL11" s="414">
        <v>0</v>
      </c>
      <c r="AM11" s="414">
        <v>0</v>
      </c>
      <c r="AN11" s="414">
        <v>0</v>
      </c>
      <c r="AO11" s="71">
        <f t="shared" si="23"/>
        <v>0</v>
      </c>
      <c r="AP11" s="414">
        <v>0</v>
      </c>
      <c r="AQ11" s="414">
        <v>0</v>
      </c>
      <c r="AR11" s="414">
        <v>0</v>
      </c>
      <c r="AS11" s="414">
        <v>0</v>
      </c>
      <c r="AT11" s="71">
        <f t="shared" si="24"/>
        <v>0</v>
      </c>
      <c r="AU11" s="414">
        <v>0</v>
      </c>
      <c r="AV11" s="414">
        <v>0</v>
      </c>
      <c r="AW11" s="414">
        <v>0</v>
      </c>
      <c r="AX11" s="414">
        <v>0</v>
      </c>
      <c r="AY11" s="71">
        <f t="shared" si="25"/>
        <v>0</v>
      </c>
      <c r="AZ11" s="414">
        <v>0</v>
      </c>
      <c r="BA11" s="414">
        <v>0</v>
      </c>
      <c r="BB11" s="414">
        <v>0</v>
      </c>
      <c r="BC11" s="414">
        <v>0</v>
      </c>
      <c r="BD11" s="71">
        <f t="shared" si="26"/>
        <v>0</v>
      </c>
      <c r="BE11" s="414">
        <v>0</v>
      </c>
      <c r="BF11" s="414">
        <v>0</v>
      </c>
      <c r="BG11" s="414">
        <v>0</v>
      </c>
      <c r="BH11" s="414">
        <v>0</v>
      </c>
      <c r="BI11" s="71">
        <f t="shared" si="27"/>
        <v>0</v>
      </c>
      <c r="BJ11" s="414">
        <v>0</v>
      </c>
      <c r="BK11" s="414">
        <v>0</v>
      </c>
      <c r="BL11" s="414">
        <v>0</v>
      </c>
      <c r="BM11" s="414">
        <v>0</v>
      </c>
      <c r="BN11" s="71">
        <f t="shared" si="28"/>
        <v>0</v>
      </c>
      <c r="BO11" s="414">
        <v>0</v>
      </c>
      <c r="BP11" s="414">
        <v>0</v>
      </c>
      <c r="BQ11" s="414">
        <v>0</v>
      </c>
      <c r="BR11" s="414">
        <v>0</v>
      </c>
      <c r="BS11" s="71">
        <f t="shared" si="29"/>
        <v>0</v>
      </c>
      <c r="BT11" s="414">
        <v>0</v>
      </c>
      <c r="BU11" s="414">
        <v>0</v>
      </c>
      <c r="BV11" s="414">
        <v>0</v>
      </c>
      <c r="BW11" s="414">
        <v>0</v>
      </c>
      <c r="BX11" s="71">
        <f t="shared" si="30"/>
        <v>0</v>
      </c>
      <c r="BY11" s="414">
        <v>0</v>
      </c>
      <c r="BZ11" s="414">
        <v>0</v>
      </c>
      <c r="CA11" s="414">
        <v>0</v>
      </c>
      <c r="CB11" s="414">
        <v>0</v>
      </c>
      <c r="CC11" s="71">
        <f>CB11</f>
        <v>0</v>
      </c>
      <c r="CD11" s="414">
        <v>0</v>
      </c>
      <c r="CE11" s="414">
        <v>0</v>
      </c>
      <c r="CF11" s="500">
        <f>CE11-CE11/(4*2.5)+Operating!CF49*0%*60%</f>
        <v>0</v>
      </c>
      <c r="CG11" s="500">
        <f>CF11-CF11/(4*2.5)+Operating!CG49*0%*60%</f>
        <v>0</v>
      </c>
      <c r="CH11" s="71">
        <f>CG11</f>
        <v>0</v>
      </c>
      <c r="CI11" s="500">
        <f>CH11-CH11/(4*2.5)+Operating!CI49*0%*60%</f>
        <v>0</v>
      </c>
      <c r="CJ11" s="500">
        <f>CI11-CI11/(4*2.5)+Operating!CJ49*0%*60%</f>
        <v>0</v>
      </c>
      <c r="CK11" s="500">
        <f>CJ11-CJ11/(4*2.5)+Operating!CK49*0%*60%</f>
        <v>0</v>
      </c>
      <c r="CL11" s="500">
        <f>CK11-CK11/(4*2.5)+Operating!CL49*0%*60%</f>
        <v>0</v>
      </c>
      <c r="CM11" s="71">
        <f>CL11</f>
        <v>0</v>
      </c>
      <c r="CN11" s="500">
        <f>CM11-CM11/(4*2.5)+Operating!CN49*0%*60%</f>
        <v>0</v>
      </c>
      <c r="CO11" s="500">
        <f>CN11-CN11/(4*2.5)+Operating!CO49*0%*60%</f>
        <v>0</v>
      </c>
      <c r="CP11" s="500">
        <f>CO11-CO11/(4*2.5)+Operating!CP49*0%*60%</f>
        <v>0</v>
      </c>
      <c r="CQ11" s="500">
        <f>CP11-CP11/(4*2.5)+Operating!CQ49*0%*60%</f>
        <v>0</v>
      </c>
      <c r="CR11" s="71">
        <f>CQ11</f>
        <v>0</v>
      </c>
      <c r="CS11" s="500">
        <f>CR11-CR11/(4*2.5)+Operating!CS49*0%*60%</f>
        <v>0</v>
      </c>
      <c r="CT11" s="500">
        <f>CS11-CS11/(4*2.5)+Operating!CT49*0%*60%</f>
        <v>0</v>
      </c>
      <c r="CU11" s="500">
        <f>CT11-CT11/(4*2.5)+Operating!CU49*0%*60%</f>
        <v>0</v>
      </c>
      <c r="CV11" s="500">
        <f>CU11-CU11/(4*2.5)+Operating!CV49*0%*60%</f>
        <v>0</v>
      </c>
      <c r="CW11" s="71">
        <f>CV11</f>
        <v>0</v>
      </c>
      <c r="CX11" s="500">
        <f>CW11-CW11/(4*2.5)+Operating!CX49*0%*60%</f>
        <v>0</v>
      </c>
      <c r="CY11" s="500">
        <f>CX11-CX11/(4*2.5)+Operating!CY49*0%*60%</f>
        <v>0</v>
      </c>
      <c r="CZ11" s="500">
        <f>CY11-CY11/(4*2.5)+Operating!CZ49*0%*60%</f>
        <v>0</v>
      </c>
      <c r="DA11" s="500">
        <f>CZ11-CZ11/(4*2.5)+Operating!DA49*0%*60%</f>
        <v>0</v>
      </c>
      <c r="DB11" s="71">
        <f>DA11</f>
        <v>0</v>
      </c>
    </row>
    <row r="12" spans="1:106" ht="11.5" customHeight="1" x14ac:dyDescent="0.35">
      <c r="A12" s="217" t="s">
        <v>163</v>
      </c>
      <c r="B12" s="38">
        <f>SUM(B13:B15)</f>
        <v>3252784</v>
      </c>
      <c r="C12" s="38">
        <f>SUM(C13:C15)</f>
        <v>3507131</v>
      </c>
      <c r="D12" s="38">
        <f>SUM(D13:D15)</f>
        <v>3605562</v>
      </c>
      <c r="E12" s="38">
        <f>SUM(E13:E15)</f>
        <v>3829315</v>
      </c>
      <c r="F12" s="39">
        <f t="shared" si="16"/>
        <v>3829315</v>
      </c>
      <c r="G12" s="38">
        <f>SUM(G13:G15)</f>
        <v>3937522</v>
      </c>
      <c r="H12" s="38">
        <f>SUM(H13:H15)</f>
        <v>4002142</v>
      </c>
      <c r="I12" s="38">
        <f>SUM(I13:I15)</f>
        <v>4321598</v>
      </c>
      <c r="J12" s="38">
        <f>SUM(J13:J15)</f>
        <v>3924028</v>
      </c>
      <c r="K12" s="39">
        <f t="shared" si="17"/>
        <v>3924028</v>
      </c>
      <c r="L12" s="38">
        <f>SUM(L13:L15)</f>
        <v>3786501</v>
      </c>
      <c r="M12" s="38">
        <f>SUM(M13:M15)</f>
        <v>3967465</v>
      </c>
      <c r="N12" s="38">
        <f>SUM(N13:N15)</f>
        <v>4019502</v>
      </c>
      <c r="O12" s="38">
        <f>SUM(O13:O15)</f>
        <v>3784244</v>
      </c>
      <c r="P12" s="39">
        <f t="shared" si="18"/>
        <v>3784244</v>
      </c>
      <c r="Q12" s="38">
        <f>SUM(Q13:Q15)</f>
        <v>3828932</v>
      </c>
      <c r="R12" s="38">
        <f>SUM(R13:R15)</f>
        <v>4020093</v>
      </c>
      <c r="S12" s="38">
        <f>SUM(S13:S15)</f>
        <v>4243762</v>
      </c>
      <c r="T12" s="38">
        <f>SUM(T13:T15)</f>
        <v>4780612</v>
      </c>
      <c r="U12" s="39">
        <f t="shared" si="19"/>
        <v>4780612</v>
      </c>
      <c r="V12" s="38">
        <f>SUM(V13:V15)</f>
        <v>4687658</v>
      </c>
      <c r="W12" s="38">
        <f>SUM(W13:W15)</f>
        <v>4692966</v>
      </c>
      <c r="X12" s="38">
        <f>SUM(X13:X15)</f>
        <v>5079653</v>
      </c>
      <c r="Y12" s="38">
        <f>SUM(Y13:Y15)</f>
        <v>5112949</v>
      </c>
      <c r="Z12" s="39">
        <f t="shared" si="20"/>
        <v>5112949</v>
      </c>
      <c r="AA12" s="38">
        <f>SUM(AA13:AA15)</f>
        <v>5203216</v>
      </c>
      <c r="AB12" s="38">
        <f>SUM(AB13:AB15)</f>
        <v>5300504</v>
      </c>
      <c r="AC12" s="38">
        <f>SUM(AC13:AC15)</f>
        <v>5272654</v>
      </c>
      <c r="AD12" s="38">
        <f>SUM(AD13:AD15)</f>
        <v>5093614</v>
      </c>
      <c r="AE12" s="39">
        <f t="shared" si="21"/>
        <v>5093614</v>
      </c>
      <c r="AF12" s="38">
        <f>SUM(AF13:AF15)</f>
        <v>5040556</v>
      </c>
      <c r="AG12" s="38">
        <f>SUM(AG13:AG15)</f>
        <v>5275596</v>
      </c>
      <c r="AH12" s="38">
        <f>SUM(AH13:AH15)</f>
        <v>5333674</v>
      </c>
      <c r="AI12" s="38">
        <f>SUM(AI13:AI15)</f>
        <v>5071860</v>
      </c>
      <c r="AJ12" s="39">
        <f t="shared" si="22"/>
        <v>5071860</v>
      </c>
      <c r="AK12" s="38">
        <f>SUM(AK13:AK15)</f>
        <v>4996311</v>
      </c>
      <c r="AL12" s="38">
        <f>SUM(AL13:AL15)</f>
        <v>5109951</v>
      </c>
      <c r="AM12" s="38">
        <f>SUM(AM13:AM15)</f>
        <v>5072721</v>
      </c>
      <c r="AN12" s="38">
        <f>SUM(AN13:AN15)</f>
        <v>4749755</v>
      </c>
      <c r="AO12" s="39">
        <f t="shared" si="23"/>
        <v>4749755</v>
      </c>
      <c r="AP12" s="38">
        <f>SUM(AP13:AP15)</f>
        <v>4569552</v>
      </c>
      <c r="AQ12" s="38">
        <f>SUM(AQ13:AQ15)</f>
        <v>4683707</v>
      </c>
      <c r="AR12" s="38">
        <f>SUM(AR13:AR15)</f>
        <v>4685408</v>
      </c>
      <c r="AS12" s="38">
        <f>SUM(AS13:AS15)</f>
        <v>4716922</v>
      </c>
      <c r="AT12" s="39">
        <f t="shared" si="24"/>
        <v>4716922</v>
      </c>
      <c r="AU12" s="38">
        <f>SUM(AU13:AU15)</f>
        <v>4788447</v>
      </c>
      <c r="AV12" s="38">
        <f>SUM(AV13:AV15)</f>
        <v>4768032</v>
      </c>
      <c r="AW12" s="38">
        <f>SUM(AW13:AW15)</f>
        <v>4649554</v>
      </c>
      <c r="AX12" s="38">
        <f>SUM(AX13:AX15)</f>
        <v>4633748</v>
      </c>
      <c r="AY12" s="39">
        <f t="shared" si="25"/>
        <v>4633748</v>
      </c>
      <c r="AZ12" s="38">
        <f>SUM(AZ13:AZ15)</f>
        <v>4869644</v>
      </c>
      <c r="BA12" s="38">
        <f>SUM(BA13:BA15)</f>
        <v>5004233</v>
      </c>
      <c r="BB12" s="38">
        <f>SUM(BB13:BB15)</f>
        <v>3895852</v>
      </c>
      <c r="BC12" s="38">
        <f>SUM(BC13:BC15)</f>
        <v>4041587</v>
      </c>
      <c r="BD12" s="39">
        <f t="shared" si="26"/>
        <v>4041587</v>
      </c>
      <c r="BE12" s="38">
        <f>SUM(BE13:BE15)</f>
        <v>4055034</v>
      </c>
      <c r="BF12" s="38">
        <f>SUM(BF13:BF15)</f>
        <v>4402802</v>
      </c>
      <c r="BG12" s="38">
        <f>SUM(BG13:BG15)</f>
        <v>4781690</v>
      </c>
      <c r="BH12" s="38">
        <f>SUM(BH13:BH15)</f>
        <v>4985284</v>
      </c>
      <c r="BI12" s="39">
        <f t="shared" si="27"/>
        <v>4985284</v>
      </c>
      <c r="BJ12" s="38">
        <f>SUM(BJ13:BJ15)</f>
        <v>5241849</v>
      </c>
      <c r="BK12" s="38">
        <f>SUM(BK13:BK15)</f>
        <v>5127490</v>
      </c>
      <c r="BL12" s="38">
        <f>SUM(BL13:BL15)</f>
        <v>5416782</v>
      </c>
      <c r="BM12" s="38">
        <f>SUM(BM13:BM15)</f>
        <v>5552858</v>
      </c>
      <c r="BN12" s="39">
        <f t="shared" si="28"/>
        <v>5552858</v>
      </c>
      <c r="BO12" s="38">
        <f>SUM(BO13:BO15)</f>
        <v>5516096</v>
      </c>
      <c r="BP12" s="38">
        <f>SUM(BP13:BP15)</f>
        <v>5479397</v>
      </c>
      <c r="BQ12" s="38">
        <f>SUM(BQ13:BQ15)</f>
        <v>5414541</v>
      </c>
      <c r="BR12" s="38">
        <f>SUM(BR13:BR15)</f>
        <v>5356505</v>
      </c>
      <c r="BS12" s="39">
        <f t="shared" si="29"/>
        <v>5356505</v>
      </c>
      <c r="BT12" s="38">
        <f>SUM(BT13:BT15)</f>
        <v>5114601</v>
      </c>
      <c r="BU12" s="38">
        <f>SUM(BU13:BU15)</f>
        <v>4935086</v>
      </c>
      <c r="BV12" s="38">
        <f>SUM(BV13:BV15)</f>
        <v>5589863</v>
      </c>
      <c r="BW12" s="38">
        <f>SUM(BW13:BW15)</f>
        <v>6479798</v>
      </c>
      <c r="BX12" s="39">
        <f t="shared" si="30"/>
        <v>6479798</v>
      </c>
      <c r="BY12" s="38">
        <f>SUM(BY13:BY15)</f>
        <v>6831861</v>
      </c>
      <c r="BZ12" s="38">
        <f>SUM(BZ13:BZ15)</f>
        <v>7356502</v>
      </c>
      <c r="CA12" s="38">
        <f>SUM(CA13:CA15)</f>
        <v>7601083</v>
      </c>
      <c r="CB12" s="38">
        <f>SUM(CB13:CB15)</f>
        <v>7830188</v>
      </c>
      <c r="CC12" s="39">
        <f t="shared" ref="CC12:CC19" si="35">CB12</f>
        <v>7830188</v>
      </c>
      <c r="CD12" s="38">
        <f>SUM(CD13:CD15)</f>
        <v>8004783</v>
      </c>
      <c r="CE12" s="38">
        <f>SUM(CE13:CE15)</f>
        <v>8092376</v>
      </c>
      <c r="CF12" s="38">
        <f>SUM(CF13:CF15)</f>
        <v>8159213.5988638485</v>
      </c>
      <c r="CG12" s="38">
        <f>SUM(CG13:CG15)</f>
        <v>8201352.4092294909</v>
      </c>
      <c r="CH12" s="39">
        <f t="shared" ref="CH12:CH19" si="36">CG12</f>
        <v>8201352.4092294909</v>
      </c>
      <c r="CI12" s="38">
        <f>SUM(CI13:CI15)</f>
        <v>8272230.5255416464</v>
      </c>
      <c r="CJ12" s="38">
        <f>SUM(CJ13:CJ15)</f>
        <v>8327374.4002366783</v>
      </c>
      <c r="CK12" s="38">
        <f>SUM(CK13:CK15)</f>
        <v>8381343.0714330561</v>
      </c>
      <c r="CL12" s="38">
        <f>SUM(CL13:CL15)</f>
        <v>8420414.4397963844</v>
      </c>
      <c r="CM12" s="39">
        <f t="shared" ref="CM12:CM19" si="37">CL12</f>
        <v>8420414.4397963844</v>
      </c>
      <c r="CN12" s="38">
        <f>SUM(CN13:CN15)</f>
        <v>8480406.017253764</v>
      </c>
      <c r="CO12" s="38">
        <f>SUM(CO13:CO15)</f>
        <v>8573005.6269561574</v>
      </c>
      <c r="CP12" s="38">
        <f>SUM(CP13:CP15)</f>
        <v>8652208.8694102652</v>
      </c>
      <c r="CQ12" s="38">
        <f>SUM(CQ13:CQ15)</f>
        <v>8671384.4645890705</v>
      </c>
      <c r="CR12" s="39">
        <f t="shared" ref="CR12:CR19" si="38">CQ12</f>
        <v>8671384.4645890705</v>
      </c>
      <c r="CS12" s="38">
        <f>SUM(CS13:CS15)</f>
        <v>8704593.9840566106</v>
      </c>
      <c r="CT12" s="38">
        <f>SUM(CT13:CT15)</f>
        <v>8761293.5615083855</v>
      </c>
      <c r="CU12" s="38">
        <f>SUM(CU13:CU15)</f>
        <v>8803233.1663737819</v>
      </c>
      <c r="CV12" s="38">
        <f>SUM(CV13:CV15)</f>
        <v>8798318.4242800102</v>
      </c>
      <c r="CW12" s="39">
        <f t="shared" ref="CW12:CW19" si="39">CV12</f>
        <v>8798318.4242800102</v>
      </c>
      <c r="CX12" s="38">
        <f>SUM(CX13:CX15)</f>
        <v>8865509.8547014091</v>
      </c>
      <c r="CY12" s="38">
        <f>SUM(CY13:CY15)</f>
        <v>8816842.1475651972</v>
      </c>
      <c r="CZ12" s="38">
        <f>SUM(CZ13:CZ15)</f>
        <v>8559524.1674238183</v>
      </c>
      <c r="DA12" s="38">
        <f>SUM(DA13:DA15)</f>
        <v>8011296.9832950439</v>
      </c>
      <c r="DB12" s="39">
        <f t="shared" ref="DB12:DB19" si="40">DA12</f>
        <v>8011296.9832950439</v>
      </c>
    </row>
    <row r="13" spans="1:106" s="91" customFormat="1" ht="11.5" customHeight="1" outlineLevel="1" collapsed="1" x14ac:dyDescent="0.35">
      <c r="A13" s="191" t="s">
        <v>164</v>
      </c>
      <c r="B13" s="414">
        <v>2278854</v>
      </c>
      <c r="C13" s="414">
        <v>2455086</v>
      </c>
      <c r="D13" s="414">
        <v>2447754</v>
      </c>
      <c r="E13" s="414">
        <f>2209964</f>
        <v>2209964</v>
      </c>
      <c r="F13" s="71">
        <f t="shared" si="16"/>
        <v>2209964</v>
      </c>
      <c r="G13" s="414">
        <f>2326899</f>
        <v>2326899</v>
      </c>
      <c r="H13" s="414">
        <f>2365503</f>
        <v>2365503</v>
      </c>
      <c r="I13" s="414">
        <f>2634919</f>
        <v>2634919</v>
      </c>
      <c r="J13" s="414">
        <f>2115810</f>
        <v>2115810</v>
      </c>
      <c r="K13" s="71">
        <f t="shared" si="17"/>
        <v>2115810</v>
      </c>
      <c r="L13" s="414">
        <f>1920830</f>
        <v>1920830</v>
      </c>
      <c r="M13" s="414">
        <v>1839493</v>
      </c>
      <c r="N13" s="414">
        <v>1815393</v>
      </c>
      <c r="O13" s="414">
        <v>1625205</v>
      </c>
      <c r="P13" s="71">
        <f t="shared" si="18"/>
        <v>1625205</v>
      </c>
      <c r="Q13" s="414">
        <v>1833609</v>
      </c>
      <c r="R13" s="414">
        <v>1976594</v>
      </c>
      <c r="S13" s="414">
        <v>2098822</v>
      </c>
      <c r="T13" s="414">
        <v>2564632</v>
      </c>
      <c r="U13" s="71">
        <f t="shared" si="19"/>
        <v>2564632</v>
      </c>
      <c r="V13" s="414">
        <v>2336512</v>
      </c>
      <c r="W13" s="414">
        <v>2262377</v>
      </c>
      <c r="X13" s="414">
        <v>2459299</v>
      </c>
      <c r="Y13" s="414">
        <v>2443648</v>
      </c>
      <c r="Z13" s="71">
        <f t="shared" si="20"/>
        <v>2443648</v>
      </c>
      <c r="AA13" s="414">
        <v>2405758</v>
      </c>
      <c r="AB13" s="414">
        <v>2311165</v>
      </c>
      <c r="AC13" s="414">
        <v>2233145</v>
      </c>
      <c r="AD13" s="414">
        <v>2124589</v>
      </c>
      <c r="AE13" s="71">
        <f t="shared" si="21"/>
        <v>2124589</v>
      </c>
      <c r="AF13" s="414">
        <v>2062019</v>
      </c>
      <c r="AG13" s="414">
        <v>2000177</v>
      </c>
      <c r="AH13" s="414">
        <v>2067676</v>
      </c>
      <c r="AI13" s="414">
        <v>1834181</v>
      </c>
      <c r="AJ13" s="71">
        <f t="shared" si="22"/>
        <v>1834181</v>
      </c>
      <c r="AK13" s="414">
        <v>1797707</v>
      </c>
      <c r="AL13" s="414">
        <v>2022531</v>
      </c>
      <c r="AM13" s="414">
        <v>2022820</v>
      </c>
      <c r="AN13" s="414">
        <v>1782213</v>
      </c>
      <c r="AO13" s="71">
        <f t="shared" si="23"/>
        <v>1782213</v>
      </c>
      <c r="AP13" s="414">
        <v>1702481</v>
      </c>
      <c r="AQ13" s="414">
        <v>2004012</v>
      </c>
      <c r="AR13" s="414">
        <v>2218341</v>
      </c>
      <c r="AS13" s="414">
        <v>2044316</v>
      </c>
      <c r="AT13" s="71">
        <f t="shared" si="24"/>
        <v>2044316</v>
      </c>
      <c r="AU13" s="414">
        <v>2186899</v>
      </c>
      <c r="AV13" s="414">
        <v>2191798</v>
      </c>
      <c r="AW13" s="414">
        <v>2163409</v>
      </c>
      <c r="AX13" s="414">
        <v>2249862</v>
      </c>
      <c r="AY13" s="71">
        <f t="shared" si="25"/>
        <v>2249862</v>
      </c>
      <c r="AZ13" s="414">
        <v>2537914</v>
      </c>
      <c r="BA13" s="414">
        <v>2660189</v>
      </c>
      <c r="BB13" s="414">
        <v>2011841</v>
      </c>
      <c r="BC13" s="414">
        <v>2311198</v>
      </c>
      <c r="BD13" s="71">
        <f t="shared" si="26"/>
        <v>2311198</v>
      </c>
      <c r="BE13" s="414">
        <v>2193628</v>
      </c>
      <c r="BF13" s="414">
        <v>2518308</v>
      </c>
      <c r="BG13" s="414">
        <v>2894136</v>
      </c>
      <c r="BH13" s="414">
        <v>2759500</v>
      </c>
      <c r="BI13" s="71">
        <f t="shared" si="27"/>
        <v>2759500</v>
      </c>
      <c r="BJ13" s="414">
        <v>2834610</v>
      </c>
      <c r="BK13" s="414">
        <v>2637381</v>
      </c>
      <c r="BL13" s="414">
        <v>2812910</v>
      </c>
      <c r="BM13" s="414">
        <v>2796707</v>
      </c>
      <c r="BN13" s="71">
        <f t="shared" si="28"/>
        <v>2796707</v>
      </c>
      <c r="BO13" s="414">
        <v>2702290</v>
      </c>
      <c r="BP13" s="414">
        <v>2514954</v>
      </c>
      <c r="BQ13" s="414">
        <v>2453070</v>
      </c>
      <c r="BR13" s="414">
        <v>2301868</v>
      </c>
      <c r="BS13" s="71">
        <f t="shared" si="29"/>
        <v>2301868</v>
      </c>
      <c r="BT13" s="414">
        <v>2071612</v>
      </c>
      <c r="BU13" s="414">
        <v>1951507</v>
      </c>
      <c r="BV13" s="414">
        <v>2544857</v>
      </c>
      <c r="BW13" s="414">
        <v>3151868</v>
      </c>
      <c r="BX13" s="71">
        <f t="shared" si="30"/>
        <v>3151868</v>
      </c>
      <c r="BY13" s="414">
        <v>3441098</v>
      </c>
      <c r="BZ13" s="414">
        <v>3896053</v>
      </c>
      <c r="CA13" s="414">
        <f>4140437</f>
        <v>4140437</v>
      </c>
      <c r="CB13" s="414">
        <v>3221820</v>
      </c>
      <c r="CC13" s="71">
        <f t="shared" si="35"/>
        <v>3221820</v>
      </c>
      <c r="CD13" s="414">
        <v>3266906</v>
      </c>
      <c r="CE13" s="414">
        <v>3222892</v>
      </c>
      <c r="CF13" s="68">
        <f>CF105</f>
        <v>3140105.0092985379</v>
      </c>
      <c r="CG13" s="68">
        <f>CG105</f>
        <v>3102759.0075192265</v>
      </c>
      <c r="CH13" s="71">
        <f t="shared" si="36"/>
        <v>3102759.0075192265</v>
      </c>
      <c r="CI13" s="68">
        <f>CI105</f>
        <v>3253819.2292444455</v>
      </c>
      <c r="CJ13" s="68">
        <f>CJ105</f>
        <v>3310655.6376685593</v>
      </c>
      <c r="CK13" s="68">
        <f>CK105</f>
        <v>3192035.598558831</v>
      </c>
      <c r="CL13" s="68">
        <f>CL105</f>
        <v>3020393.4216235504</v>
      </c>
      <c r="CM13" s="71">
        <f t="shared" si="37"/>
        <v>3020393.4216235504</v>
      </c>
      <c r="CN13" s="68">
        <f>CN105</f>
        <v>3333088.0805947543</v>
      </c>
      <c r="CO13" s="68">
        <f>CO105</f>
        <v>3431000.5956851132</v>
      </c>
      <c r="CP13" s="68">
        <f>CP105</f>
        <v>3347315.6875779442</v>
      </c>
      <c r="CQ13" s="68">
        <f>CQ105</f>
        <v>3052405.5373357274</v>
      </c>
      <c r="CR13" s="71">
        <f t="shared" si="38"/>
        <v>3052405.5373357274</v>
      </c>
      <c r="CS13" s="68">
        <f>CS105</f>
        <v>3376044.509370924</v>
      </c>
      <c r="CT13" s="68">
        <f>CT105</f>
        <v>3477383.9624894443</v>
      </c>
      <c r="CU13" s="68">
        <f>CU105</f>
        <v>3390770.0825985246</v>
      </c>
      <c r="CV13" s="68">
        <f>CV105</f>
        <v>3085538.0770978299</v>
      </c>
      <c r="CW13" s="71">
        <f t="shared" si="39"/>
        <v>3085538.0770978299</v>
      </c>
      <c r="CX13" s="68">
        <f>CX105</f>
        <v>3420504.4131542584</v>
      </c>
      <c r="CY13" s="68">
        <f>CY105</f>
        <v>3395381.9379500267</v>
      </c>
      <c r="CZ13" s="68">
        <f>CZ105</f>
        <v>2985048.1762809022</v>
      </c>
      <c r="DA13" s="68">
        <f>DA105</f>
        <v>2105761.544132778</v>
      </c>
      <c r="DB13" s="71">
        <f t="shared" si="40"/>
        <v>2105761.544132778</v>
      </c>
    </row>
    <row r="14" spans="1:106" s="91" customFormat="1" ht="11.5" customHeight="1" outlineLevel="1" x14ac:dyDescent="0.35">
      <c r="A14" s="191" t="s">
        <v>158</v>
      </c>
      <c r="B14" s="414">
        <f>800369+20084</f>
        <v>820453</v>
      </c>
      <c r="C14" s="414">
        <f>831110+19387</f>
        <v>850497</v>
      </c>
      <c r="D14" s="414">
        <f>923268+20702</f>
        <v>943970</v>
      </c>
      <c r="E14" s="414">
        <f>1194874+114510+67111</f>
        <v>1376495</v>
      </c>
      <c r="F14" s="71">
        <f t="shared" si="16"/>
        <v>1376495</v>
      </c>
      <c r="G14" s="414">
        <f>1226882+121956+66580</f>
        <v>1415418</v>
      </c>
      <c r="H14" s="414">
        <f>1231284+135328+75471</f>
        <v>1442083</v>
      </c>
      <c r="I14" s="414">
        <f>1134366+134935+53886</f>
        <v>1323187</v>
      </c>
      <c r="J14" s="414">
        <f>1252538+177509+70931</f>
        <v>1500978</v>
      </c>
      <c r="K14" s="71">
        <f t="shared" si="17"/>
        <v>1500978</v>
      </c>
      <c r="L14" s="414">
        <f>1265187+174167+129818</f>
        <v>1569172</v>
      </c>
      <c r="M14" s="414">
        <f>1543234+174669+169103</f>
        <v>1887006</v>
      </c>
      <c r="N14" s="414">
        <f>1362754+181406+168776</f>
        <v>1712936</v>
      </c>
      <c r="O14" s="414">
        <f>3784244-O13-O15</f>
        <v>1772546</v>
      </c>
      <c r="P14" s="71">
        <f t="shared" si="18"/>
        <v>1772546</v>
      </c>
      <c r="Q14" s="414">
        <f>1281563+173844+190951</f>
        <v>1646358</v>
      </c>
      <c r="R14" s="414">
        <f>1335810+221770+177435</f>
        <v>1735015</v>
      </c>
      <c r="S14" s="414">
        <f>4243762-S13-S15</f>
        <v>1829995</v>
      </c>
      <c r="T14" s="414">
        <f>4780612-T13-T15</f>
        <v>1807447</v>
      </c>
      <c r="U14" s="71">
        <f t="shared" si="19"/>
        <v>1807447</v>
      </c>
      <c r="V14" s="414">
        <f>4687658-V13-V15</f>
        <v>1987089</v>
      </c>
      <c r="W14" s="414">
        <f>4692966-W13-W15</f>
        <v>2044752</v>
      </c>
      <c r="X14" s="414">
        <f>5079653-X13-X15</f>
        <v>2232095</v>
      </c>
      <c r="Y14" s="414">
        <f>5112949-Y13-Y15</f>
        <v>2047907</v>
      </c>
      <c r="Z14" s="71">
        <f t="shared" si="20"/>
        <v>2047907</v>
      </c>
      <c r="AA14" s="414">
        <f>5203216-AA13-AA15</f>
        <v>2076785</v>
      </c>
      <c r="AB14" s="414">
        <f>5300504-AB13-AB15</f>
        <v>2226144</v>
      </c>
      <c r="AC14" s="414">
        <f>5272654-AC13-AC15</f>
        <v>2236340</v>
      </c>
      <c r="AD14" s="414">
        <f>5093614-AD13-AD15</f>
        <v>2218252</v>
      </c>
      <c r="AE14" s="71">
        <f t="shared" si="21"/>
        <v>2218252</v>
      </c>
      <c r="AF14" s="414">
        <f>5040556-AF13-AF15</f>
        <v>2219961</v>
      </c>
      <c r="AG14" s="414">
        <f>5275596-AG13-AG15</f>
        <v>2373487</v>
      </c>
      <c r="AH14" s="414">
        <f>5333674-AH13-AH15</f>
        <v>2358509</v>
      </c>
      <c r="AI14" s="414">
        <f>5071860-AI13-AI15</f>
        <v>2303216</v>
      </c>
      <c r="AJ14" s="71">
        <f t="shared" si="22"/>
        <v>2303216</v>
      </c>
      <c r="AK14" s="414">
        <f>4996311-AK13-AK15</f>
        <v>2206559</v>
      </c>
      <c r="AL14" s="414">
        <f>5109951-AL13-AL15</f>
        <v>2078814</v>
      </c>
      <c r="AM14" s="414">
        <f>5072721-AM13-AM15</f>
        <v>1987179</v>
      </c>
      <c r="AN14" s="414">
        <f>4749755-AN13-AN15</f>
        <v>1766257</v>
      </c>
      <c r="AO14" s="71">
        <f t="shared" si="23"/>
        <v>1766257</v>
      </c>
      <c r="AP14" s="414">
        <f>4569552-AP13-AP15</f>
        <v>1717662</v>
      </c>
      <c r="AQ14" s="414">
        <f>4683707-AQ13-AQ15</f>
        <v>1119993</v>
      </c>
      <c r="AR14" s="414">
        <f>4685408-AR13-AR15</f>
        <v>757038</v>
      </c>
      <c r="AS14" s="414">
        <f>4716922-AS13-AS15</f>
        <v>1094648</v>
      </c>
      <c r="AT14" s="71">
        <f t="shared" si="24"/>
        <v>1094648</v>
      </c>
      <c r="AU14" s="414">
        <f>4788447-AU13-AU15</f>
        <v>1118238</v>
      </c>
      <c r="AV14" s="414">
        <f>2891372+1876660-AV13-AV15</f>
        <v>1200224</v>
      </c>
      <c r="AW14" s="414">
        <f>1799871+2849683-AW13-AW15</f>
        <v>1253025</v>
      </c>
      <c r="AX14" s="414">
        <f>4633748-AX13-AX15</f>
        <v>1222349</v>
      </c>
      <c r="AY14" s="71">
        <f t="shared" si="25"/>
        <v>1222349</v>
      </c>
      <c r="AZ14" s="414">
        <f>4869644-AZ13-AZ15</f>
        <v>1237154</v>
      </c>
      <c r="BA14" s="414">
        <f>2677079+2327154-BA13-BA15</f>
        <v>1360836</v>
      </c>
      <c r="BB14" s="414">
        <f>1893429+2002423-BB13-BB15</f>
        <v>1016061</v>
      </c>
      <c r="BC14" s="414">
        <f>2700146+1341441-BC13-BC15</f>
        <v>916410</v>
      </c>
      <c r="BD14" s="71">
        <f t="shared" si="26"/>
        <v>916410</v>
      </c>
      <c r="BE14" s="414">
        <f>2599699+1455335-BE13-BE15</f>
        <v>1158145</v>
      </c>
      <c r="BF14" s="414">
        <f>2898263+1504539-BF13-BF15</f>
        <v>1263696</v>
      </c>
      <c r="BG14" s="414">
        <f>3197064+1584626-BG13-BG15</f>
        <v>1361912</v>
      </c>
      <c r="BH14" s="414">
        <f>3498628+1486656-BH13-BH15</f>
        <v>1685660</v>
      </c>
      <c r="BI14" s="71">
        <f t="shared" si="27"/>
        <v>1685660</v>
      </c>
      <c r="BJ14" s="414">
        <f>3718513+1523336-BJ13-BJ15</f>
        <v>1835593</v>
      </c>
      <c r="BK14" s="414">
        <f>3495903+1631587-BK13-BK15</f>
        <v>1900345</v>
      </c>
      <c r="BL14" s="414">
        <f>3112141+2304641-BL13-BL15</f>
        <v>1957465</v>
      </c>
      <c r="BM14" s="414">
        <f>3821421+1731437-BM13-BM15</f>
        <v>2134572</v>
      </c>
      <c r="BN14" s="71">
        <f t="shared" si="28"/>
        <v>2134572</v>
      </c>
      <c r="BO14" s="414">
        <f>3339962+2176134-BO13-BO15</f>
        <v>2198409</v>
      </c>
      <c r="BP14" s="414">
        <f>3267450+2211947-BP13-BP15</f>
        <v>2320232</v>
      </c>
      <c r="BQ14" s="414">
        <f>3164365+2250176-BQ13-BQ15</f>
        <v>2233645</v>
      </c>
      <c r="BR14" s="414">
        <f>3701083+1655422-BR13-BR15</f>
        <v>2282025</v>
      </c>
      <c r="BS14" s="71">
        <f t="shared" si="29"/>
        <v>2282025</v>
      </c>
      <c r="BT14" s="414">
        <f>3732647+1381954-BT13-BT15</f>
        <v>2348379</v>
      </c>
      <c r="BU14" s="414">
        <f>3467659+1467427-BU13-BU15</f>
        <v>2324088</v>
      </c>
      <c r="BV14" s="414">
        <f>4148898+1440965-BV13-BV15</f>
        <v>2396709</v>
      </c>
      <c r="BW14" s="414">
        <f>4763287+1716511-BW13-BW15</f>
        <v>2600662</v>
      </c>
      <c r="BX14" s="71">
        <f t="shared" si="30"/>
        <v>2600662</v>
      </c>
      <c r="BY14" s="414">
        <f>5053128+1778733-BY13-BY15</f>
        <v>2624030</v>
      </c>
      <c r="BZ14" s="414">
        <f>5432700+1923802-BZ13-BZ15</f>
        <v>2508323</v>
      </c>
      <c r="CA14" s="414">
        <f>5692886-CA13-CA15+1908197</f>
        <v>2423455</v>
      </c>
      <c r="CB14" s="414">
        <f>5774781+2055407-CB13-CB15</f>
        <v>3458432</v>
      </c>
      <c r="CC14" s="71">
        <f t="shared" si="35"/>
        <v>3458432</v>
      </c>
      <c r="CD14" s="414">
        <f>5785693+2219090-CD13-CD15</f>
        <v>3578165</v>
      </c>
      <c r="CE14" s="414">
        <f>6054358+2038018-CE13-CE15</f>
        <v>3693567</v>
      </c>
      <c r="CF14" s="68">
        <f>CF107</f>
        <v>3890450.9060415518</v>
      </c>
      <c r="CG14" s="68">
        <f>CG107</f>
        <v>3983315.6395553653</v>
      </c>
      <c r="CH14" s="71">
        <f t="shared" si="36"/>
        <v>3983315.6395553653</v>
      </c>
      <c r="CI14" s="68">
        <f>CI107</f>
        <v>3890439.7407647837</v>
      </c>
      <c r="CJ14" s="68">
        <f>CJ107</f>
        <v>3873770.3000646927</v>
      </c>
      <c r="CK14" s="68">
        <f>CK107</f>
        <v>4013886.5495226658</v>
      </c>
      <c r="CL14" s="68">
        <f>CL107</f>
        <v>4184769.2550047711</v>
      </c>
      <c r="CM14" s="71">
        <f t="shared" si="37"/>
        <v>4184769.2550047711</v>
      </c>
      <c r="CN14" s="68">
        <f>CN107</f>
        <v>3893228.5895814043</v>
      </c>
      <c r="CO14" s="68">
        <f>CO107</f>
        <v>3830918.7058919338</v>
      </c>
      <c r="CP14" s="68">
        <f>CP107</f>
        <v>3937792.4766423828</v>
      </c>
      <c r="CQ14" s="68">
        <f>CQ107</f>
        <v>4222541.3752576802</v>
      </c>
      <c r="CR14" s="71">
        <f t="shared" si="38"/>
        <v>4222541.3752576802</v>
      </c>
      <c r="CS14" s="68">
        <f>CS107</f>
        <v>3918171.4006061982</v>
      </c>
      <c r="CT14" s="68">
        <f>CT107</f>
        <v>3865416.6091692313</v>
      </c>
      <c r="CU14" s="68">
        <f>CU107</f>
        <v>3990444.2384461234</v>
      </c>
      <c r="CV14" s="68">
        <f>CV107</f>
        <v>4285358.2749226503</v>
      </c>
      <c r="CW14" s="71">
        <f t="shared" si="39"/>
        <v>4285358.2749226503</v>
      </c>
      <c r="CX14" s="68">
        <f>CX107</f>
        <v>4012314.7009930997</v>
      </c>
      <c r="CY14" s="68">
        <f>CY107</f>
        <v>3992919.192653846</v>
      </c>
      <c r="CZ14" s="68">
        <f>CZ107</f>
        <v>4146122.3403670285</v>
      </c>
      <c r="DA14" s="68">
        <f>DA107</f>
        <v>4464820.473735542</v>
      </c>
      <c r="DB14" s="71">
        <f t="shared" si="40"/>
        <v>4464820.473735542</v>
      </c>
    </row>
    <row r="15" spans="1:106" s="91" customFormat="1" ht="11.5" customHeight="1" outlineLevel="1" x14ac:dyDescent="0.35">
      <c r="A15" s="191" t="s">
        <v>25</v>
      </c>
      <c r="B15" s="414">
        <v>153477</v>
      </c>
      <c r="C15" s="414">
        <v>201548</v>
      </c>
      <c r="D15" s="414">
        <v>213838</v>
      </c>
      <c r="E15" s="414">
        <v>242856</v>
      </c>
      <c r="F15" s="71">
        <f t="shared" si="16"/>
        <v>242856</v>
      </c>
      <c r="G15" s="414">
        <v>195205</v>
      </c>
      <c r="H15" s="414">
        <v>194556</v>
      </c>
      <c r="I15" s="414">
        <v>363492</v>
      </c>
      <c r="J15" s="414">
        <v>307240</v>
      </c>
      <c r="K15" s="71">
        <f t="shared" si="17"/>
        <v>307240</v>
      </c>
      <c r="L15" s="414">
        <v>296499</v>
      </c>
      <c r="M15" s="414">
        <v>240966</v>
      </c>
      <c r="N15" s="414">
        <v>491173</v>
      </c>
      <c r="O15" s="414">
        <v>386493</v>
      </c>
      <c r="P15" s="71">
        <f t="shared" si="18"/>
        <v>386493</v>
      </c>
      <c r="Q15" s="414">
        <v>348965</v>
      </c>
      <c r="R15" s="414">
        <v>308484</v>
      </c>
      <c r="S15" s="414">
        <v>314945</v>
      </c>
      <c r="T15" s="414">
        <v>408533</v>
      </c>
      <c r="U15" s="71">
        <f t="shared" si="19"/>
        <v>408533</v>
      </c>
      <c r="V15" s="414">
        <v>364057</v>
      </c>
      <c r="W15" s="414">
        <v>385837</v>
      </c>
      <c r="X15" s="414">
        <v>388259</v>
      </c>
      <c r="Y15" s="414">
        <v>621394</v>
      </c>
      <c r="Z15" s="71">
        <f t="shared" si="20"/>
        <v>621394</v>
      </c>
      <c r="AA15" s="414">
        <v>720673</v>
      </c>
      <c r="AB15" s="414">
        <v>763195</v>
      </c>
      <c r="AC15" s="414">
        <v>803169</v>
      </c>
      <c r="AD15" s="414">
        <v>750773</v>
      </c>
      <c r="AE15" s="71">
        <f t="shared" si="21"/>
        <v>750773</v>
      </c>
      <c r="AF15" s="414">
        <v>758576</v>
      </c>
      <c r="AG15" s="414">
        <v>901932</v>
      </c>
      <c r="AH15" s="414">
        <v>907489</v>
      </c>
      <c r="AI15" s="414">
        <v>934463</v>
      </c>
      <c r="AJ15" s="71">
        <f t="shared" si="22"/>
        <v>934463</v>
      </c>
      <c r="AK15" s="414">
        <v>992045</v>
      </c>
      <c r="AL15" s="414">
        <v>1008606</v>
      </c>
      <c r="AM15" s="414">
        <v>1062722</v>
      </c>
      <c r="AN15" s="414">
        <v>1201285</v>
      </c>
      <c r="AO15" s="71">
        <f t="shared" si="23"/>
        <v>1201285</v>
      </c>
      <c r="AP15" s="414">
        <v>1149409</v>
      </c>
      <c r="AQ15" s="414">
        <v>1559702</v>
      </c>
      <c r="AR15" s="414">
        <v>1710029</v>
      </c>
      <c r="AS15" s="414">
        <v>1577958</v>
      </c>
      <c r="AT15" s="71">
        <f t="shared" si="24"/>
        <v>1577958</v>
      </c>
      <c r="AU15" s="414">
        <v>1483310</v>
      </c>
      <c r="AV15" s="414">
        <v>1376010</v>
      </c>
      <c r="AW15" s="414">
        <v>1233120</v>
      </c>
      <c r="AX15" s="414">
        <v>1161537</v>
      </c>
      <c r="AY15" s="71">
        <f t="shared" si="25"/>
        <v>1161537</v>
      </c>
      <c r="AZ15" s="414">
        <v>1094576</v>
      </c>
      <c r="BA15" s="414">
        <v>983208</v>
      </c>
      <c r="BB15" s="414">
        <v>867950</v>
      </c>
      <c r="BC15" s="414">
        <v>813979</v>
      </c>
      <c r="BD15" s="71">
        <f t="shared" si="26"/>
        <v>813979</v>
      </c>
      <c r="BE15" s="414">
        <v>703261</v>
      </c>
      <c r="BF15" s="414">
        <v>620798</v>
      </c>
      <c r="BG15" s="414">
        <v>525642</v>
      </c>
      <c r="BH15" s="414">
        <v>540124</v>
      </c>
      <c r="BI15" s="71">
        <f t="shared" si="27"/>
        <v>540124</v>
      </c>
      <c r="BJ15" s="414">
        <v>571646</v>
      </c>
      <c r="BK15" s="414">
        <v>589764</v>
      </c>
      <c r="BL15" s="414">
        <v>646407</v>
      </c>
      <c r="BM15" s="414">
        <v>621579</v>
      </c>
      <c r="BN15" s="71">
        <f t="shared" si="28"/>
        <v>621579</v>
      </c>
      <c r="BO15" s="414">
        <v>615397</v>
      </c>
      <c r="BP15" s="414">
        <v>644211</v>
      </c>
      <c r="BQ15" s="414">
        <v>727826</v>
      </c>
      <c r="BR15" s="414">
        <v>772612</v>
      </c>
      <c r="BS15" s="71">
        <f t="shared" si="29"/>
        <v>772612</v>
      </c>
      <c r="BT15" s="414">
        <v>694610</v>
      </c>
      <c r="BU15" s="414">
        <v>659491</v>
      </c>
      <c r="BV15" s="414">
        <v>648297</v>
      </c>
      <c r="BW15" s="414">
        <v>727268</v>
      </c>
      <c r="BX15" s="71">
        <f t="shared" si="30"/>
        <v>727268</v>
      </c>
      <c r="BY15" s="414">
        <v>766733</v>
      </c>
      <c r="BZ15" s="414">
        <v>952126</v>
      </c>
      <c r="CA15" s="414">
        <v>1037191</v>
      </c>
      <c r="CB15" s="414">
        <v>1149936</v>
      </c>
      <c r="CC15" s="71">
        <f t="shared" si="35"/>
        <v>1149936</v>
      </c>
      <c r="CD15" s="414">
        <v>1159712</v>
      </c>
      <c r="CE15" s="414">
        <v>1175917</v>
      </c>
      <c r="CF15" s="68">
        <f>CF109</f>
        <v>1128657.6835237585</v>
      </c>
      <c r="CG15" s="68">
        <f>CG109</f>
        <v>1115277.7621548993</v>
      </c>
      <c r="CH15" s="71">
        <f t="shared" si="36"/>
        <v>1115277.7621548993</v>
      </c>
      <c r="CI15" s="68">
        <f>CI109</f>
        <v>1127971.5555324177</v>
      </c>
      <c r="CJ15" s="68">
        <f>CJ109</f>
        <v>1142948.4625034267</v>
      </c>
      <c r="CK15" s="68">
        <f>CK109</f>
        <v>1175420.9233515598</v>
      </c>
      <c r="CL15" s="68">
        <f>CL109</f>
        <v>1215251.7631680635</v>
      </c>
      <c r="CM15" s="71">
        <f t="shared" si="37"/>
        <v>1215251.7631680635</v>
      </c>
      <c r="CN15" s="68">
        <f>CN109</f>
        <v>1254089.3470776048</v>
      </c>
      <c r="CO15" s="68">
        <f>CO109</f>
        <v>1311086.3253791118</v>
      </c>
      <c r="CP15" s="68">
        <f>CP109</f>
        <v>1367100.7051899377</v>
      </c>
      <c r="CQ15" s="68">
        <f>CQ109</f>
        <v>1396437.5519956627</v>
      </c>
      <c r="CR15" s="71">
        <f t="shared" si="38"/>
        <v>1396437.5519956627</v>
      </c>
      <c r="CS15" s="68">
        <f>CS109</f>
        <v>1410378.0740794882</v>
      </c>
      <c r="CT15" s="68">
        <f>CT109</f>
        <v>1418492.9898497104</v>
      </c>
      <c r="CU15" s="68">
        <f>CU109</f>
        <v>1422018.845329134</v>
      </c>
      <c r="CV15" s="68">
        <f>CV109</f>
        <v>1427422.0722595307</v>
      </c>
      <c r="CW15" s="71">
        <f t="shared" si="39"/>
        <v>1427422.0722595307</v>
      </c>
      <c r="CX15" s="68">
        <f>CX109</f>
        <v>1432690.7405540522</v>
      </c>
      <c r="CY15" s="68">
        <f>CY109</f>
        <v>1428541.0169613247</v>
      </c>
      <c r="CZ15" s="68">
        <f>CZ109</f>
        <v>1428353.6507758866</v>
      </c>
      <c r="DA15" s="68">
        <f>DA109</f>
        <v>1440714.9654267249</v>
      </c>
      <c r="DB15" s="71">
        <f t="shared" si="40"/>
        <v>1440714.9654267249</v>
      </c>
    </row>
    <row r="16" spans="1:106" ht="11.5" customHeight="1" x14ac:dyDescent="0.35">
      <c r="A16" s="190" t="s">
        <v>165</v>
      </c>
      <c r="B16" s="395">
        <v>28940</v>
      </c>
      <c r="C16" s="395">
        <v>32017</v>
      </c>
      <c r="D16" s="395">
        <v>32057</v>
      </c>
      <c r="E16" s="395">
        <f>7740+22910</f>
        <v>30650</v>
      </c>
      <c r="F16" s="29">
        <f t="shared" si="16"/>
        <v>30650</v>
      </c>
      <c r="G16" s="395">
        <f>8534+23249</f>
        <v>31783</v>
      </c>
      <c r="H16" s="395">
        <f>8549+26073</f>
        <v>34622</v>
      </c>
      <c r="I16" s="395">
        <f>9204+29380</f>
        <v>38584</v>
      </c>
      <c r="J16" s="395">
        <f>10532+29255</f>
        <v>39787</v>
      </c>
      <c r="K16" s="29">
        <f t="shared" si="17"/>
        <v>39787</v>
      </c>
      <c r="L16" s="395">
        <f>15226+31389</f>
        <v>46615</v>
      </c>
      <c r="M16" s="395">
        <f>32379+14106</f>
        <v>46485</v>
      </c>
      <c r="N16" s="395">
        <f>34302+12724</f>
        <v>47026</v>
      </c>
      <c r="O16" s="395">
        <f>4651+31967</f>
        <v>36618</v>
      </c>
      <c r="P16" s="29">
        <f t="shared" si="18"/>
        <v>36618</v>
      </c>
      <c r="Q16" s="395">
        <f>6724+34834</f>
        <v>41558</v>
      </c>
      <c r="R16" s="395">
        <f>4659+35977</f>
        <v>40636</v>
      </c>
      <c r="S16" s="395">
        <f>35250+4659</f>
        <v>39909</v>
      </c>
      <c r="T16" s="395">
        <f>4659+32349</f>
        <v>37008</v>
      </c>
      <c r="U16" s="29">
        <f t="shared" si="19"/>
        <v>37008</v>
      </c>
      <c r="V16" s="395">
        <f>5348+28962</f>
        <v>34310</v>
      </c>
      <c r="W16" s="395">
        <f>4303+28512</f>
        <v>32815</v>
      </c>
      <c r="X16" s="395">
        <f>4844+26026</f>
        <v>30870</v>
      </c>
      <c r="Y16" s="395">
        <f>7612+23890</f>
        <v>31502</v>
      </c>
      <c r="Z16" s="29">
        <f t="shared" si="20"/>
        <v>31502</v>
      </c>
      <c r="AA16" s="395">
        <f>8276+23490</f>
        <v>31766</v>
      </c>
      <c r="AB16" s="395">
        <f>8676+22360</f>
        <v>31036</v>
      </c>
      <c r="AC16" s="395">
        <f>8937+21262</f>
        <v>30199</v>
      </c>
      <c r="AD16" s="395">
        <f>9362+17298</f>
        <v>26660</v>
      </c>
      <c r="AE16" s="29">
        <f t="shared" si="21"/>
        <v>26660</v>
      </c>
      <c r="AF16" s="395">
        <f>10629+16331</f>
        <v>26960</v>
      </c>
      <c r="AG16" s="395">
        <f>10181+15777</f>
        <v>25958</v>
      </c>
      <c r="AH16" s="395">
        <f>10114+14358</f>
        <v>24472</v>
      </c>
      <c r="AI16" s="395">
        <f>12610+13358</f>
        <v>25968</v>
      </c>
      <c r="AJ16" s="29">
        <f t="shared" si="22"/>
        <v>25968</v>
      </c>
      <c r="AK16" s="395">
        <f>12043+12130</f>
        <v>24173</v>
      </c>
      <c r="AL16" s="395">
        <f>13342+11897</f>
        <v>25239</v>
      </c>
      <c r="AM16" s="395">
        <f>13802+11960</f>
        <v>25762</v>
      </c>
      <c r="AN16" s="395">
        <f>11934+11548</f>
        <v>23482</v>
      </c>
      <c r="AO16" s="29">
        <f t="shared" si="23"/>
        <v>23482</v>
      </c>
      <c r="AP16" s="395">
        <f>10646+10523</f>
        <v>21169</v>
      </c>
      <c r="AQ16" s="395">
        <f>7781+9727</f>
        <v>17508</v>
      </c>
      <c r="AR16" s="395">
        <f>7625+7568</f>
        <v>15193</v>
      </c>
      <c r="AS16" s="395">
        <f>8651+7555</f>
        <v>16206</v>
      </c>
      <c r="AT16" s="29">
        <f t="shared" si="24"/>
        <v>16206</v>
      </c>
      <c r="AU16" s="395">
        <f>9705+8097</f>
        <v>17802</v>
      </c>
      <c r="AV16" s="395">
        <f>2330+8751</f>
        <v>11081</v>
      </c>
      <c r="AW16" s="395">
        <f>7046+9688</f>
        <v>16734</v>
      </c>
      <c r="AX16" s="395">
        <f>12894+12608</f>
        <v>25502</v>
      </c>
      <c r="AY16" s="29">
        <f t="shared" si="25"/>
        <v>25502</v>
      </c>
      <c r="AZ16" s="395">
        <f>9048+14624</f>
        <v>23672</v>
      </c>
      <c r="BA16" s="395">
        <f>11643+17022</f>
        <v>28665</v>
      </c>
      <c r="BB16" s="395">
        <f>12937+20306</f>
        <v>33243</v>
      </c>
      <c r="BC16" s="395">
        <f>15019+31965</f>
        <v>46984</v>
      </c>
      <c r="BD16" s="29">
        <f t="shared" si="26"/>
        <v>46984</v>
      </c>
      <c r="BE16" s="395">
        <f>17855+33509</f>
        <v>51364</v>
      </c>
      <c r="BF16" s="395">
        <f>15756+36746</f>
        <v>52502</v>
      </c>
      <c r="BG16" s="395">
        <f>26945+41678</f>
        <v>68623</v>
      </c>
      <c r="BH16" s="395">
        <f>22316+51600</f>
        <v>73916</v>
      </c>
      <c r="BI16" s="29">
        <f t="shared" si="27"/>
        <v>73916</v>
      </c>
      <c r="BJ16" s="395">
        <f>27229+53609</f>
        <v>80838</v>
      </c>
      <c r="BK16" s="395">
        <f>24121+59572</f>
        <v>83693</v>
      </c>
      <c r="BL16" s="395">
        <f>34679+68953</f>
        <v>103632</v>
      </c>
      <c r="BM16" s="395">
        <f>33214+82483</f>
        <v>115697</v>
      </c>
      <c r="BN16" s="29">
        <f t="shared" si="28"/>
        <v>115697</v>
      </c>
      <c r="BO16" s="395">
        <f>44802+84356</f>
        <v>129158</v>
      </c>
      <c r="BP16" s="395">
        <f>21051+91827</f>
        <v>112878</v>
      </c>
      <c r="BQ16" s="395">
        <f>24683+100544</f>
        <v>125227</v>
      </c>
      <c r="BR16" s="395">
        <f>30526+107062</f>
        <v>137588</v>
      </c>
      <c r="BS16" s="29">
        <f t="shared" si="29"/>
        <v>137588</v>
      </c>
      <c r="BT16" s="395">
        <f>45357+105520</f>
        <v>150877</v>
      </c>
      <c r="BU16" s="395">
        <f>50461+111269</f>
        <v>161730</v>
      </c>
      <c r="BV16" s="395">
        <f>51793+116796</f>
        <v>168589</v>
      </c>
      <c r="BW16" s="395">
        <f>73984+136743</f>
        <v>210727</v>
      </c>
      <c r="BX16" s="29">
        <f t="shared" si="30"/>
        <v>210727</v>
      </c>
      <c r="BY16" s="395">
        <f>100597+84865</f>
        <v>185462</v>
      </c>
      <c r="BZ16" s="395">
        <f>101247+85105</f>
        <v>186352</v>
      </c>
      <c r="CA16" s="395">
        <f>112718+94858+92158</f>
        <v>299734</v>
      </c>
      <c r="CB16" s="395">
        <f>50076+102731+94546</f>
        <v>247353</v>
      </c>
      <c r="CC16" s="29">
        <f t="shared" si="35"/>
        <v>247353</v>
      </c>
      <c r="CD16" s="395">
        <f>43304+98777</f>
        <v>142081</v>
      </c>
      <c r="CE16" s="395">
        <f>41053+107324+110804</f>
        <v>259181</v>
      </c>
      <c r="CF16" s="70">
        <f>CF126</f>
        <v>258531.80670724536</v>
      </c>
      <c r="CG16" s="70">
        <f>CG126</f>
        <v>265991.37251569814</v>
      </c>
      <c r="CH16" s="29">
        <f t="shared" si="36"/>
        <v>265991.37251569814</v>
      </c>
      <c r="CI16" s="70">
        <f>CI126</f>
        <v>279021.47992321389</v>
      </c>
      <c r="CJ16" s="70">
        <f>CJ126</f>
        <v>282028.03379843564</v>
      </c>
      <c r="CK16" s="70">
        <f>CK126</f>
        <v>290104.7547353555</v>
      </c>
      <c r="CL16" s="70">
        <f>CL126</f>
        <v>297947.93430211302</v>
      </c>
      <c r="CM16" s="29">
        <f t="shared" si="37"/>
        <v>297947.93430211302</v>
      </c>
      <c r="CN16" s="70">
        <f>CN126</f>
        <v>298581.17416417535</v>
      </c>
      <c r="CO16" s="70">
        <f>CO126</f>
        <v>303152.08598112105</v>
      </c>
      <c r="CP16" s="70">
        <f>CP126</f>
        <v>308063.96136826923</v>
      </c>
      <c r="CQ16" s="70">
        <f>CQ126</f>
        <v>319162.06859979266</v>
      </c>
      <c r="CR16" s="29">
        <f t="shared" si="38"/>
        <v>319162.06859979266</v>
      </c>
      <c r="CS16" s="70">
        <f>CS126</f>
        <v>322793.25835816585</v>
      </c>
      <c r="CT16" s="70">
        <f>CT126</f>
        <v>326307.13591160305</v>
      </c>
      <c r="CU16" s="70">
        <f>CU126</f>
        <v>329956.93047395442</v>
      </c>
      <c r="CV16" s="70">
        <f>CV126</f>
        <v>334028.42200369702</v>
      </c>
      <c r="CW16" s="29">
        <f t="shared" si="39"/>
        <v>334028.42200369702</v>
      </c>
      <c r="CX16" s="70">
        <f>CX126</f>
        <v>333635.89533781091</v>
      </c>
      <c r="CY16" s="70">
        <f>CY126</f>
        <v>334043.3054820617</v>
      </c>
      <c r="CZ16" s="70">
        <f>CZ126</f>
        <v>335271.77031423798</v>
      </c>
      <c r="DA16" s="70">
        <f>DA126</f>
        <v>337301.86909264378</v>
      </c>
      <c r="DB16" s="29">
        <f t="shared" si="40"/>
        <v>337301.86909264378</v>
      </c>
    </row>
    <row r="17" spans="1:106" ht="11.5" customHeight="1" x14ac:dyDescent="0.35">
      <c r="A17" s="190" t="s">
        <v>166</v>
      </c>
      <c r="B17" s="395">
        <f>35964</f>
        <v>35964</v>
      </c>
      <c r="C17" s="395">
        <v>27350</v>
      </c>
      <c r="D17" s="395">
        <v>26528</v>
      </c>
      <c r="E17" s="395">
        <f>20507+7735</f>
        <v>28242</v>
      </c>
      <c r="F17" s="29">
        <f t="shared" si="16"/>
        <v>28242</v>
      </c>
      <c r="G17" s="395">
        <f>23753+4311</f>
        <v>28064</v>
      </c>
      <c r="H17" s="395">
        <f>22373+7281</f>
        <v>29654</v>
      </c>
      <c r="I17" s="395">
        <f>7295+20885</f>
        <v>28180</v>
      </c>
      <c r="J17" s="395">
        <f>8501+27896</f>
        <v>36397</v>
      </c>
      <c r="K17" s="29">
        <f t="shared" si="17"/>
        <v>36397</v>
      </c>
      <c r="L17" s="395">
        <f>10125+38806</f>
        <v>48931</v>
      </c>
      <c r="M17" s="395">
        <f>16773+16376</f>
        <v>33149</v>
      </c>
      <c r="N17" s="395">
        <f>12586+19374</f>
        <v>31960</v>
      </c>
      <c r="O17" s="395">
        <f>15119+17542</f>
        <v>32661</v>
      </c>
      <c r="P17" s="29">
        <f t="shared" si="18"/>
        <v>32661</v>
      </c>
      <c r="Q17" s="395">
        <f>7804+4512</f>
        <v>12316</v>
      </c>
      <c r="R17" s="395">
        <f>6652+5617</f>
        <v>12269</v>
      </c>
      <c r="S17" s="395">
        <f>4437+8897</f>
        <v>13334</v>
      </c>
      <c r="T17" s="395">
        <f>2567+3862</f>
        <v>6429</v>
      </c>
      <c r="U17" s="29">
        <f t="shared" si="19"/>
        <v>6429</v>
      </c>
      <c r="V17" s="395">
        <f>56+3436</f>
        <v>3492</v>
      </c>
      <c r="W17" s="395">
        <f>2768+189</f>
        <v>2957</v>
      </c>
      <c r="X17" s="395">
        <f>373+2821</f>
        <v>3194</v>
      </c>
      <c r="Y17" s="395">
        <f>18+2842</f>
        <v>2860</v>
      </c>
      <c r="Z17" s="29">
        <f t="shared" si="20"/>
        <v>2860</v>
      </c>
      <c r="AA17" s="395">
        <f>1902+3073</f>
        <v>4975</v>
      </c>
      <c r="AB17" s="395">
        <f>84+3547</f>
        <v>3631</v>
      </c>
      <c r="AC17" s="395">
        <f>2823+17</f>
        <v>2840</v>
      </c>
      <c r="AD17" s="395">
        <v>2576</v>
      </c>
      <c r="AE17" s="29">
        <f t="shared" si="21"/>
        <v>2576</v>
      </c>
      <c r="AF17" s="395">
        <v>1902</v>
      </c>
      <c r="AG17" s="395">
        <v>1748</v>
      </c>
      <c r="AH17" s="395">
        <v>298</v>
      </c>
      <c r="AI17" s="395">
        <v>491</v>
      </c>
      <c r="AJ17" s="29">
        <f t="shared" si="22"/>
        <v>491</v>
      </c>
      <c r="AK17" s="395">
        <v>838</v>
      </c>
      <c r="AL17" s="395">
        <v>1355</v>
      </c>
      <c r="AM17" s="395">
        <v>1093</v>
      </c>
      <c r="AN17" s="395">
        <v>2227</v>
      </c>
      <c r="AO17" s="29">
        <f t="shared" si="23"/>
        <v>2227</v>
      </c>
      <c r="AP17" s="395">
        <v>3130</v>
      </c>
      <c r="AQ17" s="395">
        <v>3480</v>
      </c>
      <c r="AR17" s="395">
        <v>1188</v>
      </c>
      <c r="AS17" s="395">
        <f>1358+1231</f>
        <v>2589</v>
      </c>
      <c r="AT17" s="29">
        <f t="shared" si="24"/>
        <v>2589</v>
      </c>
      <c r="AU17" s="395">
        <f>1024+935</f>
        <v>1959</v>
      </c>
      <c r="AV17" s="395">
        <f>886+816</f>
        <v>1702</v>
      </c>
      <c r="AW17" s="395">
        <f>593+547</f>
        <v>1140</v>
      </c>
      <c r="AX17" s="395">
        <f>435+402</f>
        <v>837</v>
      </c>
      <c r="AY17" s="29">
        <f t="shared" si="25"/>
        <v>837</v>
      </c>
      <c r="AZ17" s="395">
        <f>261+241</f>
        <v>502</v>
      </c>
      <c r="BA17" s="395">
        <f>221+29</f>
        <v>250</v>
      </c>
      <c r="BB17" s="395">
        <f>302+71</f>
        <v>373</v>
      </c>
      <c r="BC17" s="395">
        <f>757+283</f>
        <v>1040</v>
      </c>
      <c r="BD17" s="29">
        <f t="shared" si="26"/>
        <v>1040</v>
      </c>
      <c r="BE17" s="395">
        <f>801+429</f>
        <v>1230</v>
      </c>
      <c r="BF17" s="395">
        <f>2003+1252</f>
        <v>3255</v>
      </c>
      <c r="BG17" s="395">
        <f>2085+1184</f>
        <v>3269</v>
      </c>
      <c r="BH17" s="395">
        <f>2221+1177</f>
        <v>3398</v>
      </c>
      <c r="BI17" s="29">
        <f t="shared" si="27"/>
        <v>3398</v>
      </c>
      <c r="BJ17" s="395">
        <f>1952+856</f>
        <v>2808</v>
      </c>
      <c r="BK17" s="395">
        <f>2225+718</f>
        <v>2943</v>
      </c>
      <c r="BL17" s="395">
        <f>1368+578</f>
        <v>1946</v>
      </c>
      <c r="BM17" s="395">
        <f>997+359</f>
        <v>1356</v>
      </c>
      <c r="BN17" s="29">
        <f t="shared" si="28"/>
        <v>1356</v>
      </c>
      <c r="BO17" s="395">
        <f>4819+3777</f>
        <v>8596</v>
      </c>
      <c r="BP17" s="395">
        <f>4693+3635</f>
        <v>8328</v>
      </c>
      <c r="BQ17" s="395">
        <f>4242+3434</f>
        <v>7676</v>
      </c>
      <c r="BR17" s="395">
        <f>3843+2976</f>
        <v>6819</v>
      </c>
      <c r="BS17" s="29">
        <f t="shared" si="29"/>
        <v>6819</v>
      </c>
      <c r="BT17" s="395">
        <f>3938+3082</f>
        <v>7020</v>
      </c>
      <c r="BU17" s="395">
        <f>3567+2694</f>
        <v>6261</v>
      </c>
      <c r="BV17" s="395">
        <f>2366+1938</f>
        <v>4304</v>
      </c>
      <c r="BW17" s="395">
        <f>1118+965</f>
        <v>2083</v>
      </c>
      <c r="BX17" s="29">
        <f t="shared" si="30"/>
        <v>2083</v>
      </c>
      <c r="BY17" s="395">
        <f>788+988</f>
        <v>1776</v>
      </c>
      <c r="BZ17" s="395">
        <f>867+623</f>
        <v>1490</v>
      </c>
      <c r="CA17" s="395">
        <f>1904+1132</f>
        <v>3036</v>
      </c>
      <c r="CB17" s="395">
        <f>1827+791</f>
        <v>2618</v>
      </c>
      <c r="CC17" s="29">
        <f t="shared" si="35"/>
        <v>2618</v>
      </c>
      <c r="CD17" s="395">
        <f>1846+888</f>
        <v>2734</v>
      </c>
      <c r="CE17" s="395">
        <f>2768+1279</f>
        <v>4047</v>
      </c>
      <c r="CF17" s="90">
        <f>CE17</f>
        <v>4047</v>
      </c>
      <c r="CG17" s="90">
        <f>CF17</f>
        <v>4047</v>
      </c>
      <c r="CH17" s="29">
        <f t="shared" si="36"/>
        <v>4047</v>
      </c>
      <c r="CI17" s="90">
        <f>CH17</f>
        <v>4047</v>
      </c>
      <c r="CJ17" s="90">
        <f>CI17</f>
        <v>4047</v>
      </c>
      <c r="CK17" s="90">
        <f>CJ17</f>
        <v>4047</v>
      </c>
      <c r="CL17" s="90">
        <f>CK17</f>
        <v>4047</v>
      </c>
      <c r="CM17" s="29">
        <f t="shared" si="37"/>
        <v>4047</v>
      </c>
      <c r="CN17" s="90">
        <f>CM17</f>
        <v>4047</v>
      </c>
      <c r="CO17" s="90">
        <f>CN17</f>
        <v>4047</v>
      </c>
      <c r="CP17" s="90">
        <f>CO17</f>
        <v>4047</v>
      </c>
      <c r="CQ17" s="90">
        <f>CP17</f>
        <v>4047</v>
      </c>
      <c r="CR17" s="29">
        <f t="shared" si="38"/>
        <v>4047</v>
      </c>
      <c r="CS17" s="90">
        <f>CR17</f>
        <v>4047</v>
      </c>
      <c r="CT17" s="90">
        <f>CS17</f>
        <v>4047</v>
      </c>
      <c r="CU17" s="90">
        <f>CT17</f>
        <v>4047</v>
      </c>
      <c r="CV17" s="90">
        <f>CU17</f>
        <v>4047</v>
      </c>
      <c r="CW17" s="29">
        <f t="shared" si="39"/>
        <v>4047</v>
      </c>
      <c r="CX17" s="90">
        <f>CW17</f>
        <v>4047</v>
      </c>
      <c r="CY17" s="90">
        <f>CX17</f>
        <v>4047</v>
      </c>
      <c r="CZ17" s="90">
        <f>CY17</f>
        <v>4047</v>
      </c>
      <c r="DA17" s="90">
        <f>CZ17</f>
        <v>4047</v>
      </c>
      <c r="DB17" s="29">
        <f t="shared" si="40"/>
        <v>4047</v>
      </c>
    </row>
    <row r="18" spans="1:106" ht="11.5" customHeight="1" x14ac:dyDescent="0.35">
      <c r="A18" s="190" t="s">
        <v>167</v>
      </c>
      <c r="B18" s="395">
        <v>100103</v>
      </c>
      <c r="C18" s="395">
        <v>109860</v>
      </c>
      <c r="D18" s="395">
        <v>113805</v>
      </c>
      <c r="E18" s="395">
        <f>82650+26958</f>
        <v>109608</v>
      </c>
      <c r="F18" s="29">
        <f t="shared" si="16"/>
        <v>109608</v>
      </c>
      <c r="G18" s="395">
        <f>75557+27102</f>
        <v>102659</v>
      </c>
      <c r="H18" s="395">
        <f>70132+24437</f>
        <v>94569</v>
      </c>
      <c r="I18" s="395">
        <f>69514+24437</f>
        <v>93951</v>
      </c>
      <c r="J18" s="395">
        <f>86369+30083</f>
        <v>116452</v>
      </c>
      <c r="K18" s="29">
        <f t="shared" si="17"/>
        <v>116452</v>
      </c>
      <c r="L18" s="395">
        <f>76152+30238</f>
        <v>106390</v>
      </c>
      <c r="M18" s="395">
        <f>79441+30619</f>
        <v>110060</v>
      </c>
      <c r="N18" s="395">
        <f>78277+30588</f>
        <v>108865</v>
      </c>
      <c r="O18" s="395">
        <f>81692+26709</f>
        <v>108401</v>
      </c>
      <c r="P18" s="29">
        <f t="shared" si="18"/>
        <v>108401</v>
      </c>
      <c r="Q18" s="395">
        <f>80618+26712</f>
        <v>107330</v>
      </c>
      <c r="R18" s="395">
        <f>82594+26716</f>
        <v>109310</v>
      </c>
      <c r="S18" s="395">
        <f>84358+26712</f>
        <v>111070</v>
      </c>
      <c r="T18" s="395">
        <f>91442+26731</f>
        <v>118173</v>
      </c>
      <c r="U18" s="29">
        <f t="shared" si="19"/>
        <v>118173</v>
      </c>
      <c r="V18" s="395">
        <f>91445+7070</f>
        <v>98515</v>
      </c>
      <c r="W18" s="395">
        <f>98357+97</f>
        <v>98454</v>
      </c>
      <c r="X18" s="395">
        <f>105059+141</f>
        <v>105200</v>
      </c>
      <c r="Y18" s="395">
        <f>112346+58</f>
        <v>112404</v>
      </c>
      <c r="Z18" s="29">
        <f t="shared" si="20"/>
        <v>112404</v>
      </c>
      <c r="AA18" s="395">
        <f>118636+74</f>
        <v>118710</v>
      </c>
      <c r="AB18" s="395">
        <f>129487</f>
        <v>129487</v>
      </c>
      <c r="AC18" s="395">
        <f>127829</f>
        <v>127829</v>
      </c>
      <c r="AD18" s="395">
        <f>71779+47145</f>
        <v>118924</v>
      </c>
      <c r="AE18" s="29">
        <f t="shared" si="21"/>
        <v>118924</v>
      </c>
      <c r="AF18" s="395">
        <f>79673+27637</f>
        <v>107310</v>
      </c>
      <c r="AG18" s="395">
        <f>34548+78645</f>
        <v>113193</v>
      </c>
      <c r="AH18" s="395">
        <f>42524+75189</f>
        <v>117713</v>
      </c>
      <c r="AI18" s="395">
        <f>18119+111851</f>
        <v>129970</v>
      </c>
      <c r="AJ18" s="29">
        <f t="shared" si="22"/>
        <v>129970</v>
      </c>
      <c r="AK18" s="395">
        <f>24772+104762</f>
        <v>129534</v>
      </c>
      <c r="AL18" s="395">
        <f>26997+103055</f>
        <v>130052</v>
      </c>
      <c r="AM18" s="395">
        <f>36083+99215</f>
        <v>135298</v>
      </c>
      <c r="AN18" s="395">
        <f>15917+126794</f>
        <v>142711</v>
      </c>
      <c r="AO18" s="29">
        <f t="shared" si="23"/>
        <v>142711</v>
      </c>
      <c r="AP18" s="395">
        <f>19186+115961</f>
        <v>135147</v>
      </c>
      <c r="AQ18" s="395">
        <f>26098+112256</f>
        <v>138354</v>
      </c>
      <c r="AR18" s="395">
        <f>29854+109921</f>
        <v>139775</v>
      </c>
      <c r="AS18" s="395">
        <f>15146+138031</f>
        <v>153177</v>
      </c>
      <c r="AT18" s="29">
        <f t="shared" si="24"/>
        <v>153177</v>
      </c>
      <c r="AU18" s="395">
        <f>23541+133507</f>
        <v>157048</v>
      </c>
      <c r="AV18" s="395">
        <f>28896+127885</f>
        <v>156781</v>
      </c>
      <c r="AW18" s="395">
        <f>33902+121596</f>
        <v>155498</v>
      </c>
      <c r="AX18" s="395">
        <f>17539+139512</f>
        <v>157051</v>
      </c>
      <c r="AY18" s="29">
        <f t="shared" si="25"/>
        <v>157051</v>
      </c>
      <c r="AZ18" s="395">
        <f>20794+135146</f>
        <v>155940</v>
      </c>
      <c r="BA18" s="395">
        <f>17539+139512</f>
        <v>157051</v>
      </c>
      <c r="BB18" s="395">
        <f>23543+127656</f>
        <v>151199</v>
      </c>
      <c r="BC18" s="395">
        <f>14435+125606</f>
        <v>140041</v>
      </c>
      <c r="BD18" s="29">
        <f t="shared" si="26"/>
        <v>140041</v>
      </c>
      <c r="BE18" s="395">
        <f>19442+116041</f>
        <v>135483</v>
      </c>
      <c r="BF18" s="395">
        <f>26097+113398</f>
        <v>139495</v>
      </c>
      <c r="BG18" s="395">
        <f>31372+107639</f>
        <v>139011</v>
      </c>
      <c r="BH18" s="395">
        <f>16013+127732</f>
        <v>143745</v>
      </c>
      <c r="BI18" s="29">
        <f t="shared" si="27"/>
        <v>143745</v>
      </c>
      <c r="BJ18" s="395">
        <f>23973+123518</f>
        <v>147491</v>
      </c>
      <c r="BK18" s="395">
        <f>36880+122017</f>
        <v>158897</v>
      </c>
      <c r="BL18" s="395">
        <f>44438+117453</f>
        <v>161891</v>
      </c>
      <c r="BM18" s="395">
        <f>17813+150411</f>
        <v>168224</v>
      </c>
      <c r="BN18" s="29">
        <f t="shared" si="28"/>
        <v>168224</v>
      </c>
      <c r="BO18" s="395">
        <f>25982+141503</f>
        <v>167485</v>
      </c>
      <c r="BP18" s="395">
        <f>35827+136234</f>
        <v>172061</v>
      </c>
      <c r="BQ18" s="395">
        <f>44906+129938</f>
        <v>174844</v>
      </c>
      <c r="BR18" s="395">
        <f>10041+177819</f>
        <v>187860</v>
      </c>
      <c r="BS18" s="29">
        <f t="shared" si="29"/>
        <v>187860</v>
      </c>
      <c r="BT18" s="395">
        <f>19952+172940</f>
        <v>192892</v>
      </c>
      <c r="BU18" s="395">
        <f>33572+159519</f>
        <v>193091</v>
      </c>
      <c r="BV18" s="395">
        <f>50131+151973</f>
        <v>202104</v>
      </c>
      <c r="BW18" s="395">
        <f>10886+194033</f>
        <v>204919</v>
      </c>
      <c r="BX18" s="29">
        <f t="shared" si="30"/>
        <v>204919</v>
      </c>
      <c r="BY18" s="395">
        <f>22502+188487</f>
        <v>210989</v>
      </c>
      <c r="BZ18" s="395">
        <f>40679+182152</f>
        <v>222831</v>
      </c>
      <c r="CA18" s="395">
        <f>56581+174661</f>
        <v>231242</v>
      </c>
      <c r="CB18" s="395">
        <f>10041+231890</f>
        <v>241931</v>
      </c>
      <c r="CC18" s="29">
        <f t="shared" si="35"/>
        <v>241931</v>
      </c>
      <c r="CD18" s="395">
        <f>26177+226293</f>
        <v>252470</v>
      </c>
      <c r="CE18" s="395">
        <f>61021+215902</f>
        <v>276923</v>
      </c>
      <c r="CF18" s="70">
        <f>CF124</f>
        <v>276229.36676990404</v>
      </c>
      <c r="CG18" s="70">
        <f>CG124</f>
        <v>284199.57038195193</v>
      </c>
      <c r="CH18" s="29">
        <f t="shared" si="36"/>
        <v>284199.57038195193</v>
      </c>
      <c r="CI18" s="70">
        <f>CI124</f>
        <v>276143.21449763229</v>
      </c>
      <c r="CJ18" s="70">
        <f>CJ124</f>
        <v>279118.75405785727</v>
      </c>
      <c r="CK18" s="70">
        <f>CK124</f>
        <v>287112.15901985217</v>
      </c>
      <c r="CL18" s="70">
        <f>CL124</f>
        <v>294874.43172388413</v>
      </c>
      <c r="CM18" s="29">
        <f t="shared" si="37"/>
        <v>294874.43172388413</v>
      </c>
      <c r="CN18" s="70">
        <f>CN124</f>
        <v>295501.1393562358</v>
      </c>
      <c r="CO18" s="70">
        <f>CO124</f>
        <v>300024.89961535262</v>
      </c>
      <c r="CP18" s="70">
        <f>CP124</f>
        <v>304886.10621131852</v>
      </c>
      <c r="CQ18" s="70">
        <f>CQ124</f>
        <v>315869.73014806956</v>
      </c>
      <c r="CR18" s="29">
        <f t="shared" si="38"/>
        <v>315869.73014806956</v>
      </c>
      <c r="CS18" s="70">
        <f>CS124</f>
        <v>319463.46211667644</v>
      </c>
      <c r="CT18" s="70">
        <f>CT124</f>
        <v>322941.0920225326</v>
      </c>
      <c r="CU18" s="70">
        <f>CU124</f>
        <v>326553.23687597201</v>
      </c>
      <c r="CV18" s="70">
        <f>CV124</f>
        <v>330582.72865249193</v>
      </c>
      <c r="CW18" s="29">
        <f t="shared" si="39"/>
        <v>330582.72865249193</v>
      </c>
      <c r="CX18" s="70">
        <f>CX124</f>
        <v>330194.25112264848</v>
      </c>
      <c r="CY18" s="70">
        <f>CY124</f>
        <v>330597.45859930338</v>
      </c>
      <c r="CZ18" s="70">
        <f>CZ124</f>
        <v>331813.25111731241</v>
      </c>
      <c r="DA18" s="70">
        <f>DA124</f>
        <v>333822.40827098739</v>
      </c>
      <c r="DB18" s="29">
        <f t="shared" si="40"/>
        <v>333822.40827098739</v>
      </c>
    </row>
    <row r="19" spans="1:106" ht="11.5" customHeight="1" x14ac:dyDescent="0.35">
      <c r="A19" s="190" t="s">
        <v>168</v>
      </c>
      <c r="B19" s="395">
        <f>(119637)+20985+140277</f>
        <v>280899</v>
      </c>
      <c r="C19" s="395">
        <f>(102565)+15822+186467</f>
        <v>304854</v>
      </c>
      <c r="D19" s="395">
        <f>(93294)+13948+188159</f>
        <v>295401</v>
      </c>
      <c r="E19" s="395">
        <f>50620+13353+188640</f>
        <v>252613</v>
      </c>
      <c r="F19" s="29">
        <f t="shared" si="16"/>
        <v>252613</v>
      </c>
      <c r="G19" s="395">
        <f>8630162+3603662-G6-G7-G8-G12-G16-G17-G18</f>
        <v>361535</v>
      </c>
      <c r="H19" s="395">
        <f>12931957-H20-H18-H17-H16-H12-H8-H7-H6</f>
        <v>336620</v>
      </c>
      <c r="I19" s="395">
        <f>13496668-I20-SUM(I16:I18)-I12-I8-I7-I6</f>
        <v>345236</v>
      </c>
      <c r="J19" s="395">
        <f>13644677-J20-SUM(J16:J18)-J12-J8-J7-J6</f>
        <v>516719</v>
      </c>
      <c r="K19" s="29">
        <f t="shared" si="17"/>
        <v>516719</v>
      </c>
      <c r="L19" s="395">
        <f>13531460-L20-SUM(L16:L18)-L12-L8-L7-L6</f>
        <v>394686</v>
      </c>
      <c r="M19" s="395">
        <f>13603554-M20-SUM(M16:M18)-M12-M8-M7-M6</f>
        <v>510773</v>
      </c>
      <c r="N19" s="395">
        <f>13616873-N20-SUM(N16:N18)-N12-N8-N7-N6</f>
        <v>542734</v>
      </c>
      <c r="O19" s="395">
        <f>13607903-O20-SUM(O16:O18)-O12-O8-O7-O6</f>
        <v>765406</v>
      </c>
      <c r="P19" s="29">
        <f t="shared" si="18"/>
        <v>765406</v>
      </c>
      <c r="Q19" s="395">
        <f>13898293-Q20-SUM(Q16:Q18)-Q12-Q8-Q7-Q6</f>
        <v>816301</v>
      </c>
      <c r="R19" s="395">
        <f>13620424-R20-SUM(R16:R18)-R12-R8-R7-R6</f>
        <v>884299</v>
      </c>
      <c r="S19" s="395">
        <f>14039473-S20-SUM(S16:S18)-S12-S8-S7-S6</f>
        <v>934720</v>
      </c>
      <c r="T19" s="395">
        <f>14387099-T20-SUM(T16:T18)-T12-T8-T7-T6</f>
        <v>912652</v>
      </c>
      <c r="U19" s="29">
        <f t="shared" si="19"/>
        <v>912652</v>
      </c>
      <c r="V19" s="395">
        <f>14416449-V20-SUM(V16:V18)-V12-V8-V7-V6</f>
        <v>851042</v>
      </c>
      <c r="W19" s="395">
        <f>13896935-W20-SUM(W16:W18)-W12-W8-W7-W6</f>
        <v>805345</v>
      </c>
      <c r="X19" s="395">
        <f>13965433-X20-SUM(X16:X18)-X12-X8-X7-X6</f>
        <v>733705</v>
      </c>
      <c r="Y19" s="395">
        <f>13420612-Y20-SUM(Y16:Y18)-Y12-Y8-Y7-Y6</f>
        <v>319382</v>
      </c>
      <c r="Z19" s="29">
        <f t="shared" si="20"/>
        <v>319382</v>
      </c>
      <c r="AA19" s="395">
        <f>13326248-AA20-SUM(AA16:AA18)-AA12-AA8-AA7-AA6</f>
        <v>328534</v>
      </c>
      <c r="AB19" s="395">
        <f>13314373-AB20-SUM(AB16:AB18)-AB12-AB8-AB7-AB6</f>
        <v>219087</v>
      </c>
      <c r="AC19" s="395">
        <f>13416693-AC20-SUM(AC16:AC18)-AC12-AC8-AC7-AC6</f>
        <v>235314</v>
      </c>
      <c r="AD19" s="395">
        <f>12729588-AD20-SUM(AD16:AD18)-AD12-AD8-AD7-AD6</f>
        <v>220442</v>
      </c>
      <c r="AE19" s="29">
        <f t="shared" si="21"/>
        <v>220442</v>
      </c>
      <c r="AF19" s="395">
        <f>12666844-AF20-SUM(AF16:AF18)-AF12-AF8-AF7-AF6</f>
        <v>209361</v>
      </c>
      <c r="AG19" s="395">
        <f>12243534-AG20-SUM(AG16:AG18)-AG12-AG8-AG7-AG6</f>
        <v>177884</v>
      </c>
      <c r="AH19" s="395">
        <f>12079418-AH20-SUM(AH16:AH18)-AH12-AH8-AH7-AH6</f>
        <v>215230</v>
      </c>
      <c r="AI19" s="395">
        <f>11879699-AI20-SUM(AI16:AI18)-AI12-AI8-AI7-AI6</f>
        <v>177256</v>
      </c>
      <c r="AJ19" s="29">
        <f t="shared" si="22"/>
        <v>177256</v>
      </c>
      <c r="AK19" s="395">
        <f>11940930-AK20-SUM(AK16:AK18)-AK12-AK8-AK7-AK6</f>
        <v>185358</v>
      </c>
      <c r="AL19" s="395">
        <f>11340173-AL20-SUM(AL16:AL18)-AL12-AL8-AL7-AL6</f>
        <v>177238</v>
      </c>
      <c r="AM19" s="395">
        <f>10931386-AM20-SUM(AM16:AM18)-AM12-AM8-AM7-AM6</f>
        <v>179023</v>
      </c>
      <c r="AN19" s="395">
        <f>10401541-AN20-SUM(AN16:AN18)-AN12-AN8-AN7-AN6</f>
        <v>165667</v>
      </c>
      <c r="AO19" s="29">
        <f t="shared" si="23"/>
        <v>165667</v>
      </c>
      <c r="AP19" s="395">
        <f>9652269-AP20-SUM(AP16:AP18)-AP12-AP8-AP7-AP6</f>
        <v>153334</v>
      </c>
      <c r="AQ19" s="395">
        <f>10010071-AQ20-SUM(AQ16:AQ18)-AQ12-AQ8-AQ7-AQ6</f>
        <v>181217</v>
      </c>
      <c r="AR19" s="395">
        <f>10499600-AR20-SUM(AR16:AR18)-AR12-AR8-AR7-AR6</f>
        <v>186184</v>
      </c>
      <c r="AS19" s="395">
        <f>9829268-AS20-SUM(AS16:AS18)-AS12-AS8-AS7-AS6</f>
        <v>181530</v>
      </c>
      <c r="AT19" s="29">
        <f t="shared" si="24"/>
        <v>181530</v>
      </c>
      <c r="AU19" s="395">
        <f>9742527-AU20-SUM(AU16:AU18)-AU12-AU8-AU7-AU6</f>
        <v>154701</v>
      </c>
      <c r="AV19" s="395">
        <f>9772333-AV20-SUM(AV16:AV18)-AV12-AV8-AV7-AV6</f>
        <v>138060</v>
      </c>
      <c r="AW19" s="395">
        <f>9971372-AW20-SUM(AW16:AW18)-AW12-AW8-AW7-AW6</f>
        <v>142618</v>
      </c>
      <c r="AX19" s="395">
        <f>9987778-AX20-SUM(AX16:AX18)-AX12-AX8-AX7-AX6</f>
        <v>133902</v>
      </c>
      <c r="AY19" s="29">
        <f t="shared" si="25"/>
        <v>133902</v>
      </c>
      <c r="AZ19" s="395">
        <f>10290824-AZ20-SUM(AZ16:AZ18)-AZ12-AZ8-AZ7-AZ6</f>
        <v>179721</v>
      </c>
      <c r="BA19" s="395">
        <f>10908726-BA20-SUM(BA16:BA18)-BA12-BA8-BA7-BA6</f>
        <v>180121</v>
      </c>
      <c r="BB19" s="395">
        <f>11391783-BB20-SUM(BB16:BB18)-BB12-BB8-BB7-BB6</f>
        <v>182358</v>
      </c>
      <c r="BC19" s="395">
        <f>11433926-BC20-SUM(BC16:BC18)-BC12-BC8-BC7-BC6</f>
        <v>195129</v>
      </c>
      <c r="BD19" s="29">
        <f t="shared" si="26"/>
        <v>195129</v>
      </c>
      <c r="BE19" s="395">
        <f>11657074-BE20-SUM(BE16:BE18)-BE12-BE8-BE7-BE6</f>
        <v>221707</v>
      </c>
      <c r="BF19" s="395">
        <f>12376658-BF20-SUM(BF16:BF18)-BF12-BF8-BF7-BF6</f>
        <v>207486</v>
      </c>
      <c r="BG19" s="395">
        <f>13162967-BG20-SUM(BG16:BG18)-BG12-BG8-BG7-BG6</f>
        <v>212891</v>
      </c>
      <c r="BH19" s="395">
        <f>13841170-BH20-SUM(BH16:BH18)-BH12-BH8-BH7-BH6</f>
        <v>218211</v>
      </c>
      <c r="BI19" s="29">
        <f t="shared" si="27"/>
        <v>218211</v>
      </c>
      <c r="BJ19" s="395">
        <f>14217086-BJ20-SUM(BJ16:BJ18)-BJ12-BJ8-BJ7-BJ6</f>
        <v>234360</v>
      </c>
      <c r="BK19" s="395">
        <f>14743262-BK20-SUM(BK16:BK18)-BK12-BK8-BK7-BK6</f>
        <v>219598</v>
      </c>
      <c r="BL19" s="395">
        <f>15685516-BL20-SUM(BL16:BL18)-BL12-BL8-BL7-BL6</f>
        <v>251219</v>
      </c>
      <c r="BM19" s="395">
        <f>16560139-BM20-SUM(BM16:BM18)-BM12-BM8-BM7-BM6</f>
        <v>272256</v>
      </c>
      <c r="BN19" s="29">
        <f t="shared" si="28"/>
        <v>272256</v>
      </c>
      <c r="BO19" s="395">
        <f>16321140-BO20-SUM(BO16:BO18)-BO12-BO8-BO7-BO6</f>
        <v>287111</v>
      </c>
      <c r="BP19" s="395">
        <f>16825149-BP20-SUM(BP16:BP18)-BP12-BP8-BP7-BP6</f>
        <v>290212</v>
      </c>
      <c r="BQ19" s="395">
        <f>17023249-BQ20-SUM(BQ16:BQ18)-BQ12-BQ8-BQ7-BQ6</f>
        <v>308260</v>
      </c>
      <c r="BR19" s="395">
        <f>17371200-BR20-SUM(BR16:BR18)-BR12-BR8-BR7-BR6</f>
        <v>415296</v>
      </c>
      <c r="BS19" s="29">
        <f t="shared" si="29"/>
        <v>415296</v>
      </c>
      <c r="BT19" s="395">
        <f>17462659-BT20-SUM(BT16:BT18)-BT12-BT8-BT7-BT6</f>
        <v>705626</v>
      </c>
      <c r="BU19" s="395">
        <f>18260036-BU20-SUM(BU16:BU18)-BU12-BU8-BU7-BU6</f>
        <v>765192</v>
      </c>
      <c r="BV19" s="395">
        <f>19574005-BV20-SUM(BV16:BV18)-BV12-BV8-BV7-BV6</f>
        <v>749919</v>
      </c>
      <c r="BW19" s="395">
        <f>21240962-BW20-SUM(BW16:BW18)-BW12-BW8-BW7-BW6</f>
        <v>593273</v>
      </c>
      <c r="BX19" s="29">
        <f t="shared" si="30"/>
        <v>593273</v>
      </c>
      <c r="BY19" s="395">
        <f>21847715-BY20-SUM(BY16:BY18)-BY12-BY8-BY7-BY6</f>
        <v>623032</v>
      </c>
      <c r="BZ19" s="395">
        <f>326008+25028+9244+205255+83028</f>
        <v>648563</v>
      </c>
      <c r="CA19" s="395">
        <f>399680+20914+9156+208842</f>
        <v>638592</v>
      </c>
      <c r="CB19" s="395">
        <f>26109817-CB20-SUM(CB16:CB18)-CB12-CB8-CB7-CB6</f>
        <v>574579</v>
      </c>
      <c r="CC19" s="29">
        <f t="shared" si="35"/>
        <v>574579</v>
      </c>
      <c r="CD19" s="395">
        <f>365628+37852+10803+193366+101095</f>
        <v>708744</v>
      </c>
      <c r="CE19" s="395">
        <f>27740895-CE20-SUM(CE16:CE18)-CE12-CE8-CE7-CE6</f>
        <v>639552</v>
      </c>
      <c r="CF19" s="90">
        <f>CE19</f>
        <v>639552</v>
      </c>
      <c r="CG19" s="90">
        <f>CF19</f>
        <v>639552</v>
      </c>
      <c r="CH19" s="29">
        <f t="shared" si="36"/>
        <v>639552</v>
      </c>
      <c r="CI19" s="90">
        <f>CH19</f>
        <v>639552</v>
      </c>
      <c r="CJ19" s="90">
        <f>CI19</f>
        <v>639552</v>
      </c>
      <c r="CK19" s="90">
        <f>CJ19</f>
        <v>639552</v>
      </c>
      <c r="CL19" s="90">
        <f>CK19</f>
        <v>639552</v>
      </c>
      <c r="CM19" s="29">
        <f t="shared" si="37"/>
        <v>639552</v>
      </c>
      <c r="CN19" s="90">
        <f>CM19</f>
        <v>639552</v>
      </c>
      <c r="CO19" s="90">
        <f>CN19</f>
        <v>639552</v>
      </c>
      <c r="CP19" s="90">
        <f>CO19</f>
        <v>639552</v>
      </c>
      <c r="CQ19" s="90">
        <f>CP19</f>
        <v>639552</v>
      </c>
      <c r="CR19" s="29">
        <f t="shared" si="38"/>
        <v>639552</v>
      </c>
      <c r="CS19" s="90">
        <f>CR19</f>
        <v>639552</v>
      </c>
      <c r="CT19" s="90">
        <f>CS19</f>
        <v>639552</v>
      </c>
      <c r="CU19" s="90">
        <f>CT19</f>
        <v>639552</v>
      </c>
      <c r="CV19" s="90">
        <f>CU19</f>
        <v>639552</v>
      </c>
      <c r="CW19" s="29">
        <f t="shared" si="39"/>
        <v>639552</v>
      </c>
      <c r="CX19" s="90">
        <f>CW19</f>
        <v>639552</v>
      </c>
      <c r="CY19" s="90">
        <f>CX19</f>
        <v>639552</v>
      </c>
      <c r="CZ19" s="90">
        <f>CY19</f>
        <v>639552</v>
      </c>
      <c r="DA19" s="90">
        <f>CZ19</f>
        <v>639552</v>
      </c>
      <c r="DB19" s="29">
        <f t="shared" si="40"/>
        <v>639552</v>
      </c>
    </row>
    <row r="20" spans="1:106" ht="11.5" customHeight="1" x14ac:dyDescent="0.35">
      <c r="A20" s="192" t="s">
        <v>169</v>
      </c>
      <c r="B20" s="86">
        <f t="shared" ref="B20:AG20" si="41">B21+B22+B23+B24</f>
        <v>256374</v>
      </c>
      <c r="C20" s="86">
        <f t="shared" si="41"/>
        <v>265872</v>
      </c>
      <c r="D20" s="86">
        <f t="shared" si="41"/>
        <v>270386</v>
      </c>
      <c r="E20" s="86">
        <f t="shared" si="41"/>
        <v>265592</v>
      </c>
      <c r="F20" s="87">
        <f t="shared" si="41"/>
        <v>265592</v>
      </c>
      <c r="G20" s="86">
        <f t="shared" si="41"/>
        <v>255215</v>
      </c>
      <c r="H20" s="86">
        <f t="shared" si="41"/>
        <v>254195</v>
      </c>
      <c r="I20" s="86">
        <f t="shared" si="41"/>
        <v>277341</v>
      </c>
      <c r="J20" s="86">
        <f t="shared" si="41"/>
        <v>292629</v>
      </c>
      <c r="K20" s="87">
        <f t="shared" si="41"/>
        <v>292629</v>
      </c>
      <c r="L20" s="86">
        <f t="shared" si="41"/>
        <v>284894</v>
      </c>
      <c r="M20" s="86">
        <f t="shared" si="41"/>
        <v>280897</v>
      </c>
      <c r="N20" s="86">
        <f t="shared" si="41"/>
        <v>268429</v>
      </c>
      <c r="O20" s="86">
        <f t="shared" si="41"/>
        <v>917627</v>
      </c>
      <c r="P20" s="87">
        <f t="shared" si="41"/>
        <v>917627</v>
      </c>
      <c r="Q20" s="86">
        <f t="shared" si="41"/>
        <v>1297663</v>
      </c>
      <c r="R20" s="86">
        <f t="shared" si="41"/>
        <v>915834</v>
      </c>
      <c r="S20" s="86">
        <f t="shared" si="41"/>
        <v>928867</v>
      </c>
      <c r="T20" s="86">
        <f t="shared" si="41"/>
        <v>955273</v>
      </c>
      <c r="U20" s="87">
        <f t="shared" si="41"/>
        <v>955273</v>
      </c>
      <c r="V20" s="86">
        <f t="shared" si="41"/>
        <v>971274</v>
      </c>
      <c r="W20" s="86">
        <f t="shared" si="41"/>
        <v>973779</v>
      </c>
      <c r="X20" s="86">
        <f t="shared" si="41"/>
        <v>991157</v>
      </c>
      <c r="Y20" s="86">
        <f t="shared" si="41"/>
        <v>966824</v>
      </c>
      <c r="Z20" s="87">
        <f t="shared" si="41"/>
        <v>966824</v>
      </c>
      <c r="AA20" s="86">
        <f t="shared" si="41"/>
        <v>918888</v>
      </c>
      <c r="AB20" s="86">
        <f t="shared" si="41"/>
        <v>1023452</v>
      </c>
      <c r="AC20" s="86">
        <f t="shared" si="41"/>
        <v>996707</v>
      </c>
      <c r="AD20" s="86">
        <f t="shared" si="41"/>
        <v>970602</v>
      </c>
      <c r="AE20" s="87">
        <f t="shared" si="41"/>
        <v>970602</v>
      </c>
      <c r="AF20" s="86">
        <f t="shared" si="41"/>
        <v>909991</v>
      </c>
      <c r="AG20" s="86">
        <f t="shared" si="41"/>
        <v>896773</v>
      </c>
      <c r="AH20" s="86">
        <f t="shared" ref="AH20:BM20" si="42">AH21+AH22+AH23+AH24</f>
        <v>931724</v>
      </c>
      <c r="AI20" s="86">
        <f t="shared" si="42"/>
        <v>1055098</v>
      </c>
      <c r="AJ20" s="87">
        <f t="shared" si="42"/>
        <v>1055098</v>
      </c>
      <c r="AK20" s="86">
        <f t="shared" si="42"/>
        <v>1043072</v>
      </c>
      <c r="AL20" s="86">
        <f t="shared" si="42"/>
        <v>1024100</v>
      </c>
      <c r="AM20" s="86">
        <f t="shared" si="42"/>
        <v>919252</v>
      </c>
      <c r="AN20" s="86">
        <f t="shared" si="42"/>
        <v>937790</v>
      </c>
      <c r="AO20" s="87">
        <f t="shared" si="42"/>
        <v>937790</v>
      </c>
      <c r="AP20" s="86">
        <f t="shared" si="42"/>
        <v>1018346</v>
      </c>
      <c r="AQ20" s="86">
        <f t="shared" si="42"/>
        <v>978316</v>
      </c>
      <c r="AR20" s="86">
        <f t="shared" si="42"/>
        <v>959099</v>
      </c>
      <c r="AS20" s="86">
        <f t="shared" si="42"/>
        <v>972371</v>
      </c>
      <c r="AT20" s="87">
        <f t="shared" si="42"/>
        <v>972371</v>
      </c>
      <c r="AU20" s="86">
        <f t="shared" si="42"/>
        <v>884031</v>
      </c>
      <c r="AV20" s="86">
        <f t="shared" si="42"/>
        <v>884031</v>
      </c>
      <c r="AW20" s="86">
        <f t="shared" si="42"/>
        <v>947444</v>
      </c>
      <c r="AX20" s="86">
        <f t="shared" si="42"/>
        <v>935101</v>
      </c>
      <c r="AY20" s="87">
        <f t="shared" si="42"/>
        <v>935101</v>
      </c>
      <c r="AZ20" s="86">
        <f t="shared" si="42"/>
        <v>903682</v>
      </c>
      <c r="BA20" s="86">
        <f t="shared" si="42"/>
        <v>894231</v>
      </c>
      <c r="BB20" s="86">
        <f t="shared" si="42"/>
        <v>2171257</v>
      </c>
      <c r="BC20" s="86">
        <f t="shared" si="42"/>
        <v>2160422</v>
      </c>
      <c r="BD20" s="87">
        <f t="shared" si="42"/>
        <v>2160422</v>
      </c>
      <c r="BE20" s="86">
        <f t="shared" si="42"/>
        <v>2235034</v>
      </c>
      <c r="BF20" s="86">
        <f t="shared" si="42"/>
        <v>2216174</v>
      </c>
      <c r="BG20" s="86">
        <f t="shared" si="42"/>
        <v>2274312</v>
      </c>
      <c r="BH20" s="86">
        <f t="shared" si="42"/>
        <v>2230109</v>
      </c>
      <c r="BI20" s="87">
        <f t="shared" si="42"/>
        <v>2230109</v>
      </c>
      <c r="BJ20" s="86">
        <f t="shared" si="42"/>
        <v>2352370</v>
      </c>
      <c r="BK20" s="86">
        <f t="shared" si="42"/>
        <v>2488753</v>
      </c>
      <c r="BL20" s="86">
        <f t="shared" si="42"/>
        <v>2635265</v>
      </c>
      <c r="BM20" s="86">
        <f t="shared" si="42"/>
        <v>2590052</v>
      </c>
      <c r="BN20" s="87">
        <f t="shared" ref="BN20:CS20" si="43">BN21+BN22+BN23+BN24</f>
        <v>2590052</v>
      </c>
      <c r="BO20" s="86">
        <f t="shared" si="43"/>
        <v>2638860</v>
      </c>
      <c r="BP20" s="86">
        <f t="shared" si="43"/>
        <v>2663566</v>
      </c>
      <c r="BQ20" s="86">
        <f t="shared" si="43"/>
        <v>2705262</v>
      </c>
      <c r="BR20" s="86">
        <f t="shared" si="43"/>
        <v>2773324</v>
      </c>
      <c r="BS20" s="87">
        <f t="shared" si="43"/>
        <v>2773324</v>
      </c>
      <c r="BT20" s="86">
        <f t="shared" si="43"/>
        <v>2884924</v>
      </c>
      <c r="BU20" s="86">
        <f t="shared" si="43"/>
        <v>3068743</v>
      </c>
      <c r="BV20" s="86">
        <f t="shared" si="43"/>
        <v>3197645</v>
      </c>
      <c r="BW20" s="86">
        <f t="shared" si="43"/>
        <v>3434191</v>
      </c>
      <c r="BX20" s="87">
        <f t="shared" si="43"/>
        <v>3434191</v>
      </c>
      <c r="BY20" s="86">
        <f t="shared" si="43"/>
        <v>3371277</v>
      </c>
      <c r="BZ20" s="86">
        <f>BZ21+BZ22+BZ23+BZ24</f>
        <v>3423754</v>
      </c>
      <c r="CA20" s="86">
        <f>CA21+CA22+CA23+CA24</f>
        <v>3505851</v>
      </c>
      <c r="CB20" s="86">
        <f t="shared" ref="CB20" si="44">CB21+CB22+CB23+CB24</f>
        <v>3905094</v>
      </c>
      <c r="CC20" s="87">
        <f t="shared" si="43"/>
        <v>3905094</v>
      </c>
      <c r="CD20" s="86">
        <f t="shared" ref="CD20:CE20" si="45">CD21+CD22+CD23+CD24</f>
        <v>3847449</v>
      </c>
      <c r="CE20" s="86">
        <f t="shared" si="45"/>
        <v>3973037</v>
      </c>
      <c r="CF20" s="86">
        <f t="shared" si="43"/>
        <v>4066824.9022270665</v>
      </c>
      <c r="CG20" s="86">
        <f t="shared" si="43"/>
        <v>4150204.3638559021</v>
      </c>
      <c r="CH20" s="87">
        <f t="shared" si="43"/>
        <v>4150204.3638559021</v>
      </c>
      <c r="CI20" s="86">
        <f t="shared" si="43"/>
        <v>4284929.5821996219</v>
      </c>
      <c r="CJ20" s="86">
        <f t="shared" si="43"/>
        <v>4320575.6863160934</v>
      </c>
      <c r="CK20" s="86">
        <f t="shared" si="43"/>
        <v>4361044.6744111013</v>
      </c>
      <c r="CL20" s="86">
        <f t="shared" si="43"/>
        <v>4389218.7775185667</v>
      </c>
      <c r="CM20" s="87">
        <f t="shared" si="43"/>
        <v>4389218.7775185667</v>
      </c>
      <c r="CN20" s="86">
        <f t="shared" si="43"/>
        <v>4484152.764888932</v>
      </c>
      <c r="CO20" s="86">
        <f t="shared" si="43"/>
        <v>4544870.8605832988</v>
      </c>
      <c r="CP20" s="86">
        <f t="shared" si="43"/>
        <v>4608766.9854179574</v>
      </c>
      <c r="CQ20" s="86">
        <f t="shared" si="43"/>
        <v>4633684.9385226993</v>
      </c>
      <c r="CR20" s="87">
        <f t="shared" si="43"/>
        <v>4633684.9385226993</v>
      </c>
      <c r="CS20" s="86">
        <f t="shared" si="43"/>
        <v>4684944.4209107934</v>
      </c>
      <c r="CT20" s="86">
        <f t="shared" ref="CT20:DB20" si="46">CT21+CT22+CT23+CT24</f>
        <v>4723415.7279782053</v>
      </c>
      <c r="CU20" s="86">
        <f t="shared" si="46"/>
        <v>4759358.7378124297</v>
      </c>
      <c r="CV20" s="86">
        <f t="shared" si="46"/>
        <v>4791342.3760500541</v>
      </c>
      <c r="CW20" s="87">
        <f t="shared" si="46"/>
        <v>4791342.3760500541</v>
      </c>
      <c r="CX20" s="86">
        <f t="shared" si="46"/>
        <v>4883692.7227561958</v>
      </c>
      <c r="CY20" s="86">
        <f t="shared" si="46"/>
        <v>4897699.852839686</v>
      </c>
      <c r="CZ20" s="86">
        <f t="shared" si="46"/>
        <v>4872527.7964991098</v>
      </c>
      <c r="DA20" s="86">
        <f t="shared" si="46"/>
        <v>4795381.6090029357</v>
      </c>
      <c r="DB20" s="87">
        <f t="shared" si="46"/>
        <v>4795381.6090029357</v>
      </c>
    </row>
    <row r="21" spans="1:106" ht="11.5" customHeight="1" x14ac:dyDescent="0.35">
      <c r="A21" s="190" t="s">
        <v>170</v>
      </c>
      <c r="B21" s="395">
        <v>13885</v>
      </c>
      <c r="C21" s="395">
        <v>12665</v>
      </c>
      <c r="D21" s="395">
        <v>15203</v>
      </c>
      <c r="E21" s="397">
        <v>6179</v>
      </c>
      <c r="F21" s="29">
        <f>E21</f>
        <v>6179</v>
      </c>
      <c r="G21" s="395">
        <v>6324</v>
      </c>
      <c r="H21" s="395">
        <v>6815</v>
      </c>
      <c r="I21" s="395">
        <v>6461</v>
      </c>
      <c r="J21" s="397">
        <v>6886</v>
      </c>
      <c r="K21" s="29">
        <f>J21</f>
        <v>6886</v>
      </c>
      <c r="L21" s="395">
        <v>6737</v>
      </c>
      <c r="M21" s="395">
        <v>7336</v>
      </c>
      <c r="N21" s="395">
        <v>7999</v>
      </c>
      <c r="O21" s="397">
        <v>665329</v>
      </c>
      <c r="P21" s="29">
        <f>O21</f>
        <v>665329</v>
      </c>
      <c r="Q21" s="395">
        <v>1039755</v>
      </c>
      <c r="R21" s="395">
        <v>681451</v>
      </c>
      <c r="S21" s="395">
        <v>683728</v>
      </c>
      <c r="T21" s="397">
        <v>708087</v>
      </c>
      <c r="U21" s="29">
        <f>T21</f>
        <v>708087</v>
      </c>
      <c r="V21" s="395">
        <v>718234</v>
      </c>
      <c r="W21" s="395">
        <v>720167</v>
      </c>
      <c r="X21" s="395">
        <v>739253</v>
      </c>
      <c r="Y21" s="397">
        <v>694614</v>
      </c>
      <c r="Z21" s="29">
        <f>Y21</f>
        <v>694614</v>
      </c>
      <c r="AA21" s="395">
        <v>649890</v>
      </c>
      <c r="AB21" s="395">
        <v>757367</v>
      </c>
      <c r="AC21" s="395">
        <v>753205</v>
      </c>
      <c r="AD21" s="397">
        <v>745841</v>
      </c>
      <c r="AE21" s="29">
        <f>AD21</f>
        <v>745841</v>
      </c>
      <c r="AF21" s="395">
        <v>716684</v>
      </c>
      <c r="AG21" s="395">
        <v>710950</v>
      </c>
      <c r="AH21" s="395">
        <v>764350</v>
      </c>
      <c r="AI21" s="397">
        <v>903345</v>
      </c>
      <c r="AJ21" s="29">
        <f>AI21</f>
        <v>903345</v>
      </c>
      <c r="AK21" s="395">
        <v>907923</v>
      </c>
      <c r="AL21" s="395">
        <v>913701</v>
      </c>
      <c r="AM21" s="395">
        <v>813509</v>
      </c>
      <c r="AN21" s="397">
        <v>836822</v>
      </c>
      <c r="AO21" s="29">
        <f>AN21</f>
        <v>836822</v>
      </c>
      <c r="AP21" s="395">
        <v>922090</v>
      </c>
      <c r="AQ21" s="395">
        <v>888884</v>
      </c>
      <c r="AR21" s="395">
        <v>863604</v>
      </c>
      <c r="AS21" s="397">
        <v>876395</v>
      </c>
      <c r="AT21" s="29">
        <f>AS21</f>
        <v>876395</v>
      </c>
      <c r="AU21" s="395">
        <v>785950</v>
      </c>
      <c r="AV21" s="395">
        <v>785950</v>
      </c>
      <c r="AW21" s="395">
        <v>832532</v>
      </c>
      <c r="AX21" s="397">
        <v>815090</v>
      </c>
      <c r="AY21" s="29">
        <f>AX21</f>
        <v>815090</v>
      </c>
      <c r="AZ21" s="395">
        <v>787155</v>
      </c>
      <c r="BA21" s="395">
        <v>786090</v>
      </c>
      <c r="BB21" s="395">
        <v>2078394</v>
      </c>
      <c r="BC21" s="397">
        <v>2066024</v>
      </c>
      <c r="BD21" s="29">
        <f>BC21</f>
        <v>2066024</v>
      </c>
      <c r="BE21" s="395">
        <v>2144815</v>
      </c>
      <c r="BF21" s="395">
        <v>2115506</v>
      </c>
      <c r="BG21" s="395">
        <v>2123180</v>
      </c>
      <c r="BH21" s="397">
        <v>2070208</v>
      </c>
      <c r="BI21" s="29">
        <f>BH21</f>
        <v>2070208</v>
      </c>
      <c r="BJ21" s="395">
        <v>2184126</v>
      </c>
      <c r="BK21" s="395">
        <v>2262782</v>
      </c>
      <c r="BL21" s="395">
        <v>2262063</v>
      </c>
      <c r="BM21" s="397">
        <v>2245704</v>
      </c>
      <c r="BN21" s="29">
        <f>BM21</f>
        <v>2245704</v>
      </c>
      <c r="BO21" s="395">
        <v>2297205</v>
      </c>
      <c r="BP21" s="395">
        <v>2323931</v>
      </c>
      <c r="BQ21" s="395">
        <v>2366756</v>
      </c>
      <c r="BR21" s="397">
        <v>2439156</v>
      </c>
      <c r="BS21" s="29">
        <f>BR21</f>
        <v>2439156</v>
      </c>
      <c r="BT21" s="395">
        <v>2572538</v>
      </c>
      <c r="BU21" s="395">
        <v>2759062</v>
      </c>
      <c r="BV21" s="395">
        <v>2897022</v>
      </c>
      <c r="BW21" s="397">
        <v>3126325</v>
      </c>
      <c r="BX21" s="29">
        <f>BW21</f>
        <v>3126325</v>
      </c>
      <c r="BY21" s="395">
        <v>3066959</v>
      </c>
      <c r="BZ21" s="395">
        <v>3115522</v>
      </c>
      <c r="CA21" s="395">
        <v>3198915</v>
      </c>
      <c r="CB21" s="397">
        <v>3156760</v>
      </c>
      <c r="CC21" s="29">
        <f>CB21</f>
        <v>3156760</v>
      </c>
      <c r="CD21" s="395">
        <v>3188170</v>
      </c>
      <c r="CE21" s="397">
        <v>3289627</v>
      </c>
      <c r="CF21" s="90">
        <f>CE21*(CF8+CF12)/(CE8+CE12)</f>
        <v>3379135.3351769457</v>
      </c>
      <c r="CG21" s="90">
        <f>CF21*(CG8+CG12)/(CF8+CF12)</f>
        <v>3458207.3838553987</v>
      </c>
      <c r="CH21" s="29">
        <f>CG21</f>
        <v>3458207.3838553987</v>
      </c>
      <c r="CI21" s="90">
        <f>CH21*(CI8+CI12)/(CH8+CH12)</f>
        <v>3588597.1621632865</v>
      </c>
      <c r="CJ21" s="90">
        <f>CI21*(CJ8+CJ12)/(CI8+CI12)</f>
        <v>3619879.6167943673</v>
      </c>
      <c r="CK21" s="90">
        <f>CJ21*(CK8+CK12)/(CJ8+CJ12)</f>
        <v>3655956.5624037306</v>
      </c>
      <c r="CL21" s="90">
        <f>CK21*(CL8+CL12)/(CK8+CK12)</f>
        <v>3679710.0452802866</v>
      </c>
      <c r="CM21" s="29">
        <f>CL21</f>
        <v>3679710.0452802866</v>
      </c>
      <c r="CN21" s="90">
        <f>CM21*(CN8+CN12)/(CM8+CM12)</f>
        <v>3770194.6487273867</v>
      </c>
      <c r="CO21" s="90">
        <f>CN21*(CO8+CO12)/(CN8+CN12)</f>
        <v>3826434.4096491379</v>
      </c>
      <c r="CP21" s="90">
        <f>CO21*(CP8+CP12)/(CO8+CO12)</f>
        <v>3885823.0604870594</v>
      </c>
      <c r="CQ21" s="90">
        <f>CP21*(CQ8+CQ12)/(CP8+CP12)</f>
        <v>3906204.210770472</v>
      </c>
      <c r="CR21" s="29">
        <f>CQ21</f>
        <v>3906204.210770472</v>
      </c>
      <c r="CS21" s="90">
        <f>CR21*(CS8+CS12)/(CR8+CR12)</f>
        <v>3952897.3706784975</v>
      </c>
      <c r="CT21" s="90">
        <f>CS21*(CT8+CT12)/(CS8+CS12)</f>
        <v>3986772.643531254</v>
      </c>
      <c r="CU21" s="90">
        <f>CT21*(CU8+CU12)/(CT8+CT12)</f>
        <v>4018089.7140906048</v>
      </c>
      <c r="CV21" s="90">
        <f>CU21*(CV8+CV12)/(CU8+CU12)</f>
        <v>4045417.3134095934</v>
      </c>
      <c r="CW21" s="29">
        <f>CV21</f>
        <v>4045417.3134095934</v>
      </c>
      <c r="CX21" s="90">
        <f>CW21*(CX8+CX12)/(CW8+CW12)</f>
        <v>4133081.325703695</v>
      </c>
      <c r="CY21" s="90">
        <f>CX21*(CY8+CY12)/(CX8+CX12)</f>
        <v>4142371.6287577595</v>
      </c>
      <c r="CZ21" s="90">
        <f>CY21*(CZ8+CZ12)/(CY8+CY12)</f>
        <v>4112452.0543637662</v>
      </c>
      <c r="DA21" s="90">
        <f>CZ21*(DA8+DA12)/(CZ8+CZ12)</f>
        <v>4030527.4580925996</v>
      </c>
      <c r="DB21" s="29">
        <f>DA21</f>
        <v>4030527.4580925996</v>
      </c>
    </row>
    <row r="22" spans="1:106" ht="11.5" customHeight="1" x14ac:dyDescent="0.35">
      <c r="A22" s="190" t="s">
        <v>32</v>
      </c>
      <c r="B22" s="395">
        <v>98599</v>
      </c>
      <c r="C22" s="395">
        <v>98972</v>
      </c>
      <c r="D22" s="395">
        <v>95447</v>
      </c>
      <c r="E22" s="397">
        <v>90690</v>
      </c>
      <c r="F22" s="29">
        <f>E22</f>
        <v>90690</v>
      </c>
      <c r="G22" s="395">
        <v>84476</v>
      </c>
      <c r="H22" s="395">
        <f>83845</f>
        <v>83845</v>
      </c>
      <c r="I22" s="395">
        <v>89275</v>
      </c>
      <c r="J22" s="397">
        <v>88425</v>
      </c>
      <c r="K22" s="29">
        <f>J22</f>
        <v>88425</v>
      </c>
      <c r="L22" s="395">
        <v>86286</v>
      </c>
      <c r="M22" s="395">
        <v>84218</v>
      </c>
      <c r="N22" s="395">
        <v>84478</v>
      </c>
      <c r="O22" s="397">
        <v>85884</v>
      </c>
      <c r="P22" s="29">
        <f>O22</f>
        <v>85884</v>
      </c>
      <c r="Q22" s="395">
        <v>90553</v>
      </c>
      <c r="R22" s="395">
        <v>81311</v>
      </c>
      <c r="S22" s="395">
        <v>90101</v>
      </c>
      <c r="T22" s="397">
        <v>90623</v>
      </c>
      <c r="U22" s="29">
        <f>T22</f>
        <v>90623</v>
      </c>
      <c r="V22" s="395">
        <v>88731</v>
      </c>
      <c r="W22" s="395">
        <v>86336</v>
      </c>
      <c r="X22" s="395">
        <v>87141</v>
      </c>
      <c r="Y22" s="397">
        <v>100768</v>
      </c>
      <c r="Z22" s="29">
        <f>Y22</f>
        <v>100768</v>
      </c>
      <c r="AA22" s="395">
        <v>101691</v>
      </c>
      <c r="AB22" s="395">
        <v>102982</v>
      </c>
      <c r="AC22" s="395">
        <v>92118</v>
      </c>
      <c r="AD22" s="397">
        <v>85090</v>
      </c>
      <c r="AE22" s="29">
        <f>AD22</f>
        <v>85090</v>
      </c>
      <c r="AF22" s="395">
        <v>78644</v>
      </c>
      <c r="AG22" s="395">
        <v>74781</v>
      </c>
      <c r="AH22" s="395">
        <v>70843</v>
      </c>
      <c r="AI22" s="397">
        <v>66063</v>
      </c>
      <c r="AJ22" s="29">
        <f>AI22</f>
        <v>66063</v>
      </c>
      <c r="AK22" s="395">
        <v>62853</v>
      </c>
      <c r="AL22" s="395">
        <v>46312</v>
      </c>
      <c r="AM22" s="395">
        <v>43853</v>
      </c>
      <c r="AN22" s="397">
        <v>39809</v>
      </c>
      <c r="AO22" s="29">
        <f>AN22</f>
        <v>39809</v>
      </c>
      <c r="AP22" s="395">
        <v>35811</v>
      </c>
      <c r="AQ22" s="395">
        <v>33316</v>
      </c>
      <c r="AR22" s="395">
        <v>30523</v>
      </c>
      <c r="AS22" s="397">
        <v>27077</v>
      </c>
      <c r="AT22" s="29">
        <f>AS22</f>
        <v>27077</v>
      </c>
      <c r="AU22" s="395">
        <v>21200</v>
      </c>
      <c r="AV22" s="395">
        <v>21200</v>
      </c>
      <c r="AW22" s="395">
        <v>30354</v>
      </c>
      <c r="AX22" s="397">
        <v>27622</v>
      </c>
      <c r="AY22" s="29">
        <f>AX22</f>
        <v>27622</v>
      </c>
      <c r="AZ22" s="395">
        <v>25682</v>
      </c>
      <c r="BA22" s="395">
        <v>24268</v>
      </c>
      <c r="BB22" s="395">
        <v>21925</v>
      </c>
      <c r="BC22" s="397">
        <v>20962</v>
      </c>
      <c r="BD22" s="29">
        <f>BC22</f>
        <v>20962</v>
      </c>
      <c r="BE22" s="395">
        <v>20092</v>
      </c>
      <c r="BF22" s="395">
        <v>19172</v>
      </c>
      <c r="BG22" s="395">
        <v>33209</v>
      </c>
      <c r="BH22" s="397">
        <v>35713</v>
      </c>
      <c r="BI22" s="29">
        <f>BH22</f>
        <v>35713</v>
      </c>
      <c r="BJ22" s="395">
        <v>41703</v>
      </c>
      <c r="BK22" s="395">
        <v>90759</v>
      </c>
      <c r="BL22" s="395">
        <v>226344</v>
      </c>
      <c r="BM22" s="397">
        <v>214991</v>
      </c>
      <c r="BN22" s="29">
        <f>BM22</f>
        <v>214991</v>
      </c>
      <c r="BO22" s="395">
        <v>204377</v>
      </c>
      <c r="BP22" s="395">
        <v>202863</v>
      </c>
      <c r="BQ22" s="395">
        <v>189602</v>
      </c>
      <c r="BR22" s="397">
        <v>187730</v>
      </c>
      <c r="BS22" s="29">
        <f>BR22</f>
        <v>187730</v>
      </c>
      <c r="BT22" s="395">
        <v>199157</v>
      </c>
      <c r="BU22" s="395">
        <v>193654</v>
      </c>
      <c r="BV22" s="395">
        <v>171735</v>
      </c>
      <c r="BW22" s="397">
        <v>147564</v>
      </c>
      <c r="BX22" s="29">
        <f>BW22</f>
        <v>147564</v>
      </c>
      <c r="BY22" s="395">
        <v>139389</v>
      </c>
      <c r="BZ22" s="395">
        <v>128913</v>
      </c>
      <c r="CA22" s="395">
        <v>112157</v>
      </c>
      <c r="CB22" s="397">
        <v>108578</v>
      </c>
      <c r="CC22" s="29">
        <f>CB22</f>
        <v>108578</v>
      </c>
      <c r="CD22" s="395">
        <v>26609</v>
      </c>
      <c r="CE22" s="397">
        <v>25694</v>
      </c>
      <c r="CF22" s="90">
        <f>CE22</f>
        <v>25694</v>
      </c>
      <c r="CG22" s="90">
        <f>CF22</f>
        <v>25694</v>
      </c>
      <c r="CH22" s="29">
        <f>CG22</f>
        <v>25694</v>
      </c>
      <c r="CI22" s="90">
        <f>CH22</f>
        <v>25694</v>
      </c>
      <c r="CJ22" s="90">
        <f>CI22</f>
        <v>25694</v>
      </c>
      <c r="CK22" s="90">
        <f>CJ22</f>
        <v>25694</v>
      </c>
      <c r="CL22" s="90">
        <f>CK22</f>
        <v>25694</v>
      </c>
      <c r="CM22" s="29">
        <f>CL22</f>
        <v>25694</v>
      </c>
      <c r="CN22" s="90">
        <f>CM22</f>
        <v>25694</v>
      </c>
      <c r="CO22" s="90">
        <f>CN22</f>
        <v>25694</v>
      </c>
      <c r="CP22" s="90">
        <f>CO22</f>
        <v>25694</v>
      </c>
      <c r="CQ22" s="90">
        <f>CP22</f>
        <v>25694</v>
      </c>
      <c r="CR22" s="29">
        <f>CQ22</f>
        <v>25694</v>
      </c>
      <c r="CS22" s="90">
        <f>CR22</f>
        <v>25694</v>
      </c>
      <c r="CT22" s="90">
        <f>CS22</f>
        <v>25694</v>
      </c>
      <c r="CU22" s="90">
        <f>CT22</f>
        <v>25694</v>
      </c>
      <c r="CV22" s="90">
        <f>CU22</f>
        <v>25694</v>
      </c>
      <c r="CW22" s="29">
        <f>CV22</f>
        <v>25694</v>
      </c>
      <c r="CX22" s="90">
        <f>CW22</f>
        <v>25694</v>
      </c>
      <c r="CY22" s="90">
        <f>CX22</f>
        <v>25694</v>
      </c>
      <c r="CZ22" s="90">
        <f>CY22</f>
        <v>25694</v>
      </c>
      <c r="DA22" s="90">
        <f>CZ22</f>
        <v>25694</v>
      </c>
      <c r="DB22" s="29">
        <f>DA22</f>
        <v>25694</v>
      </c>
    </row>
    <row r="23" spans="1:106" ht="11.5" customHeight="1" x14ac:dyDescent="0.35">
      <c r="A23" s="190" t="s">
        <v>171</v>
      </c>
      <c r="B23" s="395">
        <v>143890</v>
      </c>
      <c r="C23" s="395">
        <v>154235</v>
      </c>
      <c r="D23" s="395">
        <v>159736</v>
      </c>
      <c r="E23" s="395">
        <v>168723</v>
      </c>
      <c r="F23" s="29">
        <f>E23</f>
        <v>168723</v>
      </c>
      <c r="G23" s="395">
        <v>164415</v>
      </c>
      <c r="H23" s="395">
        <v>163535</v>
      </c>
      <c r="I23" s="395">
        <v>181605</v>
      </c>
      <c r="J23" s="395">
        <v>197318</v>
      </c>
      <c r="K23" s="29">
        <f>J23</f>
        <v>197318</v>
      </c>
      <c r="L23" s="395">
        <v>191871</v>
      </c>
      <c r="M23" s="395">
        <v>189343</v>
      </c>
      <c r="N23" s="395">
        <v>175952</v>
      </c>
      <c r="O23" s="395">
        <v>166414</v>
      </c>
      <c r="P23" s="29">
        <f>O23</f>
        <v>166414</v>
      </c>
      <c r="Q23" s="395">
        <v>167355</v>
      </c>
      <c r="R23" s="395">
        <v>153072</v>
      </c>
      <c r="S23" s="395">
        <v>155038</v>
      </c>
      <c r="T23" s="395">
        <v>156563</v>
      </c>
      <c r="U23" s="29">
        <f>T23</f>
        <v>156563</v>
      </c>
      <c r="V23" s="395">
        <v>164309</v>
      </c>
      <c r="W23" s="395">
        <v>167276</v>
      </c>
      <c r="X23" s="395">
        <v>164763</v>
      </c>
      <c r="Y23" s="395">
        <v>171442</v>
      </c>
      <c r="Z23" s="29">
        <f>Y23</f>
        <v>171442</v>
      </c>
      <c r="AA23" s="395">
        <v>167307</v>
      </c>
      <c r="AB23" s="395">
        <v>163103</v>
      </c>
      <c r="AC23" s="395">
        <v>151384</v>
      </c>
      <c r="AD23" s="395">
        <v>139671</v>
      </c>
      <c r="AE23" s="29">
        <f>AD23</f>
        <v>139671</v>
      </c>
      <c r="AF23" s="395">
        <v>114663</v>
      </c>
      <c r="AG23" s="395">
        <v>111042</v>
      </c>
      <c r="AH23" s="395">
        <v>96531</v>
      </c>
      <c r="AI23" s="395">
        <v>85690</v>
      </c>
      <c r="AJ23" s="29">
        <f>AI23</f>
        <v>85690</v>
      </c>
      <c r="AK23" s="395">
        <v>72296</v>
      </c>
      <c r="AL23" s="395">
        <v>64087</v>
      </c>
      <c r="AM23" s="395">
        <v>61890</v>
      </c>
      <c r="AN23" s="395">
        <v>61159</v>
      </c>
      <c r="AO23" s="29">
        <f>AN23</f>
        <v>61159</v>
      </c>
      <c r="AP23" s="395">
        <v>60445</v>
      </c>
      <c r="AQ23" s="395">
        <v>56116</v>
      </c>
      <c r="AR23" s="395">
        <v>64972</v>
      </c>
      <c r="AS23" s="395">
        <v>68899</v>
      </c>
      <c r="AT23" s="29">
        <f>AS23</f>
        <v>68899</v>
      </c>
      <c r="AU23" s="395">
        <v>76881</v>
      </c>
      <c r="AV23" s="395">
        <v>76881</v>
      </c>
      <c r="AW23" s="395">
        <v>84558</v>
      </c>
      <c r="AX23" s="395">
        <v>92389</v>
      </c>
      <c r="AY23" s="29">
        <f>AX23</f>
        <v>92389</v>
      </c>
      <c r="AZ23" s="395">
        <v>90845</v>
      </c>
      <c r="BA23" s="395">
        <v>83873</v>
      </c>
      <c r="BB23" s="395">
        <v>70938</v>
      </c>
      <c r="BC23" s="395">
        <v>73436</v>
      </c>
      <c r="BD23" s="29">
        <f>BC23</f>
        <v>73436</v>
      </c>
      <c r="BE23" s="395">
        <v>70127</v>
      </c>
      <c r="BF23" s="395">
        <v>81496</v>
      </c>
      <c r="BG23" s="395">
        <v>117923</v>
      </c>
      <c r="BH23" s="395">
        <v>124188</v>
      </c>
      <c r="BI23" s="29">
        <f>BH23</f>
        <v>124188</v>
      </c>
      <c r="BJ23" s="395">
        <v>126541</v>
      </c>
      <c r="BK23" s="395">
        <v>135212</v>
      </c>
      <c r="BL23" s="395">
        <v>146858</v>
      </c>
      <c r="BM23" s="395">
        <v>129357</v>
      </c>
      <c r="BN23" s="29">
        <f>BM23</f>
        <v>129357</v>
      </c>
      <c r="BO23" s="395">
        <v>137278</v>
      </c>
      <c r="BP23" s="395">
        <v>136772</v>
      </c>
      <c r="BQ23" s="395">
        <v>148904</v>
      </c>
      <c r="BR23" s="395">
        <v>146438</v>
      </c>
      <c r="BS23" s="29">
        <f>BR23</f>
        <v>146438</v>
      </c>
      <c r="BT23" s="395">
        <v>113229</v>
      </c>
      <c r="BU23" s="395">
        <v>116027</v>
      </c>
      <c r="BV23" s="395">
        <v>128888</v>
      </c>
      <c r="BW23" s="395">
        <v>160302</v>
      </c>
      <c r="BX23" s="29">
        <f>BW23</f>
        <v>160302</v>
      </c>
      <c r="BY23" s="395">
        <v>164929</v>
      </c>
      <c r="BZ23" s="395">
        <v>179319</v>
      </c>
      <c r="CA23" s="395">
        <v>194779</v>
      </c>
      <c r="CB23" s="395">
        <v>639756</v>
      </c>
      <c r="CC23" s="29">
        <f>CB23</f>
        <v>639756</v>
      </c>
      <c r="CD23" s="395">
        <v>632670</v>
      </c>
      <c r="CE23" s="395">
        <v>657716</v>
      </c>
      <c r="CF23" s="70">
        <f>CF120-CF24</f>
        <v>661995.56705012091</v>
      </c>
      <c r="CG23" s="70">
        <f>CG120-CG24</f>
        <v>666302.98000050348</v>
      </c>
      <c r="CH23" s="29">
        <f>CG23</f>
        <v>666302.98000050348</v>
      </c>
      <c r="CI23" s="70">
        <f>CI120-CI24</f>
        <v>670638.42003633582</v>
      </c>
      <c r="CJ23" s="70">
        <f>CJ120-CJ24</f>
        <v>675002.06952172564</v>
      </c>
      <c r="CK23" s="70">
        <f>CK120-CK24</f>
        <v>679394.1120073708</v>
      </c>
      <c r="CL23" s="70">
        <f>CL120-CL24</f>
        <v>683814.73223828035</v>
      </c>
      <c r="CM23" s="29">
        <f>CL23</f>
        <v>683814.73223828035</v>
      </c>
      <c r="CN23" s="70">
        <f>CN120-CN24</f>
        <v>688264.11616154539</v>
      </c>
      <c r="CO23" s="70">
        <f>CO120-CO24</f>
        <v>692742.45093416085</v>
      </c>
      <c r="CP23" s="70">
        <f>CP120-CP24</f>
        <v>697249.92493089777</v>
      </c>
      <c r="CQ23" s="70">
        <f>CQ120-CQ24</f>
        <v>701786.72775222734</v>
      </c>
      <c r="CR23" s="29">
        <f>CQ23</f>
        <v>701786.72775222734</v>
      </c>
      <c r="CS23" s="70">
        <f>CS120-CS24</f>
        <v>706353.05023229565</v>
      </c>
      <c r="CT23" s="70">
        <f>CT120-CT24</f>
        <v>710949.0844469514</v>
      </c>
      <c r="CU23" s="70">
        <f>CU120-CU24</f>
        <v>715575.02372182498</v>
      </c>
      <c r="CV23" s="70">
        <f>CV120-CV24</f>
        <v>720231.06264046067</v>
      </c>
      <c r="CW23" s="29">
        <f>CV23</f>
        <v>720231.06264046067</v>
      </c>
      <c r="CX23" s="70">
        <f>CX120-CX24</f>
        <v>724917.39705250133</v>
      </c>
      <c r="CY23" s="70">
        <f>CY120-CY24</f>
        <v>729634.22408192628</v>
      </c>
      <c r="CZ23" s="70">
        <f>CZ120-CZ24</f>
        <v>734381.74213534384</v>
      </c>
      <c r="DA23" s="70">
        <f>DA120-DA24</f>
        <v>739160.15091033606</v>
      </c>
      <c r="DB23" s="29">
        <f>DA23</f>
        <v>739160.15091033606</v>
      </c>
    </row>
    <row r="24" spans="1:106" ht="11.5" customHeight="1" x14ac:dyDescent="0.35">
      <c r="A24" s="193" t="s">
        <v>256</v>
      </c>
      <c r="B24" s="415">
        <v>0</v>
      </c>
      <c r="C24" s="415">
        <v>0</v>
      </c>
      <c r="D24" s="415">
        <v>0</v>
      </c>
      <c r="E24" s="415">
        <v>0</v>
      </c>
      <c r="F24" s="73">
        <f>E24</f>
        <v>0</v>
      </c>
      <c r="G24" s="415">
        <v>0</v>
      </c>
      <c r="H24" s="415">
        <v>0</v>
      </c>
      <c r="I24" s="415">
        <v>0</v>
      </c>
      <c r="J24" s="415">
        <v>0</v>
      </c>
      <c r="K24" s="73">
        <f>J24</f>
        <v>0</v>
      </c>
      <c r="L24" s="415">
        <v>0</v>
      </c>
      <c r="M24" s="415">
        <v>0</v>
      </c>
      <c r="N24" s="415">
        <v>0</v>
      </c>
      <c r="O24" s="415">
        <v>0</v>
      </c>
      <c r="P24" s="73">
        <f>O24</f>
        <v>0</v>
      </c>
      <c r="Q24" s="415">
        <v>0</v>
      </c>
      <c r="R24" s="415">
        <v>0</v>
      </c>
      <c r="S24" s="415">
        <v>0</v>
      </c>
      <c r="T24" s="415">
        <v>0</v>
      </c>
      <c r="U24" s="73">
        <f>T24</f>
        <v>0</v>
      </c>
      <c r="V24" s="415">
        <v>0</v>
      </c>
      <c r="W24" s="415">
        <v>0</v>
      </c>
      <c r="X24" s="415">
        <v>0</v>
      </c>
      <c r="Y24" s="415">
        <v>0</v>
      </c>
      <c r="Z24" s="73">
        <f>Y24</f>
        <v>0</v>
      </c>
      <c r="AA24" s="415">
        <v>0</v>
      </c>
      <c r="AB24" s="415">
        <v>0</v>
      </c>
      <c r="AC24" s="415">
        <v>0</v>
      </c>
      <c r="AD24" s="415">
        <v>0</v>
      </c>
      <c r="AE24" s="73">
        <f>AD24</f>
        <v>0</v>
      </c>
      <c r="AF24" s="415">
        <v>0</v>
      </c>
      <c r="AG24" s="415">
        <v>0</v>
      </c>
      <c r="AH24" s="415">
        <v>0</v>
      </c>
      <c r="AI24" s="415">
        <v>0</v>
      </c>
      <c r="AJ24" s="73">
        <f>AI24</f>
        <v>0</v>
      </c>
      <c r="AK24" s="415">
        <v>0</v>
      </c>
      <c r="AL24" s="415">
        <v>0</v>
      </c>
      <c r="AM24" s="415">
        <v>0</v>
      </c>
      <c r="AN24" s="415">
        <v>0</v>
      </c>
      <c r="AO24" s="73">
        <f>AN24</f>
        <v>0</v>
      </c>
      <c r="AP24" s="415">
        <v>0</v>
      </c>
      <c r="AQ24" s="415">
        <v>0</v>
      </c>
      <c r="AR24" s="415">
        <v>0</v>
      </c>
      <c r="AS24" s="415">
        <v>0</v>
      </c>
      <c r="AT24" s="73">
        <f>AS24</f>
        <v>0</v>
      </c>
      <c r="AU24" s="415">
        <v>0</v>
      </c>
      <c r="AV24" s="415">
        <v>0</v>
      </c>
      <c r="AW24" s="415">
        <v>0</v>
      </c>
      <c r="AX24" s="415">
        <v>0</v>
      </c>
      <c r="AY24" s="73">
        <f>AX24</f>
        <v>0</v>
      </c>
      <c r="AZ24" s="415">
        <v>0</v>
      </c>
      <c r="BA24" s="415">
        <v>0</v>
      </c>
      <c r="BB24" s="415">
        <v>0</v>
      </c>
      <c r="BC24" s="415">
        <v>0</v>
      </c>
      <c r="BD24" s="73">
        <f>BC24</f>
        <v>0</v>
      </c>
      <c r="BE24" s="415">
        <v>0</v>
      </c>
      <c r="BF24" s="415">
        <v>0</v>
      </c>
      <c r="BG24" s="415">
        <v>0</v>
      </c>
      <c r="BH24" s="415">
        <v>0</v>
      </c>
      <c r="BI24" s="73">
        <f>BH24</f>
        <v>0</v>
      </c>
      <c r="BJ24" s="415">
        <v>0</v>
      </c>
      <c r="BK24" s="415">
        <v>0</v>
      </c>
      <c r="BL24" s="415">
        <v>0</v>
      </c>
      <c r="BM24" s="415">
        <v>0</v>
      </c>
      <c r="BN24" s="73">
        <f>BM24</f>
        <v>0</v>
      </c>
      <c r="BO24" s="415">
        <v>0</v>
      </c>
      <c r="BP24" s="415">
        <v>0</v>
      </c>
      <c r="BQ24" s="415">
        <v>0</v>
      </c>
      <c r="BR24" s="415">
        <v>0</v>
      </c>
      <c r="BS24" s="73">
        <f>BR24</f>
        <v>0</v>
      </c>
      <c r="BT24" s="415">
        <v>0</v>
      </c>
      <c r="BU24" s="415">
        <v>0</v>
      </c>
      <c r="BV24" s="415">
        <v>0</v>
      </c>
      <c r="BW24" s="415">
        <v>0</v>
      </c>
      <c r="BX24" s="73">
        <f>BW24</f>
        <v>0</v>
      </c>
      <c r="BY24" s="415">
        <v>0</v>
      </c>
      <c r="BZ24" s="415">
        <v>0</v>
      </c>
      <c r="CA24" s="415">
        <v>0</v>
      </c>
      <c r="CB24" s="415">
        <v>0</v>
      </c>
      <c r="CC24" s="73">
        <f>CB24</f>
        <v>0</v>
      </c>
      <c r="CD24" s="415">
        <v>0</v>
      </c>
      <c r="CE24" s="415">
        <v>0</v>
      </c>
      <c r="CF24" s="93">
        <f>CE24</f>
        <v>0</v>
      </c>
      <c r="CG24" s="93">
        <f>CF24</f>
        <v>0</v>
      </c>
      <c r="CH24" s="73">
        <f>CG24</f>
        <v>0</v>
      </c>
      <c r="CI24" s="93">
        <f>CH24</f>
        <v>0</v>
      </c>
      <c r="CJ24" s="93">
        <f>CI24</f>
        <v>0</v>
      </c>
      <c r="CK24" s="93">
        <f>CJ24</f>
        <v>0</v>
      </c>
      <c r="CL24" s="93">
        <f>CK24</f>
        <v>0</v>
      </c>
      <c r="CM24" s="73">
        <f>CL24</f>
        <v>0</v>
      </c>
      <c r="CN24" s="93">
        <f>CM24</f>
        <v>0</v>
      </c>
      <c r="CO24" s="93">
        <f>CN24</f>
        <v>0</v>
      </c>
      <c r="CP24" s="93">
        <f>CO24</f>
        <v>0</v>
      </c>
      <c r="CQ24" s="93">
        <f>CP24</f>
        <v>0</v>
      </c>
      <c r="CR24" s="73">
        <f>CQ24</f>
        <v>0</v>
      </c>
      <c r="CS24" s="93">
        <f>CR24</f>
        <v>0</v>
      </c>
      <c r="CT24" s="93">
        <f>CS24</f>
        <v>0</v>
      </c>
      <c r="CU24" s="93">
        <f>CT24</f>
        <v>0</v>
      </c>
      <c r="CV24" s="93">
        <f>CU24</f>
        <v>0</v>
      </c>
      <c r="CW24" s="73">
        <f>CV24</f>
        <v>0</v>
      </c>
      <c r="CX24" s="93">
        <f>CW24</f>
        <v>0</v>
      </c>
      <c r="CY24" s="93">
        <f>CX24</f>
        <v>0</v>
      </c>
      <c r="CZ24" s="93">
        <f>CY24</f>
        <v>0</v>
      </c>
      <c r="DA24" s="93">
        <f>CZ24</f>
        <v>0</v>
      </c>
      <c r="DB24" s="73">
        <f>DA24</f>
        <v>0</v>
      </c>
    </row>
    <row r="25" spans="1:106" s="85" customFormat="1" ht="11.5" customHeight="1" thickBot="1" x14ac:dyDescent="0.4">
      <c r="A25" s="35"/>
      <c r="B25" s="44"/>
      <c r="C25" s="44"/>
      <c r="D25" s="44"/>
      <c r="E25" s="45"/>
      <c r="F25" s="43"/>
      <c r="G25" s="44"/>
      <c r="H25" s="44"/>
      <c r="I25" s="44"/>
      <c r="J25" s="45"/>
      <c r="K25" s="43"/>
      <c r="L25" s="44"/>
      <c r="M25" s="44"/>
      <c r="N25" s="44"/>
      <c r="O25" s="45"/>
      <c r="P25" s="43"/>
      <c r="Q25" s="44"/>
      <c r="R25" s="44"/>
      <c r="S25" s="44"/>
      <c r="T25" s="45"/>
      <c r="U25" s="43"/>
      <c r="V25" s="44"/>
      <c r="W25" s="44"/>
      <c r="X25" s="44"/>
      <c r="Y25" s="45"/>
      <c r="Z25" s="43"/>
      <c r="AA25" s="44"/>
      <c r="AB25" s="44"/>
      <c r="AC25" s="44"/>
      <c r="AD25" s="45"/>
      <c r="AE25" s="43"/>
      <c r="AF25" s="44"/>
      <c r="AG25" s="44"/>
      <c r="AH25" s="44"/>
      <c r="AI25" s="45"/>
      <c r="AJ25" s="43"/>
      <c r="AK25" s="44"/>
      <c r="AL25" s="44"/>
      <c r="AM25" s="44"/>
      <c r="AN25" s="45"/>
      <c r="AO25" s="43"/>
      <c r="AP25" s="44"/>
      <c r="AQ25" s="44"/>
      <c r="AR25" s="44"/>
      <c r="AS25" s="45"/>
      <c r="AT25" s="43"/>
      <c r="AU25" s="44"/>
      <c r="AV25" s="44"/>
      <c r="AW25" s="44"/>
      <c r="AX25" s="45"/>
      <c r="AY25" s="43"/>
      <c r="AZ25" s="44"/>
      <c r="BA25" s="44"/>
      <c r="BB25" s="44"/>
      <c r="BC25" s="45"/>
      <c r="BD25" s="43"/>
      <c r="BE25" s="44"/>
      <c r="BF25" s="44"/>
      <c r="BG25" s="44"/>
      <c r="BH25" s="45"/>
      <c r="BI25" s="43"/>
      <c r="BJ25" s="44"/>
      <c r="BK25" s="44"/>
      <c r="BL25" s="44"/>
      <c r="BM25" s="45"/>
      <c r="BN25" s="43"/>
      <c r="BO25" s="44"/>
      <c r="BP25" s="44"/>
      <c r="BQ25" s="44"/>
      <c r="BR25" s="45"/>
      <c r="BS25" s="43"/>
      <c r="BT25" s="44"/>
      <c r="BU25" s="44"/>
      <c r="BV25" s="44"/>
      <c r="BW25" s="45"/>
      <c r="BX25" s="43"/>
      <c r="BY25" s="44"/>
      <c r="BZ25" s="45"/>
      <c r="CA25" s="36"/>
      <c r="CB25" s="36"/>
      <c r="CC25" s="37"/>
      <c r="CD25" s="36"/>
      <c r="CE25" s="36"/>
      <c r="CF25" s="36"/>
      <c r="CG25" s="36"/>
      <c r="CH25" s="37"/>
      <c r="CI25" s="36"/>
      <c r="CJ25" s="36"/>
      <c r="CK25" s="36"/>
      <c r="CL25" s="36"/>
      <c r="CM25" s="37"/>
      <c r="CN25" s="36"/>
      <c r="CO25" s="36"/>
      <c r="CP25" s="36"/>
      <c r="CQ25" s="36"/>
      <c r="CR25" s="37"/>
      <c r="CS25" s="36"/>
      <c r="CT25" s="36"/>
      <c r="CU25" s="36"/>
      <c r="CV25" s="36"/>
      <c r="CW25" s="37"/>
      <c r="CX25" s="36"/>
      <c r="CY25" s="36"/>
      <c r="CZ25" s="36"/>
      <c r="DA25" s="36"/>
      <c r="DB25" s="37"/>
    </row>
    <row r="26" spans="1:106" ht="11.5" customHeight="1" x14ac:dyDescent="0.35">
      <c r="A26" s="32" t="s">
        <v>190</v>
      </c>
      <c r="B26" s="86">
        <f t="shared" ref="B26:AG26" si="47">B27+B42+B43</f>
        <v>10879642</v>
      </c>
      <c r="C26" s="86">
        <f t="shared" si="47"/>
        <v>11232125</v>
      </c>
      <c r="D26" s="86">
        <f t="shared" si="47"/>
        <v>11602592</v>
      </c>
      <c r="E26" s="86">
        <f t="shared" si="47"/>
        <v>12042561</v>
      </c>
      <c r="F26" s="87">
        <f t="shared" si="47"/>
        <v>12042561</v>
      </c>
      <c r="G26" s="86">
        <f t="shared" si="47"/>
        <v>12489039</v>
      </c>
      <c r="H26" s="86">
        <f t="shared" si="47"/>
        <v>12931957</v>
      </c>
      <c r="I26" s="86">
        <f t="shared" si="47"/>
        <v>13496668</v>
      </c>
      <c r="J26" s="86">
        <f t="shared" si="47"/>
        <v>13644677</v>
      </c>
      <c r="K26" s="87">
        <f t="shared" si="47"/>
        <v>13644677</v>
      </c>
      <c r="L26" s="86">
        <f t="shared" si="47"/>
        <v>13531460</v>
      </c>
      <c r="M26" s="86">
        <f t="shared" si="47"/>
        <v>13603554</v>
      </c>
      <c r="N26" s="86">
        <f t="shared" si="47"/>
        <v>13616873</v>
      </c>
      <c r="O26" s="86">
        <f t="shared" si="47"/>
        <v>13607903</v>
      </c>
      <c r="P26" s="87">
        <f t="shared" si="47"/>
        <v>13607903</v>
      </c>
      <c r="Q26" s="86">
        <f t="shared" si="47"/>
        <v>13898293</v>
      </c>
      <c r="R26" s="86">
        <f t="shared" si="47"/>
        <v>13620424</v>
      </c>
      <c r="S26" s="86">
        <f t="shared" si="47"/>
        <v>14039473</v>
      </c>
      <c r="T26" s="86">
        <f t="shared" si="47"/>
        <v>14387099</v>
      </c>
      <c r="U26" s="87">
        <f t="shared" si="47"/>
        <v>14387099</v>
      </c>
      <c r="V26" s="86">
        <f t="shared" si="47"/>
        <v>14416449</v>
      </c>
      <c r="W26" s="86">
        <f t="shared" si="47"/>
        <v>13896935</v>
      </c>
      <c r="X26" s="86">
        <f t="shared" si="47"/>
        <v>13965433</v>
      </c>
      <c r="Y26" s="86">
        <f t="shared" si="47"/>
        <v>13420612</v>
      </c>
      <c r="Z26" s="87">
        <f t="shared" si="47"/>
        <v>13420612</v>
      </c>
      <c r="AA26" s="86">
        <f t="shared" si="47"/>
        <v>13326248</v>
      </c>
      <c r="AB26" s="86">
        <f t="shared" si="47"/>
        <v>13314373</v>
      </c>
      <c r="AC26" s="86">
        <f t="shared" si="47"/>
        <v>13416693</v>
      </c>
      <c r="AD26" s="86">
        <f t="shared" si="47"/>
        <v>12729588</v>
      </c>
      <c r="AE26" s="87">
        <f t="shared" si="47"/>
        <v>12729588</v>
      </c>
      <c r="AF26" s="86">
        <f t="shared" si="47"/>
        <v>12666844</v>
      </c>
      <c r="AG26" s="86">
        <f t="shared" si="47"/>
        <v>12243534</v>
      </c>
      <c r="AH26" s="86">
        <f t="shared" ref="AH26:BM26" si="48">AH27+AH42+AH43</f>
        <v>12079418</v>
      </c>
      <c r="AI26" s="86">
        <f t="shared" si="48"/>
        <v>11879699</v>
      </c>
      <c r="AJ26" s="87">
        <f t="shared" si="48"/>
        <v>11879699</v>
      </c>
      <c r="AK26" s="86">
        <f t="shared" si="48"/>
        <v>11940930</v>
      </c>
      <c r="AL26" s="86">
        <f t="shared" si="48"/>
        <v>11340173</v>
      </c>
      <c r="AM26" s="86">
        <f t="shared" si="48"/>
        <v>10931386</v>
      </c>
      <c r="AN26" s="86">
        <f t="shared" si="48"/>
        <v>10401541</v>
      </c>
      <c r="AO26" s="87">
        <f t="shared" si="48"/>
        <v>10401541</v>
      </c>
      <c r="AP26" s="86">
        <f t="shared" si="48"/>
        <v>9652269</v>
      </c>
      <c r="AQ26" s="86">
        <f t="shared" si="48"/>
        <v>10010071</v>
      </c>
      <c r="AR26" s="86">
        <f t="shared" si="48"/>
        <v>10499600</v>
      </c>
      <c r="AS26" s="86">
        <f t="shared" si="48"/>
        <v>9829268</v>
      </c>
      <c r="AT26" s="87">
        <f t="shared" si="48"/>
        <v>9829268</v>
      </c>
      <c r="AU26" s="86">
        <f t="shared" si="48"/>
        <v>9742527</v>
      </c>
      <c r="AV26" s="86">
        <f t="shared" si="48"/>
        <v>9772333</v>
      </c>
      <c r="AW26" s="86">
        <f t="shared" si="48"/>
        <v>9971372</v>
      </c>
      <c r="AX26" s="86">
        <f t="shared" si="48"/>
        <v>9987778</v>
      </c>
      <c r="AY26" s="87">
        <f t="shared" si="48"/>
        <v>9987778</v>
      </c>
      <c r="AZ26" s="86">
        <f t="shared" si="48"/>
        <v>10290824</v>
      </c>
      <c r="BA26" s="86">
        <f t="shared" si="48"/>
        <v>10908726</v>
      </c>
      <c r="BB26" s="86">
        <f t="shared" si="48"/>
        <v>11391783</v>
      </c>
      <c r="BC26" s="86">
        <f t="shared" si="48"/>
        <v>11433926</v>
      </c>
      <c r="BD26" s="87">
        <f t="shared" si="48"/>
        <v>11433926</v>
      </c>
      <c r="BE26" s="86">
        <f t="shared" si="48"/>
        <v>11657074</v>
      </c>
      <c r="BF26" s="86">
        <f t="shared" si="48"/>
        <v>12376658</v>
      </c>
      <c r="BG26" s="86">
        <f t="shared" si="48"/>
        <v>13162967</v>
      </c>
      <c r="BH26" s="86">
        <f t="shared" si="48"/>
        <v>13841170</v>
      </c>
      <c r="BI26" s="87">
        <f t="shared" si="48"/>
        <v>13841170</v>
      </c>
      <c r="BJ26" s="86">
        <f t="shared" si="48"/>
        <v>14217086</v>
      </c>
      <c r="BK26" s="86">
        <f t="shared" si="48"/>
        <v>14743262</v>
      </c>
      <c r="BL26" s="86">
        <f t="shared" si="48"/>
        <v>15685516</v>
      </c>
      <c r="BM26" s="86">
        <f t="shared" si="48"/>
        <v>16560139</v>
      </c>
      <c r="BN26" s="87">
        <f t="shared" ref="BN26:CS26" si="49">BN27+BN42+BN43</f>
        <v>16560139</v>
      </c>
      <c r="BO26" s="86">
        <f t="shared" si="49"/>
        <v>16321140</v>
      </c>
      <c r="BP26" s="86">
        <f t="shared" si="49"/>
        <v>16825149</v>
      </c>
      <c r="BQ26" s="86">
        <f t="shared" si="49"/>
        <v>17023249</v>
      </c>
      <c r="BR26" s="86">
        <f t="shared" si="49"/>
        <v>17371200</v>
      </c>
      <c r="BS26" s="87">
        <f t="shared" si="49"/>
        <v>17371200</v>
      </c>
      <c r="BT26" s="86">
        <f t="shared" si="49"/>
        <v>17462659</v>
      </c>
      <c r="BU26" s="86">
        <f t="shared" si="49"/>
        <v>18260036</v>
      </c>
      <c r="BV26" s="86">
        <f t="shared" si="49"/>
        <v>19574005</v>
      </c>
      <c r="BW26" s="86">
        <f t="shared" si="49"/>
        <v>21240962</v>
      </c>
      <c r="BX26" s="87">
        <f t="shared" si="49"/>
        <v>21240962</v>
      </c>
      <c r="BY26" s="86">
        <f t="shared" si="49"/>
        <v>21847715</v>
      </c>
      <c r="BZ26" s="86">
        <f>BZ27+BZ42+BZ43</f>
        <v>23414787</v>
      </c>
      <c r="CA26" s="86">
        <f t="shared" si="49"/>
        <v>24950414</v>
      </c>
      <c r="CB26" s="86">
        <f t="shared" si="49"/>
        <v>26109817</v>
      </c>
      <c r="CC26" s="87">
        <f t="shared" si="49"/>
        <v>26109817</v>
      </c>
      <c r="CD26" s="86">
        <f t="shared" ref="CD26:CE26" si="50">CD27+CD42+CD43</f>
        <v>26714090</v>
      </c>
      <c r="CE26" s="86">
        <f t="shared" si="50"/>
        <v>27740895</v>
      </c>
      <c r="CF26" s="86">
        <f t="shared" ca="1" si="49"/>
        <v>28554505.850046538</v>
      </c>
      <c r="CG26" s="86">
        <f t="shared" ca="1" si="49"/>
        <v>29363750.638674829</v>
      </c>
      <c r="CH26" s="87">
        <f t="shared" ca="1" si="49"/>
        <v>29363750.638674829</v>
      </c>
      <c r="CI26" s="86">
        <f t="shared" ca="1" si="49"/>
        <v>30240395.652939849</v>
      </c>
      <c r="CJ26" s="86">
        <f t="shared" ca="1" si="49"/>
        <v>29925885.474062227</v>
      </c>
      <c r="CK26" s="86">
        <f t="shared" ca="1" si="49"/>
        <v>30638410.902715988</v>
      </c>
      <c r="CL26" s="86">
        <f t="shared" ca="1" si="49"/>
        <v>31400852.281543594</v>
      </c>
      <c r="CM26" s="87">
        <f t="shared" ca="1" si="49"/>
        <v>31400852.281543594</v>
      </c>
      <c r="CN26" s="86">
        <f t="shared" ca="1" si="49"/>
        <v>32185401.678645827</v>
      </c>
      <c r="CO26" s="86">
        <f t="shared" ca="1" si="49"/>
        <v>31032204.532479793</v>
      </c>
      <c r="CP26" s="86">
        <f t="shared" ca="1" si="49"/>
        <v>31829021.195213273</v>
      </c>
      <c r="CQ26" s="86">
        <f t="shared" ca="1" si="49"/>
        <v>32679271.058986433</v>
      </c>
      <c r="CR26" s="87">
        <f t="shared" ca="1" si="49"/>
        <v>32679271.058986433</v>
      </c>
      <c r="CS26" s="86">
        <f t="shared" ca="1" si="49"/>
        <v>33427588.151016213</v>
      </c>
      <c r="CT26" s="86">
        <f t="shared" ref="CT26:DB26" ca="1" si="51">CT27+CT42+CT43</f>
        <v>32074772.996940978</v>
      </c>
      <c r="CU26" s="86">
        <f t="shared" ca="1" si="51"/>
        <v>32874092.435679018</v>
      </c>
      <c r="CV26" s="86">
        <f t="shared" ca="1" si="51"/>
        <v>33777222.390462108</v>
      </c>
      <c r="CW26" s="87">
        <f t="shared" ca="1" si="51"/>
        <v>33777222.390462108</v>
      </c>
      <c r="CX26" s="86">
        <f t="shared" ca="1" si="51"/>
        <v>34697391.351714909</v>
      </c>
      <c r="CY26" s="86">
        <f t="shared" ca="1" si="51"/>
        <v>33179607.023848377</v>
      </c>
      <c r="CZ26" s="86">
        <f t="shared" ca="1" si="51"/>
        <v>33850437.511333518</v>
      </c>
      <c r="DA26" s="86">
        <f t="shared" ca="1" si="51"/>
        <v>34468016.796707585</v>
      </c>
      <c r="DB26" s="87">
        <f t="shared" ca="1" si="51"/>
        <v>34468016.796707585</v>
      </c>
    </row>
    <row r="27" spans="1:106" ht="11.5" customHeight="1" x14ac:dyDescent="0.35">
      <c r="A27" s="32" t="s">
        <v>21</v>
      </c>
      <c r="B27" s="86">
        <f t="shared" ref="B27:AG27" si="52">B28+SUM(B31:B41)</f>
        <v>6585323</v>
      </c>
      <c r="C27" s="86">
        <f t="shared" si="52"/>
        <v>6754567</v>
      </c>
      <c r="D27" s="86">
        <f t="shared" si="52"/>
        <v>6901264</v>
      </c>
      <c r="E27" s="86">
        <f t="shared" si="52"/>
        <v>7360624</v>
      </c>
      <c r="F27" s="87">
        <f t="shared" si="52"/>
        <v>7360624</v>
      </c>
      <c r="G27" s="86">
        <f t="shared" si="52"/>
        <v>7715229</v>
      </c>
      <c r="H27" s="86">
        <f t="shared" si="52"/>
        <v>8086986</v>
      </c>
      <c r="I27" s="86">
        <f t="shared" si="52"/>
        <v>8636319</v>
      </c>
      <c r="J27" s="86">
        <f t="shared" si="52"/>
        <v>8721911</v>
      </c>
      <c r="K27" s="87">
        <f t="shared" si="52"/>
        <v>8721911</v>
      </c>
      <c r="L27" s="86">
        <f t="shared" si="52"/>
        <v>8507214</v>
      </c>
      <c r="M27" s="86">
        <f t="shared" si="52"/>
        <v>8433298</v>
      </c>
      <c r="N27" s="86">
        <f t="shared" si="52"/>
        <v>8258062</v>
      </c>
      <c r="O27" s="86">
        <f t="shared" si="52"/>
        <v>7979141</v>
      </c>
      <c r="P27" s="87">
        <f t="shared" si="52"/>
        <v>7979141</v>
      </c>
      <c r="Q27" s="86">
        <f t="shared" si="52"/>
        <v>7701530</v>
      </c>
      <c r="R27" s="86">
        <f t="shared" si="52"/>
        <v>7507268</v>
      </c>
      <c r="S27" s="86">
        <f t="shared" si="52"/>
        <v>7717169</v>
      </c>
      <c r="T27" s="86">
        <f t="shared" si="52"/>
        <v>8193051</v>
      </c>
      <c r="U27" s="87">
        <f t="shared" si="52"/>
        <v>8193051</v>
      </c>
      <c r="V27" s="86">
        <f t="shared" si="52"/>
        <v>8204292</v>
      </c>
      <c r="W27" s="86">
        <f t="shared" si="52"/>
        <v>7576614</v>
      </c>
      <c r="X27" s="86">
        <f t="shared" si="52"/>
        <v>7521384</v>
      </c>
      <c r="Y27" s="86">
        <f t="shared" si="52"/>
        <v>7052767</v>
      </c>
      <c r="Z27" s="87">
        <f t="shared" si="52"/>
        <v>7052767</v>
      </c>
      <c r="AA27" s="86">
        <f t="shared" si="52"/>
        <v>6909644</v>
      </c>
      <c r="AB27" s="86">
        <f t="shared" si="52"/>
        <v>6898068</v>
      </c>
      <c r="AC27" s="86">
        <f t="shared" si="52"/>
        <v>6613926</v>
      </c>
      <c r="AD27" s="86">
        <f t="shared" si="52"/>
        <v>6050701</v>
      </c>
      <c r="AE27" s="87">
        <f t="shared" si="52"/>
        <v>6050701</v>
      </c>
      <c r="AF27" s="86">
        <f t="shared" si="52"/>
        <v>5933761</v>
      </c>
      <c r="AG27" s="86">
        <f t="shared" si="52"/>
        <v>5483837</v>
      </c>
      <c r="AH27" s="86">
        <f t="shared" ref="AH27:BM27" si="53">AH28+SUM(AH31:AH41)</f>
        <v>5322887</v>
      </c>
      <c r="AI27" s="86">
        <f t="shared" si="53"/>
        <v>5112957</v>
      </c>
      <c r="AJ27" s="87">
        <f t="shared" si="53"/>
        <v>5112957</v>
      </c>
      <c r="AK27" s="86">
        <f t="shared" si="53"/>
        <v>5161295</v>
      </c>
      <c r="AL27" s="86">
        <f t="shared" si="53"/>
        <v>5025272</v>
      </c>
      <c r="AM27" s="86">
        <f t="shared" si="53"/>
        <v>4611607</v>
      </c>
      <c r="AN27" s="86">
        <f t="shared" si="53"/>
        <v>4036043</v>
      </c>
      <c r="AO27" s="87">
        <f t="shared" si="53"/>
        <v>4036043</v>
      </c>
      <c r="AP27" s="86">
        <f t="shared" si="53"/>
        <v>3617126</v>
      </c>
      <c r="AQ27" s="86">
        <f t="shared" si="53"/>
        <v>4228470</v>
      </c>
      <c r="AR27" s="86">
        <f t="shared" si="53"/>
        <v>4850955</v>
      </c>
      <c r="AS27" s="86">
        <f t="shared" si="53"/>
        <v>4291457</v>
      </c>
      <c r="AT27" s="87">
        <f t="shared" si="53"/>
        <v>4291457</v>
      </c>
      <c r="AU27" s="86">
        <f t="shared" si="53"/>
        <v>4174538</v>
      </c>
      <c r="AV27" s="86">
        <f t="shared" si="53"/>
        <v>4253983</v>
      </c>
      <c r="AW27" s="86">
        <f t="shared" si="53"/>
        <v>4490832</v>
      </c>
      <c r="AX27" s="86">
        <f t="shared" si="53"/>
        <v>4812335</v>
      </c>
      <c r="AY27" s="87">
        <f t="shared" si="53"/>
        <v>4812335</v>
      </c>
      <c r="AZ27" s="86">
        <f t="shared" si="53"/>
        <v>5080124</v>
      </c>
      <c r="BA27" s="86">
        <f t="shared" si="53"/>
        <v>5606950</v>
      </c>
      <c r="BB27" s="86">
        <f t="shared" si="53"/>
        <v>4845126</v>
      </c>
      <c r="BC27" s="86">
        <f t="shared" si="53"/>
        <v>5637298</v>
      </c>
      <c r="BD27" s="87">
        <f t="shared" si="53"/>
        <v>5637298</v>
      </c>
      <c r="BE27" s="86">
        <f t="shared" si="53"/>
        <v>5656026</v>
      </c>
      <c r="BF27" s="86">
        <f t="shared" si="53"/>
        <v>6083620</v>
      </c>
      <c r="BG27" s="86">
        <f t="shared" si="53"/>
        <v>6558432</v>
      </c>
      <c r="BH27" s="86">
        <f t="shared" si="53"/>
        <v>7039246</v>
      </c>
      <c r="BI27" s="87">
        <f t="shared" si="53"/>
        <v>7039246</v>
      </c>
      <c r="BJ27" s="86">
        <f t="shared" si="53"/>
        <v>7231575</v>
      </c>
      <c r="BK27" s="86">
        <f t="shared" si="53"/>
        <v>7668775</v>
      </c>
      <c r="BL27" s="86">
        <f t="shared" si="53"/>
        <v>8920338</v>
      </c>
      <c r="BM27" s="86">
        <f t="shared" si="53"/>
        <v>8860808</v>
      </c>
      <c r="BN27" s="87">
        <f t="shared" ref="BN27:CS27" si="54">BN28+SUM(BN31:BN41)</f>
        <v>8860808</v>
      </c>
      <c r="BO27" s="86">
        <f t="shared" si="54"/>
        <v>8450235</v>
      </c>
      <c r="BP27" s="86">
        <f t="shared" si="54"/>
        <v>8581444</v>
      </c>
      <c r="BQ27" s="86">
        <f t="shared" si="54"/>
        <v>8483305</v>
      </c>
      <c r="BR27" s="86">
        <f t="shared" si="54"/>
        <v>8871374</v>
      </c>
      <c r="BS27" s="87">
        <f t="shared" si="54"/>
        <v>8871374</v>
      </c>
      <c r="BT27" s="86">
        <f t="shared" si="54"/>
        <v>8922776</v>
      </c>
      <c r="BU27" s="86">
        <f t="shared" si="54"/>
        <v>9026157</v>
      </c>
      <c r="BV27" s="86">
        <f t="shared" si="54"/>
        <v>9722539</v>
      </c>
      <c r="BW27" s="86">
        <f t="shared" si="54"/>
        <v>11291688</v>
      </c>
      <c r="BX27" s="87">
        <f t="shared" si="54"/>
        <v>11291688</v>
      </c>
      <c r="BY27" s="86">
        <f t="shared" si="54"/>
        <v>11757861</v>
      </c>
      <c r="BZ27" s="86">
        <f>BZ28+SUM(BZ31:BZ41)</f>
        <v>12539919</v>
      </c>
      <c r="CA27" s="86">
        <f t="shared" si="54"/>
        <v>13461465</v>
      </c>
      <c r="CB27" s="86">
        <f t="shared" si="54"/>
        <v>14643033</v>
      </c>
      <c r="CC27" s="87">
        <f t="shared" si="54"/>
        <v>14643033</v>
      </c>
      <c r="CD27" s="86">
        <f t="shared" ref="CD27:CE27" si="55">CD28+SUM(CD31:CD41)</f>
        <v>14786091</v>
      </c>
      <c r="CE27" s="86">
        <f t="shared" si="55"/>
        <v>15289389</v>
      </c>
      <c r="CF27" s="86">
        <f t="shared" si="54"/>
        <v>15541487.979396788</v>
      </c>
      <c r="CG27" s="86">
        <f t="shared" si="54"/>
        <v>15707961.700107228</v>
      </c>
      <c r="CH27" s="87">
        <f t="shared" si="54"/>
        <v>15707961.700107228</v>
      </c>
      <c r="CI27" s="86">
        <f t="shared" ca="1" si="54"/>
        <v>16878993.891353689</v>
      </c>
      <c r="CJ27" s="86">
        <f t="shared" si="54"/>
        <v>16002289.225779932</v>
      </c>
      <c r="CK27" s="86">
        <f t="shared" si="54"/>
        <v>16129789.725637779</v>
      </c>
      <c r="CL27" s="86">
        <f t="shared" si="54"/>
        <v>16240422.547150068</v>
      </c>
      <c r="CM27" s="87">
        <f t="shared" si="54"/>
        <v>16240422.547150068</v>
      </c>
      <c r="CN27" s="86">
        <f t="shared" ca="1" si="54"/>
        <v>18191142.366712075</v>
      </c>
      <c r="CO27" s="86">
        <f t="shared" si="54"/>
        <v>16395245.073322721</v>
      </c>
      <c r="CP27" s="86">
        <f t="shared" si="54"/>
        <v>16547253.00234722</v>
      </c>
      <c r="CQ27" s="86">
        <f t="shared" si="54"/>
        <v>16698450.123638693</v>
      </c>
      <c r="CR27" s="87">
        <f t="shared" si="54"/>
        <v>16698450.123638693</v>
      </c>
      <c r="CS27" s="86">
        <f t="shared" ca="1" si="54"/>
        <v>18785501.393728461</v>
      </c>
      <c r="CT27" s="86">
        <f t="shared" ref="CT27:DB27" si="56">CT28+SUM(CT31:CT41)</f>
        <v>16750046.469729014</v>
      </c>
      <c r="CU27" s="86">
        <f t="shared" si="56"/>
        <v>16864400.960396666</v>
      </c>
      <c r="CV27" s="86">
        <f t="shared" si="56"/>
        <v>17016701.010903642</v>
      </c>
      <c r="CW27" s="87">
        <f t="shared" si="56"/>
        <v>17016701.010903642</v>
      </c>
      <c r="CX27" s="86">
        <f t="shared" ca="1" si="56"/>
        <v>19344323.932842314</v>
      </c>
      <c r="CY27" s="86">
        <f t="shared" si="56"/>
        <v>17088990.172005024</v>
      </c>
      <c r="CZ27" s="86">
        <f t="shared" si="56"/>
        <v>17030585.167428356</v>
      </c>
      <c r="DA27" s="86">
        <f t="shared" si="56"/>
        <v>16863701.428442124</v>
      </c>
      <c r="DB27" s="87">
        <f t="shared" si="56"/>
        <v>16863701.428442124</v>
      </c>
    </row>
    <row r="28" spans="1:106" ht="11.5" customHeight="1" x14ac:dyDescent="0.35">
      <c r="A28" s="16" t="s">
        <v>173</v>
      </c>
      <c r="B28" s="120">
        <f t="shared" ref="B28:AG28" si="57">SUM(B29:B30)</f>
        <v>2572741</v>
      </c>
      <c r="C28" s="120">
        <f t="shared" si="57"/>
        <v>2763046</v>
      </c>
      <c r="D28" s="120">
        <f t="shared" si="57"/>
        <v>2980123</v>
      </c>
      <c r="E28" s="120">
        <f t="shared" si="57"/>
        <v>3432662</v>
      </c>
      <c r="F28" s="39">
        <f t="shared" si="57"/>
        <v>3432662</v>
      </c>
      <c r="G28" s="120">
        <f t="shared" si="57"/>
        <v>3641391</v>
      </c>
      <c r="H28" s="120">
        <f t="shared" si="57"/>
        <v>4186227</v>
      </c>
      <c r="I28" s="120">
        <f t="shared" si="57"/>
        <v>4617590</v>
      </c>
      <c r="J28" s="120">
        <f t="shared" si="57"/>
        <v>4589107</v>
      </c>
      <c r="K28" s="39">
        <f t="shared" si="57"/>
        <v>4589107</v>
      </c>
      <c r="L28" s="120">
        <f t="shared" si="57"/>
        <v>4630634</v>
      </c>
      <c r="M28" s="120">
        <f t="shared" si="57"/>
        <v>4465189</v>
      </c>
      <c r="N28" s="120">
        <f t="shared" si="57"/>
        <v>4375743</v>
      </c>
      <c r="O28" s="120">
        <f t="shared" si="57"/>
        <v>4081943</v>
      </c>
      <c r="P28" s="39">
        <f t="shared" si="57"/>
        <v>4081943</v>
      </c>
      <c r="Q28" s="120">
        <f t="shared" si="57"/>
        <v>3798919</v>
      </c>
      <c r="R28" s="120">
        <f t="shared" si="57"/>
        <v>3780005</v>
      </c>
      <c r="S28" s="120">
        <f t="shared" si="57"/>
        <v>3875414</v>
      </c>
      <c r="T28" s="120">
        <f t="shared" si="57"/>
        <v>4213748</v>
      </c>
      <c r="U28" s="39">
        <f t="shared" si="57"/>
        <v>4213748</v>
      </c>
      <c r="V28" s="120">
        <f t="shared" si="57"/>
        <v>4589555</v>
      </c>
      <c r="W28" s="120">
        <f t="shared" si="57"/>
        <v>4280547</v>
      </c>
      <c r="X28" s="120">
        <f t="shared" si="57"/>
        <v>4219160</v>
      </c>
      <c r="Y28" s="120">
        <f t="shared" si="57"/>
        <v>3875220</v>
      </c>
      <c r="Z28" s="39">
        <f t="shared" si="57"/>
        <v>3875220</v>
      </c>
      <c r="AA28" s="120">
        <f t="shared" si="57"/>
        <v>3799881</v>
      </c>
      <c r="AB28" s="120">
        <f t="shared" si="57"/>
        <v>3952453</v>
      </c>
      <c r="AC28" s="120">
        <f t="shared" si="57"/>
        <v>4030753</v>
      </c>
      <c r="AD28" s="120">
        <f t="shared" si="57"/>
        <v>3741611</v>
      </c>
      <c r="AE28" s="39">
        <f t="shared" si="57"/>
        <v>3741611</v>
      </c>
      <c r="AF28" s="120">
        <f t="shared" si="57"/>
        <v>3673332</v>
      </c>
      <c r="AG28" s="120">
        <f t="shared" si="57"/>
        <v>3536836</v>
      </c>
      <c r="AH28" s="120">
        <f t="shared" ref="AH28:BM28" si="58">SUM(AH29:AH30)</f>
        <v>3472412</v>
      </c>
      <c r="AI28" s="120">
        <f t="shared" si="58"/>
        <v>3423664</v>
      </c>
      <c r="AJ28" s="39">
        <f t="shared" si="58"/>
        <v>3423664</v>
      </c>
      <c r="AK28" s="120">
        <f t="shared" si="58"/>
        <v>3565965</v>
      </c>
      <c r="AL28" s="120">
        <f t="shared" si="58"/>
        <v>3377167</v>
      </c>
      <c r="AM28" s="120">
        <f t="shared" si="58"/>
        <v>3083116</v>
      </c>
      <c r="AN28" s="120">
        <f t="shared" si="58"/>
        <v>2574040</v>
      </c>
      <c r="AO28" s="39">
        <f t="shared" si="58"/>
        <v>2574040</v>
      </c>
      <c r="AP28" s="120">
        <f t="shared" si="58"/>
        <v>2144969</v>
      </c>
      <c r="AQ28" s="120">
        <f t="shared" si="58"/>
        <v>2364861</v>
      </c>
      <c r="AR28" s="120">
        <f t="shared" si="58"/>
        <v>2888885</v>
      </c>
      <c r="AS28" s="120">
        <f t="shared" si="58"/>
        <v>2371487</v>
      </c>
      <c r="AT28" s="39">
        <f t="shared" si="58"/>
        <v>2371487</v>
      </c>
      <c r="AU28" s="120">
        <f t="shared" si="58"/>
        <v>2105981</v>
      </c>
      <c r="AV28" s="120">
        <f t="shared" si="58"/>
        <v>1991634</v>
      </c>
      <c r="AW28" s="120">
        <f t="shared" si="58"/>
        <v>2436592</v>
      </c>
      <c r="AX28" s="120">
        <f t="shared" si="58"/>
        <v>2504275</v>
      </c>
      <c r="AY28" s="39">
        <f t="shared" si="58"/>
        <v>2504275</v>
      </c>
      <c r="AZ28" s="120">
        <f t="shared" si="58"/>
        <v>2513799</v>
      </c>
      <c r="BA28" s="120">
        <f t="shared" si="58"/>
        <v>2910556</v>
      </c>
      <c r="BB28" s="120">
        <f t="shared" si="58"/>
        <v>2434570</v>
      </c>
      <c r="BC28" s="120">
        <f t="shared" si="58"/>
        <v>2703006</v>
      </c>
      <c r="BD28" s="39">
        <f t="shared" si="58"/>
        <v>2703006</v>
      </c>
      <c r="BE28" s="120">
        <f t="shared" si="58"/>
        <v>2694314</v>
      </c>
      <c r="BF28" s="120">
        <f t="shared" si="58"/>
        <v>3349668</v>
      </c>
      <c r="BG28" s="120">
        <f t="shared" si="58"/>
        <v>3402960</v>
      </c>
      <c r="BH28" s="120">
        <f t="shared" si="58"/>
        <v>3634037</v>
      </c>
      <c r="BI28" s="39">
        <f t="shared" si="58"/>
        <v>3634037</v>
      </c>
      <c r="BJ28" s="120">
        <f t="shared" si="58"/>
        <v>3678332</v>
      </c>
      <c r="BK28" s="120">
        <f t="shared" si="58"/>
        <v>4031314</v>
      </c>
      <c r="BL28" s="120">
        <f t="shared" si="58"/>
        <v>4378904</v>
      </c>
      <c r="BM28" s="120">
        <f t="shared" si="58"/>
        <v>4976314</v>
      </c>
      <c r="BN28" s="39">
        <f t="shared" ref="BN28:CS28" si="59">SUM(BN29:BN30)</f>
        <v>4976314</v>
      </c>
      <c r="BO28" s="120">
        <f t="shared" si="59"/>
        <v>4805047</v>
      </c>
      <c r="BP28" s="120">
        <f t="shared" si="59"/>
        <v>4965575</v>
      </c>
      <c r="BQ28" s="120">
        <f t="shared" si="59"/>
        <v>4963109</v>
      </c>
      <c r="BR28" s="120">
        <f t="shared" si="59"/>
        <v>5157538</v>
      </c>
      <c r="BS28" s="39">
        <f t="shared" si="59"/>
        <v>5157538</v>
      </c>
      <c r="BT28" s="120">
        <f t="shared" si="59"/>
        <v>4895803</v>
      </c>
      <c r="BU28" s="120">
        <f t="shared" si="59"/>
        <v>5251363</v>
      </c>
      <c r="BV28" s="120">
        <f t="shared" si="59"/>
        <v>5466325</v>
      </c>
      <c r="BW28" s="120">
        <f t="shared" si="59"/>
        <v>5974580</v>
      </c>
      <c r="BX28" s="39">
        <f t="shared" si="59"/>
        <v>5974580</v>
      </c>
      <c r="BY28" s="120">
        <f t="shared" si="59"/>
        <v>6017458</v>
      </c>
      <c r="BZ28" s="120">
        <f>SUM(BZ29:BZ30)</f>
        <v>6889686</v>
      </c>
      <c r="CA28" s="120">
        <f>SUM(CA29:CA30)</f>
        <v>7496402</v>
      </c>
      <c r="CB28" s="120">
        <f t="shared" si="59"/>
        <v>8717269</v>
      </c>
      <c r="CC28" s="39">
        <f t="shared" si="59"/>
        <v>8717269</v>
      </c>
      <c r="CD28" s="120">
        <f t="shared" ref="CD28:CE28" si="60">SUM(CD29:CD30)</f>
        <v>8793840</v>
      </c>
      <c r="CE28" s="120">
        <f t="shared" si="60"/>
        <v>8873618</v>
      </c>
      <c r="CF28" s="120">
        <f t="shared" si="59"/>
        <v>9035494.7536379471</v>
      </c>
      <c r="CG28" s="120">
        <f t="shared" si="59"/>
        <v>9166440.5580514818</v>
      </c>
      <c r="CH28" s="39">
        <f t="shared" si="59"/>
        <v>9166440.5580514818</v>
      </c>
      <c r="CI28" s="120">
        <f t="shared" si="59"/>
        <v>9310732.1743459273</v>
      </c>
      <c r="CJ28" s="120">
        <f t="shared" si="59"/>
        <v>9338411.6638612263</v>
      </c>
      <c r="CK28" s="120">
        <f t="shared" si="59"/>
        <v>9432377.9640982524</v>
      </c>
      <c r="CL28" s="120">
        <f t="shared" si="59"/>
        <v>9525759.8018219229</v>
      </c>
      <c r="CM28" s="39">
        <f t="shared" si="59"/>
        <v>9525759.8018219229</v>
      </c>
      <c r="CN28" s="120">
        <f t="shared" si="59"/>
        <v>9555863.3760590293</v>
      </c>
      <c r="CO28" s="120">
        <f t="shared" si="59"/>
        <v>9607063.6557402983</v>
      </c>
      <c r="CP28" s="120">
        <f t="shared" si="59"/>
        <v>9724156.2641623877</v>
      </c>
      <c r="CQ28" s="120">
        <f t="shared" si="59"/>
        <v>9854017.9861607403</v>
      </c>
      <c r="CR28" s="39">
        <f t="shared" si="59"/>
        <v>9854017.9861607403</v>
      </c>
      <c r="CS28" s="120">
        <f t="shared" si="59"/>
        <v>9814882.3843035586</v>
      </c>
      <c r="CT28" s="120">
        <f t="shared" ref="CT28:DB28" si="61">SUM(CT29:CT30)</f>
        <v>9831450.3896081857</v>
      </c>
      <c r="CU28" s="120">
        <f t="shared" si="61"/>
        <v>9907508.9389633462</v>
      </c>
      <c r="CV28" s="120">
        <f t="shared" si="61"/>
        <v>10051246.263335753</v>
      </c>
      <c r="CW28" s="39">
        <f t="shared" si="61"/>
        <v>10051246.263335753</v>
      </c>
      <c r="CX28" s="120">
        <f t="shared" si="61"/>
        <v>10069624.500711571</v>
      </c>
      <c r="CY28" s="120">
        <f t="shared" si="61"/>
        <v>10091994.865595847</v>
      </c>
      <c r="CZ28" s="120">
        <f t="shared" si="61"/>
        <v>10185445.894874472</v>
      </c>
      <c r="DA28" s="120">
        <f t="shared" si="61"/>
        <v>10359036.191146348</v>
      </c>
      <c r="DB28" s="39">
        <f t="shared" si="61"/>
        <v>10359036.191146348</v>
      </c>
    </row>
    <row r="29" spans="1:106" ht="11.5" customHeight="1" outlineLevel="1" x14ac:dyDescent="0.35">
      <c r="A29" s="163" t="s">
        <v>172</v>
      </c>
      <c r="B29" s="414">
        <v>1379689</v>
      </c>
      <c r="C29" s="414">
        <v>1578221</v>
      </c>
      <c r="D29" s="414">
        <v>1784968</v>
      </c>
      <c r="E29" s="414">
        <v>2208708</v>
      </c>
      <c r="F29" s="71">
        <f t="shared" ref="F29:F42" si="62">E29</f>
        <v>2208708</v>
      </c>
      <c r="G29" s="414">
        <v>2424245</v>
      </c>
      <c r="H29" s="414">
        <f>1108627+1606067</f>
        <v>2714694</v>
      </c>
      <c r="I29" s="414">
        <f>950776+1848782</f>
        <v>2799558</v>
      </c>
      <c r="J29" s="414">
        <f>844453+2064167</f>
        <v>2908620</v>
      </c>
      <c r="K29" s="71">
        <f t="shared" ref="K29:K42" si="63">J29</f>
        <v>2908620</v>
      </c>
      <c r="L29" s="414">
        <f>951174+1994257</f>
        <v>2945431</v>
      </c>
      <c r="M29" s="414">
        <v>2836749</v>
      </c>
      <c r="N29" s="414">
        <f>834926+1588437</f>
        <v>2423363</v>
      </c>
      <c r="O29" s="414">
        <v>2133006</v>
      </c>
      <c r="P29" s="71">
        <f t="shared" ref="P29:P42" si="64">O29</f>
        <v>2133006</v>
      </c>
      <c r="Q29" s="414">
        <f>460414+1392081</f>
        <v>1852495</v>
      </c>
      <c r="R29" s="414">
        <v>1999609</v>
      </c>
      <c r="S29" s="414">
        <v>2180247</v>
      </c>
      <c r="T29" s="414">
        <v>2795855</v>
      </c>
      <c r="U29" s="71">
        <f t="shared" ref="U29:U42" si="65">T29</f>
        <v>2795855</v>
      </c>
      <c r="V29" s="414">
        <v>3160043</v>
      </c>
      <c r="W29" s="414">
        <v>3411138</v>
      </c>
      <c r="X29" s="414">
        <v>3430341</v>
      </c>
      <c r="Y29" s="414">
        <v>3093575</v>
      </c>
      <c r="Z29" s="71">
        <f t="shared" ref="Z29:Z42" si="66">Y29</f>
        <v>3093575</v>
      </c>
      <c r="AA29" s="414">
        <v>3146870</v>
      </c>
      <c r="AB29" s="414">
        <v>3319019</v>
      </c>
      <c r="AC29" s="414">
        <v>3390071</v>
      </c>
      <c r="AD29" s="414">
        <v>3229751</v>
      </c>
      <c r="AE29" s="71">
        <f t="shared" ref="AE29:AE42" si="67">AD29</f>
        <v>3229751</v>
      </c>
      <c r="AF29" s="414">
        <v>3151529</v>
      </c>
      <c r="AG29" s="414">
        <v>3191250</v>
      </c>
      <c r="AH29" s="414">
        <v>3124422</v>
      </c>
      <c r="AI29" s="414">
        <v>2870821</v>
      </c>
      <c r="AJ29" s="71">
        <f t="shared" ref="AJ29:AJ42" si="68">AI29</f>
        <v>2870821</v>
      </c>
      <c r="AK29" s="414">
        <v>2925046</v>
      </c>
      <c r="AL29" s="414">
        <v>2908157</v>
      </c>
      <c r="AM29" s="414">
        <v>2507296</v>
      </c>
      <c r="AN29" s="414">
        <f>930347+1183097</f>
        <v>2113444</v>
      </c>
      <c r="AO29" s="71">
        <f t="shared" ref="AO29:AO42" si="69">AN29</f>
        <v>2113444</v>
      </c>
      <c r="AP29" s="414">
        <f>964546+787390</f>
        <v>1751936</v>
      </c>
      <c r="AQ29" s="414">
        <f>765070+1066331</f>
        <v>1831401</v>
      </c>
      <c r="AR29" s="414">
        <f>590028+1306989</f>
        <v>1897017</v>
      </c>
      <c r="AS29" s="414">
        <f>262686+1353150</f>
        <v>1615836</v>
      </c>
      <c r="AT29" s="71">
        <f t="shared" ref="AT29:AT42" si="70">AS29</f>
        <v>1615836</v>
      </c>
      <c r="AU29" s="414">
        <f>177041+1177996</f>
        <v>1355037</v>
      </c>
      <c r="AV29" s="414">
        <f>104907+1051264</f>
        <v>1156171</v>
      </c>
      <c r="AW29" s="414">
        <f>173632+830118</f>
        <v>1003750</v>
      </c>
      <c r="AX29" s="414">
        <f>179896+756790</f>
        <v>936686</v>
      </c>
      <c r="AY29" s="71">
        <f t="shared" ref="AY29:AY42" si="71">AX29</f>
        <v>936686</v>
      </c>
      <c r="AZ29" s="414">
        <f>209415+765098</f>
        <v>974513</v>
      </c>
      <c r="BA29" s="414">
        <f>508656+1009396</f>
        <v>1518052</v>
      </c>
      <c r="BB29" s="414">
        <f>400115+704021</f>
        <v>1104136</v>
      </c>
      <c r="BC29" s="414">
        <f>359373+849248</f>
        <v>1208621</v>
      </c>
      <c r="BD29" s="71">
        <f t="shared" ref="BD29:BD42" si="72">BC29</f>
        <v>1208621</v>
      </c>
      <c r="BE29" s="414">
        <f>354016+852607</f>
        <v>1206623</v>
      </c>
      <c r="BF29" s="414">
        <f>357514+800110</f>
        <v>1157624</v>
      </c>
      <c r="BG29" s="414">
        <f>323686+827841</f>
        <v>1151527</v>
      </c>
      <c r="BH29" s="414">
        <f>415498+971836</f>
        <v>1387334</v>
      </c>
      <c r="BI29" s="71">
        <f t="shared" ref="BI29:BI42" si="73">BH29</f>
        <v>1387334</v>
      </c>
      <c r="BJ29" s="414">
        <f>343663+1075787</f>
        <v>1419450</v>
      </c>
      <c r="BK29" s="414">
        <f>468061+1067599</f>
        <v>1535660</v>
      </c>
      <c r="BL29" s="414">
        <f>527727+1021994</f>
        <v>1549721</v>
      </c>
      <c r="BM29" s="414">
        <f>728233+1106903</f>
        <v>1835136</v>
      </c>
      <c r="BN29" s="71">
        <f t="shared" ref="BN29:BN42" si="74">BM29</f>
        <v>1835136</v>
      </c>
      <c r="BO29" s="414">
        <f>446172+1172385</f>
        <v>1618557</v>
      </c>
      <c r="BP29" s="414">
        <f>545845+1223069</f>
        <v>1768914</v>
      </c>
      <c r="BQ29" s="414">
        <f>466336+1484037</f>
        <v>1950373</v>
      </c>
      <c r="BR29" s="414">
        <f>476949+1517949</f>
        <v>1994898</v>
      </c>
      <c r="BS29" s="71">
        <f t="shared" ref="BS29:BS42" si="75">BR29</f>
        <v>1994898</v>
      </c>
      <c r="BT29" s="414">
        <f>397708+1487514</f>
        <v>1885222</v>
      </c>
      <c r="BU29" s="414">
        <f>262595+1602899</f>
        <v>1865494</v>
      </c>
      <c r="BV29" s="414">
        <f>322623+1681301</f>
        <v>2003924</v>
      </c>
      <c r="BW29" s="414">
        <f>388238+1954542</f>
        <v>2342780</v>
      </c>
      <c r="BX29" s="71">
        <f t="shared" ref="BX29:BX42" si="76">BW29</f>
        <v>2342780</v>
      </c>
      <c r="BY29" s="414">
        <f>337428+2108085</f>
        <v>2445513</v>
      </c>
      <c r="BZ29" s="414">
        <f>467529+2251196</f>
        <v>2718725</v>
      </c>
      <c r="CA29" s="414">
        <f>445243+2564018</f>
        <v>3009261</v>
      </c>
      <c r="CB29" s="414">
        <f>753601+3009754</f>
        <v>3763355</v>
      </c>
      <c r="CC29" s="71">
        <f t="shared" ref="CC29:CC42" si="77">CB29</f>
        <v>3763355</v>
      </c>
      <c r="CD29" s="414">
        <f>442725+3042714</f>
        <v>3485439</v>
      </c>
      <c r="CE29" s="414">
        <f>643703+3194827</f>
        <v>3838530</v>
      </c>
      <c r="CF29" s="92">
        <f>CF52</f>
        <v>4000406.7536379467</v>
      </c>
      <c r="CG29" s="92">
        <f>CG52</f>
        <v>4131352.5580514809</v>
      </c>
      <c r="CH29" s="71">
        <f t="shared" ref="CH29:CH42" si="78">CG29</f>
        <v>4131352.5580514809</v>
      </c>
      <c r="CI29" s="92">
        <f>CI52</f>
        <v>4275644.1743459273</v>
      </c>
      <c r="CJ29" s="92">
        <f>CJ52</f>
        <v>4303323.6638612272</v>
      </c>
      <c r="CK29" s="92">
        <f>CK52</f>
        <v>4397289.9640982524</v>
      </c>
      <c r="CL29" s="92">
        <f>CL52</f>
        <v>4490671.8018219229</v>
      </c>
      <c r="CM29" s="71">
        <f t="shared" ref="CM29:CM42" si="79">CL29</f>
        <v>4490671.8018219229</v>
      </c>
      <c r="CN29" s="92">
        <f>CN52</f>
        <v>4520775.3760590302</v>
      </c>
      <c r="CO29" s="92">
        <f>CO52</f>
        <v>4571975.6557402983</v>
      </c>
      <c r="CP29" s="92">
        <f>CP52</f>
        <v>4689068.2641623877</v>
      </c>
      <c r="CQ29" s="92">
        <f>CQ52</f>
        <v>4818929.9861607412</v>
      </c>
      <c r="CR29" s="71">
        <f t="shared" ref="CR29:CR42" si="80">CQ29</f>
        <v>4818929.9861607412</v>
      </c>
      <c r="CS29" s="92">
        <f>CS52</f>
        <v>4779794.3843035577</v>
      </c>
      <c r="CT29" s="92">
        <f>CT52</f>
        <v>4796362.3896081848</v>
      </c>
      <c r="CU29" s="92">
        <f>CU52</f>
        <v>4872420.9389633453</v>
      </c>
      <c r="CV29" s="92">
        <f>CV52</f>
        <v>5016158.2633357542</v>
      </c>
      <c r="CW29" s="71">
        <f t="shared" ref="CW29:CW42" si="81">CV29</f>
        <v>5016158.2633357542</v>
      </c>
      <c r="CX29" s="92">
        <f>CX52</f>
        <v>5034536.5007115724</v>
      </c>
      <c r="CY29" s="92">
        <f>CY52</f>
        <v>5056906.8655958474</v>
      </c>
      <c r="CZ29" s="92">
        <f>CZ52</f>
        <v>5150357.8948744722</v>
      </c>
      <c r="DA29" s="92">
        <f>DA52</f>
        <v>5323948.1911463486</v>
      </c>
      <c r="DB29" s="71">
        <f t="shared" ref="DB29:DB42" si="82">DA29</f>
        <v>5323948.1911463486</v>
      </c>
    </row>
    <row r="30" spans="1:106" ht="11.5" customHeight="1" outlineLevel="1" x14ac:dyDescent="0.35">
      <c r="A30" s="163" t="s">
        <v>174</v>
      </c>
      <c r="B30" s="414">
        <f>1642101+930640-B29</f>
        <v>1193052</v>
      </c>
      <c r="C30" s="414">
        <f>1840752+922294-C29</f>
        <v>1184825</v>
      </c>
      <c r="D30" s="414">
        <f>636324+87500+1407486+818623+30190-D29</f>
        <v>1195155</v>
      </c>
      <c r="E30" s="414">
        <v>1223954</v>
      </c>
      <c r="F30" s="71">
        <f t="shared" si="62"/>
        <v>1223954</v>
      </c>
      <c r="G30" s="414">
        <v>1217146</v>
      </c>
      <c r="H30" s="414">
        <f>274877+1196656</f>
        <v>1471533</v>
      </c>
      <c r="I30" s="414">
        <f>438929+1379103</f>
        <v>1818032</v>
      </c>
      <c r="J30" s="414">
        <f>298979+1381508</f>
        <v>1680487</v>
      </c>
      <c r="K30" s="71">
        <f t="shared" si="63"/>
        <v>1680487</v>
      </c>
      <c r="L30" s="414">
        <f>305071+1380132</f>
        <v>1685203</v>
      </c>
      <c r="M30" s="414">
        <f>1341689+286751</f>
        <v>1628440</v>
      </c>
      <c r="N30" s="414">
        <f>1654610+297770</f>
        <v>1952380</v>
      </c>
      <c r="O30" s="414">
        <f>293504+1655433</f>
        <v>1948937</v>
      </c>
      <c r="P30" s="71">
        <f t="shared" si="64"/>
        <v>1948937</v>
      </c>
      <c r="Q30" s="414">
        <f>290540+1655884</f>
        <v>1946424</v>
      </c>
      <c r="R30" s="414">
        <f>290396+1490000</f>
        <v>1780396</v>
      </c>
      <c r="S30" s="414">
        <f>1115797+579370</f>
        <v>1695167</v>
      </c>
      <c r="T30" s="414">
        <f>717061+700832</f>
        <v>1417893</v>
      </c>
      <c r="U30" s="71">
        <f t="shared" si="65"/>
        <v>1417893</v>
      </c>
      <c r="V30" s="414">
        <f>710082+719430</f>
        <v>1429512</v>
      </c>
      <c r="W30" s="414">
        <f>340402+529007</f>
        <v>869409</v>
      </c>
      <c r="X30" s="414">
        <f>245967+542852</f>
        <v>788819</v>
      </c>
      <c r="Y30" s="414">
        <f>253515+528130</f>
        <v>781645</v>
      </c>
      <c r="Z30" s="71">
        <f t="shared" si="66"/>
        <v>781645</v>
      </c>
      <c r="AA30" s="414">
        <f>246233+406778</f>
        <v>653011</v>
      </c>
      <c r="AB30" s="414">
        <f>254318+379116</f>
        <v>633434</v>
      </c>
      <c r="AC30" s="414">
        <f>247183+393499</f>
        <v>640682</v>
      </c>
      <c r="AD30" s="414">
        <f>148646+363214</f>
        <v>511860</v>
      </c>
      <c r="AE30" s="71">
        <f t="shared" si="67"/>
        <v>511860</v>
      </c>
      <c r="AF30" s="414">
        <f>145593+376210</f>
        <v>521803</v>
      </c>
      <c r="AG30" s="414">
        <f>150871+194715</f>
        <v>345586</v>
      </c>
      <c r="AH30" s="414">
        <f>145723+202267</f>
        <v>347990</v>
      </c>
      <c r="AI30" s="414">
        <f>45640+507203</f>
        <v>552843</v>
      </c>
      <c r="AJ30" s="71">
        <f t="shared" si="68"/>
        <v>552843</v>
      </c>
      <c r="AK30" s="414">
        <f>43901+597018</f>
        <v>640919</v>
      </c>
      <c r="AL30" s="414">
        <f>45090+423920</f>
        <v>469010</v>
      </c>
      <c r="AM30" s="414">
        <f>43612+532208</f>
        <v>575820</v>
      </c>
      <c r="AN30" s="414">
        <f>48555+412041</f>
        <v>460596</v>
      </c>
      <c r="AO30" s="71">
        <f t="shared" si="69"/>
        <v>460596</v>
      </c>
      <c r="AP30" s="414">
        <f>4260+388773</f>
        <v>393033</v>
      </c>
      <c r="AQ30" s="414">
        <f>4416+529044</f>
        <v>533460</v>
      </c>
      <c r="AR30" s="414">
        <f>155860+836008</f>
        <v>991868</v>
      </c>
      <c r="AS30" s="414">
        <f>158401+597250</f>
        <v>755651</v>
      </c>
      <c r="AT30" s="71">
        <f t="shared" si="70"/>
        <v>755651</v>
      </c>
      <c r="AU30" s="414">
        <f>156438+594506</f>
        <v>750944</v>
      </c>
      <c r="AV30" s="414">
        <f>154000+518471+5007+157985</f>
        <v>835463</v>
      </c>
      <c r="AW30" s="414">
        <f>322182+1110660</f>
        <v>1432842</v>
      </c>
      <c r="AX30" s="414">
        <f>155105+1408484+4000</f>
        <v>1567589</v>
      </c>
      <c r="AY30" s="71">
        <f t="shared" si="71"/>
        <v>1567589</v>
      </c>
      <c r="AZ30" s="414">
        <f>152584+1382702+4000</f>
        <v>1539286</v>
      </c>
      <c r="BA30" s="414">
        <f>355582+1036922</f>
        <v>1392504</v>
      </c>
      <c r="BB30" s="414">
        <f>182137+1148297</f>
        <v>1330434</v>
      </c>
      <c r="BC30" s="414">
        <f>1886+1488499+4000</f>
        <v>1494385</v>
      </c>
      <c r="BD30" s="71">
        <f t="shared" si="72"/>
        <v>1494385</v>
      </c>
      <c r="BE30" s="414">
        <f>2081+1481610+4000</f>
        <v>1487691</v>
      </c>
      <c r="BF30" s="414">
        <f>6193+1434786+751065</f>
        <v>2192044</v>
      </c>
      <c r="BG30" s="414">
        <f>18946+1481230+751257</f>
        <v>2251433</v>
      </c>
      <c r="BH30" s="414">
        <f>15214+1475475+756014</f>
        <v>2246703</v>
      </c>
      <c r="BI30" s="71">
        <f t="shared" si="73"/>
        <v>2246703</v>
      </c>
      <c r="BJ30" s="414">
        <f>36831+1444226+777825</f>
        <v>2258882</v>
      </c>
      <c r="BK30" s="414">
        <f>12241+1722633+760780</f>
        <v>2495654</v>
      </c>
      <c r="BL30" s="414">
        <f>40903+1998708+789572</f>
        <v>2829183</v>
      </c>
      <c r="BM30" s="414">
        <f>121448+1949484+1070246</f>
        <v>3141178</v>
      </c>
      <c r="BN30" s="71">
        <f t="shared" si="74"/>
        <v>3141178</v>
      </c>
      <c r="BO30" s="414">
        <f>147109+1943345+1096036</f>
        <v>3186490</v>
      </c>
      <c r="BP30" s="414">
        <f>130037+1987532+1079092</f>
        <v>3196661</v>
      </c>
      <c r="BQ30" s="414">
        <f>40147+1983257+989332</f>
        <v>3012736</v>
      </c>
      <c r="BR30" s="414">
        <f>16515+2196809+949316</f>
        <v>3162640</v>
      </c>
      <c r="BS30" s="71">
        <f t="shared" si="75"/>
        <v>3162640</v>
      </c>
      <c r="BT30" s="414">
        <f>33922+2027957+948702</f>
        <v>3010581</v>
      </c>
      <c r="BU30" s="414">
        <f>5798+626515+199529+2554027</f>
        <v>3385869</v>
      </c>
      <c r="BV30" s="414">
        <f>66667+3263036+132698</f>
        <v>3462401</v>
      </c>
      <c r="BW30" s="414">
        <f>616826+3014974</f>
        <v>3631800</v>
      </c>
      <c r="BX30" s="71">
        <f t="shared" si="76"/>
        <v>3631800</v>
      </c>
      <c r="BY30" s="414">
        <f>66566+3372356+133023</f>
        <v>3571945</v>
      </c>
      <c r="BZ30" s="414">
        <f>726597+3444364</f>
        <v>4170961</v>
      </c>
      <c r="CA30" s="414">
        <f>798390+3688751</f>
        <v>4487141</v>
      </c>
      <c r="CB30" s="414">
        <f>748889+4205025</f>
        <v>4953914</v>
      </c>
      <c r="CC30" s="71">
        <f t="shared" si="77"/>
        <v>4953914</v>
      </c>
      <c r="CD30" s="414">
        <f>918218+4390183</f>
        <v>5308401</v>
      </c>
      <c r="CE30" s="414">
        <f>1106304+3928784</f>
        <v>5035088</v>
      </c>
      <c r="CF30" s="92">
        <f t="shared" ref="CF30:CG31" si="83">CE30</f>
        <v>5035088</v>
      </c>
      <c r="CG30" s="92">
        <f t="shared" si="83"/>
        <v>5035088</v>
      </c>
      <c r="CH30" s="71">
        <f t="shared" si="78"/>
        <v>5035088</v>
      </c>
      <c r="CI30" s="92">
        <f>CH30</f>
        <v>5035088</v>
      </c>
      <c r="CJ30" s="92">
        <f>CI30</f>
        <v>5035088</v>
      </c>
      <c r="CK30" s="92">
        <f>CJ30</f>
        <v>5035088</v>
      </c>
      <c r="CL30" s="92">
        <f>CK30</f>
        <v>5035088</v>
      </c>
      <c r="CM30" s="71">
        <f t="shared" si="79"/>
        <v>5035088</v>
      </c>
      <c r="CN30" s="92">
        <f>CM30</f>
        <v>5035088</v>
      </c>
      <c r="CO30" s="92">
        <f>CN30</f>
        <v>5035088</v>
      </c>
      <c r="CP30" s="92">
        <f>CO30</f>
        <v>5035088</v>
      </c>
      <c r="CQ30" s="92">
        <f>CP30</f>
        <v>5035088</v>
      </c>
      <c r="CR30" s="71">
        <f t="shared" si="80"/>
        <v>5035088</v>
      </c>
      <c r="CS30" s="92">
        <f>CR30</f>
        <v>5035088</v>
      </c>
      <c r="CT30" s="92">
        <f>CS30</f>
        <v>5035088</v>
      </c>
      <c r="CU30" s="92">
        <f>CT30</f>
        <v>5035088</v>
      </c>
      <c r="CV30" s="92">
        <f>CU30</f>
        <v>5035088</v>
      </c>
      <c r="CW30" s="71">
        <f t="shared" si="81"/>
        <v>5035088</v>
      </c>
      <c r="CX30" s="92">
        <f>CW30</f>
        <v>5035088</v>
      </c>
      <c r="CY30" s="92">
        <f>CX30</f>
        <v>5035088</v>
      </c>
      <c r="CZ30" s="92">
        <f>CY30</f>
        <v>5035088</v>
      </c>
      <c r="DA30" s="92">
        <f>CZ30</f>
        <v>5035088</v>
      </c>
      <c r="DB30" s="71">
        <f t="shared" si="82"/>
        <v>5035088</v>
      </c>
    </row>
    <row r="31" spans="1:106" ht="11.5" customHeight="1" x14ac:dyDescent="0.35">
      <c r="A31" s="19" t="s">
        <v>197</v>
      </c>
      <c r="B31" s="397">
        <v>162204</v>
      </c>
      <c r="C31" s="397">
        <v>153279</v>
      </c>
      <c r="D31" s="397">
        <v>129692</v>
      </c>
      <c r="E31" s="397">
        <v>130446</v>
      </c>
      <c r="F31" s="29">
        <f t="shared" si="62"/>
        <v>130446</v>
      </c>
      <c r="G31" s="397">
        <v>161622</v>
      </c>
      <c r="H31" s="397">
        <v>141413</v>
      </c>
      <c r="I31" s="397">
        <f>163131</f>
        <v>163131</v>
      </c>
      <c r="J31" s="397">
        <v>179292</v>
      </c>
      <c r="K31" s="29">
        <f t="shared" si="63"/>
        <v>179292</v>
      </c>
      <c r="L31" s="397">
        <v>194523</v>
      </c>
      <c r="M31" s="397">
        <v>187522</v>
      </c>
      <c r="N31" s="397">
        <v>151854</v>
      </c>
      <c r="O31" s="397">
        <v>252745</v>
      </c>
      <c r="P31" s="29">
        <f t="shared" si="64"/>
        <v>252745</v>
      </c>
      <c r="Q31" s="397">
        <v>322893</v>
      </c>
      <c r="R31" s="397">
        <v>242727</v>
      </c>
      <c r="S31" s="397">
        <v>268341</v>
      </c>
      <c r="T31" s="397">
        <v>169321</v>
      </c>
      <c r="U31" s="29">
        <f t="shared" si="65"/>
        <v>169321</v>
      </c>
      <c r="V31" s="397">
        <v>164418</v>
      </c>
      <c r="W31" s="397">
        <v>150785</v>
      </c>
      <c r="X31" s="397">
        <v>160085</v>
      </c>
      <c r="Y31" s="397">
        <v>148482</v>
      </c>
      <c r="Z31" s="29">
        <f t="shared" si="66"/>
        <v>148482</v>
      </c>
      <c r="AA31" s="397">
        <v>153148</v>
      </c>
      <c r="AB31" s="397">
        <v>122259</v>
      </c>
      <c r="AC31" s="397">
        <v>121424</v>
      </c>
      <c r="AD31" s="397">
        <v>132812</v>
      </c>
      <c r="AE31" s="29">
        <f t="shared" si="67"/>
        <v>132812</v>
      </c>
      <c r="AF31" s="397">
        <v>149733</v>
      </c>
      <c r="AG31" s="397">
        <v>106565</v>
      </c>
      <c r="AH31" s="397">
        <v>120427</v>
      </c>
      <c r="AI31" s="397">
        <v>64812</v>
      </c>
      <c r="AJ31" s="29">
        <f t="shared" si="68"/>
        <v>64812</v>
      </c>
      <c r="AK31" s="397">
        <v>63651</v>
      </c>
      <c r="AL31" s="397">
        <v>71456</v>
      </c>
      <c r="AM31" s="397">
        <v>55493</v>
      </c>
      <c r="AN31" s="397">
        <v>50182</v>
      </c>
      <c r="AO31" s="29">
        <f t="shared" si="69"/>
        <v>50182</v>
      </c>
      <c r="AP31" s="397">
        <v>25196</v>
      </c>
      <c r="AQ31" s="397">
        <v>28777</v>
      </c>
      <c r="AR31" s="397">
        <v>50624</v>
      </c>
      <c r="AS31" s="397">
        <v>29384</v>
      </c>
      <c r="AT31" s="29">
        <f t="shared" si="70"/>
        <v>29384</v>
      </c>
      <c r="AU31" s="397">
        <v>63614</v>
      </c>
      <c r="AV31" s="397">
        <v>77365</v>
      </c>
      <c r="AW31" s="397">
        <v>62387</v>
      </c>
      <c r="AX31" s="397">
        <v>110647</v>
      </c>
      <c r="AY31" s="29">
        <f t="shared" si="71"/>
        <v>110647</v>
      </c>
      <c r="AZ31" s="397">
        <v>83128</v>
      </c>
      <c r="BA31" s="397">
        <v>91907</v>
      </c>
      <c r="BB31" s="397">
        <v>87047</v>
      </c>
      <c r="BC31" s="397">
        <v>89792</v>
      </c>
      <c r="BD31" s="29">
        <f t="shared" si="72"/>
        <v>89792</v>
      </c>
      <c r="BE31" s="397">
        <v>128535</v>
      </c>
      <c r="BF31" s="397">
        <v>86082</v>
      </c>
      <c r="BG31" s="397">
        <v>72661</v>
      </c>
      <c r="BH31" s="397">
        <v>110251</v>
      </c>
      <c r="BI31" s="29">
        <f t="shared" si="73"/>
        <v>110251</v>
      </c>
      <c r="BJ31" s="397">
        <v>93257</v>
      </c>
      <c r="BK31" s="397">
        <v>110724</v>
      </c>
      <c r="BL31" s="397">
        <v>166680</v>
      </c>
      <c r="BM31" s="397">
        <v>107601</v>
      </c>
      <c r="BN31" s="29">
        <f t="shared" si="74"/>
        <v>107601</v>
      </c>
      <c r="BO31" s="397">
        <v>90815</v>
      </c>
      <c r="BP31" s="397">
        <v>77780</v>
      </c>
      <c r="BQ31" s="397">
        <v>91174</v>
      </c>
      <c r="BR31" s="397">
        <v>55947</v>
      </c>
      <c r="BS31" s="29">
        <f t="shared" si="75"/>
        <v>55947</v>
      </c>
      <c r="BT31" s="397">
        <v>118603</v>
      </c>
      <c r="BU31" s="397">
        <v>100708</v>
      </c>
      <c r="BV31" s="397">
        <v>82798</v>
      </c>
      <c r="BW31" s="397">
        <v>129156</v>
      </c>
      <c r="BX31" s="29">
        <f t="shared" si="76"/>
        <v>129156</v>
      </c>
      <c r="BY31" s="397">
        <v>177935</v>
      </c>
      <c r="BZ31" s="397">
        <v>222164</v>
      </c>
      <c r="CA31" s="397">
        <v>228020</v>
      </c>
      <c r="CB31" s="650">
        <v>128500</v>
      </c>
      <c r="CC31" s="29">
        <f t="shared" si="77"/>
        <v>128500</v>
      </c>
      <c r="CD31" s="397">
        <v>132259</v>
      </c>
      <c r="CE31" s="397">
        <v>181250</v>
      </c>
      <c r="CF31" s="70">
        <f t="shared" si="83"/>
        <v>181250</v>
      </c>
      <c r="CG31" s="70">
        <f t="shared" si="83"/>
        <v>181250</v>
      </c>
      <c r="CH31" s="29">
        <f t="shared" si="78"/>
        <v>181250</v>
      </c>
      <c r="CI31" s="70">
        <f>CG31</f>
        <v>181250</v>
      </c>
      <c r="CJ31" s="70">
        <f>CI31</f>
        <v>181250</v>
      </c>
      <c r="CK31" s="70">
        <f>CJ31</f>
        <v>181250</v>
      </c>
      <c r="CL31" s="70">
        <f>CK31</f>
        <v>181250</v>
      </c>
      <c r="CM31" s="29">
        <f t="shared" si="79"/>
        <v>181250</v>
      </c>
      <c r="CN31" s="70">
        <f>CL31</f>
        <v>181250</v>
      </c>
      <c r="CO31" s="70">
        <f>CN31</f>
        <v>181250</v>
      </c>
      <c r="CP31" s="70">
        <f>CO31</f>
        <v>181250</v>
      </c>
      <c r="CQ31" s="70">
        <f>CP31</f>
        <v>181250</v>
      </c>
      <c r="CR31" s="29">
        <f t="shared" si="80"/>
        <v>181250</v>
      </c>
      <c r="CS31" s="70">
        <f>CQ31</f>
        <v>181250</v>
      </c>
      <c r="CT31" s="70">
        <f>CS31</f>
        <v>181250</v>
      </c>
      <c r="CU31" s="70">
        <f>CT31</f>
        <v>181250</v>
      </c>
      <c r="CV31" s="70">
        <f>CU31</f>
        <v>181250</v>
      </c>
      <c r="CW31" s="29">
        <f t="shared" si="81"/>
        <v>181250</v>
      </c>
      <c r="CX31" s="70">
        <f>CV31</f>
        <v>181250</v>
      </c>
      <c r="CY31" s="70">
        <f>CX31</f>
        <v>181250</v>
      </c>
      <c r="CZ31" s="70">
        <f>CY31</f>
        <v>181250</v>
      </c>
      <c r="DA31" s="70">
        <f>CZ31</f>
        <v>181250</v>
      </c>
      <c r="DB31" s="29">
        <f t="shared" si="82"/>
        <v>181250</v>
      </c>
    </row>
    <row r="32" spans="1:106" ht="11.5" customHeight="1" x14ac:dyDescent="0.35">
      <c r="A32" s="19" t="s">
        <v>100</v>
      </c>
      <c r="B32" s="397">
        <v>0</v>
      </c>
      <c r="C32" s="397">
        <v>0</v>
      </c>
      <c r="D32" s="397">
        <v>0</v>
      </c>
      <c r="E32" s="397">
        <v>0</v>
      </c>
      <c r="F32" s="29">
        <f t="shared" si="62"/>
        <v>0</v>
      </c>
      <c r="G32" s="397">
        <v>0</v>
      </c>
      <c r="H32" s="397">
        <v>0</v>
      </c>
      <c r="I32" s="397">
        <v>0</v>
      </c>
      <c r="J32" s="397">
        <v>0</v>
      </c>
      <c r="K32" s="29">
        <f t="shared" si="63"/>
        <v>0</v>
      </c>
      <c r="L32" s="397">
        <v>0</v>
      </c>
      <c r="M32" s="397">
        <v>0</v>
      </c>
      <c r="N32" s="397">
        <v>0</v>
      </c>
      <c r="O32" s="397">
        <v>0</v>
      </c>
      <c r="P32" s="29">
        <f t="shared" si="64"/>
        <v>0</v>
      </c>
      <c r="Q32" s="397">
        <v>0</v>
      </c>
      <c r="R32" s="397">
        <v>0</v>
      </c>
      <c r="S32" s="397">
        <v>0</v>
      </c>
      <c r="T32" s="397">
        <v>0</v>
      </c>
      <c r="U32" s="29">
        <f t="shared" si="65"/>
        <v>0</v>
      </c>
      <c r="V32" s="397">
        <v>0</v>
      </c>
      <c r="W32" s="397">
        <v>0</v>
      </c>
      <c r="X32" s="397">
        <v>0</v>
      </c>
      <c r="Y32" s="397">
        <v>0</v>
      </c>
      <c r="Z32" s="29">
        <f t="shared" si="66"/>
        <v>0</v>
      </c>
      <c r="AA32" s="397">
        <v>0</v>
      </c>
      <c r="AB32" s="397">
        <v>0</v>
      </c>
      <c r="AC32" s="397">
        <v>0</v>
      </c>
      <c r="AD32" s="397">
        <v>0</v>
      </c>
      <c r="AE32" s="29">
        <f t="shared" si="67"/>
        <v>0</v>
      </c>
      <c r="AF32" s="397">
        <v>0</v>
      </c>
      <c r="AG32" s="397">
        <v>0</v>
      </c>
      <c r="AH32" s="397">
        <v>0</v>
      </c>
      <c r="AI32" s="397">
        <v>0</v>
      </c>
      <c r="AJ32" s="29">
        <f t="shared" si="68"/>
        <v>0</v>
      </c>
      <c r="AK32" s="397">
        <v>0</v>
      </c>
      <c r="AL32" s="397">
        <v>0</v>
      </c>
      <c r="AM32" s="397">
        <v>0</v>
      </c>
      <c r="AN32" s="397">
        <v>0</v>
      </c>
      <c r="AO32" s="29">
        <f t="shared" si="69"/>
        <v>0</v>
      </c>
      <c r="AP32" s="397">
        <v>0</v>
      </c>
      <c r="AQ32" s="397">
        <v>0</v>
      </c>
      <c r="AR32" s="397">
        <v>0</v>
      </c>
      <c r="AS32" s="397">
        <v>0</v>
      </c>
      <c r="AT32" s="29">
        <f t="shared" si="70"/>
        <v>0</v>
      </c>
      <c r="AU32" s="397">
        <v>0</v>
      </c>
      <c r="AV32" s="397">
        <v>0</v>
      </c>
      <c r="AW32" s="397">
        <v>0</v>
      </c>
      <c r="AX32" s="397">
        <v>0</v>
      </c>
      <c r="AY32" s="29">
        <f t="shared" si="71"/>
        <v>0</v>
      </c>
      <c r="AZ32" s="397">
        <v>0</v>
      </c>
      <c r="BA32" s="397">
        <v>0</v>
      </c>
      <c r="BB32" s="397">
        <v>0</v>
      </c>
      <c r="BC32" s="397">
        <v>0</v>
      </c>
      <c r="BD32" s="29">
        <f t="shared" si="72"/>
        <v>0</v>
      </c>
      <c r="BE32" s="397">
        <v>0</v>
      </c>
      <c r="BF32" s="397">
        <v>0</v>
      </c>
      <c r="BG32" s="397">
        <v>0</v>
      </c>
      <c r="BH32" s="397">
        <v>0</v>
      </c>
      <c r="BI32" s="29">
        <f t="shared" si="73"/>
        <v>0</v>
      </c>
      <c r="BJ32" s="397">
        <v>0</v>
      </c>
      <c r="BK32" s="397">
        <v>0</v>
      </c>
      <c r="BL32" s="397">
        <v>0</v>
      </c>
      <c r="BM32" s="397">
        <v>0</v>
      </c>
      <c r="BN32" s="29">
        <f t="shared" si="74"/>
        <v>0</v>
      </c>
      <c r="BO32" s="397">
        <v>0</v>
      </c>
      <c r="BP32" s="397">
        <v>0</v>
      </c>
      <c r="BQ32" s="397">
        <v>0</v>
      </c>
      <c r="BR32" s="397">
        <v>0</v>
      </c>
      <c r="BS32" s="29">
        <f t="shared" si="75"/>
        <v>0</v>
      </c>
      <c r="BT32" s="397">
        <v>0</v>
      </c>
      <c r="BU32" s="397">
        <v>0</v>
      </c>
      <c r="BV32" s="397">
        <v>0</v>
      </c>
      <c r="BW32" s="397">
        <v>0</v>
      </c>
      <c r="BX32" s="29">
        <f t="shared" si="76"/>
        <v>0</v>
      </c>
      <c r="BY32" s="397">
        <v>0</v>
      </c>
      <c r="BZ32" s="397">
        <v>0</v>
      </c>
      <c r="CA32" s="397"/>
      <c r="CB32" s="397">
        <v>0</v>
      </c>
      <c r="CC32" s="29">
        <f t="shared" si="77"/>
        <v>0</v>
      </c>
      <c r="CD32" s="397">
        <v>0</v>
      </c>
      <c r="CE32" s="397">
        <v>0</v>
      </c>
      <c r="CF32" s="70">
        <f>CF59</f>
        <v>0</v>
      </c>
      <c r="CG32" s="70">
        <f>CG59</f>
        <v>0</v>
      </c>
      <c r="CH32" s="29">
        <f t="shared" si="78"/>
        <v>0</v>
      </c>
      <c r="CI32" s="70">
        <f>CI59</f>
        <v>0</v>
      </c>
      <c r="CJ32" s="70">
        <f>CJ59</f>
        <v>0</v>
      </c>
      <c r="CK32" s="70">
        <f>CK59</f>
        <v>0</v>
      </c>
      <c r="CL32" s="70">
        <f>CL59</f>
        <v>0</v>
      </c>
      <c r="CM32" s="29">
        <f t="shared" si="79"/>
        <v>0</v>
      </c>
      <c r="CN32" s="70">
        <f>CN59</f>
        <v>0</v>
      </c>
      <c r="CO32" s="70">
        <f>CO59</f>
        <v>0</v>
      </c>
      <c r="CP32" s="70">
        <f>CP59</f>
        <v>0</v>
      </c>
      <c r="CQ32" s="70">
        <f>CQ59</f>
        <v>0</v>
      </c>
      <c r="CR32" s="29">
        <f t="shared" si="80"/>
        <v>0</v>
      </c>
      <c r="CS32" s="70">
        <f>CS59</f>
        <v>0</v>
      </c>
      <c r="CT32" s="70">
        <f>CT59</f>
        <v>0</v>
      </c>
      <c r="CU32" s="70">
        <f>CU59</f>
        <v>0</v>
      </c>
      <c r="CV32" s="70">
        <f>CV59</f>
        <v>0</v>
      </c>
      <c r="CW32" s="29">
        <f t="shared" si="81"/>
        <v>0</v>
      </c>
      <c r="CX32" s="70">
        <f>CX59</f>
        <v>0</v>
      </c>
      <c r="CY32" s="70">
        <f>CY59</f>
        <v>0</v>
      </c>
      <c r="CZ32" s="70">
        <f>CZ59</f>
        <v>0</v>
      </c>
      <c r="DA32" s="70">
        <f>DA59</f>
        <v>0</v>
      </c>
      <c r="DB32" s="29">
        <f t="shared" si="82"/>
        <v>0</v>
      </c>
    </row>
    <row r="33" spans="1:106" ht="11.5" customHeight="1" x14ac:dyDescent="0.35">
      <c r="A33" s="19" t="s">
        <v>175</v>
      </c>
      <c r="B33" s="395">
        <f>(305641+44564)+162784</f>
        <v>512989</v>
      </c>
      <c r="C33" s="395">
        <f>(223170+46146)+261865</f>
        <v>531181</v>
      </c>
      <c r="D33" s="397">
        <f>(209799+45189)+252163</f>
        <v>507151</v>
      </c>
      <c r="E33" s="397">
        <f>135844+240041+41723</f>
        <v>417608</v>
      </c>
      <c r="F33" s="29">
        <f t="shared" si="62"/>
        <v>417608</v>
      </c>
      <c r="G33" s="395">
        <f>205798+47938</f>
        <v>253736</v>
      </c>
      <c r="H33" s="395">
        <f>232994+249572</f>
        <v>482566</v>
      </c>
      <c r="I33" s="397">
        <f>251668+53507</f>
        <v>305175</v>
      </c>
      <c r="J33" s="397">
        <f>235984+50268</f>
        <v>286252</v>
      </c>
      <c r="K33" s="29">
        <f t="shared" si="63"/>
        <v>286252</v>
      </c>
      <c r="L33" s="395">
        <f>238965+49762</f>
        <v>288727</v>
      </c>
      <c r="M33" s="395">
        <f>289342+55079</f>
        <v>344421</v>
      </c>
      <c r="N33" s="397">
        <f>302591+65242</f>
        <v>367833</v>
      </c>
      <c r="O33" s="397">
        <f>252935+56108-O40</f>
        <v>191222</v>
      </c>
      <c r="P33" s="29">
        <f t="shared" si="64"/>
        <v>191222</v>
      </c>
      <c r="Q33" s="395">
        <f>328357+62357-Q40</f>
        <v>266966</v>
      </c>
      <c r="R33" s="395">
        <f>330233+61446-R40</f>
        <v>262004</v>
      </c>
      <c r="S33" s="397">
        <v>299910</v>
      </c>
      <c r="T33" s="397">
        <v>270627</v>
      </c>
      <c r="U33" s="29">
        <f t="shared" si="65"/>
        <v>270627</v>
      </c>
      <c r="V33" s="395">
        <v>308820</v>
      </c>
      <c r="W33" s="395">
        <v>301218</v>
      </c>
      <c r="X33" s="397">
        <v>278297</v>
      </c>
      <c r="Y33" s="397">
        <v>252704</v>
      </c>
      <c r="Z33" s="29">
        <f t="shared" si="66"/>
        <v>252704</v>
      </c>
      <c r="AA33" s="395">
        <v>238404</v>
      </c>
      <c r="AB33" s="395">
        <v>257264</v>
      </c>
      <c r="AC33" s="397">
        <v>293928</v>
      </c>
      <c r="AD33" s="397">
        <v>197686</v>
      </c>
      <c r="AE33" s="29">
        <f t="shared" si="67"/>
        <v>197686</v>
      </c>
      <c r="AF33" s="395">
        <v>245242</v>
      </c>
      <c r="AG33" s="395">
        <v>232207</v>
      </c>
      <c r="AH33" s="397">
        <v>219423</v>
      </c>
      <c r="AI33" s="397">
        <v>144511</v>
      </c>
      <c r="AJ33" s="29">
        <f t="shared" si="68"/>
        <v>144511</v>
      </c>
      <c r="AK33" s="395">
        <v>161910</v>
      </c>
      <c r="AL33" s="395">
        <v>227284</v>
      </c>
      <c r="AM33" s="397">
        <v>208580</v>
      </c>
      <c r="AN33" s="397">
        <v>115242</v>
      </c>
      <c r="AO33" s="29">
        <f t="shared" si="69"/>
        <v>115242</v>
      </c>
      <c r="AP33" s="395">
        <v>136587</v>
      </c>
      <c r="AQ33" s="395">
        <v>211216</v>
      </c>
      <c r="AR33" s="397">
        <v>221710</v>
      </c>
      <c r="AS33" s="397">
        <v>121887</v>
      </c>
      <c r="AT33" s="29">
        <f t="shared" si="70"/>
        <v>121887</v>
      </c>
      <c r="AU33" s="395">
        <v>211342</v>
      </c>
      <c r="AV33" s="395">
        <v>161076</v>
      </c>
      <c r="AW33" s="397">
        <v>171868</v>
      </c>
      <c r="AX33" s="397">
        <v>134825</v>
      </c>
      <c r="AY33" s="29">
        <f t="shared" si="71"/>
        <v>134825</v>
      </c>
      <c r="AZ33" s="395">
        <v>168906</v>
      </c>
      <c r="BA33" s="395">
        <v>157416</v>
      </c>
      <c r="BB33" s="397">
        <v>138787</v>
      </c>
      <c r="BC33" s="397">
        <v>151524</v>
      </c>
      <c r="BD33" s="29">
        <f t="shared" si="72"/>
        <v>151524</v>
      </c>
      <c r="BE33" s="395">
        <v>196696</v>
      </c>
      <c r="BF33" s="395">
        <v>196906</v>
      </c>
      <c r="BG33" s="397">
        <v>229818</v>
      </c>
      <c r="BH33" s="397">
        <v>219163</v>
      </c>
      <c r="BI33" s="29">
        <f t="shared" si="73"/>
        <v>219163</v>
      </c>
      <c r="BJ33" s="395">
        <v>242571</v>
      </c>
      <c r="BK33" s="395">
        <v>256101</v>
      </c>
      <c r="BL33" s="397">
        <v>288172</v>
      </c>
      <c r="BM33" s="397">
        <v>247729</v>
      </c>
      <c r="BN33" s="29">
        <f t="shared" si="74"/>
        <v>247729</v>
      </c>
      <c r="BO33" s="395">
        <v>261172</v>
      </c>
      <c r="BP33" s="395">
        <v>262237</v>
      </c>
      <c r="BQ33" s="397">
        <v>259794</v>
      </c>
      <c r="BR33" s="397">
        <v>319474</v>
      </c>
      <c r="BS33" s="29">
        <f t="shared" si="75"/>
        <v>319474</v>
      </c>
      <c r="BT33" s="395">
        <v>248128</v>
      </c>
      <c r="BU33" s="395">
        <v>245535</v>
      </c>
      <c r="BV33" s="397">
        <v>261293</v>
      </c>
      <c r="BW33" s="397">
        <f>248694+572</f>
        <v>249266</v>
      </c>
      <c r="BX33" s="29">
        <f t="shared" si="76"/>
        <v>249266</v>
      </c>
      <c r="BY33" s="395">
        <v>286988</v>
      </c>
      <c r="BZ33" s="395">
        <f>289242+572</f>
        <v>289814</v>
      </c>
      <c r="CA33" s="395">
        <f>303844+572</f>
        <v>304416</v>
      </c>
      <c r="CB33" s="397">
        <f>275581+572</f>
        <v>276153</v>
      </c>
      <c r="CC33" s="29">
        <f t="shared" si="77"/>
        <v>276153</v>
      </c>
      <c r="CD33" s="395">
        <f>350825+1852</f>
        <v>352677</v>
      </c>
      <c r="CE33" s="397">
        <f>308887+572</f>
        <v>309459</v>
      </c>
      <c r="CF33" s="70">
        <f>CF117</f>
        <v>325073.98437892942</v>
      </c>
      <c r="CG33" s="70">
        <f>CG117</f>
        <v>311131.02746075433</v>
      </c>
      <c r="CH33" s="29">
        <f t="shared" si="78"/>
        <v>311131.02746075433</v>
      </c>
      <c r="CI33" s="70">
        <f>CI117</f>
        <v>330616.44500820496</v>
      </c>
      <c r="CJ33" s="70">
        <f>CJ117</f>
        <v>339255.36957690265</v>
      </c>
      <c r="CK33" s="70">
        <f>CK117</f>
        <v>346184.04259060253</v>
      </c>
      <c r="CL33" s="70">
        <f>CL117</f>
        <v>351784.349906296</v>
      </c>
      <c r="CM33" s="29">
        <f t="shared" si="79"/>
        <v>351784.349906296</v>
      </c>
      <c r="CN33" s="70">
        <f>CN117</f>
        <v>362362.37101123534</v>
      </c>
      <c r="CO33" s="70">
        <f>CO117</f>
        <v>372333.89884498634</v>
      </c>
      <c r="CP33" s="70">
        <f>CP117</f>
        <v>381887.25919671979</v>
      </c>
      <c r="CQ33" s="70">
        <f>CQ117</f>
        <v>393339.06813824538</v>
      </c>
      <c r="CR33" s="29">
        <f t="shared" si="80"/>
        <v>393339.06813824538</v>
      </c>
      <c r="CS33" s="70">
        <f>CS117</f>
        <v>402845.41364707565</v>
      </c>
      <c r="CT33" s="70">
        <f>CT117</f>
        <v>411731.37995285349</v>
      </c>
      <c r="CU33" s="70">
        <f>CU117</f>
        <v>420189.62288583443</v>
      </c>
      <c r="CV33" s="70">
        <f>CV117</f>
        <v>428501.17639303458</v>
      </c>
      <c r="CW33" s="29">
        <f t="shared" si="81"/>
        <v>428501.17639303458</v>
      </c>
      <c r="CX33" s="70">
        <f>CX117</f>
        <v>436413.23093806062</v>
      </c>
      <c r="CY33" s="70">
        <f>CY117</f>
        <v>444024.47567518183</v>
      </c>
      <c r="CZ33" s="70">
        <f>CZ117</f>
        <v>451582.48952309071</v>
      </c>
      <c r="DA33" s="70">
        <f>DA117</f>
        <v>459153.6114907976</v>
      </c>
      <c r="DB33" s="29">
        <f t="shared" si="82"/>
        <v>459153.6114907976</v>
      </c>
    </row>
    <row r="34" spans="1:106" ht="11.5" customHeight="1" x14ac:dyDescent="0.35">
      <c r="A34" s="19" t="s">
        <v>176</v>
      </c>
      <c r="B34" s="395">
        <v>66291</v>
      </c>
      <c r="C34" s="395">
        <v>53361</v>
      </c>
      <c r="D34" s="395">
        <v>69699</v>
      </c>
      <c r="E34" s="397">
        <v>72435</v>
      </c>
      <c r="F34" s="29">
        <f t="shared" si="62"/>
        <v>72435</v>
      </c>
      <c r="G34" s="395">
        <v>82273</v>
      </c>
      <c r="H34" s="395">
        <v>85226</v>
      </c>
      <c r="I34" s="395">
        <v>119780</v>
      </c>
      <c r="J34" s="397">
        <v>100348</v>
      </c>
      <c r="K34" s="29">
        <f t="shared" si="63"/>
        <v>100348</v>
      </c>
      <c r="L34" s="395">
        <v>103509</v>
      </c>
      <c r="M34" s="395">
        <v>112391</v>
      </c>
      <c r="N34" s="395">
        <v>121731</v>
      </c>
      <c r="O34" s="397">
        <v>92574</v>
      </c>
      <c r="P34" s="29">
        <f t="shared" si="64"/>
        <v>92574</v>
      </c>
      <c r="Q34" s="395">
        <v>102685</v>
      </c>
      <c r="R34" s="395">
        <v>107149</v>
      </c>
      <c r="S34" s="395">
        <v>124676</v>
      </c>
      <c r="T34" s="397">
        <v>109495</v>
      </c>
      <c r="U34" s="29">
        <f t="shared" si="65"/>
        <v>109495</v>
      </c>
      <c r="V34" s="395">
        <v>77195</v>
      </c>
      <c r="W34" s="395">
        <v>100468</v>
      </c>
      <c r="X34" s="395">
        <v>106675</v>
      </c>
      <c r="Y34" s="397">
        <v>100997</v>
      </c>
      <c r="Z34" s="29">
        <f t="shared" si="66"/>
        <v>100997</v>
      </c>
      <c r="AA34" s="395">
        <v>75537</v>
      </c>
      <c r="AB34" s="395">
        <v>99030</v>
      </c>
      <c r="AC34" s="395">
        <v>96164</v>
      </c>
      <c r="AD34" s="397">
        <v>66333</v>
      </c>
      <c r="AE34" s="29">
        <f t="shared" si="67"/>
        <v>66333</v>
      </c>
      <c r="AF34" s="395">
        <v>54973</v>
      </c>
      <c r="AG34" s="395">
        <v>52839</v>
      </c>
      <c r="AH34" s="395">
        <v>62142</v>
      </c>
      <c r="AI34" s="397">
        <v>48920</v>
      </c>
      <c r="AJ34" s="29">
        <f t="shared" si="68"/>
        <v>48920</v>
      </c>
      <c r="AK34" s="395">
        <v>54449</v>
      </c>
      <c r="AL34" s="395">
        <v>49051</v>
      </c>
      <c r="AM34" s="395">
        <v>50521</v>
      </c>
      <c r="AN34" s="397">
        <v>42272</v>
      </c>
      <c r="AO34" s="29">
        <f t="shared" si="69"/>
        <v>42272</v>
      </c>
      <c r="AP34" s="395">
        <v>40626</v>
      </c>
      <c r="AQ34" s="395">
        <v>41578</v>
      </c>
      <c r="AR34" s="395">
        <v>47231</v>
      </c>
      <c r="AS34" s="397">
        <v>39463</v>
      </c>
      <c r="AT34" s="29">
        <f t="shared" si="70"/>
        <v>39463</v>
      </c>
      <c r="AU34" s="395">
        <v>43874</v>
      </c>
      <c r="AV34" s="395">
        <v>46365</v>
      </c>
      <c r="AW34" s="395">
        <v>56882</v>
      </c>
      <c r="AX34" s="397">
        <v>50882</v>
      </c>
      <c r="AY34" s="29">
        <f t="shared" si="71"/>
        <v>50882</v>
      </c>
      <c r="AZ34" s="395">
        <v>45509</v>
      </c>
      <c r="BA34" s="395">
        <v>60332</v>
      </c>
      <c r="BB34" s="395">
        <v>52416</v>
      </c>
      <c r="BC34" s="397">
        <v>49576</v>
      </c>
      <c r="BD34" s="29">
        <f t="shared" si="72"/>
        <v>49576</v>
      </c>
      <c r="BE34" s="395">
        <v>55645</v>
      </c>
      <c r="BF34" s="395">
        <v>79076</v>
      </c>
      <c r="BG34" s="395">
        <v>99447</v>
      </c>
      <c r="BH34" s="397">
        <v>108152</v>
      </c>
      <c r="BI34" s="29">
        <f t="shared" si="73"/>
        <v>108152</v>
      </c>
      <c r="BJ34" s="395">
        <v>109631</v>
      </c>
      <c r="BK34" s="395">
        <v>141391</v>
      </c>
      <c r="BL34" s="395">
        <v>168422</v>
      </c>
      <c r="BM34" s="397">
        <v>173528</v>
      </c>
      <c r="BN34" s="29">
        <f t="shared" si="74"/>
        <v>173528</v>
      </c>
      <c r="BO34" s="395">
        <v>161414</v>
      </c>
      <c r="BP34" s="395">
        <v>163418</v>
      </c>
      <c r="BQ34" s="395">
        <v>187533</v>
      </c>
      <c r="BR34" s="397">
        <v>183437</v>
      </c>
      <c r="BS34" s="29">
        <f t="shared" si="75"/>
        <v>183437</v>
      </c>
      <c r="BT34" s="395">
        <v>182106</v>
      </c>
      <c r="BU34" s="395">
        <v>203798</v>
      </c>
      <c r="BV34" s="395">
        <v>219203</v>
      </c>
      <c r="BW34" s="397">
        <v>225291</v>
      </c>
      <c r="BX34" s="29">
        <f t="shared" si="76"/>
        <v>225291</v>
      </c>
      <c r="BY34" s="395">
        <v>206360</v>
      </c>
      <c r="BZ34" s="395">
        <v>228241</v>
      </c>
      <c r="CA34" s="395">
        <f>264331</f>
        <v>264331</v>
      </c>
      <c r="CB34" s="397">
        <v>249310</v>
      </c>
      <c r="CC34" s="29">
        <f t="shared" si="77"/>
        <v>249310</v>
      </c>
      <c r="CD34" s="395">
        <f>220452</f>
        <v>220452</v>
      </c>
      <c r="CE34" s="397">
        <v>242902</v>
      </c>
      <c r="CF34" s="90">
        <f>CE34*CF12/CE12</f>
        <v>244908.20762545223</v>
      </c>
      <c r="CG34" s="70">
        <f>CF34*CG12/CF12</f>
        <v>246173.05262467562</v>
      </c>
      <c r="CH34" s="29">
        <f t="shared" si="78"/>
        <v>246173.05262467562</v>
      </c>
      <c r="CI34" s="90">
        <f>CH34*CI12/CH12</f>
        <v>248300.54104197794</v>
      </c>
      <c r="CJ34" s="90">
        <f>CI34*CJ12/CI12</f>
        <v>249955.74804807513</v>
      </c>
      <c r="CK34" s="90">
        <f>CJ34*CK12/CJ12</f>
        <v>251575.67996559138</v>
      </c>
      <c r="CL34" s="70">
        <f>CK34*CL12/CK12</f>
        <v>252748.45215489515</v>
      </c>
      <c r="CM34" s="29">
        <f t="shared" si="79"/>
        <v>252748.45215489515</v>
      </c>
      <c r="CN34" s="90">
        <f>CM34*CN12/CM12</f>
        <v>254549.16855111206</v>
      </c>
      <c r="CO34" s="90">
        <f>CN34*CO12/CN12</f>
        <v>257328.65264773965</v>
      </c>
      <c r="CP34" s="90">
        <f>CO34*CP12/CO12</f>
        <v>259706.02932902434</v>
      </c>
      <c r="CQ34" s="70">
        <f>CP34*CQ12/CP12</f>
        <v>260281.60693690149</v>
      </c>
      <c r="CR34" s="29">
        <f t="shared" si="80"/>
        <v>260281.60693690149</v>
      </c>
      <c r="CS34" s="90">
        <f>CR34*CS12/CR12</f>
        <v>261278.42897009721</v>
      </c>
      <c r="CT34" s="90">
        <f>CS34*CT12/CS12</f>
        <v>262980.33218890353</v>
      </c>
      <c r="CU34" s="90">
        <f>CT34*CU12/CT12</f>
        <v>264239.19780525827</v>
      </c>
      <c r="CV34" s="70">
        <f>CU34*CV12/CU12</f>
        <v>264091.67615227756</v>
      </c>
      <c r="CW34" s="29">
        <f t="shared" si="81"/>
        <v>264091.67615227756</v>
      </c>
      <c r="CX34" s="90">
        <f>CW34*CX12/CW12</f>
        <v>266108.50444006582</v>
      </c>
      <c r="CY34" s="90">
        <f>CX34*CY12/CX12</f>
        <v>264647.68707334931</v>
      </c>
      <c r="CZ34" s="90">
        <f>CY34*CZ12/CY12</f>
        <v>256923.99108933902</v>
      </c>
      <c r="DA34" s="70">
        <f>CZ34*DA12/CZ12</f>
        <v>240468.31979091596</v>
      </c>
      <c r="DB34" s="29">
        <f t="shared" si="82"/>
        <v>240468.31979091596</v>
      </c>
    </row>
    <row r="35" spans="1:106" ht="11.5" customHeight="1" x14ac:dyDescent="0.35">
      <c r="A35" s="19" t="s">
        <v>181</v>
      </c>
      <c r="B35" s="395">
        <v>64152</v>
      </c>
      <c r="C35" s="395">
        <v>295526</v>
      </c>
      <c r="D35" s="395">
        <v>307047</v>
      </c>
      <c r="E35" s="395">
        <v>244776</v>
      </c>
      <c r="F35" s="29">
        <f t="shared" si="62"/>
        <v>244776</v>
      </c>
      <c r="G35" s="395">
        <v>238525</v>
      </c>
      <c r="H35" s="395">
        <v>212901</v>
      </c>
      <c r="I35" s="395">
        <v>119249</v>
      </c>
      <c r="J35" s="395">
        <v>213156</v>
      </c>
      <c r="K35" s="29">
        <f t="shared" si="63"/>
        <v>213156</v>
      </c>
      <c r="L35" s="395">
        <v>198149</v>
      </c>
      <c r="M35" s="395">
        <v>188289</v>
      </c>
      <c r="N35" s="395">
        <v>181979</v>
      </c>
      <c r="O35" s="395">
        <v>287340</v>
      </c>
      <c r="P35" s="29">
        <f t="shared" si="64"/>
        <v>287340</v>
      </c>
      <c r="Q35" s="395">
        <f>117212+144000</f>
        <v>261212</v>
      </c>
      <c r="R35" s="395">
        <f>119291+177000</f>
        <v>296291</v>
      </c>
      <c r="S35" s="395">
        <v>305580</v>
      </c>
      <c r="T35" s="395">
        <v>286447</v>
      </c>
      <c r="U35" s="29">
        <f t="shared" si="65"/>
        <v>286447</v>
      </c>
      <c r="V35" s="395">
        <v>281168</v>
      </c>
      <c r="W35" s="395">
        <v>285467</v>
      </c>
      <c r="X35" s="395">
        <v>260444</v>
      </c>
      <c r="Y35" s="395">
        <v>281602</v>
      </c>
      <c r="Z35" s="29">
        <f t="shared" si="66"/>
        <v>281602</v>
      </c>
      <c r="AA35" s="395">
        <v>259910</v>
      </c>
      <c r="AB35" s="395">
        <v>245594</v>
      </c>
      <c r="AC35" s="395">
        <v>182832</v>
      </c>
      <c r="AD35" s="395">
        <v>174693</v>
      </c>
      <c r="AE35" s="29">
        <f t="shared" si="67"/>
        <v>174693</v>
      </c>
      <c r="AF35" s="395">
        <v>137906</v>
      </c>
      <c r="AG35" s="395">
        <v>127764</v>
      </c>
      <c r="AH35" s="395">
        <v>72835</v>
      </c>
      <c r="AI35" s="395">
        <v>74086</v>
      </c>
      <c r="AJ35" s="29">
        <f t="shared" si="68"/>
        <v>74086</v>
      </c>
      <c r="AK35" s="395">
        <v>82498</v>
      </c>
      <c r="AL35" s="395">
        <v>118082</v>
      </c>
      <c r="AM35" s="395">
        <v>102694</v>
      </c>
      <c r="AN35" s="395">
        <v>124785</v>
      </c>
      <c r="AO35" s="29">
        <f t="shared" si="69"/>
        <v>124785</v>
      </c>
      <c r="AP35" s="395">
        <v>153489</v>
      </c>
      <c r="AQ35" s="395">
        <v>185743</v>
      </c>
      <c r="AR35" s="395">
        <v>139926</v>
      </c>
      <c r="AS35" s="395">
        <v>134547</v>
      </c>
      <c r="AT35" s="29">
        <f t="shared" si="70"/>
        <v>134547</v>
      </c>
      <c r="AU35" s="395">
        <v>134172</v>
      </c>
      <c r="AV35" s="395">
        <v>143328</v>
      </c>
      <c r="AW35" s="395">
        <v>140901</v>
      </c>
      <c r="AX35" s="395">
        <v>148366</v>
      </c>
      <c r="AY35" s="29">
        <f t="shared" si="71"/>
        <v>148366</v>
      </c>
      <c r="AZ35" s="395">
        <v>162167</v>
      </c>
      <c r="BA35" s="395">
        <v>120706</v>
      </c>
      <c r="BB35" s="395">
        <v>62370</v>
      </c>
      <c r="BC35" s="395">
        <v>147066</v>
      </c>
      <c r="BD35" s="29">
        <f t="shared" si="72"/>
        <v>147066</v>
      </c>
      <c r="BE35" s="395">
        <v>138922</v>
      </c>
      <c r="BF35" s="395">
        <v>197699</v>
      </c>
      <c r="BG35" s="395">
        <v>206968</v>
      </c>
      <c r="BH35" s="395">
        <v>180459</v>
      </c>
      <c r="BI35" s="29">
        <f t="shared" si="73"/>
        <v>180459</v>
      </c>
      <c r="BJ35" s="395">
        <v>187687</v>
      </c>
      <c r="BK35" s="395">
        <v>181584</v>
      </c>
      <c r="BL35" s="395">
        <v>160596</v>
      </c>
      <c r="BM35" s="395">
        <v>121544</v>
      </c>
      <c r="BN35" s="29">
        <f t="shared" si="74"/>
        <v>121544</v>
      </c>
      <c r="BO35" s="395">
        <v>214119</v>
      </c>
      <c r="BP35" s="395">
        <v>206770</v>
      </c>
      <c r="BQ35" s="395">
        <v>196348</v>
      </c>
      <c r="BR35" s="395">
        <v>154563</v>
      </c>
      <c r="BS35" s="29">
        <f t="shared" si="75"/>
        <v>154563</v>
      </c>
      <c r="BT35" s="395">
        <v>160111</v>
      </c>
      <c r="BU35" s="395">
        <v>139975</v>
      </c>
      <c r="BV35" s="395">
        <v>91715</v>
      </c>
      <c r="BW35" s="395">
        <f>39579+26556</f>
        <v>66135</v>
      </c>
      <c r="BX35" s="29">
        <f t="shared" si="76"/>
        <v>66135</v>
      </c>
      <c r="BY35" s="417">
        <v>40718</v>
      </c>
      <c r="BZ35" s="395">
        <f>31104+84310</f>
        <v>115414</v>
      </c>
      <c r="CA35" s="395">
        <f>269200+50464</f>
        <v>319664</v>
      </c>
      <c r="CB35" s="395">
        <f>35222+38748</f>
        <v>73970</v>
      </c>
      <c r="CC35" s="29">
        <f t="shared" si="77"/>
        <v>73970</v>
      </c>
      <c r="CD35" s="395">
        <f>40332+44164</f>
        <v>84496</v>
      </c>
      <c r="CE35" s="395">
        <f>160497+64162</f>
        <v>224659</v>
      </c>
      <c r="CF35" s="70">
        <f>CF114</f>
        <v>224096.2769764876</v>
      </c>
      <c r="CG35" s="70">
        <f>CG114</f>
        <v>230562.25478721136</v>
      </c>
      <c r="CH35" s="29">
        <f t="shared" si="78"/>
        <v>230562.25478721136</v>
      </c>
      <c r="CI35" s="70">
        <f>CI114</f>
        <v>241856.79759731347</v>
      </c>
      <c r="CJ35" s="70">
        <f>CJ114</f>
        <v>244462.8890432661</v>
      </c>
      <c r="CK35" s="70">
        <f>CK114</f>
        <v>251463.81908430878</v>
      </c>
      <c r="CL35" s="70">
        <f>CL114</f>
        <v>258262.31464643785</v>
      </c>
      <c r="CM35" s="29">
        <f t="shared" si="79"/>
        <v>258262.31464643785</v>
      </c>
      <c r="CN35" s="70">
        <f>CN114</f>
        <v>258811.20918026194</v>
      </c>
      <c r="CO35" s="70">
        <f>CO114</f>
        <v>262773.2915778266</v>
      </c>
      <c r="CP35" s="70">
        <f>CP114</f>
        <v>267030.92239413381</v>
      </c>
      <c r="CQ35" s="70">
        <f>CQ114</f>
        <v>276650.80067428097</v>
      </c>
      <c r="CR35" s="29">
        <f t="shared" si="80"/>
        <v>276650.80067428097</v>
      </c>
      <c r="CS35" s="70">
        <f>CS114</f>
        <v>279798.32869495521</v>
      </c>
      <c r="CT35" s="70">
        <f>CT114</f>
        <v>282844.17008486285</v>
      </c>
      <c r="CU35" s="70">
        <f>CU114</f>
        <v>286007.82481489045</v>
      </c>
      <c r="CV35" s="70">
        <f>CV114</f>
        <v>289537.00795555447</v>
      </c>
      <c r="CW35" s="29">
        <f t="shared" si="81"/>
        <v>289537.00795555447</v>
      </c>
      <c r="CX35" s="70">
        <f>CX114</f>
        <v>289196.7644645914</v>
      </c>
      <c r="CY35" s="70">
        <f>CY114</f>
        <v>289549.90900681185</v>
      </c>
      <c r="CZ35" s="70">
        <f>CZ114</f>
        <v>290614.74663276394</v>
      </c>
      <c r="DA35" s="70">
        <f>DA114</f>
        <v>292374.4433754182</v>
      </c>
      <c r="DB35" s="29">
        <f t="shared" si="82"/>
        <v>292374.4433754182</v>
      </c>
    </row>
    <row r="36" spans="1:106" ht="11.5" customHeight="1" x14ac:dyDescent="0.35">
      <c r="A36" s="19" t="s">
        <v>248</v>
      </c>
      <c r="B36" s="395">
        <f>204494+143346+2019691-B35</f>
        <v>2303379</v>
      </c>
      <c r="C36" s="395">
        <f>213855+133925+2169462-C35</f>
        <v>2221716</v>
      </c>
      <c r="D36" s="395">
        <f>285019+109635+1673474+389397-D35</f>
        <v>2150478</v>
      </c>
      <c r="E36" s="397">
        <f>341835+123164+552874+1518142-E35</f>
        <v>2291239</v>
      </c>
      <c r="F36" s="29">
        <f t="shared" si="62"/>
        <v>2291239</v>
      </c>
      <c r="G36" s="395">
        <f>1452639+360112+138639+541892-G35</f>
        <v>2254757</v>
      </c>
      <c r="H36" s="395">
        <f>1609848+369031+162030+387710-H35</f>
        <v>2315718</v>
      </c>
      <c r="I36" s="395">
        <f>415468+1587368+160975+393044-I35</f>
        <v>2437606</v>
      </c>
      <c r="J36" s="397">
        <f>334322+1423196+132288+558867-J35</f>
        <v>2235517</v>
      </c>
      <c r="K36" s="29">
        <f t="shared" si="63"/>
        <v>2235517</v>
      </c>
      <c r="L36" s="395">
        <f>279376+1425932+120268+515325-L35</f>
        <v>2142752</v>
      </c>
      <c r="M36" s="395">
        <f>1425287+249033+516957+116837-M35</f>
        <v>2119825</v>
      </c>
      <c r="N36" s="395">
        <f>1306279+250678+98794+599452-N35</f>
        <v>2073224</v>
      </c>
      <c r="O36" s="397">
        <f>1222140+257772+447035-O35</f>
        <v>1639607</v>
      </c>
      <c r="P36" s="29">
        <f t="shared" si="64"/>
        <v>1639607</v>
      </c>
      <c r="Q36" s="395">
        <f>1096033+281069+83377+512822-Q35</f>
        <v>1712089</v>
      </c>
      <c r="R36" s="395">
        <f>1081084+292798+522727-R35</f>
        <v>1600318</v>
      </c>
      <c r="S36" s="395">
        <f>1234160+387308</f>
        <v>1621468</v>
      </c>
      <c r="T36" s="397">
        <f>1247584+515445</f>
        <v>1763029</v>
      </c>
      <c r="U36" s="29">
        <f t="shared" si="65"/>
        <v>1763029</v>
      </c>
      <c r="V36" s="395">
        <f>1051488+417804</f>
        <v>1469292</v>
      </c>
      <c r="W36" s="395">
        <f>905208+389438</f>
        <v>1294646</v>
      </c>
      <c r="X36" s="395">
        <f>1003985+418578</f>
        <v>1422563</v>
      </c>
      <c r="Y36" s="397">
        <f>984045+392773</f>
        <v>1376818</v>
      </c>
      <c r="Z36" s="29">
        <f t="shared" si="66"/>
        <v>1376818</v>
      </c>
      <c r="AA36" s="395">
        <f>962615+394275</f>
        <v>1356890</v>
      </c>
      <c r="AB36" s="395">
        <f>932621+347386</f>
        <v>1280007</v>
      </c>
      <c r="AC36" s="395">
        <f>862203+303377</f>
        <v>1165580</v>
      </c>
      <c r="AD36" s="397">
        <f>708988+210472</f>
        <v>919460</v>
      </c>
      <c r="AE36" s="29">
        <f t="shared" si="67"/>
        <v>919460</v>
      </c>
      <c r="AF36" s="395">
        <f>654307+211409</f>
        <v>865716</v>
      </c>
      <c r="AG36" s="395">
        <f>548053+190381</f>
        <v>738434</v>
      </c>
      <c r="AH36" s="395">
        <f>503204+176878</f>
        <v>680082</v>
      </c>
      <c r="AI36" s="397">
        <f>479932+161457</f>
        <v>641389</v>
      </c>
      <c r="AJ36" s="29">
        <f t="shared" si="68"/>
        <v>641389</v>
      </c>
      <c r="AK36" s="395">
        <f>423534+137263</f>
        <v>560797</v>
      </c>
      <c r="AL36" s="395">
        <f>384294+237434</f>
        <v>621728</v>
      </c>
      <c r="AM36" s="395">
        <f>369315+236688</f>
        <v>606003</v>
      </c>
      <c r="AN36" s="397">
        <f>348896+233371</f>
        <v>582267</v>
      </c>
      <c r="AO36" s="29">
        <f t="shared" si="69"/>
        <v>582267</v>
      </c>
      <c r="AP36" s="395">
        <f>351912+274938</f>
        <v>626850</v>
      </c>
      <c r="AQ36" s="395">
        <f>442600+253225</f>
        <v>695825</v>
      </c>
      <c r="AR36" s="395">
        <f>595437+295047</f>
        <v>890484</v>
      </c>
      <c r="AS36" s="397">
        <f>529739+420128</f>
        <v>949867</v>
      </c>
      <c r="AT36" s="29">
        <f t="shared" si="70"/>
        <v>949867</v>
      </c>
      <c r="AU36" s="395">
        <f>551008+451398</f>
        <v>1002406</v>
      </c>
      <c r="AV36" s="395">
        <f>571579+481897</f>
        <v>1053476</v>
      </c>
      <c r="AW36" s="395">
        <f>586105+461507</f>
        <v>1047612</v>
      </c>
      <c r="AX36" s="397">
        <f>700471+557068</f>
        <v>1257539</v>
      </c>
      <c r="AY36" s="29">
        <f t="shared" si="71"/>
        <v>1257539</v>
      </c>
      <c r="AZ36" s="395">
        <f>802960+682530</f>
        <v>1485490</v>
      </c>
      <c r="BA36" s="395">
        <f>895840+749473</f>
        <v>1645313</v>
      </c>
      <c r="BB36" s="395">
        <f>695588+409112</f>
        <v>1104700</v>
      </c>
      <c r="BC36" s="397">
        <f>807806+515762</f>
        <v>1323568</v>
      </c>
      <c r="BD36" s="29">
        <f t="shared" si="72"/>
        <v>1323568</v>
      </c>
      <c r="BE36" s="395">
        <f>718533+542839</f>
        <v>1261372</v>
      </c>
      <c r="BF36" s="395">
        <f>836552+551861</f>
        <v>1388413</v>
      </c>
      <c r="BG36" s="395">
        <f>1061928+641879</f>
        <v>1703807</v>
      </c>
      <c r="BH36" s="397">
        <f>943256+794544</f>
        <v>1737800</v>
      </c>
      <c r="BI36" s="29">
        <f t="shared" si="73"/>
        <v>1737800</v>
      </c>
      <c r="BJ36" s="395">
        <f>996960+823149</f>
        <v>1820109</v>
      </c>
      <c r="BK36" s="395">
        <f>972010+737312</f>
        <v>1709322</v>
      </c>
      <c r="BL36" s="395">
        <f>1135396+807378</f>
        <v>1942774</v>
      </c>
      <c r="BM36" s="397">
        <f>1018264+765254</f>
        <v>1783518</v>
      </c>
      <c r="BN36" s="29">
        <f t="shared" si="74"/>
        <v>1783518</v>
      </c>
      <c r="BO36" s="395">
        <f>953276+690099</f>
        <v>1643375</v>
      </c>
      <c r="BP36" s="395">
        <f>880638+748784</f>
        <v>1629422</v>
      </c>
      <c r="BQ36" s="395">
        <f>798504+793393</f>
        <v>1591897</v>
      </c>
      <c r="BR36" s="397">
        <f>740679+854180</f>
        <v>1594859</v>
      </c>
      <c r="BS36" s="29">
        <f t="shared" si="75"/>
        <v>1594859</v>
      </c>
      <c r="BT36" s="395">
        <f>721565+870477</f>
        <v>1592042</v>
      </c>
      <c r="BU36" s="395">
        <f>671023+890427</f>
        <v>1561450</v>
      </c>
      <c r="BV36" s="395">
        <f>764957+1251612</f>
        <v>2016569</v>
      </c>
      <c r="BW36" s="397">
        <f>129382+802214+832258+1202362-BW35</f>
        <v>2900081</v>
      </c>
      <c r="BX36" s="29">
        <f t="shared" si="76"/>
        <v>2900081</v>
      </c>
      <c r="BY36" s="395">
        <f>855462+2075534</f>
        <v>2930996</v>
      </c>
      <c r="BZ36" s="395">
        <f>192644+700026+964216+1344477-BZ35</f>
        <v>3085949</v>
      </c>
      <c r="CA36" s="395">
        <f>1060714+620722+1467141</f>
        <v>3148577</v>
      </c>
      <c r="CB36" s="397">
        <f>134918+948437+1006142+1995202-CB35</f>
        <v>4010729</v>
      </c>
      <c r="CC36" s="29">
        <f t="shared" si="77"/>
        <v>4010729</v>
      </c>
      <c r="CD36" s="395">
        <f>146253+1145805-CD35+1828586+959208</f>
        <v>3995356</v>
      </c>
      <c r="CE36" s="397">
        <f>296822+1207658+890790+1979282-CE35</f>
        <v>4149893</v>
      </c>
      <c r="CF36" s="70">
        <f>CF111</f>
        <v>4218351.4395413082</v>
      </c>
      <c r="CG36" s="70">
        <f>CG111</f>
        <v>4251662.8198580109</v>
      </c>
      <c r="CH36" s="29">
        <f t="shared" si="78"/>
        <v>4251662.8198580109</v>
      </c>
      <c r="CI36" s="70">
        <f>CI111</f>
        <v>4286573.5616778051</v>
      </c>
      <c r="CJ36" s="70">
        <f>CJ111</f>
        <v>4310673.8445232827</v>
      </c>
      <c r="CK36" s="70">
        <f>CK111</f>
        <v>4323571.6254326627</v>
      </c>
      <c r="CL36" s="70">
        <f>CL111</f>
        <v>4323115.9406281644</v>
      </c>
      <c r="CM36" s="29">
        <f t="shared" si="79"/>
        <v>4323115.9406281644</v>
      </c>
      <c r="CN36" s="70">
        <f>CN111</f>
        <v>4335808.3905864768</v>
      </c>
      <c r="CO36" s="70">
        <f>CO111</f>
        <v>4357170.060023413</v>
      </c>
      <c r="CP36" s="70">
        <f>CP111</f>
        <v>4371083.4366170308</v>
      </c>
      <c r="CQ36" s="70">
        <f>CQ111</f>
        <v>4364986.6597840013</v>
      </c>
      <c r="CR36" s="29">
        <f t="shared" si="80"/>
        <v>4364986.6597840013</v>
      </c>
      <c r="CS36" s="70">
        <f>CS111</f>
        <v>4376548.1072471756</v>
      </c>
      <c r="CT36" s="70">
        <f>CT111</f>
        <v>4405699.0278872959</v>
      </c>
      <c r="CU36" s="70">
        <f>CU111</f>
        <v>4428747.3752686074</v>
      </c>
      <c r="CV36" s="70">
        <f>CV111</f>
        <v>4422556.5675984379</v>
      </c>
      <c r="CW36" s="29">
        <f t="shared" si="81"/>
        <v>4422556.5675984379</v>
      </c>
      <c r="CX36" s="70">
        <f>CX111</f>
        <v>4459710.3824466132</v>
      </c>
      <c r="CY36" s="70">
        <f>CY111</f>
        <v>4432999.4790376257</v>
      </c>
      <c r="CZ36" s="70">
        <f>CZ111</f>
        <v>4278720.456355432</v>
      </c>
      <c r="DA36" s="70">
        <f>DA111</f>
        <v>3942365.9305834989</v>
      </c>
      <c r="DB36" s="29">
        <f t="shared" si="82"/>
        <v>3942365.9305834989</v>
      </c>
    </row>
    <row r="37" spans="1:106" ht="11.5" customHeight="1" x14ac:dyDescent="0.35">
      <c r="A37" s="19" t="s">
        <v>177</v>
      </c>
      <c r="B37" s="397">
        <v>120621</v>
      </c>
      <c r="C37" s="397">
        <v>126276</v>
      </c>
      <c r="D37" s="397">
        <v>114030</v>
      </c>
      <c r="E37" s="397">
        <f>90015+9183+18815</f>
        <v>118013</v>
      </c>
      <c r="F37" s="29">
        <f t="shared" si="62"/>
        <v>118013</v>
      </c>
      <c r="G37" s="397">
        <f>79805+9254+19919</f>
        <v>108978</v>
      </c>
      <c r="H37" s="397">
        <f>87745+20789</f>
        <v>108534</v>
      </c>
      <c r="I37" s="397">
        <f>82642+23119</f>
        <v>105761</v>
      </c>
      <c r="J37" s="397">
        <f>110759+30208</f>
        <v>140967</v>
      </c>
      <c r="K37" s="29">
        <f t="shared" si="63"/>
        <v>140967</v>
      </c>
      <c r="L37" s="397">
        <f>76028+30373</f>
        <v>106401</v>
      </c>
      <c r="M37" s="397">
        <f>74770+34142</f>
        <v>108912</v>
      </c>
      <c r="N37" s="397">
        <f>70810+42224</f>
        <v>113034</v>
      </c>
      <c r="O37" s="397">
        <f>74571+59638-12224</f>
        <v>121985</v>
      </c>
      <c r="P37" s="29">
        <f t="shared" si="64"/>
        <v>121985</v>
      </c>
      <c r="Q37" s="397">
        <f>AVERAGE(P37,R37)</f>
        <v>117144</v>
      </c>
      <c r="R37" s="397">
        <f>55147+71183-14027</f>
        <v>112303</v>
      </c>
      <c r="S37" s="397">
        <f>49704+79754-21964</f>
        <v>107494</v>
      </c>
      <c r="T37" s="397">
        <f>64563+92570-25012</f>
        <v>132121</v>
      </c>
      <c r="U37" s="29">
        <f t="shared" si="65"/>
        <v>132121</v>
      </c>
      <c r="V37" s="397">
        <f>64404+95783-34880</f>
        <v>125307</v>
      </c>
      <c r="W37" s="397">
        <f>51244+101113-48309</f>
        <v>104048</v>
      </c>
      <c r="X37" s="397">
        <f>62587+123820-70767</f>
        <v>115640</v>
      </c>
      <c r="Y37" s="397">
        <f>57162+164404-104328</f>
        <v>117238</v>
      </c>
      <c r="Z37" s="29">
        <f t="shared" si="66"/>
        <v>117238</v>
      </c>
      <c r="AA37" s="397">
        <f>59699+185778-104522</f>
        <v>140955</v>
      </c>
      <c r="AB37" s="397">
        <f>40323+176380-105169</f>
        <v>111534</v>
      </c>
      <c r="AC37" s="397">
        <f>40979+176438-105169</f>
        <v>112248</v>
      </c>
      <c r="AD37" s="397">
        <f>32137+201657-102632</f>
        <v>131162</v>
      </c>
      <c r="AE37" s="29">
        <f t="shared" si="67"/>
        <v>131162</v>
      </c>
      <c r="AF37" s="397">
        <f>33732+205864-119238</f>
        <v>120358</v>
      </c>
      <c r="AG37" s="397">
        <f>30670+208821-121881</f>
        <v>117610</v>
      </c>
      <c r="AH37" s="397">
        <f>26227+209333-112983</f>
        <v>122577</v>
      </c>
      <c r="AI37" s="397">
        <f>16789+213958-107692</f>
        <v>123055</v>
      </c>
      <c r="AJ37" s="29">
        <f t="shared" si="68"/>
        <v>123055</v>
      </c>
      <c r="AK37" s="397">
        <f>32051+224038-118430</f>
        <v>137659</v>
      </c>
      <c r="AL37" s="397">
        <f>29854+187344-114380</f>
        <v>102818</v>
      </c>
      <c r="AM37" s="397">
        <f>28893+167204-98410</f>
        <v>97687</v>
      </c>
      <c r="AN37" s="397">
        <f>32588+143806-88550</f>
        <v>87844</v>
      </c>
      <c r="AO37" s="29">
        <f t="shared" si="69"/>
        <v>87844</v>
      </c>
      <c r="AP37" s="397">
        <f>25202+106561-70985</f>
        <v>60778</v>
      </c>
      <c r="AQ37" s="397">
        <f>27020+119654-77948</f>
        <v>68726</v>
      </c>
      <c r="AR37" s="397">
        <f>28684+130839-84548</f>
        <v>74975</v>
      </c>
      <c r="AS37" s="397">
        <f>27085+55625</f>
        <v>82710</v>
      </c>
      <c r="AT37" s="29">
        <f t="shared" si="70"/>
        <v>82710</v>
      </c>
      <c r="AU37" s="397">
        <f>29775+59340</f>
        <v>89115</v>
      </c>
      <c r="AV37" s="397">
        <f>31219+51540</f>
        <v>82759</v>
      </c>
      <c r="AW37" s="397">
        <f>35565+40400</f>
        <v>75965</v>
      </c>
      <c r="AX37" s="397">
        <f>28226+64866</f>
        <v>93092</v>
      </c>
      <c r="AY37" s="29">
        <f t="shared" si="71"/>
        <v>93092</v>
      </c>
      <c r="AZ37" s="397">
        <f>33273+78562</f>
        <v>111835</v>
      </c>
      <c r="BA37" s="397">
        <f>25674+85867</f>
        <v>111541</v>
      </c>
      <c r="BB37" s="397">
        <f>139093+83552</f>
        <v>222645</v>
      </c>
      <c r="BC37" s="397">
        <f>30238+84333</f>
        <v>114571</v>
      </c>
      <c r="BD37" s="29">
        <f t="shared" si="72"/>
        <v>114571</v>
      </c>
      <c r="BE37" s="397">
        <f>30510+89627</f>
        <v>120137</v>
      </c>
      <c r="BF37" s="397">
        <f>35636+89145</f>
        <v>124781</v>
      </c>
      <c r="BG37" s="397">
        <f>31775+105535</f>
        <v>137310</v>
      </c>
      <c r="BH37" s="397">
        <f>42040+106013</f>
        <v>148053</v>
      </c>
      <c r="BI37" s="29">
        <f t="shared" si="73"/>
        <v>148053</v>
      </c>
      <c r="BJ37" s="397">
        <f>50289+121115</f>
        <v>171404</v>
      </c>
      <c r="BK37" s="397">
        <f>42569+126794</f>
        <v>169363</v>
      </c>
      <c r="BL37" s="397">
        <f>47968+107044</f>
        <v>155012</v>
      </c>
      <c r="BM37" s="397">
        <f>56010+108411</f>
        <v>164421</v>
      </c>
      <c r="BN37" s="29">
        <f t="shared" si="74"/>
        <v>164421</v>
      </c>
      <c r="BO37" s="397">
        <f>63039+111137</f>
        <v>174176</v>
      </c>
      <c r="BP37" s="397">
        <f>46736+120533</f>
        <v>167269</v>
      </c>
      <c r="BQ37" s="397">
        <f>51692+108431</f>
        <v>160123</v>
      </c>
      <c r="BR37" s="397">
        <f>50559+97841</f>
        <v>148400</v>
      </c>
      <c r="BS37" s="29">
        <f t="shared" si="75"/>
        <v>148400</v>
      </c>
      <c r="BT37" s="397">
        <f>46062+104700</f>
        <v>150762</v>
      </c>
      <c r="BU37" s="397">
        <f>46336+106257</f>
        <v>152593</v>
      </c>
      <c r="BV37" s="397">
        <f>63994+111751</f>
        <v>175745</v>
      </c>
      <c r="BW37" s="397">
        <f>71768+93964</f>
        <v>165732</v>
      </c>
      <c r="BX37" s="29">
        <f t="shared" si="76"/>
        <v>165732</v>
      </c>
      <c r="BY37" s="397">
        <f>57194+95686</f>
        <v>152880</v>
      </c>
      <c r="BZ37" s="397">
        <f>69490+86552</f>
        <v>156042</v>
      </c>
      <c r="CA37" s="397">
        <f>85068</f>
        <v>85068</v>
      </c>
      <c r="CB37" s="397">
        <f>106789+72431</f>
        <v>179220</v>
      </c>
      <c r="CC37" s="29">
        <f t="shared" si="77"/>
        <v>179220</v>
      </c>
      <c r="CD37" s="397">
        <f>70285+68185</f>
        <v>138470</v>
      </c>
      <c r="CE37" s="397">
        <f>69272+66234</f>
        <v>135506</v>
      </c>
      <c r="CF37" s="70">
        <f>CF128</f>
        <v>135166.58628399452</v>
      </c>
      <c r="CG37" s="70">
        <f>CG128</f>
        <v>139066.62496136749</v>
      </c>
      <c r="CH37" s="29">
        <f t="shared" si="78"/>
        <v>139066.62496136749</v>
      </c>
      <c r="CI37" s="70">
        <f>CI128</f>
        <v>145879.07546646945</v>
      </c>
      <c r="CJ37" s="70">
        <f>CJ128</f>
        <v>147450.9734428481</v>
      </c>
      <c r="CK37" s="70">
        <f>CK128</f>
        <v>151673.67552084866</v>
      </c>
      <c r="CL37" s="70">
        <f>CL128</f>
        <v>155774.27660801573</v>
      </c>
      <c r="CM37" s="29">
        <f t="shared" si="79"/>
        <v>155774.27660801573</v>
      </c>
      <c r="CN37" s="70">
        <f>CN128</f>
        <v>156105.34949047476</v>
      </c>
      <c r="CO37" s="70">
        <f>CO128</f>
        <v>158495.13105882678</v>
      </c>
      <c r="CP37" s="70">
        <f>CP128</f>
        <v>161063.1765027864</v>
      </c>
      <c r="CQ37" s="70">
        <f>CQ128</f>
        <v>166865.53129929857</v>
      </c>
      <c r="CR37" s="29">
        <f t="shared" si="80"/>
        <v>166865.53129929857</v>
      </c>
      <c r="CS37" s="70">
        <f>CS128</f>
        <v>168764.00379303121</v>
      </c>
      <c r="CT37" s="70">
        <f>CT128</f>
        <v>170601.14267186902</v>
      </c>
      <c r="CU37" s="70">
        <f>CU128</f>
        <v>172509.34220025258</v>
      </c>
      <c r="CV37" s="70">
        <f>CV128</f>
        <v>174638.0149472105</v>
      </c>
      <c r="CW37" s="29">
        <f t="shared" si="81"/>
        <v>174638.0149472105</v>
      </c>
      <c r="CX37" s="70">
        <f>CX128</f>
        <v>174432.79265704431</v>
      </c>
      <c r="CY37" s="70">
        <f>CY128</f>
        <v>174645.7963841958</v>
      </c>
      <c r="CZ37" s="70">
        <f>CZ128</f>
        <v>175288.06705816061</v>
      </c>
      <c r="DA37" s="70">
        <f>DA128</f>
        <v>176349.4510526149</v>
      </c>
      <c r="DB37" s="29">
        <f t="shared" si="82"/>
        <v>176349.4510526149</v>
      </c>
    </row>
    <row r="38" spans="1:106" ht="11.5" customHeight="1" x14ac:dyDescent="0.35">
      <c r="A38" s="19" t="s">
        <v>178</v>
      </c>
      <c r="B38" s="397">
        <v>361490</v>
      </c>
      <c r="C38" s="397">
        <v>369451</v>
      </c>
      <c r="D38" s="397">
        <v>381513</v>
      </c>
      <c r="E38" s="397">
        <f>263151+138494</f>
        <v>401645</v>
      </c>
      <c r="F38" s="29">
        <f t="shared" si="62"/>
        <v>401645</v>
      </c>
      <c r="G38" s="397">
        <f>245848+160705</f>
        <v>406553</v>
      </c>
      <c r="H38" s="397">
        <f>151208+253101</f>
        <v>404309</v>
      </c>
      <c r="I38" s="397">
        <f>262240+143294</f>
        <v>405534</v>
      </c>
      <c r="J38" s="397">
        <f>314882+121136</f>
        <v>436018</v>
      </c>
      <c r="K38" s="29">
        <f t="shared" si="63"/>
        <v>436018</v>
      </c>
      <c r="L38" s="397">
        <f>318339+136058</f>
        <v>454397</v>
      </c>
      <c r="M38" s="397">
        <f xml:space="preserve"> 280516+165718</f>
        <v>446234</v>
      </c>
      <c r="N38" s="397">
        <f>112274+337145</f>
        <v>449419</v>
      </c>
      <c r="O38" s="397">
        <f>226118+87305</f>
        <v>313423</v>
      </c>
      <c r="P38" s="29">
        <f t="shared" si="64"/>
        <v>313423</v>
      </c>
      <c r="Q38" s="397">
        <f>222211+72015</f>
        <v>294226</v>
      </c>
      <c r="R38" s="397">
        <f>206996+59948</f>
        <v>266944</v>
      </c>
      <c r="S38" s="397">
        <f>210724+53303</f>
        <v>264027</v>
      </c>
      <c r="T38" s="397">
        <f>213365+49370</f>
        <v>262735</v>
      </c>
      <c r="U38" s="29">
        <f t="shared" si="65"/>
        <v>262735</v>
      </c>
      <c r="V38" s="397">
        <f>194540+41758</f>
        <v>236298</v>
      </c>
      <c r="W38" s="397">
        <f>196559+37275</f>
        <v>233834</v>
      </c>
      <c r="X38" s="397">
        <f>181671+34674</f>
        <v>216345</v>
      </c>
      <c r="Y38" s="397">
        <f>175516+36785</f>
        <v>212301</v>
      </c>
      <c r="Z38" s="29">
        <f t="shared" si="66"/>
        <v>212301</v>
      </c>
      <c r="AA38" s="397">
        <f>153278+37621</f>
        <v>190899</v>
      </c>
      <c r="AB38" s="397">
        <f>137834+40839</f>
        <v>178673</v>
      </c>
      <c r="AC38" s="397">
        <f>138772+39182</f>
        <v>177954</v>
      </c>
      <c r="AD38" s="397">
        <f>127025+39720</f>
        <v>166745</v>
      </c>
      <c r="AE38" s="29">
        <f t="shared" si="67"/>
        <v>166745</v>
      </c>
      <c r="AF38" s="397">
        <f>123796+37938</f>
        <v>161734</v>
      </c>
      <c r="AG38" s="397">
        <f>114286+35844</f>
        <v>150130</v>
      </c>
      <c r="AH38" s="397">
        <f>112585+36963</f>
        <v>149548</v>
      </c>
      <c r="AI38" s="397">
        <f>110168+36930</f>
        <v>147098</v>
      </c>
      <c r="AJ38" s="29">
        <f t="shared" si="68"/>
        <v>147098</v>
      </c>
      <c r="AK38" s="397">
        <f>106403+32227</f>
        <v>138630</v>
      </c>
      <c r="AL38" s="397">
        <f>99614+23481</f>
        <v>123095</v>
      </c>
      <c r="AM38" s="397">
        <f>89351+20687</f>
        <v>110038</v>
      </c>
      <c r="AN38" s="397">
        <f>85989+24621</f>
        <v>110610</v>
      </c>
      <c r="AO38" s="29">
        <f t="shared" si="69"/>
        <v>110610</v>
      </c>
      <c r="AP38" s="397">
        <f>77231+25291</f>
        <v>102522</v>
      </c>
      <c r="AQ38" s="397">
        <f>70612+27328</f>
        <v>97940</v>
      </c>
      <c r="AR38" s="397">
        <f>33789+57698</f>
        <v>91487</v>
      </c>
      <c r="AS38" s="397">
        <f>19974+61537</f>
        <v>81511</v>
      </c>
      <c r="AT38" s="29">
        <f t="shared" si="70"/>
        <v>81511</v>
      </c>
      <c r="AU38" s="397">
        <f>30023+51788</f>
        <v>81811</v>
      </c>
      <c r="AV38" s="397">
        <f>27830+52997</f>
        <v>80827</v>
      </c>
      <c r="AW38" s="397">
        <f>26559+52563</f>
        <v>79122</v>
      </c>
      <c r="AX38" s="397">
        <f>30140+56275</f>
        <v>86415</v>
      </c>
      <c r="AY38" s="29">
        <f t="shared" si="71"/>
        <v>86415</v>
      </c>
      <c r="AZ38" s="397">
        <f>30196+54530</f>
        <v>84726</v>
      </c>
      <c r="BA38" s="397">
        <f>29162+60964</f>
        <v>90126</v>
      </c>
      <c r="BB38" s="397">
        <f>28360+319665</f>
        <v>348025</v>
      </c>
      <c r="BC38" s="397">
        <f>28801+314127</f>
        <v>342928</v>
      </c>
      <c r="BD38" s="29">
        <f t="shared" si="72"/>
        <v>342928</v>
      </c>
      <c r="BE38" s="397">
        <f>30327+314562</f>
        <v>344889</v>
      </c>
      <c r="BF38" s="397">
        <f>32736+310707</f>
        <v>343443</v>
      </c>
      <c r="BG38" s="397">
        <f>35971+312665</f>
        <v>348636</v>
      </c>
      <c r="BH38" s="397">
        <f>36955+309068</f>
        <v>346023</v>
      </c>
      <c r="BI38" s="29">
        <f t="shared" si="73"/>
        <v>346023</v>
      </c>
      <c r="BJ38" s="397">
        <f>39342+308695</f>
        <v>348037</v>
      </c>
      <c r="BK38" s="397">
        <f>41592+311755</f>
        <v>353347</v>
      </c>
      <c r="BL38" s="397">
        <f>42774+312152</f>
        <v>354926</v>
      </c>
      <c r="BM38" s="397">
        <f>46558+317663</f>
        <v>364221</v>
      </c>
      <c r="BN38" s="29">
        <f t="shared" si="74"/>
        <v>364221</v>
      </c>
      <c r="BO38" s="397">
        <f>45305+316566</f>
        <v>361871</v>
      </c>
      <c r="BP38" s="397">
        <f>49506+324337</f>
        <v>373843</v>
      </c>
      <c r="BQ38" s="397">
        <f>55003+328838</f>
        <v>383841</v>
      </c>
      <c r="BR38" s="397">
        <f>62692+332738</f>
        <v>395430</v>
      </c>
      <c r="BS38" s="29">
        <f t="shared" si="75"/>
        <v>395430</v>
      </c>
      <c r="BT38" s="397">
        <f>63350+338218</f>
        <v>401568</v>
      </c>
      <c r="BU38" s="397">
        <f>68377+347451</f>
        <v>415828</v>
      </c>
      <c r="BV38" s="397">
        <f>74490+354351</f>
        <v>428841</v>
      </c>
      <c r="BW38" s="397">
        <f>79613+366517</f>
        <v>446130</v>
      </c>
      <c r="BX38" s="29">
        <f t="shared" si="76"/>
        <v>446130</v>
      </c>
      <c r="BY38" s="397">
        <f>78563+372041</f>
        <v>450604</v>
      </c>
      <c r="BZ38" s="397">
        <f>87102+377142</f>
        <v>464244</v>
      </c>
      <c r="CA38" s="397">
        <f>86612+381414</f>
        <v>468026</v>
      </c>
      <c r="CB38" s="397">
        <f>98815+329664</f>
        <v>428479</v>
      </c>
      <c r="CC38" s="29">
        <f t="shared" si="77"/>
        <v>428479</v>
      </c>
      <c r="CD38" s="397">
        <f>106810+331260</f>
        <v>438070</v>
      </c>
      <c r="CE38" s="397">
        <f>111624+333019</f>
        <v>444643</v>
      </c>
      <c r="CF38" s="422">
        <f>CE38-IS!CF40</f>
        <v>449687.73095266899</v>
      </c>
      <c r="CG38" s="422">
        <f>CF38-IS!CG40</f>
        <v>454216.36236372538</v>
      </c>
      <c r="CH38" s="29">
        <f t="shared" si="78"/>
        <v>454216.36236372538</v>
      </c>
      <c r="CI38" s="422">
        <f>CH38-IS!CI40</f>
        <v>462880.20968422818</v>
      </c>
      <c r="CJ38" s="422">
        <f>CI38-IS!CJ40</f>
        <v>463369.73728433182</v>
      </c>
      <c r="CK38" s="422">
        <f>CJ38-IS!CK40</f>
        <v>464233.91894551372</v>
      </c>
      <c r="CL38" s="422">
        <f>CK38-IS!CL40</f>
        <v>464268.41138433677</v>
      </c>
      <c r="CM38" s="29">
        <f t="shared" si="79"/>
        <v>464268.41138433677</v>
      </c>
      <c r="CN38" s="422">
        <f>CM38-IS!CN40</f>
        <v>469600.59310172312</v>
      </c>
      <c r="CO38" s="422">
        <f>CN38-IS!CO40</f>
        <v>471371.38342963066</v>
      </c>
      <c r="CP38" s="422">
        <f>CO38-IS!CP40</f>
        <v>473616.91414513672</v>
      </c>
      <c r="CQ38" s="422">
        <f>CP38-IS!CQ40</f>
        <v>473599.47064522596</v>
      </c>
      <c r="CR38" s="29">
        <f t="shared" si="80"/>
        <v>473599.47064522596</v>
      </c>
      <c r="CS38" s="422">
        <f>CR38-IS!CS40</f>
        <v>475591.01146383333</v>
      </c>
      <c r="CT38" s="422">
        <f>CS38-IS!CT40</f>
        <v>476031.02733504336</v>
      </c>
      <c r="CU38" s="422">
        <f>CT38-IS!CU40</f>
        <v>476489.6584584759</v>
      </c>
      <c r="CV38" s="422">
        <f>CU38-IS!CV40</f>
        <v>477421.30452137283</v>
      </c>
      <c r="CW38" s="29">
        <f t="shared" si="81"/>
        <v>477421.30452137283</v>
      </c>
      <c r="CX38" s="422">
        <f>CW38-IS!CX40</f>
        <v>482152.56861413253</v>
      </c>
      <c r="CY38" s="422">
        <f>CX38-IS!CY40</f>
        <v>482418.95923201204</v>
      </c>
      <c r="CZ38" s="422">
        <f>CY38-IS!CZ40</f>
        <v>483300.52189509576</v>
      </c>
      <c r="DA38" s="422">
        <f>CZ38-IS!DA40</f>
        <v>485244.48100252997</v>
      </c>
      <c r="DB38" s="29">
        <f t="shared" si="82"/>
        <v>485244.48100252997</v>
      </c>
    </row>
    <row r="39" spans="1:106" ht="11.5" customHeight="1" x14ac:dyDescent="0.35">
      <c r="A39" s="19" t="s">
        <v>179</v>
      </c>
      <c r="B39" s="397">
        <v>198907</v>
      </c>
      <c r="C39" s="397">
        <v>0</v>
      </c>
      <c r="D39" s="397">
        <v>0</v>
      </c>
      <c r="E39" s="397">
        <v>142559</v>
      </c>
      <c r="F39" s="29">
        <f t="shared" si="62"/>
        <v>142559</v>
      </c>
      <c r="G39" s="397">
        <v>142559</v>
      </c>
      <c r="H39" s="397">
        <v>0</v>
      </c>
      <c r="I39" s="397">
        <v>0</v>
      </c>
      <c r="J39" s="397">
        <v>118315</v>
      </c>
      <c r="K39" s="29">
        <f t="shared" si="63"/>
        <v>118315</v>
      </c>
      <c r="L39" s="397">
        <v>0</v>
      </c>
      <c r="M39" s="397">
        <v>0</v>
      </c>
      <c r="N39" s="397">
        <v>32</v>
      </c>
      <c r="O39" s="397">
        <v>156818</v>
      </c>
      <c r="P39" s="29">
        <f t="shared" si="64"/>
        <v>156818</v>
      </c>
      <c r="Q39" s="397">
        <v>156818</v>
      </c>
      <c r="R39" s="397">
        <v>539</v>
      </c>
      <c r="S39" s="397">
        <v>108</v>
      </c>
      <c r="T39" s="397">
        <f>170826</f>
        <v>170826</v>
      </c>
      <c r="U39" s="29">
        <f t="shared" si="65"/>
        <v>170826</v>
      </c>
      <c r="V39" s="397">
        <f>170826</f>
        <v>170826</v>
      </c>
      <c r="W39" s="397">
        <v>156</v>
      </c>
      <c r="X39" s="397">
        <v>0</v>
      </c>
      <c r="Y39" s="397">
        <v>157284</v>
      </c>
      <c r="Z39" s="29">
        <f t="shared" si="66"/>
        <v>157284</v>
      </c>
      <c r="AA39" s="397">
        <v>157284</v>
      </c>
      <c r="AB39" s="397">
        <v>0</v>
      </c>
      <c r="AC39" s="397">
        <v>0</v>
      </c>
      <c r="AD39" s="397">
        <v>106657</v>
      </c>
      <c r="AE39" s="29">
        <f t="shared" si="67"/>
        <v>106657</v>
      </c>
      <c r="AF39" s="397">
        <v>107679</v>
      </c>
      <c r="AG39" s="397">
        <v>0</v>
      </c>
      <c r="AH39" s="397">
        <v>0</v>
      </c>
      <c r="AI39" s="397">
        <v>35946</v>
      </c>
      <c r="AJ39" s="29">
        <f t="shared" si="68"/>
        <v>35946</v>
      </c>
      <c r="AK39" s="397">
        <v>35946</v>
      </c>
      <c r="AL39" s="397">
        <v>0</v>
      </c>
      <c r="AM39" s="397">
        <v>0</v>
      </c>
      <c r="AN39" s="397">
        <v>0</v>
      </c>
      <c r="AO39" s="29">
        <f t="shared" si="69"/>
        <v>0</v>
      </c>
      <c r="AP39" s="397">
        <v>0</v>
      </c>
      <c r="AQ39" s="397">
        <v>200000</v>
      </c>
      <c r="AR39" s="397">
        <v>0</v>
      </c>
      <c r="AS39" s="397">
        <v>0</v>
      </c>
      <c r="AT39" s="29">
        <f t="shared" si="70"/>
        <v>0</v>
      </c>
      <c r="AU39" s="397">
        <v>0</v>
      </c>
      <c r="AV39" s="397">
        <v>0</v>
      </c>
      <c r="AW39" s="397">
        <v>0</v>
      </c>
      <c r="AX39" s="397">
        <v>0</v>
      </c>
      <c r="AY39" s="29">
        <f t="shared" si="71"/>
        <v>0</v>
      </c>
      <c r="AZ39" s="397">
        <v>0</v>
      </c>
      <c r="BA39" s="397">
        <v>0</v>
      </c>
      <c r="BB39" s="397">
        <v>0</v>
      </c>
      <c r="BC39" s="397">
        <v>418062</v>
      </c>
      <c r="BD39" s="29">
        <f t="shared" si="72"/>
        <v>418062</v>
      </c>
      <c r="BE39" s="397">
        <v>418062</v>
      </c>
      <c r="BF39" s="397">
        <v>0</v>
      </c>
      <c r="BG39" s="397">
        <v>0</v>
      </c>
      <c r="BH39" s="397">
        <v>217160</v>
      </c>
      <c r="BI39" s="29">
        <f t="shared" si="73"/>
        <v>217160</v>
      </c>
      <c r="BJ39" s="397">
        <v>217160</v>
      </c>
      <c r="BK39" s="397">
        <v>217160</v>
      </c>
      <c r="BL39" s="397">
        <v>217160</v>
      </c>
      <c r="BM39" s="397">
        <v>192126</v>
      </c>
      <c r="BN39" s="29">
        <f t="shared" si="74"/>
        <v>192126</v>
      </c>
      <c r="BO39" s="397">
        <v>192109</v>
      </c>
      <c r="BP39" s="397">
        <v>192109</v>
      </c>
      <c r="BQ39" s="397">
        <v>0</v>
      </c>
      <c r="BR39" s="397">
        <v>223746</v>
      </c>
      <c r="BS39" s="29">
        <f t="shared" si="75"/>
        <v>223746</v>
      </c>
      <c r="BT39" s="397">
        <v>223746</v>
      </c>
      <c r="BU39" s="397">
        <v>223746</v>
      </c>
      <c r="BV39" s="397">
        <v>223746</v>
      </c>
      <c r="BW39" s="397">
        <v>391637</v>
      </c>
      <c r="BX39" s="29">
        <f t="shared" si="76"/>
        <v>391637</v>
      </c>
      <c r="BY39" s="397">
        <v>391637</v>
      </c>
      <c r="BZ39" s="397">
        <v>391637</v>
      </c>
      <c r="CA39" s="397">
        <v>391637</v>
      </c>
      <c r="CB39" s="397">
        <v>0</v>
      </c>
      <c r="CC39" s="29">
        <f t="shared" si="77"/>
        <v>0</v>
      </c>
      <c r="CD39" s="397">
        <v>0</v>
      </c>
      <c r="CE39" s="397">
        <v>0</v>
      </c>
      <c r="CF39" s="70">
        <v>0</v>
      </c>
      <c r="CG39" s="70">
        <v>0</v>
      </c>
      <c r="CH39" s="29">
        <f t="shared" si="78"/>
        <v>0</v>
      </c>
      <c r="CI39" s="70">
        <f ca="1">IS!CI55</f>
        <v>943446.08653175994</v>
      </c>
      <c r="CJ39" s="70">
        <v>0</v>
      </c>
      <c r="CK39" s="70">
        <v>0</v>
      </c>
      <c r="CL39" s="70">
        <v>0</v>
      </c>
      <c r="CM39" s="29">
        <f t="shared" si="79"/>
        <v>0</v>
      </c>
      <c r="CN39" s="70">
        <f ca="1">IS!CN55</f>
        <v>1889332.9087317602</v>
      </c>
      <c r="CO39" s="70">
        <v>0</v>
      </c>
      <c r="CP39" s="70">
        <v>0</v>
      </c>
      <c r="CQ39" s="70">
        <v>0</v>
      </c>
      <c r="CR39" s="29">
        <f t="shared" si="80"/>
        <v>0</v>
      </c>
      <c r="CS39" s="70">
        <f ca="1">IS!CS55</f>
        <v>2097084.7156087356</v>
      </c>
      <c r="CT39" s="70">
        <v>0</v>
      </c>
      <c r="CU39" s="70">
        <v>0</v>
      </c>
      <c r="CV39" s="70">
        <v>0</v>
      </c>
      <c r="CW39" s="29">
        <f t="shared" si="81"/>
        <v>0</v>
      </c>
      <c r="CX39" s="70">
        <f ca="1">IS!CX55</f>
        <v>2257976.1885702363</v>
      </c>
      <c r="CY39" s="70">
        <v>0</v>
      </c>
      <c r="CZ39" s="70">
        <v>0</v>
      </c>
      <c r="DA39" s="70">
        <v>0</v>
      </c>
      <c r="DB39" s="29">
        <f t="shared" si="82"/>
        <v>0</v>
      </c>
    </row>
    <row r="40" spans="1:106" ht="11.5" customHeight="1" x14ac:dyDescent="0.35">
      <c r="A40" s="19" t="s">
        <v>180</v>
      </c>
      <c r="B40" s="395">
        <v>0</v>
      </c>
      <c r="C40" s="395">
        <f>B40</f>
        <v>0</v>
      </c>
      <c r="D40" s="395">
        <f>C40</f>
        <v>0</v>
      </c>
      <c r="E40" s="395">
        <f>D40</f>
        <v>0</v>
      </c>
      <c r="F40" s="29">
        <f t="shared" si="62"/>
        <v>0</v>
      </c>
      <c r="G40" s="395">
        <f>F40</f>
        <v>0</v>
      </c>
      <c r="H40" s="395">
        <f>G40</f>
        <v>0</v>
      </c>
      <c r="I40" s="395">
        <f>H40</f>
        <v>0</v>
      </c>
      <c r="J40" s="395">
        <f>I40</f>
        <v>0</v>
      </c>
      <c r="K40" s="29">
        <f t="shared" si="63"/>
        <v>0</v>
      </c>
      <c r="L40" s="395">
        <f>K40</f>
        <v>0</v>
      </c>
      <c r="M40" s="395">
        <f>L40</f>
        <v>0</v>
      </c>
      <c r="N40" s="395">
        <f>M40</f>
        <v>0</v>
      </c>
      <c r="O40" s="395">
        <f>105597+12224</f>
        <v>117821</v>
      </c>
      <c r="P40" s="29">
        <f t="shared" si="64"/>
        <v>117821</v>
      </c>
      <c r="Q40" s="395">
        <f>AVERAGE(P40,R40)</f>
        <v>123748</v>
      </c>
      <c r="R40" s="395">
        <f>115648+14027</f>
        <v>129675</v>
      </c>
      <c r="S40" s="395">
        <f>127491+21964</f>
        <v>149455</v>
      </c>
      <c r="T40" s="395">
        <f>116270+25012</f>
        <v>141282</v>
      </c>
      <c r="U40" s="29">
        <f t="shared" si="65"/>
        <v>141282</v>
      </c>
      <c r="V40" s="395">
        <f>118805+34880</f>
        <v>153685</v>
      </c>
      <c r="W40" s="395">
        <f>128463+48309</f>
        <v>176772</v>
      </c>
      <c r="X40" s="395">
        <f>143724+70767</f>
        <v>214491</v>
      </c>
      <c r="Y40" s="395">
        <f>138626+104328</f>
        <v>242954</v>
      </c>
      <c r="Z40" s="29">
        <f t="shared" si="66"/>
        <v>242954</v>
      </c>
      <c r="AA40" s="395">
        <f>142991+104522</f>
        <v>247513</v>
      </c>
      <c r="AB40" s="395">
        <f>148739+105169</f>
        <v>253908</v>
      </c>
      <c r="AC40" s="395">
        <f>137134+105169</f>
        <v>242303</v>
      </c>
      <c r="AD40" s="395">
        <f>138302+102632</f>
        <v>240934</v>
      </c>
      <c r="AE40" s="29">
        <f t="shared" si="67"/>
        <v>240934</v>
      </c>
      <c r="AF40" s="395">
        <f>148079+119238</f>
        <v>267317</v>
      </c>
      <c r="AG40" s="395">
        <f>138083+121881</f>
        <v>259964</v>
      </c>
      <c r="AH40" s="395">
        <f>135409+112983</f>
        <v>248392</v>
      </c>
      <c r="AI40" s="395">
        <f>140333+107692</f>
        <v>248025</v>
      </c>
      <c r="AJ40" s="29">
        <f t="shared" si="68"/>
        <v>248025</v>
      </c>
      <c r="AK40" s="395">
        <f>133381+118430</f>
        <v>251811</v>
      </c>
      <c r="AL40" s="395">
        <f>126366+114380</f>
        <v>240746</v>
      </c>
      <c r="AM40" s="395">
        <f>114314+98410</f>
        <v>212724</v>
      </c>
      <c r="AN40" s="395">
        <f>108975+88550</f>
        <v>197525</v>
      </c>
      <c r="AO40" s="29">
        <f t="shared" si="69"/>
        <v>197525</v>
      </c>
      <c r="AP40" s="395">
        <f>98983+70985</f>
        <v>169968</v>
      </c>
      <c r="AQ40" s="395">
        <f>91190+77948</f>
        <v>169138</v>
      </c>
      <c r="AR40" s="395">
        <f>92890+84548</f>
        <v>177438</v>
      </c>
      <c r="AS40" s="395">
        <f>176732+92464</f>
        <v>269196</v>
      </c>
      <c r="AT40" s="29">
        <f t="shared" si="70"/>
        <v>269196</v>
      </c>
      <c r="AU40" s="395">
        <f>146891+92961</f>
        <v>239852</v>
      </c>
      <c r="AV40" s="395">
        <f>118985+93027</f>
        <v>212012</v>
      </c>
      <c r="AW40" s="395">
        <f>106138+92914</f>
        <v>199052</v>
      </c>
      <c r="AX40" s="395">
        <f>105800+69756</f>
        <v>175556</v>
      </c>
      <c r="AY40" s="29">
        <f t="shared" si="71"/>
        <v>175556</v>
      </c>
      <c r="AZ40" s="395">
        <f>102115+90929</f>
        <v>193044</v>
      </c>
      <c r="BA40" s="395">
        <f>56162+41063+101295</f>
        <v>198520</v>
      </c>
      <c r="BB40" s="395">
        <f>80563+95651</f>
        <v>176214</v>
      </c>
      <c r="BC40" s="395">
        <f>77450+94002</f>
        <v>171452</v>
      </c>
      <c r="BD40" s="29">
        <f t="shared" si="72"/>
        <v>171452</v>
      </c>
      <c r="BE40" s="395">
        <f>81176+106037</f>
        <v>187213</v>
      </c>
      <c r="BF40" s="395">
        <f>97386+104757</f>
        <v>202143</v>
      </c>
      <c r="BG40" s="395">
        <f>98578+121128</f>
        <v>219706</v>
      </c>
      <c r="BH40" s="395">
        <f>100392+120561</f>
        <v>220953</v>
      </c>
      <c r="BI40" s="29">
        <f t="shared" si="73"/>
        <v>220953</v>
      </c>
      <c r="BJ40" s="395">
        <f>105626+142730</f>
        <v>248356</v>
      </c>
      <c r="BK40" s="395">
        <f>115524+149669</f>
        <v>265193</v>
      </c>
      <c r="BL40" s="395">
        <f>124915+131114</f>
        <v>256029</v>
      </c>
      <c r="BM40" s="395">
        <f>111906+136508</f>
        <v>248414</v>
      </c>
      <c r="BN40" s="29">
        <f t="shared" si="74"/>
        <v>248414</v>
      </c>
      <c r="BO40" s="395">
        <f>115454+144292</f>
        <v>259746</v>
      </c>
      <c r="BP40" s="395">
        <f>124859+158738</f>
        <v>283597</v>
      </c>
      <c r="BQ40" s="395">
        <f>129562+141745</f>
        <v>271307</v>
      </c>
      <c r="BR40" s="395">
        <f>146827+121952</f>
        <v>268779</v>
      </c>
      <c r="BS40" s="29">
        <f t="shared" si="75"/>
        <v>268779</v>
      </c>
      <c r="BT40" s="395">
        <f>158361+133997</f>
        <v>292358</v>
      </c>
      <c r="BU40" s="395">
        <f>187912+136146</f>
        <v>324058</v>
      </c>
      <c r="BV40" s="395">
        <f>182078+150809</f>
        <v>332887</v>
      </c>
      <c r="BW40" s="395">
        <f>186231+124209</f>
        <v>310440</v>
      </c>
      <c r="BX40" s="29">
        <f t="shared" si="76"/>
        <v>310440</v>
      </c>
      <c r="BY40" s="417">
        <f>209311+200600</f>
        <v>409911</v>
      </c>
      <c r="BZ40" s="395">
        <f>172941+135851</f>
        <v>308792</v>
      </c>
      <c r="CA40" s="395">
        <f>168038+78260+140901</f>
        <v>387199</v>
      </c>
      <c r="CB40" s="395">
        <f>162261+155017</f>
        <v>317278</v>
      </c>
      <c r="CC40" s="29">
        <f t="shared" si="77"/>
        <v>317278</v>
      </c>
      <c r="CD40" s="395">
        <f>162694+160510</f>
        <v>323204</v>
      </c>
      <c r="CE40" s="395">
        <f>160858+166818</f>
        <v>327676</v>
      </c>
      <c r="CF40" s="90">
        <f t="shared" ref="CF40:CG41" si="84">CE40</f>
        <v>327676</v>
      </c>
      <c r="CG40" s="90">
        <f t="shared" si="84"/>
        <v>327676</v>
      </c>
      <c r="CH40" s="29">
        <f t="shared" si="78"/>
        <v>327676</v>
      </c>
      <c r="CI40" s="90">
        <f t="shared" ref="CI40:CL41" si="85">CH40</f>
        <v>327676</v>
      </c>
      <c r="CJ40" s="90">
        <f t="shared" si="85"/>
        <v>327676</v>
      </c>
      <c r="CK40" s="90">
        <f t="shared" si="85"/>
        <v>327676</v>
      </c>
      <c r="CL40" s="90">
        <f t="shared" si="85"/>
        <v>327676</v>
      </c>
      <c r="CM40" s="29">
        <f t="shared" si="79"/>
        <v>327676</v>
      </c>
      <c r="CN40" s="90">
        <f t="shared" ref="CN40:CQ41" si="86">CM40</f>
        <v>327676</v>
      </c>
      <c r="CO40" s="90">
        <f t="shared" si="86"/>
        <v>327676</v>
      </c>
      <c r="CP40" s="90">
        <f t="shared" si="86"/>
        <v>327676</v>
      </c>
      <c r="CQ40" s="90">
        <f t="shared" si="86"/>
        <v>327676</v>
      </c>
      <c r="CR40" s="29">
        <f t="shared" si="80"/>
        <v>327676</v>
      </c>
      <c r="CS40" s="90">
        <f t="shared" ref="CS40:CV41" si="87">CR40</f>
        <v>327676</v>
      </c>
      <c r="CT40" s="90">
        <f t="shared" si="87"/>
        <v>327676</v>
      </c>
      <c r="CU40" s="90">
        <f t="shared" si="87"/>
        <v>327676</v>
      </c>
      <c r="CV40" s="90">
        <f t="shared" si="87"/>
        <v>327676</v>
      </c>
      <c r="CW40" s="29">
        <f t="shared" si="81"/>
        <v>327676</v>
      </c>
      <c r="CX40" s="90">
        <f t="shared" ref="CX40:DA41" si="88">CW40</f>
        <v>327676</v>
      </c>
      <c r="CY40" s="90">
        <f t="shared" si="88"/>
        <v>327676</v>
      </c>
      <c r="CZ40" s="90">
        <f t="shared" si="88"/>
        <v>327676</v>
      </c>
      <c r="DA40" s="90">
        <f t="shared" si="88"/>
        <v>327676</v>
      </c>
      <c r="DB40" s="29">
        <f t="shared" si="82"/>
        <v>327676</v>
      </c>
    </row>
    <row r="41" spans="1:106" ht="11.5" customHeight="1" x14ac:dyDescent="0.35">
      <c r="A41" s="72" t="s">
        <v>189</v>
      </c>
      <c r="B41" s="415">
        <f>(164880)+57669</f>
        <v>222549</v>
      </c>
      <c r="C41" s="415">
        <f>(182825)+57906</f>
        <v>240731</v>
      </c>
      <c r="D41" s="415">
        <f>(213641)+47890</f>
        <v>261531</v>
      </c>
      <c r="E41" s="415">
        <v>109241</v>
      </c>
      <c r="F41" s="73">
        <f t="shared" si="62"/>
        <v>109241</v>
      </c>
      <c r="G41" s="415">
        <f>4191677+3523552-SUM(G31:G40)-G28</f>
        <v>424835</v>
      </c>
      <c r="H41" s="415">
        <f>3574775+4512211-H28-SUM(H31:H40)</f>
        <v>150092</v>
      </c>
      <c r="I41" s="415">
        <f>4634495+4001824-SUM(I29:I40)</f>
        <v>362493</v>
      </c>
      <c r="J41" s="415">
        <f>13644677-SUM(J29:J40)-J42-J43</f>
        <v>422939</v>
      </c>
      <c r="K41" s="73">
        <f t="shared" si="63"/>
        <v>422939</v>
      </c>
      <c r="L41" s="415">
        <f>4281039+4226175-SUM(L29:L40)</f>
        <v>388122</v>
      </c>
      <c r="M41" s="415">
        <f>4409717+4023581-SUM(M29:M40)</f>
        <v>460515</v>
      </c>
      <c r="N41" s="415">
        <f>13616873-N42-N43-SUM(N29:N40)</f>
        <v>423213</v>
      </c>
      <c r="O41" s="415">
        <f>13607903-SUM(O29:O40)-O42-O43</f>
        <v>723663</v>
      </c>
      <c r="P41" s="73">
        <f t="shared" si="64"/>
        <v>723663</v>
      </c>
      <c r="Q41" s="415">
        <f>13898293-SUM(Q29:Q40)-Q42-Q43</f>
        <v>544830</v>
      </c>
      <c r="R41" s="415">
        <f>13620424-SUM(R29:R40)-R42-R43</f>
        <v>709313</v>
      </c>
      <c r="S41" s="415">
        <f>14039473-SUM(S29:S40)-S42-S43</f>
        <v>700696</v>
      </c>
      <c r="T41" s="415">
        <f>14387099-SUM(T29:T40)-T42-T43</f>
        <v>673420</v>
      </c>
      <c r="U41" s="73">
        <f t="shared" si="65"/>
        <v>673420</v>
      </c>
      <c r="V41" s="415">
        <f>14416449-SUM(V29:V40)-V42-V43</f>
        <v>627728</v>
      </c>
      <c r="W41" s="415">
        <f>13896935-SUM(W29:W40)-W42-W43</f>
        <v>648673</v>
      </c>
      <c r="X41" s="415">
        <f>13965433-SUM(X29:X40)-X42-X43</f>
        <v>527684</v>
      </c>
      <c r="Y41" s="415">
        <f>13420612-SUM(Y29:Y40)-Y42-Y43</f>
        <v>287167</v>
      </c>
      <c r="Z41" s="73">
        <f t="shared" si="66"/>
        <v>287167</v>
      </c>
      <c r="AA41" s="415">
        <f>13326248-SUM(AA29:AA40)-AA42-AA43</f>
        <v>289223</v>
      </c>
      <c r="AB41" s="415">
        <f>13314373-SUM(AB29:AB40)-AB42-AB43</f>
        <v>397346</v>
      </c>
      <c r="AC41" s="415">
        <f>13416693-SUM(AC29:AC40)-AC42-AC43</f>
        <v>190740</v>
      </c>
      <c r="AD41" s="415">
        <f>12729588-SUM(AD29:AD40)-AD42-AD43</f>
        <v>172608</v>
      </c>
      <c r="AE41" s="73">
        <f t="shared" si="67"/>
        <v>172608</v>
      </c>
      <c r="AF41" s="415">
        <f>12666844-SUM(AF29:AF40)-AF42-AF43</f>
        <v>149771</v>
      </c>
      <c r="AG41" s="415">
        <f>12243534-SUM(AG29:AG40)-AG42-AG43</f>
        <v>161488</v>
      </c>
      <c r="AH41" s="415">
        <f>12079418-SUM(AH29:AH40)-AH42-AH43</f>
        <v>175049</v>
      </c>
      <c r="AI41" s="415">
        <f>11879699-SUM(AI29:AI40)-AI42-AI43</f>
        <v>161451</v>
      </c>
      <c r="AJ41" s="73">
        <f t="shared" si="68"/>
        <v>161451</v>
      </c>
      <c r="AK41" s="415">
        <f>11940930-SUM(AK29:AK40)-AK42-AK43</f>
        <v>107979</v>
      </c>
      <c r="AL41" s="415">
        <f>11340173-SUM(AL29:AL40)-AL42-AL43</f>
        <v>93845</v>
      </c>
      <c r="AM41" s="415">
        <f>10931386-SUM(AM29:AM40)-AM42-AM43</f>
        <v>84751</v>
      </c>
      <c r="AN41" s="415">
        <f>10401541-SUM(AN29:AN40)-AN42-AN43</f>
        <v>151276</v>
      </c>
      <c r="AO41" s="73">
        <f t="shared" si="69"/>
        <v>151276</v>
      </c>
      <c r="AP41" s="415">
        <f>9652269-SUM(AP29:AP40)-AP42-AP43</f>
        <v>156141</v>
      </c>
      <c r="AQ41" s="415">
        <f>10010071-SUM(AQ29:AQ40)-AQ42-AQ43</f>
        <v>164666</v>
      </c>
      <c r="AR41" s="415">
        <f>10499600-SUM(AR29:AR40)-AR42-AR43</f>
        <v>268195</v>
      </c>
      <c r="AS41" s="415">
        <f>9829268-SUM(AS29:AS40)-AS42-AS43</f>
        <v>211405</v>
      </c>
      <c r="AT41" s="73">
        <f t="shared" si="70"/>
        <v>211405</v>
      </c>
      <c r="AU41" s="415">
        <f>9742527-SUM(AU29:AU40)-AU42-AU43</f>
        <v>202371</v>
      </c>
      <c r="AV41" s="415">
        <f>9772333-SUM(AV29:AV40)-AV42-AV43</f>
        <v>405141</v>
      </c>
      <c r="AW41" s="415">
        <f>9971372-SUM(AW29:AW40)-AW42-AW43</f>
        <v>220451</v>
      </c>
      <c r="AX41" s="415">
        <f>9987778-SUM(AX29:AX40)-AX42-AX43</f>
        <v>250738</v>
      </c>
      <c r="AY41" s="73">
        <f t="shared" si="71"/>
        <v>250738</v>
      </c>
      <c r="AZ41" s="415">
        <f>10290824-SUM(AZ29:AZ40)-AZ42-AZ43</f>
        <v>231520</v>
      </c>
      <c r="BA41" s="415">
        <f>10908726-SUM(BA29:BA40)-BA42-BA43</f>
        <v>220533</v>
      </c>
      <c r="BB41" s="415">
        <f>11391783-SUM(BB29:BB40)-BB42-BB43</f>
        <v>218352</v>
      </c>
      <c r="BC41" s="415">
        <f>11433926-SUM(BC29:BC40)-BC42-BC43</f>
        <v>125753</v>
      </c>
      <c r="BD41" s="73">
        <f t="shared" si="72"/>
        <v>125753</v>
      </c>
      <c r="BE41" s="415">
        <f>11657074-SUM(BE29:BE40)-BE42-BE43</f>
        <v>110241</v>
      </c>
      <c r="BF41" s="415">
        <f>12376658-SUM(BF29:BF40)-BF42-BF43</f>
        <v>115409</v>
      </c>
      <c r="BG41" s="415">
        <f>13162967-SUM(BG29:BG40)-BG42-BG43</f>
        <v>137119</v>
      </c>
      <c r="BH41" s="415">
        <f>13841170-SUM(BH29:BH40)-BH42-BH43</f>
        <v>117195</v>
      </c>
      <c r="BI41" s="73">
        <f t="shared" si="73"/>
        <v>117195</v>
      </c>
      <c r="BJ41" s="415">
        <f>14217086-SUM(BJ29:BJ40)-BJ42-BJ43</f>
        <v>115031</v>
      </c>
      <c r="BK41" s="415">
        <f>14743262-SUM(BK29:BK40)-BK42-BK43</f>
        <v>233276</v>
      </c>
      <c r="BL41" s="415">
        <f>15685516-SUM(BL29:BL40)-BL42-BL43</f>
        <v>831663</v>
      </c>
      <c r="BM41" s="415">
        <f>16560139-SUM(BM29:BM40)-BM42-BM43</f>
        <v>481392</v>
      </c>
      <c r="BN41" s="73">
        <f t="shared" si="74"/>
        <v>481392</v>
      </c>
      <c r="BO41" s="415">
        <f>16321140-SUM(BO29:BO40)-BO42-BO43</f>
        <v>286391</v>
      </c>
      <c r="BP41" s="415">
        <f>16825149-SUM(BP29:BP40)-BP42-BP43</f>
        <v>259424</v>
      </c>
      <c r="BQ41" s="415">
        <f>17023249-SUM(BQ29:BQ40)-BQ42-BQ43</f>
        <v>378179</v>
      </c>
      <c r="BR41" s="415">
        <f>17371200-SUM(BR29:BR40)-BR42-BR43</f>
        <v>369201</v>
      </c>
      <c r="BS41" s="73">
        <f t="shared" si="75"/>
        <v>369201</v>
      </c>
      <c r="BT41" s="415">
        <f>17462659-SUM(BT29:BT40)-BT42-BT43</f>
        <v>657549</v>
      </c>
      <c r="BU41" s="415">
        <f>18260036-SUM(BU29:BU40)-BU42-BU43</f>
        <v>407103</v>
      </c>
      <c r="BV41" s="415">
        <f>19574005-SUM(BV29:BV40)-BV42-BV43</f>
        <v>423417</v>
      </c>
      <c r="BW41" s="415">
        <f>383580+49660</f>
        <v>433240</v>
      </c>
      <c r="BX41" s="73">
        <f t="shared" si="76"/>
        <v>433240</v>
      </c>
      <c r="BY41" s="415">
        <f>21847715-SUM(BY29:BY40)-BY42-BY43</f>
        <v>692374</v>
      </c>
      <c r="BZ41" s="415">
        <f>349662+38274</f>
        <v>387936</v>
      </c>
      <c r="CA41" s="415">
        <f>39286+328839</f>
        <v>368125</v>
      </c>
      <c r="CB41" s="415">
        <f>249949+12176</f>
        <v>262125</v>
      </c>
      <c r="CC41" s="73">
        <f t="shared" si="77"/>
        <v>262125</v>
      </c>
      <c r="CD41" s="415">
        <f>15697+291570</f>
        <v>307267</v>
      </c>
      <c r="CE41" s="415">
        <f>387086+12697</f>
        <v>399783</v>
      </c>
      <c r="CF41" s="93">
        <f t="shared" si="84"/>
        <v>399783</v>
      </c>
      <c r="CG41" s="93">
        <f t="shared" si="84"/>
        <v>399783</v>
      </c>
      <c r="CH41" s="73">
        <f t="shared" si="78"/>
        <v>399783</v>
      </c>
      <c r="CI41" s="93">
        <f t="shared" si="85"/>
        <v>399783</v>
      </c>
      <c r="CJ41" s="93">
        <f t="shared" si="85"/>
        <v>399783</v>
      </c>
      <c r="CK41" s="93">
        <f t="shared" si="85"/>
        <v>399783</v>
      </c>
      <c r="CL41" s="93">
        <f t="shared" si="85"/>
        <v>399783</v>
      </c>
      <c r="CM41" s="73">
        <f t="shared" si="79"/>
        <v>399783</v>
      </c>
      <c r="CN41" s="93">
        <f t="shared" si="86"/>
        <v>399783</v>
      </c>
      <c r="CO41" s="93">
        <f t="shared" si="86"/>
        <v>399783</v>
      </c>
      <c r="CP41" s="93">
        <f t="shared" si="86"/>
        <v>399783</v>
      </c>
      <c r="CQ41" s="93">
        <f t="shared" si="86"/>
        <v>399783</v>
      </c>
      <c r="CR41" s="73">
        <f t="shared" si="80"/>
        <v>399783</v>
      </c>
      <c r="CS41" s="93">
        <f t="shared" si="87"/>
        <v>399783</v>
      </c>
      <c r="CT41" s="93">
        <f t="shared" si="87"/>
        <v>399783</v>
      </c>
      <c r="CU41" s="93">
        <f t="shared" si="87"/>
        <v>399783</v>
      </c>
      <c r="CV41" s="93">
        <f t="shared" si="87"/>
        <v>399783</v>
      </c>
      <c r="CW41" s="73">
        <f t="shared" si="81"/>
        <v>399783</v>
      </c>
      <c r="CX41" s="93">
        <f t="shared" si="88"/>
        <v>399783</v>
      </c>
      <c r="CY41" s="93">
        <f t="shared" si="88"/>
        <v>399783</v>
      </c>
      <c r="CZ41" s="93">
        <f t="shared" si="88"/>
        <v>399783</v>
      </c>
      <c r="DA41" s="93">
        <f t="shared" si="88"/>
        <v>399783</v>
      </c>
      <c r="DB41" s="73">
        <f t="shared" si="82"/>
        <v>399783</v>
      </c>
    </row>
    <row r="42" spans="1:106" ht="11.5" customHeight="1" x14ac:dyDescent="0.35">
      <c r="A42" s="32" t="s">
        <v>184</v>
      </c>
      <c r="B42" s="416">
        <v>263373</v>
      </c>
      <c r="C42" s="416">
        <v>275823</v>
      </c>
      <c r="D42" s="416">
        <v>320597</v>
      </c>
      <c r="E42" s="416">
        <v>355457</v>
      </c>
      <c r="F42" s="87">
        <f t="shared" si="62"/>
        <v>355457</v>
      </c>
      <c r="G42" s="416">
        <v>378784</v>
      </c>
      <c r="H42" s="416">
        <v>362140</v>
      </c>
      <c r="I42" s="416">
        <v>356181</v>
      </c>
      <c r="J42" s="416">
        <v>378047</v>
      </c>
      <c r="K42" s="87">
        <f t="shared" si="63"/>
        <v>378047</v>
      </c>
      <c r="L42" s="416">
        <v>354768</v>
      </c>
      <c r="M42" s="416">
        <v>343699</v>
      </c>
      <c r="N42" s="416">
        <v>375667</v>
      </c>
      <c r="O42" s="416">
        <v>566513</v>
      </c>
      <c r="P42" s="87">
        <f t="shared" si="64"/>
        <v>566513</v>
      </c>
      <c r="Q42" s="416">
        <v>950288</v>
      </c>
      <c r="R42" s="416">
        <v>736486</v>
      </c>
      <c r="S42" s="416">
        <v>767743</v>
      </c>
      <c r="T42" s="416">
        <v>732426</v>
      </c>
      <c r="U42" s="87">
        <f t="shared" si="65"/>
        <v>732426</v>
      </c>
      <c r="V42" s="416">
        <v>631772</v>
      </c>
      <c r="W42" s="416">
        <v>668627</v>
      </c>
      <c r="X42" s="416">
        <v>690581</v>
      </c>
      <c r="Y42" s="416">
        <v>708754</v>
      </c>
      <c r="Z42" s="87">
        <f t="shared" si="66"/>
        <v>708754</v>
      </c>
      <c r="AA42" s="416">
        <v>717727</v>
      </c>
      <c r="AB42" s="416">
        <v>839927</v>
      </c>
      <c r="AC42" s="416">
        <v>875051</v>
      </c>
      <c r="AD42" s="416">
        <v>791844</v>
      </c>
      <c r="AE42" s="87">
        <f t="shared" si="67"/>
        <v>791844</v>
      </c>
      <c r="AF42" s="416">
        <v>780584</v>
      </c>
      <c r="AG42" s="416">
        <v>758805</v>
      </c>
      <c r="AH42" s="416">
        <v>739854</v>
      </c>
      <c r="AI42" s="416">
        <v>753186</v>
      </c>
      <c r="AJ42" s="87">
        <f t="shared" si="68"/>
        <v>753186</v>
      </c>
      <c r="AK42" s="416">
        <v>760345</v>
      </c>
      <c r="AL42" s="416">
        <v>435032</v>
      </c>
      <c r="AM42" s="416">
        <v>445396</v>
      </c>
      <c r="AN42" s="416">
        <v>440907</v>
      </c>
      <c r="AO42" s="87">
        <f t="shared" si="69"/>
        <v>440907</v>
      </c>
      <c r="AP42" s="416">
        <v>356654</v>
      </c>
      <c r="AQ42" s="416">
        <v>338322</v>
      </c>
      <c r="AR42" s="416">
        <v>326724</v>
      </c>
      <c r="AS42" s="416">
        <v>389263</v>
      </c>
      <c r="AT42" s="87">
        <f t="shared" si="70"/>
        <v>389263</v>
      </c>
      <c r="AU42" s="416">
        <v>373453</v>
      </c>
      <c r="AV42" s="416">
        <v>372817</v>
      </c>
      <c r="AW42" s="416">
        <v>368355</v>
      </c>
      <c r="AX42" s="416">
        <v>413067</v>
      </c>
      <c r="AY42" s="87">
        <f t="shared" si="71"/>
        <v>413067</v>
      </c>
      <c r="AZ42" s="416">
        <v>420303</v>
      </c>
      <c r="BA42" s="416">
        <v>444101</v>
      </c>
      <c r="BB42" s="416">
        <v>285461</v>
      </c>
      <c r="BC42" s="416">
        <v>291895</v>
      </c>
      <c r="BD42" s="87">
        <f t="shared" si="72"/>
        <v>291895</v>
      </c>
      <c r="BE42" s="416">
        <v>304875</v>
      </c>
      <c r="BF42" s="416">
        <v>330824</v>
      </c>
      <c r="BG42" s="416">
        <v>405850</v>
      </c>
      <c r="BH42" s="416">
        <v>603872</v>
      </c>
      <c r="BI42" s="87">
        <f t="shared" si="73"/>
        <v>603872</v>
      </c>
      <c r="BJ42" s="416">
        <v>628416</v>
      </c>
      <c r="BK42" s="416">
        <v>590088</v>
      </c>
      <c r="BL42" s="416">
        <v>633567</v>
      </c>
      <c r="BM42" s="416">
        <v>577587</v>
      </c>
      <c r="BN42" s="87">
        <f t="shared" si="74"/>
        <v>577587</v>
      </c>
      <c r="BO42" s="416">
        <v>648622</v>
      </c>
      <c r="BP42" s="416">
        <v>723725</v>
      </c>
      <c r="BQ42" s="416">
        <v>757588</v>
      </c>
      <c r="BR42" s="416">
        <v>809485</v>
      </c>
      <c r="BS42" s="87">
        <f t="shared" si="75"/>
        <v>809485</v>
      </c>
      <c r="BT42" s="416">
        <v>821388</v>
      </c>
      <c r="BU42" s="416">
        <v>735103</v>
      </c>
      <c r="BV42" s="416">
        <v>906775</v>
      </c>
      <c r="BW42" s="416">
        <v>1054612</v>
      </c>
      <c r="BX42" s="87">
        <f t="shared" si="76"/>
        <v>1054612</v>
      </c>
      <c r="BY42" s="416">
        <v>1067258</v>
      </c>
      <c r="BZ42" s="416">
        <v>1088792</v>
      </c>
      <c r="CA42" s="416">
        <v>1055165</v>
      </c>
      <c r="CB42" s="416">
        <v>1239474</v>
      </c>
      <c r="CC42" s="87">
        <f t="shared" si="77"/>
        <v>1239474</v>
      </c>
      <c r="CD42" s="416">
        <v>1306988</v>
      </c>
      <c r="CE42" s="416">
        <v>1283470</v>
      </c>
      <c r="CF42" s="86">
        <f>CE42*(CF8+CF12)/(CE8+CE12)</f>
        <v>1318392.2762792117</v>
      </c>
      <c r="CG42" s="86">
        <f>CF42*(CG8+CG12)/(CF8+CF12)</f>
        <v>1349242.7655040794</v>
      </c>
      <c r="CH42" s="87">
        <f t="shared" si="78"/>
        <v>1349242.7655040794</v>
      </c>
      <c r="CI42" s="86">
        <f>CH42*(CI8+CI12)/(CH8+CH12)</f>
        <v>1400115.2105456677</v>
      </c>
      <c r="CJ42" s="86">
        <f>CI42*(CJ8+CJ12)/(CI8+CI12)</f>
        <v>1412320.2696740592</v>
      </c>
      <c r="CK42" s="86">
        <f>CJ42*(CK8+CK12)/(CJ8+CJ12)</f>
        <v>1426395.9315595098</v>
      </c>
      <c r="CL42" s="86">
        <f>CK42*(CL8+CL12)/(CK8+CK12)</f>
        <v>1435663.5119470654</v>
      </c>
      <c r="CM42" s="87">
        <f t="shared" si="79"/>
        <v>1435663.5119470654</v>
      </c>
      <c r="CN42" s="86">
        <f>CM42*(CN8+CN12)/(CM8+CM12)</f>
        <v>1470966.6858285572</v>
      </c>
      <c r="CO42" s="86">
        <f>CN42*(CO8+CO12)/(CN8+CN12)</f>
        <v>1492909.0051098131</v>
      </c>
      <c r="CP42" s="86">
        <f>CO42*(CP8+CP12)/(CO8+CO12)</f>
        <v>1516079.8848754968</v>
      </c>
      <c r="CQ42" s="86">
        <f>CP42*(CQ8+CQ12)/(CP8+CP12)</f>
        <v>1524031.7271221257</v>
      </c>
      <c r="CR42" s="87">
        <f t="shared" si="80"/>
        <v>1524031.7271221257</v>
      </c>
      <c r="CS42" s="86">
        <f>CR42*(CS8+CS12)/(CR8+CR12)</f>
        <v>1542249.3760978768</v>
      </c>
      <c r="CT42" s="86">
        <f>CS42*(CT8+CT12)/(CS8+CS12)</f>
        <v>1555466.0406158685</v>
      </c>
      <c r="CU42" s="86">
        <f>CT42*(CU8+CU12)/(CT8+CT12)</f>
        <v>1567684.605380448</v>
      </c>
      <c r="CV42" s="86">
        <f>CU42*(CV8+CV12)/(CU8+CU12)</f>
        <v>1578346.6512287897</v>
      </c>
      <c r="CW42" s="87">
        <f t="shared" si="81"/>
        <v>1578346.6512287897</v>
      </c>
      <c r="CX42" s="86">
        <f>CW42*(CX8+CX12)/(CW8+CW12)</f>
        <v>1612549.3525864545</v>
      </c>
      <c r="CY42" s="86">
        <f>CX42*(CY8+CY12)/(CX8+CX12)</f>
        <v>1616174.0265269347</v>
      </c>
      <c r="CZ42" s="86">
        <f>CY42*(CZ8+CZ12)/(CY8+CY12)</f>
        <v>1604500.7042483119</v>
      </c>
      <c r="DA42" s="86">
        <f>CZ42*(DA8+DA12)/(CZ8+CZ12)</f>
        <v>1572537.2744806956</v>
      </c>
      <c r="DB42" s="87">
        <f t="shared" si="82"/>
        <v>1572537.2744806956</v>
      </c>
    </row>
    <row r="43" spans="1:106" ht="11.5" customHeight="1" x14ac:dyDescent="0.35">
      <c r="A43" s="32" t="s">
        <v>183</v>
      </c>
      <c r="B43" s="86">
        <f t="shared" ref="B43:AG43" si="89">SUM(B44:B47)</f>
        <v>4030946</v>
      </c>
      <c r="C43" s="86">
        <f t="shared" si="89"/>
        <v>4201735</v>
      </c>
      <c r="D43" s="86">
        <f t="shared" si="89"/>
        <v>4380731</v>
      </c>
      <c r="E43" s="86">
        <f t="shared" si="89"/>
        <v>4326480</v>
      </c>
      <c r="F43" s="87">
        <f t="shared" si="89"/>
        <v>4326480</v>
      </c>
      <c r="G43" s="86">
        <f t="shared" si="89"/>
        <v>4395026</v>
      </c>
      <c r="H43" s="86">
        <f t="shared" si="89"/>
        <v>4482831</v>
      </c>
      <c r="I43" s="86">
        <f t="shared" si="89"/>
        <v>4504168</v>
      </c>
      <c r="J43" s="86">
        <f t="shared" si="89"/>
        <v>4544719</v>
      </c>
      <c r="K43" s="87">
        <f t="shared" si="89"/>
        <v>4544719</v>
      </c>
      <c r="L43" s="86">
        <f t="shared" si="89"/>
        <v>4669478</v>
      </c>
      <c r="M43" s="86">
        <f t="shared" si="89"/>
        <v>4826557</v>
      </c>
      <c r="N43" s="86">
        <f t="shared" si="89"/>
        <v>4983144</v>
      </c>
      <c r="O43" s="86">
        <f t="shared" si="89"/>
        <v>5062249</v>
      </c>
      <c r="P43" s="87">
        <f t="shared" si="89"/>
        <v>5062249</v>
      </c>
      <c r="Q43" s="86">
        <f t="shared" si="89"/>
        <v>5246475</v>
      </c>
      <c r="R43" s="86">
        <f t="shared" si="89"/>
        <v>5376670</v>
      </c>
      <c r="S43" s="86">
        <f t="shared" si="89"/>
        <v>5554561</v>
      </c>
      <c r="T43" s="86">
        <f t="shared" si="89"/>
        <v>5461622</v>
      </c>
      <c r="U43" s="87">
        <f t="shared" si="89"/>
        <v>5461622</v>
      </c>
      <c r="V43" s="86">
        <f t="shared" si="89"/>
        <v>5580385</v>
      </c>
      <c r="W43" s="86">
        <f t="shared" si="89"/>
        <v>5651694</v>
      </c>
      <c r="X43" s="86">
        <f t="shared" si="89"/>
        <v>5753468</v>
      </c>
      <c r="Y43" s="86">
        <f t="shared" si="89"/>
        <v>5659091</v>
      </c>
      <c r="Z43" s="87">
        <f t="shared" si="89"/>
        <v>5659091</v>
      </c>
      <c r="AA43" s="86">
        <f t="shared" si="89"/>
        <v>5698877</v>
      </c>
      <c r="AB43" s="86">
        <f t="shared" si="89"/>
        <v>5576378</v>
      </c>
      <c r="AC43" s="86">
        <f t="shared" si="89"/>
        <v>5927716</v>
      </c>
      <c r="AD43" s="86">
        <f t="shared" si="89"/>
        <v>5887043</v>
      </c>
      <c r="AE43" s="87">
        <f t="shared" si="89"/>
        <v>5887043</v>
      </c>
      <c r="AF43" s="86">
        <f t="shared" si="89"/>
        <v>5952499</v>
      </c>
      <c r="AG43" s="86">
        <f t="shared" si="89"/>
        <v>6000892</v>
      </c>
      <c r="AH43" s="86">
        <f t="shared" ref="AH43:BM43" si="90">SUM(AH44:AH47)</f>
        <v>6016677</v>
      </c>
      <c r="AI43" s="86">
        <f t="shared" si="90"/>
        <v>6013556</v>
      </c>
      <c r="AJ43" s="87">
        <f t="shared" si="90"/>
        <v>6013556</v>
      </c>
      <c r="AK43" s="86">
        <f t="shared" si="90"/>
        <v>6019290</v>
      </c>
      <c r="AL43" s="86">
        <f t="shared" si="90"/>
        <v>5879869</v>
      </c>
      <c r="AM43" s="86">
        <f t="shared" si="90"/>
        <v>5874383</v>
      </c>
      <c r="AN43" s="86">
        <f t="shared" si="90"/>
        <v>5924591</v>
      </c>
      <c r="AO43" s="87">
        <f t="shared" si="90"/>
        <v>5924591</v>
      </c>
      <c r="AP43" s="86">
        <f t="shared" si="90"/>
        <v>5678489</v>
      </c>
      <c r="AQ43" s="86">
        <f t="shared" si="90"/>
        <v>5443279</v>
      </c>
      <c r="AR43" s="86">
        <f t="shared" si="90"/>
        <v>5321921</v>
      </c>
      <c r="AS43" s="86">
        <f t="shared" si="90"/>
        <v>5148548</v>
      </c>
      <c r="AT43" s="87">
        <f t="shared" si="90"/>
        <v>5148548</v>
      </c>
      <c r="AU43" s="86">
        <f t="shared" si="90"/>
        <v>5194536</v>
      </c>
      <c r="AV43" s="86">
        <f t="shared" si="90"/>
        <v>5145533</v>
      </c>
      <c r="AW43" s="86">
        <f t="shared" si="90"/>
        <v>5112185</v>
      </c>
      <c r="AX43" s="86">
        <f t="shared" si="90"/>
        <v>4762376</v>
      </c>
      <c r="AY43" s="87">
        <f t="shared" si="90"/>
        <v>4762376</v>
      </c>
      <c r="AZ43" s="86">
        <f t="shared" si="90"/>
        <v>4790397</v>
      </c>
      <c r="BA43" s="86">
        <f t="shared" si="90"/>
        <v>4857675</v>
      </c>
      <c r="BB43" s="86">
        <f t="shared" si="90"/>
        <v>6261196</v>
      </c>
      <c r="BC43" s="86">
        <f t="shared" si="90"/>
        <v>5504733</v>
      </c>
      <c r="BD43" s="87">
        <f t="shared" si="90"/>
        <v>5504733</v>
      </c>
      <c r="BE43" s="86">
        <f t="shared" si="90"/>
        <v>5696173</v>
      </c>
      <c r="BF43" s="86">
        <f t="shared" si="90"/>
        <v>5962214</v>
      </c>
      <c r="BG43" s="86">
        <f t="shared" si="90"/>
        <v>6198685</v>
      </c>
      <c r="BH43" s="86">
        <f t="shared" si="90"/>
        <v>6198052</v>
      </c>
      <c r="BI43" s="87">
        <f t="shared" si="90"/>
        <v>6198052</v>
      </c>
      <c r="BJ43" s="86">
        <f t="shared" si="90"/>
        <v>6357095</v>
      </c>
      <c r="BK43" s="86">
        <f t="shared" si="90"/>
        <v>6484399</v>
      </c>
      <c r="BL43" s="86">
        <f t="shared" si="90"/>
        <v>6131611</v>
      </c>
      <c r="BM43" s="86">
        <f t="shared" si="90"/>
        <v>7121744</v>
      </c>
      <c r="BN43" s="87">
        <f t="shared" ref="BN43:CS43" si="91">SUM(BN44:BN47)</f>
        <v>7121744</v>
      </c>
      <c r="BO43" s="86">
        <f t="shared" si="91"/>
        <v>7222283</v>
      </c>
      <c r="BP43" s="86">
        <f t="shared" si="91"/>
        <v>7519980</v>
      </c>
      <c r="BQ43" s="86">
        <f t="shared" si="91"/>
        <v>7782356</v>
      </c>
      <c r="BR43" s="86">
        <f t="shared" si="91"/>
        <v>7690341</v>
      </c>
      <c r="BS43" s="87">
        <f t="shared" si="91"/>
        <v>7690341</v>
      </c>
      <c r="BT43" s="86">
        <f t="shared" si="91"/>
        <v>7718495</v>
      </c>
      <c r="BU43" s="86">
        <f t="shared" si="91"/>
        <v>8498776</v>
      </c>
      <c r="BV43" s="86">
        <f t="shared" si="91"/>
        <v>8944691</v>
      </c>
      <c r="BW43" s="86">
        <f t="shared" si="91"/>
        <v>8894662</v>
      </c>
      <c r="BX43" s="87">
        <f t="shared" si="91"/>
        <v>8894662</v>
      </c>
      <c r="BY43" s="86">
        <f t="shared" si="91"/>
        <v>9022596</v>
      </c>
      <c r="BZ43" s="86">
        <f>SUM(BZ44:BZ47)</f>
        <v>9786076</v>
      </c>
      <c r="CA43" s="86">
        <f>SUM(CA44:CA47)</f>
        <v>10433784</v>
      </c>
      <c r="CB43" s="86">
        <f t="shared" ref="CB43" si="92">SUM(CB44:CB47)</f>
        <v>10227310</v>
      </c>
      <c r="CC43" s="87">
        <f t="shared" si="91"/>
        <v>10227310</v>
      </c>
      <c r="CD43" s="86">
        <f t="shared" ref="CD43:CE43" si="93">SUM(CD44:CD47)</f>
        <v>10621011</v>
      </c>
      <c r="CE43" s="86">
        <f t="shared" si="93"/>
        <v>11168036</v>
      </c>
      <c r="CF43" s="86">
        <f t="shared" ca="1" si="91"/>
        <v>11694625.594370537</v>
      </c>
      <c r="CG43" s="86">
        <f t="shared" ca="1" si="91"/>
        <v>12306546.17306352</v>
      </c>
      <c r="CH43" s="87">
        <f t="shared" ca="1" si="91"/>
        <v>12306546.17306352</v>
      </c>
      <c r="CI43" s="86">
        <f t="shared" ca="1" si="91"/>
        <v>11961286.551040493</v>
      </c>
      <c r="CJ43" s="86">
        <f t="shared" ca="1" si="91"/>
        <v>12511275.978608236</v>
      </c>
      <c r="CK43" s="86">
        <f t="shared" ca="1" si="91"/>
        <v>13082225.245518699</v>
      </c>
      <c r="CL43" s="86">
        <f t="shared" ca="1" si="91"/>
        <v>13724766.22244646</v>
      </c>
      <c r="CM43" s="87">
        <f t="shared" ca="1" si="91"/>
        <v>13724766.22244646</v>
      </c>
      <c r="CN43" s="86">
        <f t="shared" ca="1" si="91"/>
        <v>12523292.626105195</v>
      </c>
      <c r="CO43" s="86">
        <f t="shared" ca="1" si="91"/>
        <v>13144050.454047259</v>
      </c>
      <c r="CP43" s="86">
        <f t="shared" ca="1" si="91"/>
        <v>13765688.307990558</v>
      </c>
      <c r="CQ43" s="86">
        <f t="shared" ca="1" si="91"/>
        <v>14456789.208225617</v>
      </c>
      <c r="CR43" s="87">
        <f t="shared" ca="1" si="91"/>
        <v>14456789.208225617</v>
      </c>
      <c r="CS43" s="86">
        <f t="shared" ca="1" si="91"/>
        <v>13099837.381189875</v>
      </c>
      <c r="CT43" s="86">
        <f t="shared" ref="CT43:DB43" ca="1" si="94">SUM(CT44:CT47)</f>
        <v>13769260.486596094</v>
      </c>
      <c r="CU43" s="86">
        <f t="shared" ca="1" si="94"/>
        <v>14442006.869901903</v>
      </c>
      <c r="CV43" s="86">
        <f t="shared" ca="1" si="94"/>
        <v>15182174.728329677</v>
      </c>
      <c r="CW43" s="87">
        <f t="shared" ca="1" si="94"/>
        <v>15182174.728329677</v>
      </c>
      <c r="CX43" s="86">
        <f t="shared" ca="1" si="94"/>
        <v>13740518.066286137</v>
      </c>
      <c r="CY43" s="86">
        <f t="shared" ca="1" si="94"/>
        <v>14474442.825316418</v>
      </c>
      <c r="CZ43" s="86">
        <f t="shared" ca="1" si="94"/>
        <v>15215351.639656847</v>
      </c>
      <c r="DA43" s="86">
        <f t="shared" ca="1" si="94"/>
        <v>16031778.093784764</v>
      </c>
      <c r="DB43" s="87">
        <f t="shared" ca="1" si="94"/>
        <v>16031778.093784764</v>
      </c>
    </row>
    <row r="44" spans="1:106" ht="11.5" customHeight="1" x14ac:dyDescent="0.35">
      <c r="A44" s="19" t="s">
        <v>188</v>
      </c>
      <c r="B44" s="395">
        <v>2548310</v>
      </c>
      <c r="C44" s="395">
        <v>2548497</v>
      </c>
      <c r="D44" s="395">
        <v>2549010</v>
      </c>
      <c r="E44" s="395">
        <v>2548695</v>
      </c>
      <c r="F44" s="29">
        <f>E44</f>
        <v>2548695</v>
      </c>
      <c r="G44" s="395">
        <f>2548695</f>
        <v>2548695</v>
      </c>
      <c r="H44" s="395">
        <f>2548695</f>
        <v>2548695</v>
      </c>
      <c r="I44" s="395">
        <v>2548695</v>
      </c>
      <c r="J44" s="395">
        <f>2583576-34881</f>
        <v>2548695</v>
      </c>
      <c r="K44" s="29">
        <f>J44</f>
        <v>2548695</v>
      </c>
      <c r="L44" s="395">
        <f>2583576-34881</f>
        <v>2548695</v>
      </c>
      <c r="M44" s="395">
        <f>2583576-34881</f>
        <v>2548695</v>
      </c>
      <c r="N44" s="395">
        <f>2583576-34881</f>
        <v>2548695</v>
      </c>
      <c r="O44" s="395">
        <f>2583576-34881</f>
        <v>2548695</v>
      </c>
      <c r="P44" s="29">
        <f>O44</f>
        <v>2548695</v>
      </c>
      <c r="Q44" s="395">
        <f>2583576-34881</f>
        <v>2548695</v>
      </c>
      <c r="R44" s="395">
        <f>2583576-34881</f>
        <v>2548695</v>
      </c>
      <c r="S44" s="395">
        <f>2583576-34881</f>
        <v>2548695</v>
      </c>
      <c r="T44" s="395">
        <f>2583576-34881</f>
        <v>2548695</v>
      </c>
      <c r="U44" s="29">
        <f>T44</f>
        <v>2548695</v>
      </c>
      <c r="V44" s="395">
        <f>2583576-34881</f>
        <v>2548695</v>
      </c>
      <c r="W44" s="395">
        <f>3095744-34881</f>
        <v>3060863</v>
      </c>
      <c r="X44" s="395">
        <f>3095745-34881</f>
        <v>3060864</v>
      </c>
      <c r="Y44" s="395">
        <f>3095744-34881</f>
        <v>3060863</v>
      </c>
      <c r="Z44" s="29">
        <f>Y44</f>
        <v>3060863</v>
      </c>
      <c r="AA44" s="395">
        <f>3095744-34881</f>
        <v>3060863</v>
      </c>
      <c r="AB44" s="395">
        <f>3095744-65124</f>
        <v>3030620</v>
      </c>
      <c r="AC44" s="395">
        <f>3095744-34881-30243</f>
        <v>3030620</v>
      </c>
      <c r="AD44" s="395">
        <f>3095744-102251</f>
        <v>2993493</v>
      </c>
      <c r="AE44" s="29">
        <f>AD44</f>
        <v>2993493</v>
      </c>
      <c r="AF44" s="395">
        <f>3095744-102251</f>
        <v>2993493</v>
      </c>
      <c r="AG44" s="395">
        <f>3395744-103967</f>
        <v>3291777</v>
      </c>
      <c r="AH44" s="395">
        <f>3395744-103967</f>
        <v>3291777</v>
      </c>
      <c r="AI44" s="395">
        <f>3395744-103967</f>
        <v>3291777</v>
      </c>
      <c r="AJ44" s="29">
        <f>AI44</f>
        <v>3291777</v>
      </c>
      <c r="AK44" s="395">
        <f>3395744-103967</f>
        <v>3291777</v>
      </c>
      <c r="AL44" s="395">
        <f>3395744-103967</f>
        <v>3291777</v>
      </c>
      <c r="AM44" s="395">
        <f>3395744-103967</f>
        <v>3291777</v>
      </c>
      <c r="AN44" s="395">
        <f>3395744-103967</f>
        <v>3291777</v>
      </c>
      <c r="AO44" s="29">
        <f>AN44</f>
        <v>3291777</v>
      </c>
      <c r="AP44" s="395">
        <f>3395744-103967</f>
        <v>3291777</v>
      </c>
      <c r="AQ44" s="395">
        <f>3395744-103967</f>
        <v>3291777</v>
      </c>
      <c r="AR44" s="395">
        <f>3395744-103967</f>
        <v>3291777</v>
      </c>
      <c r="AS44" s="395">
        <f>3395744-103967</f>
        <v>3291777</v>
      </c>
      <c r="AT44" s="29">
        <f>AS44</f>
        <v>3291777</v>
      </c>
      <c r="AU44" s="395">
        <f>3395744-103967</f>
        <v>3291777</v>
      </c>
      <c r="AV44" s="395">
        <f>3395744-103967</f>
        <v>3291777</v>
      </c>
      <c r="AW44" s="395">
        <f>3395744-103967</f>
        <v>3291777</v>
      </c>
      <c r="AX44" s="395">
        <f>3395744-103967</f>
        <v>3291777</v>
      </c>
      <c r="AY44" s="29">
        <f>AX44</f>
        <v>3291777</v>
      </c>
      <c r="AZ44" s="395">
        <f>3395744-103967</f>
        <v>3291777</v>
      </c>
      <c r="BA44" s="395">
        <f>3395744-103967</f>
        <v>3291777</v>
      </c>
      <c r="BB44" s="395">
        <f>3395744-103967</f>
        <v>3291777</v>
      </c>
      <c r="BC44" s="395">
        <f>3395744-103967</f>
        <v>3291777</v>
      </c>
      <c r="BD44" s="29">
        <f>BC44</f>
        <v>3291777</v>
      </c>
      <c r="BE44" s="395">
        <f>3395744-103967</f>
        <v>3291777</v>
      </c>
      <c r="BF44" s="395">
        <f>3395744-103967</f>
        <v>3291777</v>
      </c>
      <c r="BG44" s="395">
        <f>3395744-103967</f>
        <v>3291777</v>
      </c>
      <c r="BH44" s="395">
        <f>3395744-103967</f>
        <v>3291777</v>
      </c>
      <c r="BI44" s="29">
        <f>BH44</f>
        <v>3291777</v>
      </c>
      <c r="BJ44" s="395">
        <f>3395744-103967</f>
        <v>3291777</v>
      </c>
      <c r="BK44" s="395">
        <f>3395744-103967</f>
        <v>3291777</v>
      </c>
      <c r="BL44" s="395">
        <f>3395744-103967</f>
        <v>3291777</v>
      </c>
      <c r="BM44" s="395">
        <f>3395744-103967</f>
        <v>3291777</v>
      </c>
      <c r="BN44" s="29">
        <f>BM44</f>
        <v>3291777</v>
      </c>
      <c r="BO44" s="395">
        <f>3395744-103967</f>
        <v>3291777</v>
      </c>
      <c r="BP44" s="395">
        <f>3395744-103967</f>
        <v>3291777</v>
      </c>
      <c r="BQ44" s="395">
        <f>3395744-103967</f>
        <v>3291777</v>
      </c>
      <c r="BR44" s="395">
        <f>3395744-103967</f>
        <v>3291777</v>
      </c>
      <c r="BS44" s="29">
        <f>BR44</f>
        <v>3291777</v>
      </c>
      <c r="BT44" s="395">
        <f>3395744-103967</f>
        <v>3291777</v>
      </c>
      <c r="BU44" s="395">
        <f>3685000-12648</f>
        <v>3672352</v>
      </c>
      <c r="BV44" s="395">
        <f>3685000-12648</f>
        <v>3672352</v>
      </c>
      <c r="BW44" s="395">
        <f>3685000-12648</f>
        <v>3672352</v>
      </c>
      <c r="BX44" s="29">
        <f>BW44</f>
        <v>3672352</v>
      </c>
      <c r="BY44" s="395">
        <f>3685000-12648</f>
        <v>3672352</v>
      </c>
      <c r="BZ44" s="395">
        <f>3685000-12648</f>
        <v>3672352</v>
      </c>
      <c r="CA44" s="395">
        <f>3685000-12648</f>
        <v>3672352</v>
      </c>
      <c r="CB44" s="395">
        <f>6184224+15064</f>
        <v>6199288</v>
      </c>
      <c r="CC44" s="29">
        <f t="shared" ref="CC44:DB44" si="95">CB44</f>
        <v>6199288</v>
      </c>
      <c r="CD44" s="395">
        <f>6184224+22066</f>
        <v>6206290</v>
      </c>
      <c r="CE44" s="395">
        <f>6184224-34881+68718</f>
        <v>6218061</v>
      </c>
      <c r="CF44" s="90">
        <f t="shared" si="95"/>
        <v>6218061</v>
      </c>
      <c r="CG44" s="90">
        <f t="shared" si="95"/>
        <v>6218061</v>
      </c>
      <c r="CH44" s="29">
        <f t="shared" si="95"/>
        <v>6218061</v>
      </c>
      <c r="CI44" s="90">
        <f t="shared" si="95"/>
        <v>6218061</v>
      </c>
      <c r="CJ44" s="90">
        <f t="shared" si="95"/>
        <v>6218061</v>
      </c>
      <c r="CK44" s="90">
        <f t="shared" si="95"/>
        <v>6218061</v>
      </c>
      <c r="CL44" s="90">
        <f t="shared" si="95"/>
        <v>6218061</v>
      </c>
      <c r="CM44" s="29">
        <f t="shared" si="95"/>
        <v>6218061</v>
      </c>
      <c r="CN44" s="90">
        <f t="shared" si="95"/>
        <v>6218061</v>
      </c>
      <c r="CO44" s="90">
        <f t="shared" si="95"/>
        <v>6218061</v>
      </c>
      <c r="CP44" s="90">
        <f t="shared" si="95"/>
        <v>6218061</v>
      </c>
      <c r="CQ44" s="90">
        <f t="shared" si="95"/>
        <v>6218061</v>
      </c>
      <c r="CR44" s="29">
        <f t="shared" si="95"/>
        <v>6218061</v>
      </c>
      <c r="CS44" s="90">
        <f t="shared" si="95"/>
        <v>6218061</v>
      </c>
      <c r="CT44" s="90">
        <f t="shared" si="95"/>
        <v>6218061</v>
      </c>
      <c r="CU44" s="90">
        <f t="shared" si="95"/>
        <v>6218061</v>
      </c>
      <c r="CV44" s="90">
        <f t="shared" si="95"/>
        <v>6218061</v>
      </c>
      <c r="CW44" s="29">
        <f t="shared" si="95"/>
        <v>6218061</v>
      </c>
      <c r="CX44" s="90">
        <f t="shared" si="95"/>
        <v>6218061</v>
      </c>
      <c r="CY44" s="90">
        <f t="shared" si="95"/>
        <v>6218061</v>
      </c>
      <c r="CZ44" s="90">
        <f t="shared" si="95"/>
        <v>6218061</v>
      </c>
      <c r="DA44" s="90">
        <f t="shared" si="95"/>
        <v>6218061</v>
      </c>
      <c r="DB44" s="29">
        <f t="shared" si="95"/>
        <v>6218061</v>
      </c>
    </row>
    <row r="45" spans="1:106" ht="11.5" customHeight="1" x14ac:dyDescent="0.35">
      <c r="A45" s="19" t="s">
        <v>185</v>
      </c>
      <c r="B45" s="395">
        <v>-11</v>
      </c>
      <c r="C45" s="395">
        <v>-11</v>
      </c>
      <c r="D45" s="395">
        <v>-11</v>
      </c>
      <c r="E45" s="395">
        <v>-11</v>
      </c>
      <c r="F45" s="29">
        <f>E45</f>
        <v>-11</v>
      </c>
      <c r="G45" s="395">
        <v>-11</v>
      </c>
      <c r="H45" s="395">
        <v>-11</v>
      </c>
      <c r="I45" s="395">
        <v>-130692</v>
      </c>
      <c r="J45" s="395">
        <v>-161874</v>
      </c>
      <c r="K45" s="29">
        <f>J45</f>
        <v>-161874</v>
      </c>
      <c r="L45" s="395">
        <v>-161874</v>
      </c>
      <c r="M45" s="395">
        <v>-161882</v>
      </c>
      <c r="N45" s="395">
        <v>-161886</v>
      </c>
      <c r="O45" s="395">
        <v>-161887</v>
      </c>
      <c r="P45" s="29">
        <f>O45</f>
        <v>-161887</v>
      </c>
      <c r="Q45" s="395">
        <v>-161887</v>
      </c>
      <c r="R45" s="395">
        <f>-137895-24000</f>
        <v>-161895</v>
      </c>
      <c r="S45" s="395">
        <v>-137851</v>
      </c>
      <c r="T45" s="395">
        <v>-246738</v>
      </c>
      <c r="U45" s="29">
        <f>T45</f>
        <v>-246738</v>
      </c>
      <c r="V45" s="395">
        <v>-300877</v>
      </c>
      <c r="W45" s="395">
        <v>-78508</v>
      </c>
      <c r="X45" s="395">
        <v>-161905</v>
      </c>
      <c r="Y45" s="395">
        <v>-220416</v>
      </c>
      <c r="Z45" s="29">
        <f>Y45</f>
        <v>-220416</v>
      </c>
      <c r="AA45" s="395">
        <v>-266796</v>
      </c>
      <c r="AB45" s="395">
        <v>-265512</v>
      </c>
      <c r="AC45" s="395">
        <v>-264240</v>
      </c>
      <c r="AD45" s="395">
        <v>-260627</v>
      </c>
      <c r="AE45" s="29">
        <f>AD45</f>
        <v>-260627</v>
      </c>
      <c r="AF45" s="395">
        <v>-237011</v>
      </c>
      <c r="AG45" s="395">
        <v>-234176</v>
      </c>
      <c r="AH45" s="395">
        <v>-228655</v>
      </c>
      <c r="AI45" s="395">
        <v>-221925</v>
      </c>
      <c r="AJ45" s="29">
        <f>AI45</f>
        <v>-221925</v>
      </c>
      <c r="AK45" s="395">
        <v>-221922</v>
      </c>
      <c r="AL45" s="395">
        <v>-216739</v>
      </c>
      <c r="AM45" s="395">
        <v>-215508</v>
      </c>
      <c r="AN45" s="395">
        <v>-214887</v>
      </c>
      <c r="AO45" s="29">
        <f>AN45</f>
        <v>-214887</v>
      </c>
      <c r="AP45" s="395">
        <v>-212492</v>
      </c>
      <c r="AQ45" s="395">
        <f>-196598</f>
        <v>-196598</v>
      </c>
      <c r="AR45" s="395">
        <v>-196598</v>
      </c>
      <c r="AS45" s="395">
        <v>-196598</v>
      </c>
      <c r="AT45" s="29">
        <f>AS45</f>
        <v>-196598</v>
      </c>
      <c r="AU45" s="395">
        <v>-194047</v>
      </c>
      <c r="AV45" s="395">
        <v>-193371</v>
      </c>
      <c r="AW45" s="395">
        <v>-193203</v>
      </c>
      <c r="AX45" s="395">
        <v>-193203</v>
      </c>
      <c r="AY45" s="29">
        <f>AX45</f>
        <v>-193203</v>
      </c>
      <c r="AZ45" s="395">
        <v>-193203</v>
      </c>
      <c r="BA45" s="395">
        <v>-193203</v>
      </c>
      <c r="BB45" s="395">
        <v>-192224</v>
      </c>
      <c r="BC45" s="395">
        <v>-192224</v>
      </c>
      <c r="BD45" s="29">
        <f>BC45</f>
        <v>-192224</v>
      </c>
      <c r="BE45" s="395">
        <v>-192224</v>
      </c>
      <c r="BF45" s="395">
        <v>-192224</v>
      </c>
      <c r="BG45" s="395">
        <v>-192224</v>
      </c>
      <c r="BH45" s="395">
        <v>-192224</v>
      </c>
      <c r="BI45" s="29">
        <f>BH45</f>
        <v>-192224</v>
      </c>
      <c r="BJ45" s="395">
        <v>-192224</v>
      </c>
      <c r="BK45" s="395">
        <v>-212224</v>
      </c>
      <c r="BL45" s="395">
        <v>-258886</v>
      </c>
      <c r="BM45" s="395">
        <v>-298085</v>
      </c>
      <c r="BN45" s="29">
        <f>BM45</f>
        <v>-298085</v>
      </c>
      <c r="BO45" s="395">
        <v>-308737</v>
      </c>
      <c r="BP45" s="395">
        <v>-308737</v>
      </c>
      <c r="BQ45" s="395">
        <v>-308737</v>
      </c>
      <c r="BR45" s="395">
        <v>-308737</v>
      </c>
      <c r="BS45" s="29">
        <f>BR45</f>
        <v>-308737</v>
      </c>
      <c r="BT45" s="395">
        <v>-308737</v>
      </c>
      <c r="BU45" s="395">
        <v>-308737</v>
      </c>
      <c r="BV45" s="395">
        <v>-308737</v>
      </c>
      <c r="BW45" s="395">
        <v>-265309</v>
      </c>
      <c r="BX45" s="29">
        <f>BW45</f>
        <v>-265309</v>
      </c>
      <c r="BY45" s="395">
        <v>-268905</v>
      </c>
      <c r="BZ45" s="395">
        <v>-268905</v>
      </c>
      <c r="CA45" s="395">
        <v>-268905</v>
      </c>
      <c r="CB45" s="395">
        <v>-268905</v>
      </c>
      <c r="CC45" s="29">
        <f t="shared" ref="CC45:DB45" si="96">CB45</f>
        <v>-268905</v>
      </c>
      <c r="CD45" s="395">
        <v>-268905</v>
      </c>
      <c r="CE45" s="395">
        <v>-268905</v>
      </c>
      <c r="CF45" s="90">
        <f t="shared" si="96"/>
        <v>-268905</v>
      </c>
      <c r="CG45" s="90">
        <f t="shared" si="96"/>
        <v>-268905</v>
      </c>
      <c r="CH45" s="29">
        <f t="shared" si="96"/>
        <v>-268905</v>
      </c>
      <c r="CI45" s="90">
        <f t="shared" si="96"/>
        <v>-268905</v>
      </c>
      <c r="CJ45" s="90">
        <f t="shared" si="96"/>
        <v>-268905</v>
      </c>
      <c r="CK45" s="90">
        <f t="shared" si="96"/>
        <v>-268905</v>
      </c>
      <c r="CL45" s="90">
        <f t="shared" si="96"/>
        <v>-268905</v>
      </c>
      <c r="CM45" s="29">
        <f t="shared" si="96"/>
        <v>-268905</v>
      </c>
      <c r="CN45" s="90">
        <f t="shared" si="96"/>
        <v>-268905</v>
      </c>
      <c r="CO45" s="90">
        <f t="shared" si="96"/>
        <v>-268905</v>
      </c>
      <c r="CP45" s="90">
        <f t="shared" si="96"/>
        <v>-268905</v>
      </c>
      <c r="CQ45" s="90">
        <f t="shared" si="96"/>
        <v>-268905</v>
      </c>
      <c r="CR45" s="29">
        <f t="shared" si="96"/>
        <v>-268905</v>
      </c>
      <c r="CS45" s="90">
        <f t="shared" si="96"/>
        <v>-268905</v>
      </c>
      <c r="CT45" s="90">
        <f t="shared" si="96"/>
        <v>-268905</v>
      </c>
      <c r="CU45" s="90">
        <f t="shared" si="96"/>
        <v>-268905</v>
      </c>
      <c r="CV45" s="90">
        <f t="shared" si="96"/>
        <v>-268905</v>
      </c>
      <c r="CW45" s="29">
        <f t="shared" si="96"/>
        <v>-268905</v>
      </c>
      <c r="CX45" s="90">
        <f t="shared" si="96"/>
        <v>-268905</v>
      </c>
      <c r="CY45" s="90">
        <f t="shared" si="96"/>
        <v>-268905</v>
      </c>
      <c r="CZ45" s="90">
        <f t="shared" si="96"/>
        <v>-268905</v>
      </c>
      <c r="DA45" s="90">
        <f t="shared" si="96"/>
        <v>-268905</v>
      </c>
      <c r="DB45" s="29">
        <f t="shared" si="96"/>
        <v>-268905</v>
      </c>
    </row>
    <row r="46" spans="1:106" ht="11.5" customHeight="1" x14ac:dyDescent="0.35">
      <c r="A46" s="19" t="s">
        <v>186</v>
      </c>
      <c r="B46" s="395">
        <v>44968</v>
      </c>
      <c r="C46" s="395">
        <v>49493</v>
      </c>
      <c r="D46" s="395">
        <v>53813</v>
      </c>
      <c r="E46" s="395">
        <v>60250</v>
      </c>
      <c r="F46" s="29">
        <f>E46</f>
        <v>60250</v>
      </c>
      <c r="G46" s="395">
        <v>64148</v>
      </c>
      <c r="H46" s="395">
        <v>66684</v>
      </c>
      <c r="I46" s="395">
        <v>71679</v>
      </c>
      <c r="J46" s="395">
        <v>83402</v>
      </c>
      <c r="K46" s="29">
        <f>J46</f>
        <v>83402</v>
      </c>
      <c r="L46" s="395">
        <v>91394</v>
      </c>
      <c r="M46" s="395">
        <v>99479</v>
      </c>
      <c r="N46" s="395">
        <v>105813</v>
      </c>
      <c r="O46" s="395">
        <v>99374</v>
      </c>
      <c r="P46" s="29">
        <f>O46</f>
        <v>99374</v>
      </c>
      <c r="Q46" s="395">
        <v>104581</v>
      </c>
      <c r="R46" s="395">
        <f>84737+24000</f>
        <v>108737</v>
      </c>
      <c r="S46" s="395">
        <v>88394</v>
      </c>
      <c r="T46" s="395">
        <v>94022</v>
      </c>
      <c r="U46" s="29">
        <f>T46</f>
        <v>94022</v>
      </c>
      <c r="V46" s="395">
        <v>100037</v>
      </c>
      <c r="W46" s="395">
        <v>101985</v>
      </c>
      <c r="X46" s="395">
        <v>104527</v>
      </c>
      <c r="Y46" s="395">
        <v>104825</v>
      </c>
      <c r="Z46" s="29">
        <f>Y46</f>
        <v>104825</v>
      </c>
      <c r="AA46" s="395">
        <v>105489</v>
      </c>
      <c r="AB46" s="395">
        <v>89288</v>
      </c>
      <c r="AC46" s="395">
        <v>89157</v>
      </c>
      <c r="AD46" s="395">
        <v>90329</v>
      </c>
      <c r="AE46" s="29">
        <f>AD46</f>
        <v>90329</v>
      </c>
      <c r="AF46" s="395">
        <v>70898</v>
      </c>
      <c r="AG46" s="395">
        <v>70493</v>
      </c>
      <c r="AH46" s="395">
        <v>66624</v>
      </c>
      <c r="AI46" s="395">
        <v>61787</v>
      </c>
      <c r="AJ46" s="29">
        <f>AI46</f>
        <v>61787</v>
      </c>
      <c r="AK46" s="395">
        <v>63493</v>
      </c>
      <c r="AL46" s="395">
        <v>60068</v>
      </c>
      <c r="AM46" s="395">
        <v>60166</v>
      </c>
      <c r="AN46" s="395">
        <v>61216</v>
      </c>
      <c r="AO46" s="29">
        <f>AN46</f>
        <v>61216</v>
      </c>
      <c r="AP46" s="395">
        <v>60114</v>
      </c>
      <c r="AQ46" s="395">
        <v>37998</v>
      </c>
      <c r="AR46" s="395">
        <v>38319</v>
      </c>
      <c r="AS46" s="395">
        <v>38592</v>
      </c>
      <c r="AT46" s="29">
        <f>AS46</f>
        <v>38592</v>
      </c>
      <c r="AU46" s="395">
        <v>33620</v>
      </c>
      <c r="AV46" s="395">
        <v>32248</v>
      </c>
      <c r="AW46" s="395">
        <v>32106</v>
      </c>
      <c r="AX46" s="395">
        <v>32131</v>
      </c>
      <c r="AY46" s="29">
        <f>AX46</f>
        <v>32131</v>
      </c>
      <c r="AZ46" s="395">
        <v>32157</v>
      </c>
      <c r="BA46" s="395">
        <v>32182</v>
      </c>
      <c r="BB46" s="395">
        <v>31212</v>
      </c>
      <c r="BC46" s="395">
        <v>31212</v>
      </c>
      <c r="BD46" s="29">
        <f>BC46</f>
        <v>31212</v>
      </c>
      <c r="BE46" s="395">
        <v>31212</v>
      </c>
      <c r="BF46" s="395">
        <v>31212</v>
      </c>
      <c r="BG46" s="395">
        <v>31212</v>
      </c>
      <c r="BH46" s="395">
        <v>31212</v>
      </c>
      <c r="BI46" s="29">
        <f>BH46</f>
        <v>31212</v>
      </c>
      <c r="BJ46" s="395">
        <v>31212</v>
      </c>
      <c r="BK46" s="395">
        <v>31212</v>
      </c>
      <c r="BL46" s="395">
        <v>31212</v>
      </c>
      <c r="BM46" s="395">
        <v>31212</v>
      </c>
      <c r="BN46" s="29">
        <f>BM46</f>
        <v>31212</v>
      </c>
      <c r="BO46" s="395">
        <v>31212</v>
      </c>
      <c r="BP46" s="395">
        <v>31212</v>
      </c>
      <c r="BQ46" s="395">
        <v>31212</v>
      </c>
      <c r="BR46" s="395">
        <v>31212</v>
      </c>
      <c r="BS46" s="29">
        <f>BR46</f>
        <v>31212</v>
      </c>
      <c r="BT46" s="395">
        <v>31212</v>
      </c>
      <c r="BU46" s="395">
        <v>31212</v>
      </c>
      <c r="BV46" s="395">
        <v>31212</v>
      </c>
      <c r="BW46" s="395">
        <v>31212</v>
      </c>
      <c r="BX46" s="29">
        <f>BW46</f>
        <v>31212</v>
      </c>
      <c r="BY46" s="395">
        <v>31212</v>
      </c>
      <c r="BZ46" s="395">
        <v>31212</v>
      </c>
      <c r="CA46" s="395">
        <v>31212</v>
      </c>
      <c r="CB46" s="395">
        <v>31212</v>
      </c>
      <c r="CC46" s="29">
        <f>CB46</f>
        <v>31212</v>
      </c>
      <c r="CD46" s="395">
        <v>31212</v>
      </c>
      <c r="CE46" s="395">
        <v>31212</v>
      </c>
      <c r="CF46" s="90">
        <f>CE46+CE46-CD46</f>
        <v>31212</v>
      </c>
      <c r="CG46" s="90">
        <f>CF46+CF46-CE46</f>
        <v>31212</v>
      </c>
      <c r="CH46" s="29">
        <f>CG46</f>
        <v>31212</v>
      </c>
      <c r="CI46" s="90">
        <f>CG46+CG46-CF46</f>
        <v>31212</v>
      </c>
      <c r="CJ46" s="90">
        <f>CI46+CI46-CH46</f>
        <v>31212</v>
      </c>
      <c r="CK46" s="90">
        <f>CJ46+CJ46-CI46</f>
        <v>31212</v>
      </c>
      <c r="CL46" s="90">
        <f>CK46+CK46-CJ46</f>
        <v>31212</v>
      </c>
      <c r="CM46" s="29">
        <f>CL46</f>
        <v>31212</v>
      </c>
      <c r="CN46" s="90">
        <f>CL46+CL46-CK46</f>
        <v>31212</v>
      </c>
      <c r="CO46" s="90">
        <f>CN46+CN46-CM46</f>
        <v>31212</v>
      </c>
      <c r="CP46" s="90">
        <f>CO46+CO46-CN46</f>
        <v>31212</v>
      </c>
      <c r="CQ46" s="90">
        <f>CP46+CP46-CO46</f>
        <v>31212</v>
      </c>
      <c r="CR46" s="29">
        <f>CQ46</f>
        <v>31212</v>
      </c>
      <c r="CS46" s="90">
        <f>CQ46+CQ46-CP46</f>
        <v>31212</v>
      </c>
      <c r="CT46" s="90">
        <f>CS46+CS46-CR46</f>
        <v>31212</v>
      </c>
      <c r="CU46" s="90">
        <f>CT46+CT46-CS46</f>
        <v>31212</v>
      </c>
      <c r="CV46" s="90">
        <f>CU46+CU46-CT46</f>
        <v>31212</v>
      </c>
      <c r="CW46" s="29">
        <f>CV46</f>
        <v>31212</v>
      </c>
      <c r="CX46" s="90">
        <f>CV46+CV46-CU46</f>
        <v>31212</v>
      </c>
      <c r="CY46" s="90">
        <f>CX46+CX46-CW46</f>
        <v>31212</v>
      </c>
      <c r="CZ46" s="90">
        <f>CY46+CY46-CX46</f>
        <v>31212</v>
      </c>
      <c r="DA46" s="90">
        <f>CZ46+CZ46-CY46</f>
        <v>31212</v>
      </c>
      <c r="DB46" s="29">
        <f>DA46</f>
        <v>31212</v>
      </c>
    </row>
    <row r="47" spans="1:106" ht="11.5" customHeight="1" x14ac:dyDescent="0.35">
      <c r="A47" s="72" t="s">
        <v>187</v>
      </c>
      <c r="B47" s="415">
        <f>1445129-7450</f>
        <v>1437679</v>
      </c>
      <c r="C47" s="415">
        <f>1612578-8822</f>
        <v>1603756</v>
      </c>
      <c r="D47" s="415">
        <f>1788612-10693</f>
        <v>1777919</v>
      </c>
      <c r="E47" s="415">
        <f>1728579-11033</f>
        <v>1717546</v>
      </c>
      <c r="F47" s="73">
        <f>E47</f>
        <v>1717546</v>
      </c>
      <c r="G47" s="415">
        <f>1728579+74181-20566</f>
        <v>1782194</v>
      </c>
      <c r="H47" s="415">
        <f>1898632-31169</f>
        <v>1867463</v>
      </c>
      <c r="I47" s="415">
        <f>4860349-I44-I45-I46-I42</f>
        <v>2014486</v>
      </c>
      <c r="J47" s="415">
        <f>2108435-33939</f>
        <v>2074496</v>
      </c>
      <c r="K47" s="73">
        <f>J47</f>
        <v>2074496</v>
      </c>
      <c r="L47" s="415">
        <f>2108435-35078+117906</f>
        <v>2191263</v>
      </c>
      <c r="M47" s="415">
        <f>2108435+260651-28821</f>
        <v>2340265</v>
      </c>
      <c r="N47" s="415">
        <f>5358811-N44-N45-N46-N42</f>
        <v>2490522</v>
      </c>
      <c r="O47" s="415">
        <f>2419668+192129-35730</f>
        <v>2576067</v>
      </c>
      <c r="P47" s="73">
        <f>O47</f>
        <v>2576067</v>
      </c>
      <c r="Q47" s="415">
        <f>2419668+192129-35730+179019</f>
        <v>2755086</v>
      </c>
      <c r="R47" s="415">
        <f>2367627+192129-40329+361706</f>
        <v>2881133</v>
      </c>
      <c r="S47" s="415">
        <f>6322304-SUM(S44:S46)-S42</f>
        <v>3055323</v>
      </c>
      <c r="T47" s="415">
        <f>2879763+228071-42191</f>
        <v>3065643</v>
      </c>
      <c r="U47" s="73">
        <f>T47</f>
        <v>3065643</v>
      </c>
      <c r="V47" s="415">
        <f>2879763+228071-38757+163453</f>
        <v>3232530</v>
      </c>
      <c r="W47" s="415">
        <f>2048234+228071+332347-41298</f>
        <v>2567354</v>
      </c>
      <c r="X47" s="415">
        <f>2048233+228071+511476-37798</f>
        <v>2749982</v>
      </c>
      <c r="Y47" s="415">
        <f>2519551+261147-66879</f>
        <v>2713819</v>
      </c>
      <c r="Z47" s="73">
        <f>Y47</f>
        <v>2713819</v>
      </c>
      <c r="AA47" s="415">
        <f>2519551+261147-81918+100541</f>
        <v>2799321</v>
      </c>
      <c r="AB47" s="415">
        <f>2519551+261147-58716</f>
        <v>2721982</v>
      </c>
      <c r="AC47" s="415">
        <f>2519551+261147-58298+349779</f>
        <v>3072179</v>
      </c>
      <c r="AD47" s="415">
        <f>2838609+283537-58298</f>
        <v>3063848</v>
      </c>
      <c r="AE47" s="73">
        <f>AD47</f>
        <v>3063848</v>
      </c>
      <c r="AF47" s="415">
        <f>2838609+283537-58298+61271</f>
        <v>3125119</v>
      </c>
      <c r="AG47" s="415">
        <f>2538609+283537-55323+105975</f>
        <v>2872798</v>
      </c>
      <c r="AH47" s="415">
        <f>2538609+283537-55634+120419</f>
        <v>2886931</v>
      </c>
      <c r="AI47" s="415">
        <f>2646447+291104-55634</f>
        <v>2881917</v>
      </c>
      <c r="AJ47" s="73">
        <f>AI47</f>
        <v>2881917</v>
      </c>
      <c r="AK47" s="415">
        <f>2646447+291104-55634+4025</f>
        <v>2885942</v>
      </c>
      <c r="AL47" s="415">
        <f>2646447+291104-55785-137003</f>
        <v>2744763</v>
      </c>
      <c r="AM47" s="415">
        <f>2646447+291104-55837-143766</f>
        <v>2737948</v>
      </c>
      <c r="AN47" s="415">
        <f>2551443+291104-56062</f>
        <v>2786485</v>
      </c>
      <c r="AO47" s="73">
        <f>AN47</f>
        <v>2786485</v>
      </c>
      <c r="AP47" s="415">
        <f>2355458+291104-56189-51283</f>
        <v>2539090</v>
      </c>
      <c r="AQ47" s="415">
        <f>2155458+291104-56739-79721</f>
        <v>2310102</v>
      </c>
      <c r="AR47" s="415">
        <f>2155459+291104-57666-200474</f>
        <v>2188423</v>
      </c>
      <c r="AS47" s="415">
        <f>1723490+291104+183</f>
        <v>2014777</v>
      </c>
      <c r="AT47" s="73">
        <f>AS47</f>
        <v>2014777</v>
      </c>
      <c r="AU47" s="415">
        <f>1723490+291104+183+48409</f>
        <v>2063186</v>
      </c>
      <c r="AV47" s="415">
        <f>1723490+291104+285</f>
        <v>2014879</v>
      </c>
      <c r="AW47" s="415">
        <f>1423490+291104+285+266626</f>
        <v>1981505</v>
      </c>
      <c r="AX47" s="415">
        <f>1319777+311896-2</f>
        <v>1631671</v>
      </c>
      <c r="AY47" s="73">
        <f>AX47</f>
        <v>1631671</v>
      </c>
      <c r="AZ47" s="415">
        <f>1319777+311896+59+27934</f>
        <v>1659666</v>
      </c>
      <c r="BA47" s="415">
        <f>1319777+311896+95745-499</f>
        <v>1726919</v>
      </c>
      <c r="BB47" s="415">
        <f>1319777+1499024+311896-266</f>
        <v>3130431</v>
      </c>
      <c r="BC47" s="415">
        <f>1973960+399909+99</f>
        <v>2373968</v>
      </c>
      <c r="BD47" s="73">
        <f>BC47</f>
        <v>2373968</v>
      </c>
      <c r="BE47" s="415">
        <f>1973960+399909-746+192285</f>
        <v>2565408</v>
      </c>
      <c r="BF47" s="415">
        <f>1973960+399909+459259-1679</f>
        <v>2831449</v>
      </c>
      <c r="BG47" s="415">
        <f>1973960+399909-2753+696804</f>
        <v>3067920</v>
      </c>
      <c r="BH47" s="415">
        <f>2625438+445627-3778</f>
        <v>3067287</v>
      </c>
      <c r="BI47" s="73">
        <f>BH47</f>
        <v>3067287</v>
      </c>
      <c r="BJ47" s="415">
        <f>2787190+445627-6487</f>
        <v>3226330</v>
      </c>
      <c r="BK47" s="415">
        <f>2625438+445627-9981+312550</f>
        <v>3373634</v>
      </c>
      <c r="BL47" s="415">
        <f>2625438+445627-3557</f>
        <v>3067508</v>
      </c>
      <c r="BM47" s="415">
        <f>3201239+486071+409530</f>
        <v>4096840</v>
      </c>
      <c r="BN47" s="73">
        <f>BM47</f>
        <v>4096840</v>
      </c>
      <c r="BO47" s="415">
        <f>3364815+486071+357145</f>
        <v>4208031</v>
      </c>
      <c r="BP47" s="415">
        <f>3201239+486071+375457+442961</f>
        <v>4505728</v>
      </c>
      <c r="BQ47" s="415">
        <f>3201239+486071+386514+694280</f>
        <v>4768104</v>
      </c>
      <c r="BR47" s="415">
        <f>3747478+533176+395435</f>
        <v>4676089</v>
      </c>
      <c r="BS47" s="73">
        <f>BR47</f>
        <v>4676089</v>
      </c>
      <c r="BT47" s="415">
        <f>3747478+533176+423589</f>
        <v>4704243</v>
      </c>
      <c r="BU47" s="415">
        <f>3458222+533176+679263+433288</f>
        <v>5103949</v>
      </c>
      <c r="BV47" s="415">
        <f>3458222+533176+406102+1152364</f>
        <v>5549864</v>
      </c>
      <c r="BW47" s="415">
        <f>4437324+615626+403457</f>
        <v>5456407</v>
      </c>
      <c r="BX47" s="73">
        <f>BW47</f>
        <v>5456407</v>
      </c>
      <c r="BY47" s="415">
        <f>4437324+615626+534987</f>
        <v>5587937</v>
      </c>
      <c r="BZ47" s="415">
        <f>3262414+615626+583028+715439+1174910</f>
        <v>6351417</v>
      </c>
      <c r="CA47" s="415">
        <f>615626+3262414+1174910+1324554+621621</f>
        <v>6999125</v>
      </c>
      <c r="CB47" s="415">
        <f>2845440+715964+704311</f>
        <v>4265715</v>
      </c>
      <c r="CC47" s="73">
        <f>CB47</f>
        <v>4265715</v>
      </c>
      <c r="CD47" s="415">
        <f>715964+2845440+296776+794234</f>
        <v>4652414</v>
      </c>
      <c r="CE47" s="415">
        <f>2845440+715964+877912+748352</f>
        <v>5187668</v>
      </c>
      <c r="CF47" s="424">
        <f ca="1">CE47+IS!CF45-IS!CF55</f>
        <v>5714257.5943705365</v>
      </c>
      <c r="CG47" s="424">
        <f ca="1">CF47+IS!CG45-IS!CG55</f>
        <v>6326178.1730635194</v>
      </c>
      <c r="CH47" s="73">
        <f ca="1">CG47</f>
        <v>6326178.1730635194</v>
      </c>
      <c r="CI47" s="424">
        <f ca="1">CH47+IS!CI45-IS!CI55</f>
        <v>5980918.5510404939</v>
      </c>
      <c r="CJ47" s="424">
        <f ca="1">CI47+IS!CJ45-IS!CJ55</f>
        <v>6530907.9786082348</v>
      </c>
      <c r="CK47" s="424">
        <f ca="1">CJ47+IS!CK45-IS!CK55</f>
        <v>7101857.2455186993</v>
      </c>
      <c r="CL47" s="424">
        <f ca="1">CK47+IS!CL45-IS!CL55</f>
        <v>7744398.2224464593</v>
      </c>
      <c r="CM47" s="73">
        <f ca="1">CL47</f>
        <v>7744398.2224464593</v>
      </c>
      <c r="CN47" s="424">
        <f ca="1">CM47+IS!CN45-IS!CN55</f>
        <v>6542924.6261051949</v>
      </c>
      <c r="CO47" s="424">
        <f ca="1">CN47+IS!CO45-IS!CO55</f>
        <v>7163682.4540472599</v>
      </c>
      <c r="CP47" s="424">
        <f ca="1">CO47+IS!CP45-IS!CP55</f>
        <v>7785320.3079905584</v>
      </c>
      <c r="CQ47" s="424">
        <f ca="1">CP47+IS!CQ45-IS!CQ55</f>
        <v>8476421.2082256172</v>
      </c>
      <c r="CR47" s="73">
        <f ca="1">CQ47</f>
        <v>8476421.2082256172</v>
      </c>
      <c r="CS47" s="424">
        <f ca="1">CR47+IS!CS45-IS!CS55</f>
        <v>7119469.3811898762</v>
      </c>
      <c r="CT47" s="424">
        <f ca="1">CS47+IS!CT45-IS!CT55</f>
        <v>7788892.4865960944</v>
      </c>
      <c r="CU47" s="424">
        <f ca="1">CT47+IS!CU45-IS!CU55</f>
        <v>8461638.869901903</v>
      </c>
      <c r="CV47" s="424">
        <f ca="1">CU47+IS!CV45-IS!CV55</f>
        <v>9201806.7283296771</v>
      </c>
      <c r="CW47" s="73">
        <f ca="1">CV47</f>
        <v>9201806.7283296771</v>
      </c>
      <c r="CX47" s="424">
        <f ca="1">CW47+IS!CX45-IS!CX55</f>
        <v>7760150.0662861373</v>
      </c>
      <c r="CY47" s="424">
        <f ca="1">CX47+IS!CY45-IS!CY55</f>
        <v>8494074.825316418</v>
      </c>
      <c r="CZ47" s="424">
        <f ca="1">CY47+IS!CZ45-IS!CZ55</f>
        <v>9234983.6396568473</v>
      </c>
      <c r="DA47" s="424">
        <f ca="1">CZ47+IS!DA45-IS!DA55</f>
        <v>10051410.093784764</v>
      </c>
      <c r="DB47" s="73">
        <f ca="1">DA47</f>
        <v>10051410.093784764</v>
      </c>
    </row>
    <row r="48" spans="1:106" s="94" customFormat="1" ht="11.5" customHeight="1" x14ac:dyDescent="0.35">
      <c r="A48" s="194" t="s">
        <v>22</v>
      </c>
      <c r="B48" s="195">
        <f t="shared" ref="B48:AG48" si="97">B26-B4</f>
        <v>0</v>
      </c>
      <c r="C48" s="195">
        <f t="shared" si="97"/>
        <v>0</v>
      </c>
      <c r="D48" s="195">
        <f t="shared" si="97"/>
        <v>0</v>
      </c>
      <c r="E48" s="195">
        <f t="shared" si="97"/>
        <v>0</v>
      </c>
      <c r="F48" s="196">
        <f t="shared" si="97"/>
        <v>0</v>
      </c>
      <c r="G48" s="195">
        <f t="shared" si="97"/>
        <v>0</v>
      </c>
      <c r="H48" s="195">
        <f t="shared" si="97"/>
        <v>0</v>
      </c>
      <c r="I48" s="195">
        <f t="shared" si="97"/>
        <v>0</v>
      </c>
      <c r="J48" s="195">
        <f t="shared" si="97"/>
        <v>0</v>
      </c>
      <c r="K48" s="196">
        <f t="shared" si="97"/>
        <v>0</v>
      </c>
      <c r="L48" s="195">
        <f t="shared" si="97"/>
        <v>0</v>
      </c>
      <c r="M48" s="195">
        <f t="shared" si="97"/>
        <v>0</v>
      </c>
      <c r="N48" s="195">
        <f t="shared" si="97"/>
        <v>0</v>
      </c>
      <c r="O48" s="195">
        <f t="shared" si="97"/>
        <v>0</v>
      </c>
      <c r="P48" s="196">
        <f t="shared" si="97"/>
        <v>0</v>
      </c>
      <c r="Q48" s="195">
        <f t="shared" si="97"/>
        <v>0</v>
      </c>
      <c r="R48" s="195">
        <f t="shared" si="97"/>
        <v>0</v>
      </c>
      <c r="S48" s="195">
        <f t="shared" si="97"/>
        <v>0</v>
      </c>
      <c r="T48" s="195">
        <f t="shared" si="97"/>
        <v>0</v>
      </c>
      <c r="U48" s="196">
        <f t="shared" si="97"/>
        <v>0</v>
      </c>
      <c r="V48" s="195">
        <f t="shared" si="97"/>
        <v>0</v>
      </c>
      <c r="W48" s="195">
        <f t="shared" si="97"/>
        <v>0</v>
      </c>
      <c r="X48" s="195">
        <f t="shared" si="97"/>
        <v>0</v>
      </c>
      <c r="Y48" s="195">
        <f t="shared" si="97"/>
        <v>0</v>
      </c>
      <c r="Z48" s="196">
        <f t="shared" si="97"/>
        <v>0</v>
      </c>
      <c r="AA48" s="195">
        <f t="shared" si="97"/>
        <v>0</v>
      </c>
      <c r="AB48" s="195">
        <f t="shared" si="97"/>
        <v>0</v>
      </c>
      <c r="AC48" s="195">
        <f t="shared" si="97"/>
        <v>0</v>
      </c>
      <c r="AD48" s="195">
        <f t="shared" si="97"/>
        <v>0</v>
      </c>
      <c r="AE48" s="196">
        <f t="shared" si="97"/>
        <v>0</v>
      </c>
      <c r="AF48" s="195">
        <f t="shared" si="97"/>
        <v>0</v>
      </c>
      <c r="AG48" s="195">
        <f t="shared" si="97"/>
        <v>0</v>
      </c>
      <c r="AH48" s="195">
        <f t="shared" ref="AH48:BM48" si="98">AH26-AH4</f>
        <v>0</v>
      </c>
      <c r="AI48" s="195">
        <f t="shared" si="98"/>
        <v>0</v>
      </c>
      <c r="AJ48" s="196">
        <f t="shared" si="98"/>
        <v>0</v>
      </c>
      <c r="AK48" s="195">
        <f t="shared" si="98"/>
        <v>0</v>
      </c>
      <c r="AL48" s="195">
        <f t="shared" si="98"/>
        <v>0</v>
      </c>
      <c r="AM48" s="195">
        <f t="shared" si="98"/>
        <v>0</v>
      </c>
      <c r="AN48" s="195">
        <f t="shared" si="98"/>
        <v>0</v>
      </c>
      <c r="AO48" s="196">
        <f t="shared" si="98"/>
        <v>0</v>
      </c>
      <c r="AP48" s="195">
        <f t="shared" si="98"/>
        <v>0</v>
      </c>
      <c r="AQ48" s="195">
        <f t="shared" si="98"/>
        <v>0</v>
      </c>
      <c r="AR48" s="195">
        <f t="shared" si="98"/>
        <v>0</v>
      </c>
      <c r="AS48" s="195">
        <f t="shared" si="98"/>
        <v>0</v>
      </c>
      <c r="AT48" s="196">
        <f t="shared" si="98"/>
        <v>0</v>
      </c>
      <c r="AU48" s="195">
        <f t="shared" si="98"/>
        <v>0</v>
      </c>
      <c r="AV48" s="195">
        <f t="shared" si="98"/>
        <v>0</v>
      </c>
      <c r="AW48" s="195">
        <f t="shared" si="98"/>
        <v>0</v>
      </c>
      <c r="AX48" s="195">
        <f t="shared" si="98"/>
        <v>0</v>
      </c>
      <c r="AY48" s="196">
        <f t="shared" si="98"/>
        <v>0</v>
      </c>
      <c r="AZ48" s="195">
        <f t="shared" si="98"/>
        <v>0</v>
      </c>
      <c r="BA48" s="195">
        <f t="shared" si="98"/>
        <v>0</v>
      </c>
      <c r="BB48" s="195">
        <f t="shared" si="98"/>
        <v>0</v>
      </c>
      <c r="BC48" s="195">
        <f t="shared" si="98"/>
        <v>0</v>
      </c>
      <c r="BD48" s="196">
        <f t="shared" si="98"/>
        <v>0</v>
      </c>
      <c r="BE48" s="195">
        <f t="shared" si="98"/>
        <v>0</v>
      </c>
      <c r="BF48" s="195">
        <f t="shared" si="98"/>
        <v>0</v>
      </c>
      <c r="BG48" s="195">
        <f t="shared" si="98"/>
        <v>0</v>
      </c>
      <c r="BH48" s="195">
        <f t="shared" si="98"/>
        <v>0</v>
      </c>
      <c r="BI48" s="196">
        <f t="shared" si="98"/>
        <v>0</v>
      </c>
      <c r="BJ48" s="195">
        <f t="shared" si="98"/>
        <v>0</v>
      </c>
      <c r="BK48" s="195">
        <f t="shared" si="98"/>
        <v>0</v>
      </c>
      <c r="BL48" s="195">
        <f t="shared" si="98"/>
        <v>0</v>
      </c>
      <c r="BM48" s="195">
        <f t="shared" si="98"/>
        <v>0</v>
      </c>
      <c r="BN48" s="196">
        <f t="shared" ref="BN48:CS48" si="99">BN26-BN4</f>
        <v>0</v>
      </c>
      <c r="BO48" s="195">
        <f t="shared" si="99"/>
        <v>0</v>
      </c>
      <c r="BP48" s="195">
        <f t="shared" si="99"/>
        <v>0</v>
      </c>
      <c r="BQ48" s="195">
        <f t="shared" si="99"/>
        <v>0</v>
      </c>
      <c r="BR48" s="195">
        <f t="shared" si="99"/>
        <v>0</v>
      </c>
      <c r="BS48" s="196">
        <f t="shared" si="99"/>
        <v>0</v>
      </c>
      <c r="BT48" s="195">
        <f t="shared" si="99"/>
        <v>0</v>
      </c>
      <c r="BU48" s="195">
        <f t="shared" si="99"/>
        <v>0</v>
      </c>
      <c r="BV48" s="195">
        <f t="shared" si="99"/>
        <v>0</v>
      </c>
      <c r="BW48" s="195">
        <f t="shared" si="99"/>
        <v>0</v>
      </c>
      <c r="BX48" s="196">
        <f t="shared" si="99"/>
        <v>0</v>
      </c>
      <c r="BY48" s="195">
        <f t="shared" si="99"/>
        <v>0</v>
      </c>
      <c r="BZ48" s="195">
        <f t="shared" si="99"/>
        <v>0</v>
      </c>
      <c r="CA48" s="195">
        <f t="shared" ref="CA48:CB48" si="100">CA26-CA4</f>
        <v>0</v>
      </c>
      <c r="CB48" s="195">
        <f t="shared" si="100"/>
        <v>0</v>
      </c>
      <c r="CC48" s="196">
        <f t="shared" si="99"/>
        <v>0</v>
      </c>
      <c r="CD48" s="195">
        <f t="shared" ref="CD48:CE48" si="101">CD26-CD4</f>
        <v>0</v>
      </c>
      <c r="CE48" s="195">
        <f t="shared" si="101"/>
        <v>0</v>
      </c>
      <c r="CF48" s="195">
        <f t="shared" ca="1" si="99"/>
        <v>0</v>
      </c>
      <c r="CG48" s="195">
        <f t="shared" ca="1" si="99"/>
        <v>0</v>
      </c>
      <c r="CH48" s="196">
        <f t="shared" ca="1" si="99"/>
        <v>0</v>
      </c>
      <c r="CI48" s="195">
        <f t="shared" ca="1" si="99"/>
        <v>0</v>
      </c>
      <c r="CJ48" s="195">
        <f t="shared" ca="1" si="99"/>
        <v>0</v>
      </c>
      <c r="CK48" s="195">
        <f t="shared" ca="1" si="99"/>
        <v>0</v>
      </c>
      <c r="CL48" s="195">
        <f t="shared" ca="1" si="99"/>
        <v>0</v>
      </c>
      <c r="CM48" s="196">
        <f t="shared" ca="1" si="99"/>
        <v>0</v>
      </c>
      <c r="CN48" s="195">
        <f t="shared" ca="1" si="99"/>
        <v>0</v>
      </c>
      <c r="CO48" s="195">
        <f t="shared" ca="1" si="99"/>
        <v>0</v>
      </c>
      <c r="CP48" s="195">
        <f t="shared" ca="1" si="99"/>
        <v>0</v>
      </c>
      <c r="CQ48" s="195">
        <f t="shared" ca="1" si="99"/>
        <v>0</v>
      </c>
      <c r="CR48" s="196">
        <f t="shared" ca="1" si="99"/>
        <v>0</v>
      </c>
      <c r="CS48" s="195">
        <f t="shared" ca="1" si="99"/>
        <v>0</v>
      </c>
      <c r="CT48" s="195">
        <f t="shared" ref="CT48:DB48" ca="1" si="102">CT26-CT4</f>
        <v>0</v>
      </c>
      <c r="CU48" s="195">
        <f t="shared" ca="1" si="102"/>
        <v>0</v>
      </c>
      <c r="CV48" s="195">
        <f t="shared" ca="1" si="102"/>
        <v>0</v>
      </c>
      <c r="CW48" s="196">
        <f t="shared" ca="1" si="102"/>
        <v>0</v>
      </c>
      <c r="CX48" s="195">
        <f t="shared" ca="1" si="102"/>
        <v>0</v>
      </c>
      <c r="CY48" s="195">
        <f t="shared" ca="1" si="102"/>
        <v>0</v>
      </c>
      <c r="CZ48" s="195">
        <f t="shared" ca="1" si="102"/>
        <v>0</v>
      </c>
      <c r="DA48" s="195">
        <f t="shared" ca="1" si="102"/>
        <v>0</v>
      </c>
      <c r="DB48" s="196">
        <f t="shared" ca="1" si="102"/>
        <v>0</v>
      </c>
    </row>
    <row r="49" spans="1:106" ht="11.5" customHeight="1" x14ac:dyDescent="0.35">
      <c r="A49" s="19"/>
      <c r="B49" s="70"/>
      <c r="C49" s="74"/>
      <c r="D49" s="74"/>
      <c r="E49" s="74"/>
      <c r="F49" s="57"/>
      <c r="G49" s="74"/>
      <c r="H49" s="23"/>
      <c r="I49" s="23"/>
      <c r="J49" s="23"/>
      <c r="K49" s="57"/>
      <c r="L49" s="74"/>
      <c r="M49" s="23"/>
      <c r="N49" s="23"/>
      <c r="O49" s="23"/>
      <c r="P49" s="57"/>
      <c r="Q49" s="74"/>
      <c r="R49" s="23"/>
      <c r="S49" s="23"/>
      <c r="T49" s="23"/>
      <c r="U49" s="57"/>
      <c r="V49" s="74">
        <f>62+157</f>
        <v>219</v>
      </c>
      <c r="W49" s="23">
        <f>1733-1671</f>
        <v>62</v>
      </c>
      <c r="X49" s="23" t="e">
        <f>8.08/#REF!</f>
        <v>#REF!</v>
      </c>
      <c r="Y49" s="23"/>
      <c r="Z49" s="57"/>
      <c r="AA49" s="74"/>
      <c r="AB49" s="23"/>
      <c r="AC49" s="23"/>
      <c r="AD49" s="23"/>
      <c r="AE49" s="57"/>
      <c r="AF49" s="74"/>
      <c r="AG49" s="23"/>
      <c r="AH49" s="23"/>
      <c r="AI49" s="23"/>
      <c r="AJ49" s="57"/>
      <c r="AK49" s="74"/>
      <c r="AL49" s="23"/>
      <c r="AM49" s="23"/>
      <c r="AN49" s="23"/>
      <c r="AO49" s="57"/>
      <c r="AP49" s="74"/>
      <c r="AQ49" s="23"/>
      <c r="AR49" s="23"/>
      <c r="AS49" s="23"/>
      <c r="AT49" s="57"/>
      <c r="AU49" s="74"/>
      <c r="AV49" s="23"/>
      <c r="AW49" s="23"/>
      <c r="AX49" s="23"/>
      <c r="AY49" s="57"/>
      <c r="AZ49" s="74"/>
      <c r="BA49" s="23"/>
      <c r="BB49" s="23"/>
      <c r="BC49" s="23"/>
      <c r="BD49" s="57"/>
      <c r="BE49" s="74"/>
      <c r="BF49" s="23"/>
      <c r="BG49" s="23"/>
      <c r="BH49" s="23"/>
      <c r="BI49" s="57"/>
      <c r="BJ49" s="74"/>
      <c r="BK49" s="23"/>
      <c r="BL49" s="23"/>
      <c r="BM49" s="23"/>
      <c r="BN49" s="57"/>
      <c r="BO49" s="74"/>
      <c r="BP49" s="23"/>
      <c r="BQ49" s="23"/>
      <c r="BR49" s="23"/>
      <c r="BS49" s="57"/>
      <c r="BT49" s="74"/>
      <c r="BU49" s="23"/>
      <c r="BV49" s="23"/>
      <c r="BW49" s="23"/>
      <c r="BX49" s="57"/>
      <c r="BY49" s="74"/>
      <c r="BZ49" s="90"/>
      <c r="CA49" s="90"/>
      <c r="CB49" s="90"/>
      <c r="CC49" s="57"/>
      <c r="CD49" s="90"/>
      <c r="CE49" s="90"/>
      <c r="CF49" s="90"/>
      <c r="CG49" s="90"/>
      <c r="CH49" s="57"/>
      <c r="CI49" s="90"/>
      <c r="CJ49" s="90"/>
      <c r="CK49" s="90"/>
      <c r="CL49" s="90"/>
      <c r="CM49" s="57"/>
      <c r="CN49" s="90"/>
      <c r="CO49" s="90"/>
      <c r="CP49" s="90"/>
      <c r="CQ49" s="90"/>
      <c r="CR49" s="57"/>
      <c r="CS49" s="90"/>
      <c r="CT49" s="90"/>
      <c r="CU49" s="90"/>
      <c r="CV49" s="90"/>
      <c r="CW49" s="57"/>
      <c r="CX49" s="90"/>
      <c r="CY49" s="90"/>
      <c r="CZ49" s="90"/>
      <c r="DA49" s="90"/>
      <c r="DB49" s="57"/>
    </row>
    <row r="50" spans="1:106" ht="11.5" customHeight="1" thickBot="1" x14ac:dyDescent="0.4">
      <c r="A50" s="124" t="s">
        <v>205</v>
      </c>
      <c r="B50" s="129" t="str">
        <f>Macro!B$3</f>
        <v>1Q10</v>
      </c>
      <c r="C50" s="129" t="str">
        <f>Macro!C$3</f>
        <v>2Q10</v>
      </c>
      <c r="D50" s="129" t="str">
        <f>Macro!D$3</f>
        <v>3Q10</v>
      </c>
      <c r="E50" s="130" t="str">
        <f>Macro!E$3</f>
        <v>4Q10</v>
      </c>
      <c r="F50" s="131" t="str">
        <f>Macro!F$3</f>
        <v>2010</v>
      </c>
      <c r="G50" s="129" t="str">
        <f>Macro!G$3</f>
        <v>1Q11</v>
      </c>
      <c r="H50" s="129" t="str">
        <f>Macro!H$3</f>
        <v>2Q11</v>
      </c>
      <c r="I50" s="129" t="str">
        <f>Macro!I$3</f>
        <v>3Q11</v>
      </c>
      <c r="J50" s="130" t="str">
        <f>Macro!J$3</f>
        <v>4Q11</v>
      </c>
      <c r="K50" s="131" t="str">
        <f>Macro!K$3</f>
        <v>2011</v>
      </c>
      <c r="L50" s="129" t="str">
        <f>Macro!L$3</f>
        <v>1Q12</v>
      </c>
      <c r="M50" s="129" t="str">
        <f>Macro!M$3</f>
        <v>2Q12</v>
      </c>
      <c r="N50" s="129" t="str">
        <f>Macro!N$3</f>
        <v>3Q12</v>
      </c>
      <c r="O50" s="130" t="str">
        <f>Macro!O$3</f>
        <v>4Q12</v>
      </c>
      <c r="P50" s="131" t="str">
        <f>Macro!P$3</f>
        <v>2012</v>
      </c>
      <c r="Q50" s="129" t="str">
        <f>Macro!Q$3</f>
        <v>1Q13</v>
      </c>
      <c r="R50" s="129" t="str">
        <f>Macro!R$3</f>
        <v>2Q13</v>
      </c>
      <c r="S50" s="129" t="str">
        <f>Macro!S$3</f>
        <v>3Q13</v>
      </c>
      <c r="T50" s="130" t="str">
        <f>Macro!T$3</f>
        <v>4Q13</v>
      </c>
      <c r="U50" s="131" t="str">
        <f>Macro!U$3</f>
        <v>2013</v>
      </c>
      <c r="V50" s="129" t="str">
        <f>Macro!V$3</f>
        <v>1Q14</v>
      </c>
      <c r="W50" s="129" t="str">
        <f>Macro!W$3</f>
        <v>2Q14</v>
      </c>
      <c r="X50" s="129" t="str">
        <f>Macro!X$3</f>
        <v>3Q14</v>
      </c>
      <c r="Y50" s="130" t="str">
        <f>Macro!Y$3</f>
        <v>4Q14</v>
      </c>
      <c r="Z50" s="131" t="str">
        <f>Macro!Z$3</f>
        <v>2014</v>
      </c>
      <c r="AA50" s="129" t="str">
        <f>Macro!AA$3</f>
        <v>1Q15</v>
      </c>
      <c r="AB50" s="129" t="str">
        <f>Macro!AB$3</f>
        <v>2Q15</v>
      </c>
      <c r="AC50" s="129" t="str">
        <f>Macro!AC$3</f>
        <v>3Q15</v>
      </c>
      <c r="AD50" s="130" t="str">
        <f>Macro!AD$3</f>
        <v>4Q15</v>
      </c>
      <c r="AE50" s="131" t="str">
        <f>Macro!AE$3</f>
        <v>2015</v>
      </c>
      <c r="AF50" s="129" t="str">
        <f>Macro!AF$3</f>
        <v>1Q16</v>
      </c>
      <c r="AG50" s="129" t="str">
        <f>Macro!AG$3</f>
        <v>2Q16</v>
      </c>
      <c r="AH50" s="129" t="str">
        <f>Macro!AH$3</f>
        <v>3Q16</v>
      </c>
      <c r="AI50" s="130" t="str">
        <f>Macro!AI$3</f>
        <v>4Q16</v>
      </c>
      <c r="AJ50" s="131" t="str">
        <f>Macro!AJ$3</f>
        <v>2016</v>
      </c>
      <c r="AK50" s="129" t="str">
        <f>Macro!AK$3</f>
        <v>1Q17</v>
      </c>
      <c r="AL50" s="129" t="str">
        <f>Macro!AL$3</f>
        <v>2Q17</v>
      </c>
      <c r="AM50" s="129" t="str">
        <f>Macro!AM$3</f>
        <v>3Q17</v>
      </c>
      <c r="AN50" s="130" t="str">
        <f>Macro!AN$3</f>
        <v>4Q17</v>
      </c>
      <c r="AO50" s="131" t="str">
        <f>Macro!AO$3</f>
        <v>2017</v>
      </c>
      <c r="AP50" s="129" t="str">
        <f>Macro!AP$3</f>
        <v>1Q18</v>
      </c>
      <c r="AQ50" s="129" t="str">
        <f>Macro!AQ$3</f>
        <v>2Q18</v>
      </c>
      <c r="AR50" s="129" t="str">
        <f>Macro!AR$3</f>
        <v>3Q18</v>
      </c>
      <c r="AS50" s="130" t="str">
        <f>Macro!AS$3</f>
        <v>4Q18</v>
      </c>
      <c r="AT50" s="131" t="str">
        <f>Macro!AT$3</f>
        <v>2018</v>
      </c>
      <c r="AU50" s="129" t="str">
        <f>Macro!AU$3</f>
        <v>1Q19</v>
      </c>
      <c r="AV50" s="129" t="str">
        <f>Macro!AV$3</f>
        <v>2Q19</v>
      </c>
      <c r="AW50" s="129" t="str">
        <f>Macro!AW$3</f>
        <v>3Q19</v>
      </c>
      <c r="AX50" s="130" t="str">
        <f>Macro!AX$3</f>
        <v>4Q19</v>
      </c>
      <c r="AY50" s="131" t="str">
        <f>Macro!AY$3</f>
        <v>2019</v>
      </c>
      <c r="AZ50" s="129" t="str">
        <f>Macro!AZ$3</f>
        <v>1Q20</v>
      </c>
      <c r="BA50" s="129" t="str">
        <f>Macro!BA$3</f>
        <v>2Q20</v>
      </c>
      <c r="BB50" s="129" t="str">
        <f>Macro!BB$3</f>
        <v>3Q20</v>
      </c>
      <c r="BC50" s="130" t="str">
        <f>Macro!BC$3</f>
        <v>4Q20</v>
      </c>
      <c r="BD50" s="131" t="str">
        <f>Macro!BD$3</f>
        <v>2020</v>
      </c>
      <c r="BE50" s="129" t="str">
        <f>Macro!BE$3</f>
        <v>1Q21</v>
      </c>
      <c r="BF50" s="129" t="str">
        <f>Macro!BF$3</f>
        <v>2Q21</v>
      </c>
      <c r="BG50" s="129" t="str">
        <f>Macro!BG$3</f>
        <v>3Q21</v>
      </c>
      <c r="BH50" s="130" t="str">
        <f>Macro!BH$3</f>
        <v>4Q21</v>
      </c>
      <c r="BI50" s="131" t="str">
        <f>Macro!BI$3</f>
        <v>2021</v>
      </c>
      <c r="BJ50" s="129" t="str">
        <f>Macro!BJ$3</f>
        <v>1Q22</v>
      </c>
      <c r="BK50" s="129" t="str">
        <f>Macro!BK$3</f>
        <v>2Q22</v>
      </c>
      <c r="BL50" s="129" t="str">
        <f>Macro!BL$3</f>
        <v>3Q22</v>
      </c>
      <c r="BM50" s="130" t="str">
        <f>Macro!BM$3</f>
        <v>4Q22</v>
      </c>
      <c r="BN50" s="131" t="str">
        <f>Macro!BN$3</f>
        <v>2022</v>
      </c>
      <c r="BO50" s="129" t="str">
        <f>Macro!BO$3</f>
        <v>1Q23</v>
      </c>
      <c r="BP50" s="129" t="str">
        <f>Macro!BP$3</f>
        <v>2Q23</v>
      </c>
      <c r="BQ50" s="129" t="str">
        <f>Macro!BQ$3</f>
        <v>3Q23</v>
      </c>
      <c r="BR50" s="130" t="str">
        <f>Macro!BR$3</f>
        <v>4Q23</v>
      </c>
      <c r="BS50" s="131" t="str">
        <f>Macro!BS$3</f>
        <v>2023</v>
      </c>
      <c r="BT50" s="129" t="str">
        <f>Macro!BT$3</f>
        <v>1Q24</v>
      </c>
      <c r="BU50" s="129" t="str">
        <f>Macro!BU$3</f>
        <v>2Q24</v>
      </c>
      <c r="BV50" s="129" t="str">
        <f>Macro!BV$3</f>
        <v>3Q24</v>
      </c>
      <c r="BW50" s="130" t="str">
        <f>Macro!BW$3</f>
        <v>4Q24</v>
      </c>
      <c r="BX50" s="131" t="str">
        <f>Macro!BX$3</f>
        <v>2024</v>
      </c>
      <c r="BY50" s="129" t="str">
        <f>Macro!BY$3</f>
        <v>1Q25</v>
      </c>
      <c r="BZ50" s="129" t="str">
        <f>Macro!BZ$3</f>
        <v>2Q25</v>
      </c>
      <c r="CA50" s="125" t="str">
        <f>Macro!CA$3</f>
        <v>3Q25</v>
      </c>
      <c r="CB50" s="125" t="str">
        <f>Macro!CB$3</f>
        <v>4Q25</v>
      </c>
      <c r="CC50" s="126" t="str">
        <f>Macro!CC$3</f>
        <v>2025</v>
      </c>
      <c r="CD50" s="125" t="str">
        <f>Macro!CD$3</f>
        <v>1Q26</v>
      </c>
      <c r="CE50" s="125" t="str">
        <f>Macro!CE$3</f>
        <v>2Q26</v>
      </c>
      <c r="CF50" s="125" t="str">
        <f>Macro!CF$3</f>
        <v>3Q26E</v>
      </c>
      <c r="CG50" s="125" t="str">
        <f>Macro!CG$3</f>
        <v>4Q26E</v>
      </c>
      <c r="CH50" s="126" t="str">
        <f>Macro!CH$3</f>
        <v>2026E</v>
      </c>
      <c r="CI50" s="125" t="str">
        <f>Macro!CI$3</f>
        <v>1Q27E</v>
      </c>
      <c r="CJ50" s="125" t="str">
        <f>Macro!CJ$3</f>
        <v>2Q27E</v>
      </c>
      <c r="CK50" s="125" t="str">
        <f>Macro!CK$3</f>
        <v>3Q27E</v>
      </c>
      <c r="CL50" s="125" t="str">
        <f>Macro!CL$3</f>
        <v>4Q27E</v>
      </c>
      <c r="CM50" s="126" t="str">
        <f>Macro!CM$3</f>
        <v>2027E</v>
      </c>
      <c r="CN50" s="125" t="str">
        <f>Macro!CN$3</f>
        <v>1Q28E</v>
      </c>
      <c r="CO50" s="125" t="str">
        <f>Macro!CO$3</f>
        <v>2Q28E</v>
      </c>
      <c r="CP50" s="125" t="str">
        <f>Macro!CP$3</f>
        <v>3Q28E</v>
      </c>
      <c r="CQ50" s="125" t="str">
        <f>Macro!CQ$3</f>
        <v>4Q28E</v>
      </c>
      <c r="CR50" s="126" t="str">
        <f>Macro!CR$3</f>
        <v>2028E</v>
      </c>
      <c r="CS50" s="125" t="str">
        <f>Macro!CS$3</f>
        <v>1Q29E</v>
      </c>
      <c r="CT50" s="125" t="str">
        <f>Macro!CT$3</f>
        <v>2Q29E</v>
      </c>
      <c r="CU50" s="125" t="str">
        <f>Macro!CU$3</f>
        <v>3Q29E</v>
      </c>
      <c r="CV50" s="125" t="str">
        <f>Macro!CV$3</f>
        <v>4Q29E</v>
      </c>
      <c r="CW50" s="126" t="str">
        <f>Macro!CW$3</f>
        <v>2029E</v>
      </c>
      <c r="CX50" s="125" t="str">
        <f>Macro!CX$3</f>
        <v>1Q30E</v>
      </c>
      <c r="CY50" s="125" t="str">
        <f>Macro!CY$3</f>
        <v>2Q30E</v>
      </c>
      <c r="CZ50" s="125" t="str">
        <f>Macro!CZ$3</f>
        <v>3Q30E</v>
      </c>
      <c r="DA50" s="125" t="str">
        <f>Macro!DA$3</f>
        <v>4Q30E</v>
      </c>
      <c r="DB50" s="126" t="str">
        <f>Macro!DB$3</f>
        <v>2030E</v>
      </c>
    </row>
    <row r="51" spans="1:106" ht="11.5" customHeight="1" thickTop="1" x14ac:dyDescent="0.35">
      <c r="A51" s="158" t="s">
        <v>130</v>
      </c>
      <c r="B51" s="750">
        <f t="shared" ref="B51:AG51" si="103">B28</f>
        <v>2572741</v>
      </c>
      <c r="C51" s="750">
        <f t="shared" si="103"/>
        <v>2763046</v>
      </c>
      <c r="D51" s="750">
        <f t="shared" si="103"/>
        <v>2980123</v>
      </c>
      <c r="E51" s="750">
        <f t="shared" si="103"/>
        <v>3432662</v>
      </c>
      <c r="F51" s="137">
        <f t="shared" si="103"/>
        <v>3432662</v>
      </c>
      <c r="G51" s="750">
        <f t="shared" si="103"/>
        <v>3641391</v>
      </c>
      <c r="H51" s="750">
        <f t="shared" si="103"/>
        <v>4186227</v>
      </c>
      <c r="I51" s="750">
        <f t="shared" si="103"/>
        <v>4617590</v>
      </c>
      <c r="J51" s="750">
        <f t="shared" si="103"/>
        <v>4589107</v>
      </c>
      <c r="K51" s="137">
        <f t="shared" si="103"/>
        <v>4589107</v>
      </c>
      <c r="L51" s="750">
        <f t="shared" si="103"/>
        <v>4630634</v>
      </c>
      <c r="M51" s="750">
        <f t="shared" si="103"/>
        <v>4465189</v>
      </c>
      <c r="N51" s="750">
        <f t="shared" si="103"/>
        <v>4375743</v>
      </c>
      <c r="O51" s="750">
        <f t="shared" si="103"/>
        <v>4081943</v>
      </c>
      <c r="P51" s="137">
        <f t="shared" si="103"/>
        <v>4081943</v>
      </c>
      <c r="Q51" s="750">
        <f t="shared" si="103"/>
        <v>3798919</v>
      </c>
      <c r="R51" s="750">
        <f t="shared" si="103"/>
        <v>3780005</v>
      </c>
      <c r="S51" s="750">
        <f t="shared" si="103"/>
        <v>3875414</v>
      </c>
      <c r="T51" s="750">
        <f t="shared" si="103"/>
        <v>4213748</v>
      </c>
      <c r="U51" s="137">
        <f t="shared" si="103"/>
        <v>4213748</v>
      </c>
      <c r="V51" s="750">
        <f t="shared" si="103"/>
        <v>4589555</v>
      </c>
      <c r="W51" s="750">
        <f t="shared" si="103"/>
        <v>4280547</v>
      </c>
      <c r="X51" s="750">
        <f t="shared" si="103"/>
        <v>4219160</v>
      </c>
      <c r="Y51" s="750">
        <f t="shared" si="103"/>
        <v>3875220</v>
      </c>
      <c r="Z51" s="137">
        <f t="shared" si="103"/>
        <v>3875220</v>
      </c>
      <c r="AA51" s="750">
        <f t="shared" si="103"/>
        <v>3799881</v>
      </c>
      <c r="AB51" s="750">
        <f t="shared" si="103"/>
        <v>3952453</v>
      </c>
      <c r="AC51" s="750">
        <f t="shared" si="103"/>
        <v>4030753</v>
      </c>
      <c r="AD51" s="750">
        <f t="shared" si="103"/>
        <v>3741611</v>
      </c>
      <c r="AE51" s="137">
        <f t="shared" si="103"/>
        <v>3741611</v>
      </c>
      <c r="AF51" s="750">
        <f t="shared" si="103"/>
        <v>3673332</v>
      </c>
      <c r="AG51" s="750">
        <f t="shared" si="103"/>
        <v>3536836</v>
      </c>
      <c r="AH51" s="750">
        <f t="shared" ref="AH51:BM51" si="104">AH28</f>
        <v>3472412</v>
      </c>
      <c r="AI51" s="750">
        <f t="shared" si="104"/>
        <v>3423664</v>
      </c>
      <c r="AJ51" s="137">
        <f t="shared" si="104"/>
        <v>3423664</v>
      </c>
      <c r="AK51" s="750">
        <f t="shared" si="104"/>
        <v>3565965</v>
      </c>
      <c r="AL51" s="750">
        <f t="shared" si="104"/>
        <v>3377167</v>
      </c>
      <c r="AM51" s="750">
        <f t="shared" si="104"/>
        <v>3083116</v>
      </c>
      <c r="AN51" s="750">
        <f t="shared" si="104"/>
        <v>2574040</v>
      </c>
      <c r="AO51" s="137">
        <f t="shared" si="104"/>
        <v>2574040</v>
      </c>
      <c r="AP51" s="750">
        <f t="shared" si="104"/>
        <v>2144969</v>
      </c>
      <c r="AQ51" s="750">
        <f t="shared" si="104"/>
        <v>2364861</v>
      </c>
      <c r="AR51" s="750">
        <f t="shared" si="104"/>
        <v>2888885</v>
      </c>
      <c r="AS51" s="750">
        <f t="shared" si="104"/>
        <v>2371487</v>
      </c>
      <c r="AT51" s="137">
        <f t="shared" si="104"/>
        <v>2371487</v>
      </c>
      <c r="AU51" s="750">
        <f t="shared" si="104"/>
        <v>2105981</v>
      </c>
      <c r="AV51" s="750">
        <f t="shared" si="104"/>
        <v>1991634</v>
      </c>
      <c r="AW51" s="750">
        <f t="shared" si="104"/>
        <v>2436592</v>
      </c>
      <c r="AX51" s="750">
        <f t="shared" si="104"/>
        <v>2504275</v>
      </c>
      <c r="AY51" s="137">
        <f t="shared" si="104"/>
        <v>2504275</v>
      </c>
      <c r="AZ51" s="750">
        <f t="shared" si="104"/>
        <v>2513799</v>
      </c>
      <c r="BA51" s="750">
        <f t="shared" si="104"/>
        <v>2910556</v>
      </c>
      <c r="BB51" s="750">
        <f t="shared" si="104"/>
        <v>2434570</v>
      </c>
      <c r="BC51" s="750">
        <f t="shared" si="104"/>
        <v>2703006</v>
      </c>
      <c r="BD51" s="137">
        <f t="shared" si="104"/>
        <v>2703006</v>
      </c>
      <c r="BE51" s="750">
        <f t="shared" si="104"/>
        <v>2694314</v>
      </c>
      <c r="BF51" s="750">
        <f t="shared" si="104"/>
        <v>3349668</v>
      </c>
      <c r="BG51" s="750">
        <f t="shared" si="104"/>
        <v>3402960</v>
      </c>
      <c r="BH51" s="750">
        <f t="shared" si="104"/>
        <v>3634037</v>
      </c>
      <c r="BI51" s="137">
        <f t="shared" si="104"/>
        <v>3634037</v>
      </c>
      <c r="BJ51" s="750">
        <f t="shared" si="104"/>
        <v>3678332</v>
      </c>
      <c r="BK51" s="750">
        <f t="shared" si="104"/>
        <v>4031314</v>
      </c>
      <c r="BL51" s="750">
        <f t="shared" si="104"/>
        <v>4378904</v>
      </c>
      <c r="BM51" s="750">
        <f t="shared" si="104"/>
        <v>4976314</v>
      </c>
      <c r="BN51" s="137">
        <f t="shared" ref="BN51:CS51" si="105">BN28</f>
        <v>4976314</v>
      </c>
      <c r="BO51" s="750">
        <f t="shared" si="105"/>
        <v>4805047</v>
      </c>
      <c r="BP51" s="750">
        <f t="shared" si="105"/>
        <v>4965575</v>
      </c>
      <c r="BQ51" s="750">
        <f t="shared" si="105"/>
        <v>4963109</v>
      </c>
      <c r="BR51" s="750">
        <f t="shared" si="105"/>
        <v>5157538</v>
      </c>
      <c r="BS51" s="137">
        <f t="shared" si="105"/>
        <v>5157538</v>
      </c>
      <c r="BT51" s="750">
        <f t="shared" si="105"/>
        <v>4895803</v>
      </c>
      <c r="BU51" s="750">
        <f t="shared" si="105"/>
        <v>5251363</v>
      </c>
      <c r="BV51" s="750">
        <f t="shared" si="105"/>
        <v>5466325</v>
      </c>
      <c r="BW51" s="750">
        <f t="shared" si="105"/>
        <v>5974580</v>
      </c>
      <c r="BX51" s="137">
        <f t="shared" si="105"/>
        <v>5974580</v>
      </c>
      <c r="BY51" s="750">
        <f t="shared" ref="BY51:CB52" si="106">BY28</f>
        <v>6017458</v>
      </c>
      <c r="BZ51" s="750">
        <f t="shared" si="106"/>
        <v>6889686</v>
      </c>
      <c r="CA51" s="750">
        <f t="shared" si="106"/>
        <v>7496402</v>
      </c>
      <c r="CB51" s="750">
        <f t="shared" si="106"/>
        <v>8717269</v>
      </c>
      <c r="CC51" s="137">
        <f t="shared" si="105"/>
        <v>8717269</v>
      </c>
      <c r="CD51" s="750">
        <f t="shared" si="105"/>
        <v>8793840</v>
      </c>
      <c r="CE51" s="750">
        <f t="shared" si="105"/>
        <v>8873618</v>
      </c>
      <c r="CF51" s="750">
        <f t="shared" si="105"/>
        <v>9035494.7536379471</v>
      </c>
      <c r="CG51" s="750">
        <f t="shared" si="105"/>
        <v>9166440.5580514818</v>
      </c>
      <c r="CH51" s="137">
        <f t="shared" si="105"/>
        <v>9166440.5580514818</v>
      </c>
      <c r="CI51" s="750">
        <f t="shared" si="105"/>
        <v>9310732.1743459273</v>
      </c>
      <c r="CJ51" s="750">
        <f t="shared" si="105"/>
        <v>9338411.6638612263</v>
      </c>
      <c r="CK51" s="750">
        <f t="shared" si="105"/>
        <v>9432377.9640982524</v>
      </c>
      <c r="CL51" s="750">
        <f t="shared" si="105"/>
        <v>9525759.8018219229</v>
      </c>
      <c r="CM51" s="137">
        <f t="shared" si="105"/>
        <v>9525759.8018219229</v>
      </c>
      <c r="CN51" s="750">
        <f t="shared" si="105"/>
        <v>9555863.3760590293</v>
      </c>
      <c r="CO51" s="750">
        <f t="shared" si="105"/>
        <v>9607063.6557402983</v>
      </c>
      <c r="CP51" s="750">
        <f t="shared" si="105"/>
        <v>9724156.2641623877</v>
      </c>
      <c r="CQ51" s="750">
        <f t="shared" si="105"/>
        <v>9854017.9861607403</v>
      </c>
      <c r="CR51" s="137">
        <f t="shared" si="105"/>
        <v>9854017.9861607403</v>
      </c>
      <c r="CS51" s="750">
        <f t="shared" si="105"/>
        <v>9814882.3843035586</v>
      </c>
      <c r="CT51" s="750">
        <f t="shared" ref="CT51:DB51" si="107">CT28</f>
        <v>9831450.3896081857</v>
      </c>
      <c r="CU51" s="750">
        <f t="shared" si="107"/>
        <v>9907508.9389633462</v>
      </c>
      <c r="CV51" s="750">
        <f t="shared" si="107"/>
        <v>10051246.263335753</v>
      </c>
      <c r="CW51" s="137">
        <f t="shared" si="107"/>
        <v>10051246.263335753</v>
      </c>
      <c r="CX51" s="750">
        <f t="shared" si="107"/>
        <v>10069624.500711571</v>
      </c>
      <c r="CY51" s="750">
        <f t="shared" si="107"/>
        <v>10091994.865595847</v>
      </c>
      <c r="CZ51" s="750">
        <f t="shared" si="107"/>
        <v>10185445.894874472</v>
      </c>
      <c r="DA51" s="750">
        <f t="shared" si="107"/>
        <v>10359036.191146348</v>
      </c>
      <c r="DB51" s="137">
        <f t="shared" si="107"/>
        <v>10359036.191146348</v>
      </c>
    </row>
    <row r="52" spans="1:106" ht="11.5" customHeight="1" outlineLevel="1" x14ac:dyDescent="0.35">
      <c r="A52" s="162" t="s">
        <v>207</v>
      </c>
      <c r="B52" s="70">
        <f>B29</f>
        <v>1379689</v>
      </c>
      <c r="C52" s="70">
        <f>C29</f>
        <v>1578221</v>
      </c>
      <c r="D52" s="70">
        <f>D29</f>
        <v>1784968</v>
      </c>
      <c r="E52" s="70">
        <f>E29</f>
        <v>2208708</v>
      </c>
      <c r="F52" s="29">
        <f>E52</f>
        <v>2208708</v>
      </c>
      <c r="G52" s="70">
        <f>G29</f>
        <v>2424245</v>
      </c>
      <c r="H52" s="70">
        <f>H29</f>
        <v>2714694</v>
      </c>
      <c r="I52" s="70">
        <f>I29</f>
        <v>2799558</v>
      </c>
      <c r="J52" s="70">
        <f>J29</f>
        <v>2908620</v>
      </c>
      <c r="K52" s="29">
        <f>J52</f>
        <v>2908620</v>
      </c>
      <c r="L52" s="70">
        <f>L29</f>
        <v>2945431</v>
      </c>
      <c r="M52" s="70">
        <f>M29</f>
        <v>2836749</v>
      </c>
      <c r="N52" s="70">
        <f>N29</f>
        <v>2423363</v>
      </c>
      <c r="O52" s="70">
        <f>O29</f>
        <v>2133006</v>
      </c>
      <c r="P52" s="29">
        <f>O52</f>
        <v>2133006</v>
      </c>
      <c r="Q52" s="70">
        <f>Q29</f>
        <v>1852495</v>
      </c>
      <c r="R52" s="70">
        <f>R29</f>
        <v>1999609</v>
      </c>
      <c r="S52" s="70">
        <f>S29</f>
        <v>2180247</v>
      </c>
      <c r="T52" s="70">
        <f>T29</f>
        <v>2795855</v>
      </c>
      <c r="U52" s="29">
        <f>T52</f>
        <v>2795855</v>
      </c>
      <c r="V52" s="70">
        <f>V29</f>
        <v>3160043</v>
      </c>
      <c r="W52" s="70">
        <f>W29</f>
        <v>3411138</v>
      </c>
      <c r="X52" s="70">
        <f>X29</f>
        <v>3430341</v>
      </c>
      <c r="Y52" s="70">
        <f>Y29</f>
        <v>3093575</v>
      </c>
      <c r="Z52" s="29">
        <f>Y52</f>
        <v>3093575</v>
      </c>
      <c r="AA52" s="70">
        <f>AA29</f>
        <v>3146870</v>
      </c>
      <c r="AB52" s="70">
        <f>AB29</f>
        <v>3319019</v>
      </c>
      <c r="AC52" s="70">
        <f>AC29</f>
        <v>3390071</v>
      </c>
      <c r="AD52" s="70">
        <f>AD29</f>
        <v>3229751</v>
      </c>
      <c r="AE52" s="29">
        <f>AD52</f>
        <v>3229751</v>
      </c>
      <c r="AF52" s="70">
        <f>AF29</f>
        <v>3151529</v>
      </c>
      <c r="AG52" s="70">
        <f>AG29</f>
        <v>3191250</v>
      </c>
      <c r="AH52" s="70">
        <f>AH29</f>
        <v>3124422</v>
      </c>
      <c r="AI52" s="70">
        <f>AI29</f>
        <v>2870821</v>
      </c>
      <c r="AJ52" s="29">
        <f>AI52</f>
        <v>2870821</v>
      </c>
      <c r="AK52" s="70">
        <f>AK29</f>
        <v>2925046</v>
      </c>
      <c r="AL52" s="70">
        <f>AL29</f>
        <v>2908157</v>
      </c>
      <c r="AM52" s="70">
        <f>AM29</f>
        <v>2507296</v>
      </c>
      <c r="AN52" s="70">
        <f>AN29</f>
        <v>2113444</v>
      </c>
      <c r="AO52" s="29">
        <f>AN52</f>
        <v>2113444</v>
      </c>
      <c r="AP52" s="70">
        <f>AP29</f>
        <v>1751936</v>
      </c>
      <c r="AQ52" s="70">
        <f>AQ29</f>
        <v>1831401</v>
      </c>
      <c r="AR52" s="70">
        <f>AR29</f>
        <v>1897017</v>
      </c>
      <c r="AS52" s="70">
        <f>AS29</f>
        <v>1615836</v>
      </c>
      <c r="AT52" s="29">
        <f>AS52</f>
        <v>1615836</v>
      </c>
      <c r="AU52" s="70">
        <f>AU29</f>
        <v>1355037</v>
      </c>
      <c r="AV52" s="70">
        <f>AV29</f>
        <v>1156171</v>
      </c>
      <c r="AW52" s="70">
        <f>AW29</f>
        <v>1003750</v>
      </c>
      <c r="AX52" s="70">
        <f>AX29</f>
        <v>936686</v>
      </c>
      <c r="AY52" s="29">
        <f>AX52</f>
        <v>936686</v>
      </c>
      <c r="AZ52" s="70">
        <f>AZ29</f>
        <v>974513</v>
      </c>
      <c r="BA52" s="70">
        <f>BA29</f>
        <v>1518052</v>
      </c>
      <c r="BB52" s="70">
        <f>BB29</f>
        <v>1104136</v>
      </c>
      <c r="BC52" s="70">
        <f>BC29</f>
        <v>1208621</v>
      </c>
      <c r="BD52" s="29">
        <f>BC52</f>
        <v>1208621</v>
      </c>
      <c r="BE52" s="70">
        <f>BE29</f>
        <v>1206623</v>
      </c>
      <c r="BF52" s="70">
        <f>BF29</f>
        <v>1157624</v>
      </c>
      <c r="BG52" s="70">
        <f>BG29</f>
        <v>1151527</v>
      </c>
      <c r="BH52" s="70">
        <f>BH29</f>
        <v>1387334</v>
      </c>
      <c r="BI52" s="29">
        <f>BH52</f>
        <v>1387334</v>
      </c>
      <c r="BJ52" s="70">
        <f>BJ29</f>
        <v>1419450</v>
      </c>
      <c r="BK52" s="70">
        <f>BK29</f>
        <v>1535660</v>
      </c>
      <c r="BL52" s="70">
        <f>BL29</f>
        <v>1549721</v>
      </c>
      <c r="BM52" s="70">
        <f>BM29</f>
        <v>1835136</v>
      </c>
      <c r="BN52" s="29">
        <f>BM52</f>
        <v>1835136</v>
      </c>
      <c r="BO52" s="70">
        <f>BO29</f>
        <v>1618557</v>
      </c>
      <c r="BP52" s="70">
        <f>BP29</f>
        <v>1768914</v>
      </c>
      <c r="BQ52" s="70">
        <f>BQ29</f>
        <v>1950373</v>
      </c>
      <c r="BR52" s="70">
        <f>BR29</f>
        <v>1994898</v>
      </c>
      <c r="BS52" s="29">
        <f>BR52</f>
        <v>1994898</v>
      </c>
      <c r="BT52" s="70">
        <f>BT29</f>
        <v>1885222</v>
      </c>
      <c r="BU52" s="70">
        <f>BU29</f>
        <v>1865494</v>
      </c>
      <c r="BV52" s="70">
        <f>BV29</f>
        <v>2003924</v>
      </c>
      <c r="BW52" s="70">
        <f>BW29</f>
        <v>2342780</v>
      </c>
      <c r="BX52" s="29">
        <f>BW52</f>
        <v>2342780</v>
      </c>
      <c r="BY52" s="70">
        <f t="shared" si="106"/>
        <v>2445513</v>
      </c>
      <c r="BZ52" s="70">
        <f t="shared" si="106"/>
        <v>2718725</v>
      </c>
      <c r="CA52" s="70">
        <f t="shared" si="106"/>
        <v>3009261</v>
      </c>
      <c r="CB52" s="70">
        <f>CB29</f>
        <v>3763355</v>
      </c>
      <c r="CC52" s="29">
        <f>CB52</f>
        <v>3763355</v>
      </c>
      <c r="CD52" s="70">
        <f t="shared" ref="CD52:CE52" si="108">CD29</f>
        <v>3485439</v>
      </c>
      <c r="CE52" s="70">
        <f t="shared" si="108"/>
        <v>3838530</v>
      </c>
      <c r="CF52" s="70">
        <f>SUM(CF9:CF10,CF14:CF15)*CF53</f>
        <v>4000406.7536379467</v>
      </c>
      <c r="CG52" s="70">
        <f>SUM(CG9:CG10,CG14:CG15)*CG53</f>
        <v>4131352.5580514809</v>
      </c>
      <c r="CH52" s="29">
        <f>CG52</f>
        <v>4131352.5580514809</v>
      </c>
      <c r="CI52" s="70">
        <f>SUM(CI9:CI10,CI14:CI15)*CI53</f>
        <v>4275644.1743459273</v>
      </c>
      <c r="CJ52" s="70">
        <f>SUM(CJ9:CJ10,CJ14:CJ15)*CJ53</f>
        <v>4303323.6638612272</v>
      </c>
      <c r="CK52" s="70">
        <f>SUM(CK9:CK10,CK14:CK15)*CK53</f>
        <v>4397289.9640982524</v>
      </c>
      <c r="CL52" s="70">
        <f>SUM(CL9:CL10,CL14:CL15)*CL53</f>
        <v>4490671.8018219229</v>
      </c>
      <c r="CM52" s="29">
        <f>CL52</f>
        <v>4490671.8018219229</v>
      </c>
      <c r="CN52" s="70">
        <f>SUM(CN9:CN10,CN14:CN15)*CN53</f>
        <v>4520775.3760590302</v>
      </c>
      <c r="CO52" s="70">
        <f>SUM(CO9:CO10,CO14:CO15)*CO53</f>
        <v>4571975.6557402983</v>
      </c>
      <c r="CP52" s="70">
        <f>SUM(CP9:CP10,CP14:CP15)*CP53</f>
        <v>4689068.2641623877</v>
      </c>
      <c r="CQ52" s="70">
        <f>SUM(CQ9:CQ10,CQ14:CQ15)*CQ53</f>
        <v>4818929.9861607412</v>
      </c>
      <c r="CR52" s="29">
        <f>CQ52</f>
        <v>4818929.9861607412</v>
      </c>
      <c r="CS52" s="70">
        <f>SUM(CS9:CS10,CS14:CS15)*CS53</f>
        <v>4779794.3843035577</v>
      </c>
      <c r="CT52" s="70">
        <f>SUM(CT9:CT10,CT14:CT15)*CT53</f>
        <v>4796362.3896081848</v>
      </c>
      <c r="CU52" s="70">
        <f>SUM(CU9:CU10,CU14:CU15)*CU53</f>
        <v>4872420.9389633453</v>
      </c>
      <c r="CV52" s="70">
        <f>SUM(CV9:CV10,CV14:CV15)*CV53</f>
        <v>5016158.2633357542</v>
      </c>
      <c r="CW52" s="29">
        <f>CV52</f>
        <v>5016158.2633357542</v>
      </c>
      <c r="CX52" s="70">
        <f>SUM(CX9:CX10,CX14:CX15)*CX53</f>
        <v>5034536.5007115724</v>
      </c>
      <c r="CY52" s="70">
        <f>SUM(CY9:CY10,CY14:CY15)*CY53</f>
        <v>5056906.8655958474</v>
      </c>
      <c r="CZ52" s="70">
        <f>SUM(CZ9:CZ10,CZ14:CZ15)*CZ53</f>
        <v>5150357.8948744722</v>
      </c>
      <c r="DA52" s="70">
        <f>SUM(DA9:DA10,DA14:DA15)*DA53</f>
        <v>5323948.1911463486</v>
      </c>
      <c r="DB52" s="29">
        <f>DA52</f>
        <v>5323948.1911463486</v>
      </c>
    </row>
    <row r="53" spans="1:106" s="91" customFormat="1" ht="11.5" customHeight="1" outlineLevel="1" x14ac:dyDescent="0.35">
      <c r="A53" s="199" t="s">
        <v>209</v>
      </c>
      <c r="B53" s="418">
        <f t="shared" ref="B53:AG53" si="109">B52/SUM(B9:B10,B14:B15)</f>
        <v>0.2225077665457704</v>
      </c>
      <c r="C53" s="418">
        <f t="shared" si="109"/>
        <v>0.23958701468411125</v>
      </c>
      <c r="D53" s="418">
        <f t="shared" si="109"/>
        <v>0.25524494874060455</v>
      </c>
      <c r="E53" s="418">
        <f t="shared" si="109"/>
        <v>0.28968808836326887</v>
      </c>
      <c r="F53" s="419">
        <f t="shared" si="109"/>
        <v>0.28968808836326887</v>
      </c>
      <c r="G53" s="418">
        <f t="shared" si="109"/>
        <v>0.31299113759102004</v>
      </c>
      <c r="H53" s="418">
        <f t="shared" si="109"/>
        <v>0.34603803609755623</v>
      </c>
      <c r="I53" s="418">
        <f t="shared" si="109"/>
        <v>0.35337612047383099</v>
      </c>
      <c r="J53" s="418">
        <f t="shared" si="109"/>
        <v>0.35396358359682262</v>
      </c>
      <c r="K53" s="419">
        <f t="shared" si="109"/>
        <v>0.35396358359682262</v>
      </c>
      <c r="L53" s="418">
        <f t="shared" si="109"/>
        <v>0.34930388999996204</v>
      </c>
      <c r="M53" s="418">
        <f t="shared" si="109"/>
        <v>0.32868099087143043</v>
      </c>
      <c r="N53" s="418">
        <f t="shared" si="109"/>
        <v>0.28057363213634834</v>
      </c>
      <c r="O53" s="418">
        <f t="shared" si="109"/>
        <v>0.26465115465373418</v>
      </c>
      <c r="P53" s="419">
        <f t="shared" si="109"/>
        <v>0.26465115465373418</v>
      </c>
      <c r="Q53" s="418">
        <f t="shared" si="109"/>
        <v>0.24045691740279349</v>
      </c>
      <c r="R53" s="418">
        <f t="shared" si="109"/>
        <v>0.25670529809826342</v>
      </c>
      <c r="S53" s="418">
        <f t="shared" si="109"/>
        <v>0.27378202462980511</v>
      </c>
      <c r="T53" s="418">
        <f t="shared" si="109"/>
        <v>0.35668977275539787</v>
      </c>
      <c r="U53" s="419">
        <f t="shared" si="109"/>
        <v>0.35668977275539787</v>
      </c>
      <c r="V53" s="418">
        <f t="shared" si="109"/>
        <v>0.4085983702060329</v>
      </c>
      <c r="W53" s="418">
        <f t="shared" si="109"/>
        <v>0.43825927017044913</v>
      </c>
      <c r="X53" s="418">
        <f t="shared" si="109"/>
        <v>0.44575175187063931</v>
      </c>
      <c r="Y53" s="418">
        <f t="shared" si="109"/>
        <v>0.40708753334358866</v>
      </c>
      <c r="Z53" s="419">
        <f t="shared" si="109"/>
        <v>0.40708753334358866</v>
      </c>
      <c r="AA53" s="418">
        <f t="shared" si="109"/>
        <v>0.43142180125974339</v>
      </c>
      <c r="AB53" s="418">
        <f t="shared" si="109"/>
        <v>0.46443451119072265</v>
      </c>
      <c r="AC53" s="418">
        <f t="shared" si="109"/>
        <v>0.47981364371766544</v>
      </c>
      <c r="AD53" s="418">
        <f t="shared" si="109"/>
        <v>0.4738959317666368</v>
      </c>
      <c r="AE53" s="419">
        <f t="shared" si="109"/>
        <v>0.4738959317666368</v>
      </c>
      <c r="AF53" s="418">
        <f t="shared" si="109"/>
        <v>0.45593632603624917</v>
      </c>
      <c r="AG53" s="418">
        <f t="shared" si="109"/>
        <v>0.46549570095666387</v>
      </c>
      <c r="AH53" s="418">
        <f t="shared" ref="AH53:BM53" si="110">AH52/SUM(AH9:AH10,AH14:AH15)</f>
        <v>0.45728825466520306</v>
      </c>
      <c r="AI53" s="418">
        <f t="shared" si="110"/>
        <v>0.43382449277072765</v>
      </c>
      <c r="AJ53" s="419">
        <f t="shared" si="110"/>
        <v>0.43382449277072765</v>
      </c>
      <c r="AK53" s="418">
        <f t="shared" si="110"/>
        <v>0.45276301054031193</v>
      </c>
      <c r="AL53" s="418">
        <f t="shared" si="110"/>
        <v>0.48255175121320038</v>
      </c>
      <c r="AM53" s="418">
        <f t="shared" si="110"/>
        <v>0.43612778166058269</v>
      </c>
      <c r="AN53" s="418">
        <f t="shared" si="110"/>
        <v>0.37507152014561007</v>
      </c>
      <c r="AO53" s="419">
        <f t="shared" si="110"/>
        <v>0.37507152014561007</v>
      </c>
      <c r="AP53" s="418">
        <f t="shared" si="110"/>
        <v>0.34098621018519421</v>
      </c>
      <c r="AQ53" s="418">
        <f t="shared" si="110"/>
        <v>0.37986162043228783</v>
      </c>
      <c r="AR53" s="418">
        <f t="shared" si="110"/>
        <v>0.41309852474845205</v>
      </c>
      <c r="AS53" s="418">
        <f t="shared" si="110"/>
        <v>0.34964043534652323</v>
      </c>
      <c r="AT53" s="419">
        <f t="shared" si="110"/>
        <v>0.34964043534652323</v>
      </c>
      <c r="AU53" s="418">
        <f t="shared" si="110"/>
        <v>0.29644142182112448</v>
      </c>
      <c r="AV53" s="418">
        <f t="shared" si="110"/>
        <v>0.25537077289697602</v>
      </c>
      <c r="AW53" s="418">
        <f t="shared" si="110"/>
        <v>0.22626795716609499</v>
      </c>
      <c r="AX53" s="418">
        <f t="shared" si="110"/>
        <v>0.21033242315914277</v>
      </c>
      <c r="AY53" s="419">
        <f t="shared" si="110"/>
        <v>0.21033242315914277</v>
      </c>
      <c r="AZ53" s="418">
        <f t="shared" si="110"/>
        <v>0.22167802452824953</v>
      </c>
      <c r="BA53" s="418">
        <f t="shared" si="110"/>
        <v>0.33522078103324843</v>
      </c>
      <c r="BB53" s="418">
        <f t="shared" si="110"/>
        <v>0.27946810406272271</v>
      </c>
      <c r="BC53" s="418">
        <f t="shared" si="110"/>
        <v>0.31856593522886351</v>
      </c>
      <c r="BD53" s="419">
        <f t="shared" si="110"/>
        <v>0.31856593522886351</v>
      </c>
      <c r="BE53" s="418">
        <f t="shared" si="110"/>
        <v>0.30236350737989948</v>
      </c>
      <c r="BF53" s="418">
        <f t="shared" si="110"/>
        <v>0.2861232365759549</v>
      </c>
      <c r="BG53" s="418">
        <f t="shared" si="110"/>
        <v>0.27753697554213042</v>
      </c>
      <c r="BH53" s="418">
        <f t="shared" si="110"/>
        <v>0.3042780804960622</v>
      </c>
      <c r="BI53" s="419">
        <f t="shared" si="110"/>
        <v>0.3042780804960622</v>
      </c>
      <c r="BJ53" s="418">
        <f t="shared" si="110"/>
        <v>0.29513284980712251</v>
      </c>
      <c r="BK53" s="418">
        <f t="shared" si="110"/>
        <v>0.30774175952231753</v>
      </c>
      <c r="BL53" s="418">
        <f t="shared" si="110"/>
        <v>0.29156257890069021</v>
      </c>
      <c r="BM53" s="418">
        <f t="shared" si="110"/>
        <v>0.33578821768954936</v>
      </c>
      <c r="BN53" s="419">
        <f t="shared" ref="BN53:BY53" si="111">BN52/SUM(BN9:BN10,BN14:BN15)</f>
        <v>0.33578821768954936</v>
      </c>
      <c r="BO53" s="418">
        <f t="shared" si="111"/>
        <v>0.29536471650091728</v>
      </c>
      <c r="BP53" s="418">
        <f t="shared" si="111"/>
        <v>0.29856444115353087</v>
      </c>
      <c r="BQ53" s="418">
        <f t="shared" si="111"/>
        <v>0.3166002339147112</v>
      </c>
      <c r="BR53" s="418">
        <f t="shared" si="111"/>
        <v>0.30646659135959681</v>
      </c>
      <c r="BS53" s="419">
        <f t="shared" si="111"/>
        <v>0.30646659135959681</v>
      </c>
      <c r="BT53" s="418">
        <f t="shared" si="111"/>
        <v>0.28229898785643348</v>
      </c>
      <c r="BU53" s="418">
        <f t="shared" si="111"/>
        <v>0.26739161968604924</v>
      </c>
      <c r="BV53" s="418">
        <f t="shared" si="111"/>
        <v>0.27228071739178877</v>
      </c>
      <c r="BW53" s="418">
        <f t="shared" si="111"/>
        <v>0.28906690238381055</v>
      </c>
      <c r="BX53" s="419">
        <f t="shared" si="111"/>
        <v>0.28906690238381055</v>
      </c>
      <c r="BY53" s="418">
        <f t="shared" si="111"/>
        <v>0.29524683494177917</v>
      </c>
      <c r="BZ53" s="418">
        <f>BZ52/SUM(BZ9:BZ10,BZ14:BZ15)</f>
        <v>0.31071327509603486</v>
      </c>
      <c r="CA53" s="418">
        <f>CA52/SUM(CA9:CA10,CA14:CA15)</f>
        <v>0.34081147092979663</v>
      </c>
      <c r="CB53" s="418">
        <f t="shared" ref="CB53" si="112">CB52/SUM(CB9:CB10,CB14:CB15)</f>
        <v>0.3509695937735306</v>
      </c>
      <c r="CC53" s="419">
        <f>CC52/SUM(CC9:CC10,CC14:CC15)</f>
        <v>0.3509695937735306</v>
      </c>
      <c r="CD53" s="418">
        <f t="shared" ref="CD53" si="113">CD52/SUM(CD9:CD10,CD14:CD15)</f>
        <v>0.31544404130212655</v>
      </c>
      <c r="CE53" s="418">
        <f>CE52/SUM(CE9:CE10,CE14:CE15)</f>
        <v>0.3368919174744564</v>
      </c>
      <c r="CF53" s="418">
        <f>CE53</f>
        <v>0.3368919174744564</v>
      </c>
      <c r="CG53" s="418">
        <f>CF53</f>
        <v>0.3368919174744564</v>
      </c>
      <c r="CH53" s="419">
        <f>CH52/SUM(CH9:CH10,CH14:CH15)</f>
        <v>0.3368919174744564</v>
      </c>
      <c r="CI53" s="418">
        <f>CG53</f>
        <v>0.3368919174744564</v>
      </c>
      <c r="CJ53" s="418">
        <f>CI53</f>
        <v>0.3368919174744564</v>
      </c>
      <c r="CK53" s="418">
        <f>CJ53</f>
        <v>0.3368919174744564</v>
      </c>
      <c r="CL53" s="418">
        <f>CK53</f>
        <v>0.3368919174744564</v>
      </c>
      <c r="CM53" s="419">
        <f>CM52/SUM(CM9:CM10,CM14:CM15)</f>
        <v>0.3368919174744564</v>
      </c>
      <c r="CN53" s="418">
        <f>CL53</f>
        <v>0.3368919174744564</v>
      </c>
      <c r="CO53" s="418">
        <f>CN53</f>
        <v>0.3368919174744564</v>
      </c>
      <c r="CP53" s="418">
        <f>CO53</f>
        <v>0.3368919174744564</v>
      </c>
      <c r="CQ53" s="418">
        <f>CP53</f>
        <v>0.3368919174744564</v>
      </c>
      <c r="CR53" s="419">
        <f>CR52/SUM(CR9:CR10,CR14:CR15)</f>
        <v>0.3368919174744564</v>
      </c>
      <c r="CS53" s="418">
        <f>CQ53</f>
        <v>0.3368919174744564</v>
      </c>
      <c r="CT53" s="418">
        <f>CS53</f>
        <v>0.3368919174744564</v>
      </c>
      <c r="CU53" s="418">
        <f>CT53</f>
        <v>0.3368919174744564</v>
      </c>
      <c r="CV53" s="418">
        <f>CU53</f>
        <v>0.3368919174744564</v>
      </c>
      <c r="CW53" s="419">
        <f>CW52/SUM(CW9:CW10,CW14:CW15)</f>
        <v>0.3368919174744564</v>
      </c>
      <c r="CX53" s="418">
        <f>CV53</f>
        <v>0.3368919174744564</v>
      </c>
      <c r="CY53" s="418">
        <f>CX53</f>
        <v>0.3368919174744564</v>
      </c>
      <c r="CZ53" s="418">
        <f>CY53</f>
        <v>0.3368919174744564</v>
      </c>
      <c r="DA53" s="418">
        <f>CZ53</f>
        <v>0.3368919174744564</v>
      </c>
      <c r="DB53" s="419">
        <f>DB52/SUM(DB9:DB10,DB14:DB15)</f>
        <v>0.3368919174744564</v>
      </c>
    </row>
    <row r="54" spans="1:106" ht="11.5" customHeight="1" outlineLevel="1" x14ac:dyDescent="0.35">
      <c r="A54" s="162" t="s">
        <v>208</v>
      </c>
      <c r="B54" s="70">
        <f>B30</f>
        <v>1193052</v>
      </c>
      <c r="C54" s="70">
        <f>C30</f>
        <v>1184825</v>
      </c>
      <c r="D54" s="70">
        <f>D30</f>
        <v>1195155</v>
      </c>
      <c r="E54" s="70">
        <f>E30</f>
        <v>1223954</v>
      </c>
      <c r="F54" s="29">
        <f>E54</f>
        <v>1223954</v>
      </c>
      <c r="G54" s="70">
        <f>G30</f>
        <v>1217146</v>
      </c>
      <c r="H54" s="70">
        <f>H30</f>
        <v>1471533</v>
      </c>
      <c r="I54" s="70">
        <f>I30</f>
        <v>1818032</v>
      </c>
      <c r="J54" s="70">
        <f>J30</f>
        <v>1680487</v>
      </c>
      <c r="K54" s="29">
        <f>J54</f>
        <v>1680487</v>
      </c>
      <c r="L54" s="70">
        <f>L30</f>
        <v>1685203</v>
      </c>
      <c r="M54" s="70">
        <f>M30</f>
        <v>1628440</v>
      </c>
      <c r="N54" s="70">
        <f>N30</f>
        <v>1952380</v>
      </c>
      <c r="O54" s="70">
        <f>O30</f>
        <v>1948937</v>
      </c>
      <c r="P54" s="29">
        <f>O54</f>
        <v>1948937</v>
      </c>
      <c r="Q54" s="70">
        <f>Q30</f>
        <v>1946424</v>
      </c>
      <c r="R54" s="70">
        <f>R30</f>
        <v>1780396</v>
      </c>
      <c r="S54" s="70">
        <f>S30</f>
        <v>1695167</v>
      </c>
      <c r="T54" s="70">
        <f>T30</f>
        <v>1417893</v>
      </c>
      <c r="U54" s="29">
        <f>T54</f>
        <v>1417893</v>
      </c>
      <c r="V54" s="70">
        <f>V30</f>
        <v>1429512</v>
      </c>
      <c r="W54" s="70">
        <f>W30</f>
        <v>869409</v>
      </c>
      <c r="X54" s="70">
        <f>X30</f>
        <v>788819</v>
      </c>
      <c r="Y54" s="70">
        <f>Y30</f>
        <v>781645</v>
      </c>
      <c r="Z54" s="29">
        <f>Y54</f>
        <v>781645</v>
      </c>
      <c r="AA54" s="70">
        <f>AA30</f>
        <v>653011</v>
      </c>
      <c r="AB54" s="70">
        <f>AB30</f>
        <v>633434</v>
      </c>
      <c r="AC54" s="70">
        <f>AC30</f>
        <v>640682</v>
      </c>
      <c r="AD54" s="70">
        <f>AD30</f>
        <v>511860</v>
      </c>
      <c r="AE54" s="29">
        <f>AD54</f>
        <v>511860</v>
      </c>
      <c r="AF54" s="70">
        <f>AF30</f>
        <v>521803</v>
      </c>
      <c r="AG54" s="70">
        <f>AG30</f>
        <v>345586</v>
      </c>
      <c r="AH54" s="70">
        <f>AH30</f>
        <v>347990</v>
      </c>
      <c r="AI54" s="70">
        <f>AI30</f>
        <v>552843</v>
      </c>
      <c r="AJ54" s="29">
        <f>AI54</f>
        <v>552843</v>
      </c>
      <c r="AK54" s="70">
        <f>AK30</f>
        <v>640919</v>
      </c>
      <c r="AL54" s="70">
        <f>AL30</f>
        <v>469010</v>
      </c>
      <c r="AM54" s="70">
        <f>AM30</f>
        <v>575820</v>
      </c>
      <c r="AN54" s="70">
        <f>AN30</f>
        <v>460596</v>
      </c>
      <c r="AO54" s="29">
        <f>AN54</f>
        <v>460596</v>
      </c>
      <c r="AP54" s="70">
        <f>AP30</f>
        <v>393033</v>
      </c>
      <c r="AQ54" s="70">
        <f>AQ30</f>
        <v>533460</v>
      </c>
      <c r="AR54" s="70">
        <f>AR30</f>
        <v>991868</v>
      </c>
      <c r="AS54" s="70">
        <f>AS30</f>
        <v>755651</v>
      </c>
      <c r="AT54" s="29">
        <f>AS54</f>
        <v>755651</v>
      </c>
      <c r="AU54" s="70">
        <f>AU30</f>
        <v>750944</v>
      </c>
      <c r="AV54" s="70">
        <f>AV30</f>
        <v>835463</v>
      </c>
      <c r="AW54" s="70">
        <f>AW30</f>
        <v>1432842</v>
      </c>
      <c r="AX54" s="70">
        <f>AX30</f>
        <v>1567589</v>
      </c>
      <c r="AY54" s="29">
        <f>AX54</f>
        <v>1567589</v>
      </c>
      <c r="AZ54" s="70">
        <f>AZ30</f>
        <v>1539286</v>
      </c>
      <c r="BA54" s="70">
        <f>BA30</f>
        <v>1392504</v>
      </c>
      <c r="BB54" s="70">
        <f>BB30</f>
        <v>1330434</v>
      </c>
      <c r="BC54" s="70">
        <f>BC30</f>
        <v>1494385</v>
      </c>
      <c r="BD54" s="29">
        <f>BC54</f>
        <v>1494385</v>
      </c>
      <c r="BE54" s="70">
        <f>BE30</f>
        <v>1487691</v>
      </c>
      <c r="BF54" s="70">
        <f>BF30</f>
        <v>2192044</v>
      </c>
      <c r="BG54" s="70">
        <f>BG30</f>
        <v>2251433</v>
      </c>
      <c r="BH54" s="70">
        <f>BH30</f>
        <v>2246703</v>
      </c>
      <c r="BI54" s="29">
        <f>BH54</f>
        <v>2246703</v>
      </c>
      <c r="BJ54" s="70">
        <f>BJ30</f>
        <v>2258882</v>
      </c>
      <c r="BK54" s="70">
        <f>BK30</f>
        <v>2495654</v>
      </c>
      <c r="BL54" s="70">
        <f>BL30</f>
        <v>2829183</v>
      </c>
      <c r="BM54" s="70">
        <f>BM30</f>
        <v>3141178</v>
      </c>
      <c r="BN54" s="29">
        <f>BM54</f>
        <v>3141178</v>
      </c>
      <c r="BO54" s="70">
        <f>BO30</f>
        <v>3186490</v>
      </c>
      <c r="BP54" s="70">
        <f>BP30</f>
        <v>3196661</v>
      </c>
      <c r="BQ54" s="70">
        <f>BQ30</f>
        <v>3012736</v>
      </c>
      <c r="BR54" s="70">
        <f>BR30</f>
        <v>3162640</v>
      </c>
      <c r="BS54" s="29">
        <f>BR54</f>
        <v>3162640</v>
      </c>
      <c r="BT54" s="70">
        <f>BT30</f>
        <v>3010581</v>
      </c>
      <c r="BU54" s="70">
        <f>BU30</f>
        <v>3385869</v>
      </c>
      <c r="BV54" s="70">
        <f>BV30</f>
        <v>3462401</v>
      </c>
      <c r="BW54" s="70">
        <f>BW30</f>
        <v>3631800</v>
      </c>
      <c r="BX54" s="29">
        <f>BW54</f>
        <v>3631800</v>
      </c>
      <c r="BY54" s="70">
        <f>BY30</f>
        <v>3571945</v>
      </c>
      <c r="BZ54" s="70">
        <f>BZ30</f>
        <v>4170961</v>
      </c>
      <c r="CA54" s="70">
        <f>CA30</f>
        <v>4487141</v>
      </c>
      <c r="CB54" s="70">
        <f>CB30</f>
        <v>4953914</v>
      </c>
      <c r="CC54" s="29">
        <f>CB54</f>
        <v>4953914</v>
      </c>
      <c r="CD54" s="70">
        <f>CD30</f>
        <v>5308401</v>
      </c>
      <c r="CE54" s="70">
        <f>CE30</f>
        <v>5035088</v>
      </c>
      <c r="CF54" s="70">
        <f>CE54+CF55</f>
        <v>5035088</v>
      </c>
      <c r="CG54" s="70">
        <f>CF54+CG55</f>
        <v>5035088</v>
      </c>
      <c r="CH54" s="29">
        <f>CG54</f>
        <v>5035088</v>
      </c>
      <c r="CI54" s="70">
        <f>CH54+CI55</f>
        <v>5035088</v>
      </c>
      <c r="CJ54" s="70">
        <f>CI54+CJ55</f>
        <v>5035088</v>
      </c>
      <c r="CK54" s="70">
        <f>CJ54+CK55</f>
        <v>5035088</v>
      </c>
      <c r="CL54" s="70">
        <f>CK54+CL55</f>
        <v>5035088</v>
      </c>
      <c r="CM54" s="29">
        <f>CL54</f>
        <v>5035088</v>
      </c>
      <c r="CN54" s="70">
        <f>CM54+CN55</f>
        <v>5035088</v>
      </c>
      <c r="CO54" s="70">
        <f>CN54+CO55</f>
        <v>5035088</v>
      </c>
      <c r="CP54" s="70">
        <f>CO54+CP55</f>
        <v>5035088</v>
      </c>
      <c r="CQ54" s="70">
        <f>CP54+CQ55</f>
        <v>5035088</v>
      </c>
      <c r="CR54" s="29">
        <f>CQ54</f>
        <v>5035088</v>
      </c>
      <c r="CS54" s="70">
        <f>CR54+CS55</f>
        <v>5035088</v>
      </c>
      <c r="CT54" s="70">
        <f>CS54+CT55</f>
        <v>5035088</v>
      </c>
      <c r="CU54" s="70">
        <f>CT54+CU55</f>
        <v>5035088</v>
      </c>
      <c r="CV54" s="70">
        <f>CU54+CV55</f>
        <v>5035088</v>
      </c>
      <c r="CW54" s="29">
        <f>CV54</f>
        <v>5035088</v>
      </c>
      <c r="CX54" s="70">
        <f>CW54+CX55</f>
        <v>5035088</v>
      </c>
      <c r="CY54" s="70">
        <f>CX54+CY55</f>
        <v>5035088</v>
      </c>
      <c r="CZ54" s="70">
        <f>CY54+CZ55</f>
        <v>5035088</v>
      </c>
      <c r="DA54" s="70">
        <f>CZ54+DA55</f>
        <v>5035088</v>
      </c>
      <c r="DB54" s="29">
        <f>DA54</f>
        <v>5035088</v>
      </c>
    </row>
    <row r="55" spans="1:106" ht="11.5" customHeight="1" outlineLevel="1" x14ac:dyDescent="0.35">
      <c r="A55" s="200" t="s">
        <v>204</v>
      </c>
      <c r="B55" s="201"/>
      <c r="C55" s="201">
        <f>C54-B54</f>
        <v>-8227</v>
      </c>
      <c r="D55" s="201">
        <f>D54-C54</f>
        <v>10330</v>
      </c>
      <c r="E55" s="201">
        <f>E54-D54</f>
        <v>28799</v>
      </c>
      <c r="F55" s="202"/>
      <c r="G55" s="201">
        <f>G54-F54</f>
        <v>-6808</v>
      </c>
      <c r="H55" s="201">
        <f>H54-G54</f>
        <v>254387</v>
      </c>
      <c r="I55" s="201">
        <f>I54-H54</f>
        <v>346499</v>
      </c>
      <c r="J55" s="201">
        <f>J54-I54</f>
        <v>-137545</v>
      </c>
      <c r="K55" s="202">
        <f>K54-F54</f>
        <v>456533</v>
      </c>
      <c r="L55" s="201">
        <f>L54-K54</f>
        <v>4716</v>
      </c>
      <c r="M55" s="201">
        <f>M54-L54</f>
        <v>-56763</v>
      </c>
      <c r="N55" s="201">
        <f>N54-M54</f>
        <v>323940</v>
      </c>
      <c r="O55" s="201">
        <f>O54-N54</f>
        <v>-3443</v>
      </c>
      <c r="P55" s="202">
        <f>P54-K54</f>
        <v>268450</v>
      </c>
      <c r="Q55" s="201">
        <f>Q54-P54</f>
        <v>-2513</v>
      </c>
      <c r="R55" s="201">
        <f>R54-Q54</f>
        <v>-166028</v>
      </c>
      <c r="S55" s="201">
        <f>S54-R54</f>
        <v>-85229</v>
      </c>
      <c r="T55" s="201">
        <f>T54-S54</f>
        <v>-277274</v>
      </c>
      <c r="U55" s="202">
        <f>U54-P54</f>
        <v>-531044</v>
      </c>
      <c r="V55" s="201">
        <f>V54-U54</f>
        <v>11619</v>
      </c>
      <c r="W55" s="201">
        <f>W54-V54</f>
        <v>-560103</v>
      </c>
      <c r="X55" s="201">
        <f>X54-W54</f>
        <v>-80590</v>
      </c>
      <c r="Y55" s="201">
        <f>Y54-X54</f>
        <v>-7174</v>
      </c>
      <c r="Z55" s="202">
        <f>Z54-U54</f>
        <v>-636248</v>
      </c>
      <c r="AA55" s="201">
        <f>AA54-Z54</f>
        <v>-128634</v>
      </c>
      <c r="AB55" s="201">
        <f>AB54-AA54</f>
        <v>-19577</v>
      </c>
      <c r="AC55" s="201">
        <f>AC54-AB54</f>
        <v>7248</v>
      </c>
      <c r="AD55" s="201">
        <f>AD54-AC54</f>
        <v>-128822</v>
      </c>
      <c r="AE55" s="202">
        <f>AE54-Z54</f>
        <v>-269785</v>
      </c>
      <c r="AF55" s="201">
        <f>AF54-AE54</f>
        <v>9943</v>
      </c>
      <c r="AG55" s="201">
        <f>AG54-AF54</f>
        <v>-176217</v>
      </c>
      <c r="AH55" s="201">
        <f>AH54-AG54</f>
        <v>2404</v>
      </c>
      <c r="AI55" s="201">
        <f>AI54-AH54</f>
        <v>204853</v>
      </c>
      <c r="AJ55" s="202">
        <f>AJ54-AE54</f>
        <v>40983</v>
      </c>
      <c r="AK55" s="201">
        <f>AK54-AJ54</f>
        <v>88076</v>
      </c>
      <c r="AL55" s="201">
        <f>AL54-AK54</f>
        <v>-171909</v>
      </c>
      <c r="AM55" s="201">
        <f>AM54-AL54</f>
        <v>106810</v>
      </c>
      <c r="AN55" s="201">
        <f>AN54-AM54</f>
        <v>-115224</v>
      </c>
      <c r="AO55" s="202">
        <f>AO54-AJ54</f>
        <v>-92247</v>
      </c>
      <c r="AP55" s="201">
        <f>AP54-AO54</f>
        <v>-67563</v>
      </c>
      <c r="AQ55" s="201">
        <f>AQ54-AP54</f>
        <v>140427</v>
      </c>
      <c r="AR55" s="201">
        <f>AR54-AQ54</f>
        <v>458408</v>
      </c>
      <c r="AS55" s="201">
        <f>AS54-AR54</f>
        <v>-236217</v>
      </c>
      <c r="AT55" s="202">
        <f>AT54-AO54</f>
        <v>295055</v>
      </c>
      <c r="AU55" s="201">
        <f>AU54-AT54</f>
        <v>-4707</v>
      </c>
      <c r="AV55" s="201">
        <f>AV54-AU54</f>
        <v>84519</v>
      </c>
      <c r="AW55" s="201">
        <f>AW54-AV54</f>
        <v>597379</v>
      </c>
      <c r="AX55" s="201">
        <f>AX54-AW54</f>
        <v>134747</v>
      </c>
      <c r="AY55" s="202">
        <f>AY54-AT54</f>
        <v>811938</v>
      </c>
      <c r="AZ55" s="201">
        <f>AZ54-AY54</f>
        <v>-28303</v>
      </c>
      <c r="BA55" s="201">
        <f>BA54-AZ54</f>
        <v>-146782</v>
      </c>
      <c r="BB55" s="201">
        <f>BB54-BA54</f>
        <v>-62070</v>
      </c>
      <c r="BC55" s="201">
        <f>BC54-BB54</f>
        <v>163951</v>
      </c>
      <c r="BD55" s="202">
        <f>BD54-AY54</f>
        <v>-73204</v>
      </c>
      <c r="BE55" s="201">
        <f>BE54-BD54</f>
        <v>-6694</v>
      </c>
      <c r="BF55" s="201">
        <f>BF54-BE54</f>
        <v>704353</v>
      </c>
      <c r="BG55" s="201">
        <f>BG54-BF54</f>
        <v>59389</v>
      </c>
      <c r="BH55" s="201">
        <f>BH54-BG54</f>
        <v>-4730</v>
      </c>
      <c r="BI55" s="202">
        <f>BI54-BD54</f>
        <v>752318</v>
      </c>
      <c r="BJ55" s="201">
        <f>BJ54-BI54</f>
        <v>12179</v>
      </c>
      <c r="BK55" s="201">
        <f>BK54-BJ54</f>
        <v>236772</v>
      </c>
      <c r="BL55" s="201">
        <f>BL54-BK54</f>
        <v>333529</v>
      </c>
      <c r="BM55" s="201">
        <f>BM54-BL54</f>
        <v>311995</v>
      </c>
      <c r="BN55" s="202">
        <f>BN54-BI54</f>
        <v>894475</v>
      </c>
      <c r="BO55" s="201">
        <f>BO54-BN54</f>
        <v>45312</v>
      </c>
      <c r="BP55" s="201">
        <f>BP54-BO54</f>
        <v>10171</v>
      </c>
      <c r="BQ55" s="201">
        <f>BQ54-BP54</f>
        <v>-183925</v>
      </c>
      <c r="BR55" s="201">
        <f>BR54-BQ54</f>
        <v>149904</v>
      </c>
      <c r="BS55" s="202">
        <f>BS54-BN54</f>
        <v>21462</v>
      </c>
      <c r="BT55" s="201">
        <f>BT54-BS54</f>
        <v>-152059</v>
      </c>
      <c r="BU55" s="201">
        <f>BU54-BT54</f>
        <v>375288</v>
      </c>
      <c r="BV55" s="201">
        <f>BV54-BU54</f>
        <v>76532</v>
      </c>
      <c r="BW55" s="201">
        <f>BW54-BV54</f>
        <v>169399</v>
      </c>
      <c r="BX55" s="202">
        <f>BX54-BS54</f>
        <v>469160</v>
      </c>
      <c r="BY55" s="201">
        <f>BY54-BX54</f>
        <v>-59855</v>
      </c>
      <c r="BZ55" s="201">
        <f>BZ54-BY54</f>
        <v>599016</v>
      </c>
      <c r="CA55" s="201">
        <f>CA54-BZ54</f>
        <v>316180</v>
      </c>
      <c r="CB55" s="201">
        <f>CB54-CA54</f>
        <v>466773</v>
      </c>
      <c r="CC55" s="202">
        <f>CC54-BX54</f>
        <v>1322114</v>
      </c>
      <c r="CD55" s="201">
        <f>CD54-CC54</f>
        <v>354487</v>
      </c>
      <c r="CE55" s="201">
        <f>CE54-CD54</f>
        <v>-273313</v>
      </c>
      <c r="CF55" s="501">
        <v>0</v>
      </c>
      <c r="CG55" s="501">
        <v>0</v>
      </c>
      <c r="CH55" s="202">
        <f>CH54-CC54</f>
        <v>81174</v>
      </c>
      <c r="CI55" s="501">
        <v>0</v>
      </c>
      <c r="CJ55" s="501">
        <v>0</v>
      </c>
      <c r="CK55" s="501">
        <v>0</v>
      </c>
      <c r="CL55" s="501">
        <v>0</v>
      </c>
      <c r="CM55" s="202">
        <f>CM54-CH54</f>
        <v>0</v>
      </c>
      <c r="CN55" s="501">
        <v>0</v>
      </c>
      <c r="CO55" s="501">
        <v>0</v>
      </c>
      <c r="CP55" s="501">
        <v>0</v>
      </c>
      <c r="CQ55" s="501">
        <v>0</v>
      </c>
      <c r="CR55" s="202">
        <f>CR54-CM54</f>
        <v>0</v>
      </c>
      <c r="CS55" s="501">
        <v>0</v>
      </c>
      <c r="CT55" s="501">
        <v>0</v>
      </c>
      <c r="CU55" s="501">
        <v>0</v>
      </c>
      <c r="CV55" s="501">
        <v>0</v>
      </c>
      <c r="CW55" s="202">
        <f>CW54-CR54</f>
        <v>0</v>
      </c>
      <c r="CX55" s="501">
        <v>0</v>
      </c>
      <c r="CY55" s="501">
        <v>0</v>
      </c>
      <c r="CZ55" s="501">
        <v>0</v>
      </c>
      <c r="DA55" s="501">
        <v>0</v>
      </c>
      <c r="DB55" s="202">
        <f>DB54-CW54</f>
        <v>0</v>
      </c>
    </row>
    <row r="56" spans="1:106" ht="11.5" customHeight="1" x14ac:dyDescent="0.35">
      <c r="A56" s="19" t="s">
        <v>126</v>
      </c>
      <c r="B56" s="70">
        <f t="shared" ref="B56:AG56" si="114">B6</f>
        <v>1286115</v>
      </c>
      <c r="C56" s="70">
        <f t="shared" si="114"/>
        <v>997117</v>
      </c>
      <c r="D56" s="70">
        <f t="shared" si="114"/>
        <v>986209</v>
      </c>
      <c r="E56" s="70">
        <f t="shared" si="114"/>
        <v>1154595</v>
      </c>
      <c r="F56" s="29">
        <f t="shared" si="114"/>
        <v>1154595</v>
      </c>
      <c r="G56" s="70">
        <f t="shared" si="114"/>
        <v>1213607</v>
      </c>
      <c r="H56" s="70">
        <f t="shared" si="114"/>
        <v>1568342</v>
      </c>
      <c r="I56" s="70">
        <f t="shared" si="114"/>
        <v>1776518</v>
      </c>
      <c r="J56" s="70">
        <f t="shared" si="114"/>
        <v>1827664</v>
      </c>
      <c r="K56" s="29">
        <f t="shared" si="114"/>
        <v>1827664</v>
      </c>
      <c r="L56" s="70">
        <f t="shared" si="114"/>
        <v>1856748</v>
      </c>
      <c r="M56" s="70">
        <f t="shared" si="114"/>
        <v>1633589</v>
      </c>
      <c r="N56" s="70">
        <f t="shared" si="114"/>
        <v>1651512</v>
      </c>
      <c r="O56" s="70">
        <f t="shared" si="114"/>
        <v>1712329</v>
      </c>
      <c r="P56" s="29">
        <f t="shared" si="114"/>
        <v>1712329</v>
      </c>
      <c r="Q56" s="70">
        <f t="shared" si="114"/>
        <v>1640668</v>
      </c>
      <c r="R56" s="70">
        <f t="shared" si="114"/>
        <v>1524041</v>
      </c>
      <c r="S56" s="70">
        <f t="shared" si="114"/>
        <v>1581381</v>
      </c>
      <c r="T56" s="70">
        <f t="shared" si="114"/>
        <v>1727420</v>
      </c>
      <c r="U56" s="29">
        <f t="shared" si="114"/>
        <v>1727420</v>
      </c>
      <c r="V56" s="70">
        <f t="shared" si="114"/>
        <v>2188853</v>
      </c>
      <c r="W56" s="70">
        <f t="shared" si="114"/>
        <v>1758589</v>
      </c>
      <c r="X56" s="70">
        <f t="shared" si="114"/>
        <v>1782930</v>
      </c>
      <c r="Y56" s="70">
        <f t="shared" si="114"/>
        <v>1754264</v>
      </c>
      <c r="Z56" s="29">
        <f t="shared" si="114"/>
        <v>1754264</v>
      </c>
      <c r="AA56" s="70">
        <f t="shared" si="114"/>
        <v>2021742</v>
      </c>
      <c r="AB56" s="70">
        <f t="shared" si="114"/>
        <v>2241113</v>
      </c>
      <c r="AC56" s="70">
        <f t="shared" si="114"/>
        <v>2524156</v>
      </c>
      <c r="AD56" s="70">
        <f t="shared" si="114"/>
        <v>2233585</v>
      </c>
      <c r="AE56" s="29">
        <f t="shared" si="114"/>
        <v>2233585</v>
      </c>
      <c r="AF56" s="70">
        <f t="shared" si="114"/>
        <v>2140837</v>
      </c>
      <c r="AG56" s="70">
        <f t="shared" si="114"/>
        <v>1880383</v>
      </c>
      <c r="AH56" s="70">
        <f t="shared" ref="AH56:BM56" si="115">AH6</f>
        <v>1582074</v>
      </c>
      <c r="AI56" s="70">
        <f t="shared" si="115"/>
        <v>1698291</v>
      </c>
      <c r="AJ56" s="29">
        <f t="shared" si="115"/>
        <v>1698291</v>
      </c>
      <c r="AK56" s="70">
        <f t="shared" si="115"/>
        <v>1976947</v>
      </c>
      <c r="AL56" s="70">
        <f t="shared" si="115"/>
        <v>1631905</v>
      </c>
      <c r="AM56" s="70">
        <f t="shared" si="115"/>
        <v>1614038</v>
      </c>
      <c r="AN56" s="70">
        <f t="shared" si="115"/>
        <v>1362761</v>
      </c>
      <c r="AO56" s="29">
        <f t="shared" si="115"/>
        <v>1362761</v>
      </c>
      <c r="AP56" s="70">
        <f t="shared" si="115"/>
        <v>1115540</v>
      </c>
      <c r="AQ56" s="70">
        <f t="shared" si="115"/>
        <v>1527124</v>
      </c>
      <c r="AR56" s="70">
        <f t="shared" si="115"/>
        <v>2139828</v>
      </c>
      <c r="AS56" s="70">
        <f t="shared" si="115"/>
        <v>1548657</v>
      </c>
      <c r="AT56" s="29">
        <f t="shared" si="115"/>
        <v>1548657</v>
      </c>
      <c r="AU56" s="70">
        <f t="shared" si="115"/>
        <v>1436195</v>
      </c>
      <c r="AV56" s="70">
        <f t="shared" si="115"/>
        <v>1528116</v>
      </c>
      <c r="AW56" s="70">
        <f t="shared" si="115"/>
        <v>1761413</v>
      </c>
      <c r="AX56" s="70">
        <f t="shared" si="115"/>
        <v>1663168</v>
      </c>
      <c r="AY56" s="29">
        <f t="shared" si="115"/>
        <v>1663168</v>
      </c>
      <c r="AZ56" s="70">
        <f t="shared" si="115"/>
        <v>1672370</v>
      </c>
      <c r="BA56" s="70">
        <f t="shared" si="115"/>
        <v>1993944</v>
      </c>
      <c r="BB56" s="70">
        <f t="shared" si="115"/>
        <v>2396197</v>
      </c>
      <c r="BC56" s="70">
        <f t="shared" si="115"/>
        <v>2401338</v>
      </c>
      <c r="BD56" s="29">
        <f t="shared" si="115"/>
        <v>2401338</v>
      </c>
      <c r="BE56" s="70">
        <f t="shared" si="115"/>
        <v>2443970</v>
      </c>
      <c r="BF56" s="70">
        <f t="shared" si="115"/>
        <v>2780948</v>
      </c>
      <c r="BG56" s="70">
        <f t="shared" si="115"/>
        <v>2994496</v>
      </c>
      <c r="BH56" s="70">
        <f t="shared" si="115"/>
        <v>3298793</v>
      </c>
      <c r="BI56" s="29">
        <f t="shared" si="115"/>
        <v>3298793</v>
      </c>
      <c r="BJ56" s="70">
        <f t="shared" si="115"/>
        <v>3241434</v>
      </c>
      <c r="BK56" s="70">
        <f t="shared" si="115"/>
        <v>3563910</v>
      </c>
      <c r="BL56" s="70">
        <f t="shared" si="115"/>
        <v>3980309</v>
      </c>
      <c r="BM56" s="70">
        <f t="shared" si="115"/>
        <v>4615752</v>
      </c>
      <c r="BN56" s="29">
        <f t="shared" ref="BN56:CS56" si="116">BN6</f>
        <v>4615752</v>
      </c>
      <c r="BO56" s="70">
        <f t="shared" si="116"/>
        <v>4418721</v>
      </c>
      <c r="BP56" s="70">
        <f t="shared" si="116"/>
        <v>4646251</v>
      </c>
      <c r="BQ56" s="70">
        <f t="shared" si="116"/>
        <v>4553797</v>
      </c>
      <c r="BR56" s="70">
        <f t="shared" si="116"/>
        <v>4602606</v>
      </c>
      <c r="BS56" s="29">
        <f t="shared" si="116"/>
        <v>4602606</v>
      </c>
      <c r="BT56" s="70">
        <f t="shared" si="116"/>
        <v>4477983</v>
      </c>
      <c r="BU56" s="70">
        <f t="shared" si="116"/>
        <v>4835215</v>
      </c>
      <c r="BV56" s="70">
        <f t="shared" si="116"/>
        <v>5106723</v>
      </c>
      <c r="BW56" s="70">
        <f t="shared" si="116"/>
        <v>5309056</v>
      </c>
      <c r="BX56" s="29">
        <f t="shared" si="116"/>
        <v>5309056</v>
      </c>
      <c r="BY56" s="70">
        <f t="shared" si="116"/>
        <v>5502704</v>
      </c>
      <c r="BZ56" s="70">
        <f>BZ6</f>
        <v>6081348</v>
      </c>
      <c r="CA56" s="70">
        <f>CA6</f>
        <v>7071491</v>
      </c>
      <c r="CB56" s="70">
        <f t="shared" ref="CB56" si="117">CB6</f>
        <v>7007404</v>
      </c>
      <c r="CC56" s="29">
        <f t="shared" si="116"/>
        <v>7007404</v>
      </c>
      <c r="CD56" s="750">
        <f t="shared" ref="CD56" si="118">CD6</f>
        <v>7212046</v>
      </c>
      <c r="CE56" s="750">
        <f>CE6</f>
        <v>7712294</v>
      </c>
      <c r="CF56" s="70">
        <f ca="1">CF6</f>
        <v>8035746.209104442</v>
      </c>
      <c r="CG56" s="70">
        <f ca="1">CG6</f>
        <v>8394839.8907742705</v>
      </c>
      <c r="CH56" s="29">
        <f t="shared" ca="1" si="116"/>
        <v>8394839.8907742705</v>
      </c>
      <c r="CI56" s="70">
        <f t="shared" ca="1" si="116"/>
        <v>8552423.3149326928</v>
      </c>
      <c r="CJ56" s="70">
        <f t="shared" ca="1" si="116"/>
        <v>8057287.1955988249</v>
      </c>
      <c r="CK56" s="70">
        <f t="shared" ca="1" si="116"/>
        <v>8552972.3424084503</v>
      </c>
      <c r="CL56" s="70">
        <f t="shared" ca="1" si="116"/>
        <v>9166090.0023675915</v>
      </c>
      <c r="CM56" s="29">
        <f t="shared" ca="1" si="116"/>
        <v>9166090.0023675915</v>
      </c>
      <c r="CN56" s="70">
        <f t="shared" ca="1" si="116"/>
        <v>9452394.0336970631</v>
      </c>
      <c r="CO56" s="70">
        <f t="shared" ca="1" si="116"/>
        <v>7979493.2489260761</v>
      </c>
      <c r="CP56" s="70">
        <f t="shared" ca="1" si="116"/>
        <v>8438758.3299464826</v>
      </c>
      <c r="CQ56" s="70">
        <f t="shared" ca="1" si="116"/>
        <v>9151448.675808331</v>
      </c>
      <c r="CR56" s="29">
        <f t="shared" ca="1" si="116"/>
        <v>9151448.675808331</v>
      </c>
      <c r="CS56" s="70">
        <f t="shared" ca="1" si="116"/>
        <v>9633809.0309784673</v>
      </c>
      <c r="CT56" s="70">
        <f t="shared" ref="CT56:DB56" ca="1" si="119">CT6</f>
        <v>8085012.616099515</v>
      </c>
      <c r="CU56" s="70">
        <f t="shared" ca="1" si="119"/>
        <v>8701975.5532729588</v>
      </c>
      <c r="CV56" s="70">
        <f t="shared" ca="1" si="119"/>
        <v>9443595.8043333739</v>
      </c>
      <c r="CW56" s="29">
        <f t="shared" ca="1" si="119"/>
        <v>9443595.8043333739</v>
      </c>
      <c r="CX56" s="70">
        <f t="shared" ca="1" si="119"/>
        <v>9882676.7620078195</v>
      </c>
      <c r="CY56" s="70">
        <f t="shared" ca="1" si="119"/>
        <v>8308794.9604485966</v>
      </c>
      <c r="CZ56" s="70">
        <f t="shared" ca="1" si="119"/>
        <v>9135295.2861108873</v>
      </c>
      <c r="DA56" s="70">
        <f t="shared" ca="1" si="119"/>
        <v>10189998.141267924</v>
      </c>
      <c r="DB56" s="29">
        <f t="shared" ca="1" si="119"/>
        <v>10189998.141267924</v>
      </c>
    </row>
    <row r="57" spans="1:106" ht="11.5" customHeight="1" x14ac:dyDescent="0.35">
      <c r="A57" s="747" t="s">
        <v>127</v>
      </c>
      <c r="B57" s="748">
        <f t="shared" ref="B57:AG57" si="120">B51-B56</f>
        <v>1286626</v>
      </c>
      <c r="C57" s="748">
        <f t="shared" si="120"/>
        <v>1765929</v>
      </c>
      <c r="D57" s="748">
        <f t="shared" si="120"/>
        <v>1993914</v>
      </c>
      <c r="E57" s="748">
        <f t="shared" si="120"/>
        <v>2278067</v>
      </c>
      <c r="F57" s="749">
        <f t="shared" si="120"/>
        <v>2278067</v>
      </c>
      <c r="G57" s="748">
        <f t="shared" si="120"/>
        <v>2427784</v>
      </c>
      <c r="H57" s="748">
        <f t="shared" si="120"/>
        <v>2617885</v>
      </c>
      <c r="I57" s="748">
        <f t="shared" si="120"/>
        <v>2841072</v>
      </c>
      <c r="J57" s="748">
        <f t="shared" si="120"/>
        <v>2761443</v>
      </c>
      <c r="K57" s="749">
        <f t="shared" si="120"/>
        <v>2761443</v>
      </c>
      <c r="L57" s="748">
        <f t="shared" si="120"/>
        <v>2773886</v>
      </c>
      <c r="M57" s="748">
        <f t="shared" si="120"/>
        <v>2831600</v>
      </c>
      <c r="N57" s="748">
        <f t="shared" si="120"/>
        <v>2724231</v>
      </c>
      <c r="O57" s="748">
        <f t="shared" si="120"/>
        <v>2369614</v>
      </c>
      <c r="P57" s="749">
        <f t="shared" si="120"/>
        <v>2369614</v>
      </c>
      <c r="Q57" s="748">
        <f t="shared" si="120"/>
        <v>2158251</v>
      </c>
      <c r="R57" s="748">
        <f t="shared" si="120"/>
        <v>2255964</v>
      </c>
      <c r="S57" s="748">
        <f t="shared" si="120"/>
        <v>2294033</v>
      </c>
      <c r="T57" s="748">
        <f t="shared" si="120"/>
        <v>2486328</v>
      </c>
      <c r="U57" s="749">
        <f t="shared" si="120"/>
        <v>2486328</v>
      </c>
      <c r="V57" s="748">
        <f t="shared" si="120"/>
        <v>2400702</v>
      </c>
      <c r="W57" s="748">
        <f t="shared" si="120"/>
        <v>2521958</v>
      </c>
      <c r="X57" s="748">
        <f t="shared" si="120"/>
        <v>2436230</v>
      </c>
      <c r="Y57" s="748">
        <f t="shared" si="120"/>
        <v>2120956</v>
      </c>
      <c r="Z57" s="749">
        <f t="shared" si="120"/>
        <v>2120956</v>
      </c>
      <c r="AA57" s="748">
        <f t="shared" si="120"/>
        <v>1778139</v>
      </c>
      <c r="AB57" s="748">
        <f t="shared" si="120"/>
        <v>1711340</v>
      </c>
      <c r="AC57" s="748">
        <f t="shared" si="120"/>
        <v>1506597</v>
      </c>
      <c r="AD57" s="748">
        <f t="shared" si="120"/>
        <v>1508026</v>
      </c>
      <c r="AE57" s="749">
        <f t="shared" si="120"/>
        <v>1508026</v>
      </c>
      <c r="AF57" s="748">
        <f t="shared" si="120"/>
        <v>1532495</v>
      </c>
      <c r="AG57" s="748">
        <f t="shared" si="120"/>
        <v>1656453</v>
      </c>
      <c r="AH57" s="748">
        <f t="shared" ref="AH57:BM57" si="121">AH51-AH56</f>
        <v>1890338</v>
      </c>
      <c r="AI57" s="748">
        <f t="shared" si="121"/>
        <v>1725373</v>
      </c>
      <c r="AJ57" s="749">
        <f t="shared" si="121"/>
        <v>1725373</v>
      </c>
      <c r="AK57" s="748">
        <f t="shared" si="121"/>
        <v>1589018</v>
      </c>
      <c r="AL57" s="748">
        <f t="shared" si="121"/>
        <v>1745262</v>
      </c>
      <c r="AM57" s="748">
        <f t="shared" si="121"/>
        <v>1469078</v>
      </c>
      <c r="AN57" s="748">
        <f t="shared" si="121"/>
        <v>1211279</v>
      </c>
      <c r="AO57" s="749">
        <f t="shared" si="121"/>
        <v>1211279</v>
      </c>
      <c r="AP57" s="748">
        <f t="shared" si="121"/>
        <v>1029429</v>
      </c>
      <c r="AQ57" s="748">
        <f t="shared" si="121"/>
        <v>837737</v>
      </c>
      <c r="AR57" s="748">
        <f t="shared" si="121"/>
        <v>749057</v>
      </c>
      <c r="AS57" s="748">
        <f t="shared" si="121"/>
        <v>822830</v>
      </c>
      <c r="AT57" s="749">
        <f t="shared" si="121"/>
        <v>822830</v>
      </c>
      <c r="AU57" s="748">
        <f t="shared" si="121"/>
        <v>669786</v>
      </c>
      <c r="AV57" s="748">
        <f t="shared" si="121"/>
        <v>463518</v>
      </c>
      <c r="AW57" s="748">
        <f t="shared" si="121"/>
        <v>675179</v>
      </c>
      <c r="AX57" s="748">
        <f t="shared" si="121"/>
        <v>841107</v>
      </c>
      <c r="AY57" s="749">
        <f t="shared" si="121"/>
        <v>841107</v>
      </c>
      <c r="AZ57" s="748">
        <f t="shared" si="121"/>
        <v>841429</v>
      </c>
      <c r="BA57" s="748">
        <f t="shared" si="121"/>
        <v>916612</v>
      </c>
      <c r="BB57" s="748">
        <f t="shared" si="121"/>
        <v>38373</v>
      </c>
      <c r="BC57" s="748">
        <f t="shared" si="121"/>
        <v>301668</v>
      </c>
      <c r="BD57" s="749">
        <f t="shared" si="121"/>
        <v>301668</v>
      </c>
      <c r="BE57" s="748">
        <f t="shared" si="121"/>
        <v>250344</v>
      </c>
      <c r="BF57" s="748">
        <f t="shared" si="121"/>
        <v>568720</v>
      </c>
      <c r="BG57" s="748">
        <f t="shared" si="121"/>
        <v>408464</v>
      </c>
      <c r="BH57" s="748">
        <f t="shared" si="121"/>
        <v>335244</v>
      </c>
      <c r="BI57" s="749">
        <f t="shared" si="121"/>
        <v>335244</v>
      </c>
      <c r="BJ57" s="748">
        <f t="shared" si="121"/>
        <v>436898</v>
      </c>
      <c r="BK57" s="748">
        <f t="shared" si="121"/>
        <v>467404</v>
      </c>
      <c r="BL57" s="748">
        <f t="shared" si="121"/>
        <v>398595</v>
      </c>
      <c r="BM57" s="748">
        <f t="shared" si="121"/>
        <v>360562</v>
      </c>
      <c r="BN57" s="749">
        <f t="shared" ref="BN57:CS57" si="122">BN51-BN56</f>
        <v>360562</v>
      </c>
      <c r="BO57" s="748">
        <f t="shared" si="122"/>
        <v>386326</v>
      </c>
      <c r="BP57" s="748">
        <f t="shared" si="122"/>
        <v>319324</v>
      </c>
      <c r="BQ57" s="748">
        <f t="shared" si="122"/>
        <v>409312</v>
      </c>
      <c r="BR57" s="748">
        <f t="shared" si="122"/>
        <v>554932</v>
      </c>
      <c r="BS57" s="749">
        <f t="shared" si="122"/>
        <v>554932</v>
      </c>
      <c r="BT57" s="748">
        <f t="shared" si="122"/>
        <v>417820</v>
      </c>
      <c r="BU57" s="748">
        <f t="shared" si="122"/>
        <v>416148</v>
      </c>
      <c r="BV57" s="748">
        <f t="shared" si="122"/>
        <v>359602</v>
      </c>
      <c r="BW57" s="748">
        <f t="shared" si="122"/>
        <v>665524</v>
      </c>
      <c r="BX57" s="749">
        <f t="shared" si="122"/>
        <v>665524</v>
      </c>
      <c r="BY57" s="748">
        <f t="shared" si="122"/>
        <v>514754</v>
      </c>
      <c r="BZ57" s="748">
        <f>BZ51-BZ56</f>
        <v>808338</v>
      </c>
      <c r="CA57" s="748">
        <f>CA51-CA56</f>
        <v>424911</v>
      </c>
      <c r="CB57" s="748">
        <f t="shared" ref="CB57" si="123">CB51-CB56</f>
        <v>1709865</v>
      </c>
      <c r="CC57" s="749">
        <f t="shared" si="122"/>
        <v>1709865</v>
      </c>
      <c r="CD57" s="748">
        <f>CD51-CD56</f>
        <v>1581794</v>
      </c>
      <c r="CE57" s="748">
        <f>CE51-CE56</f>
        <v>1161324</v>
      </c>
      <c r="CF57" s="748">
        <f t="shared" ca="1" si="122"/>
        <v>999748.5445335051</v>
      </c>
      <c r="CG57" s="748">
        <f ca="1">CG51-CG56</f>
        <v>771600.66727721132</v>
      </c>
      <c r="CH57" s="749">
        <f t="shared" ca="1" si="122"/>
        <v>771600.66727721132</v>
      </c>
      <c r="CI57" s="748">
        <f t="shared" ca="1" si="122"/>
        <v>758308.85941323452</v>
      </c>
      <c r="CJ57" s="748">
        <f t="shared" ca="1" si="122"/>
        <v>1281124.4682624014</v>
      </c>
      <c r="CK57" s="748">
        <f t="shared" ca="1" si="122"/>
        <v>879405.62168980204</v>
      </c>
      <c r="CL57" s="748">
        <f t="shared" ca="1" si="122"/>
        <v>359669.7994543314</v>
      </c>
      <c r="CM57" s="749">
        <f t="shared" ca="1" si="122"/>
        <v>359669.7994543314</v>
      </c>
      <c r="CN57" s="748">
        <f t="shared" ca="1" si="122"/>
        <v>103469.34236196615</v>
      </c>
      <c r="CO57" s="748">
        <f t="shared" ca="1" si="122"/>
        <v>1627570.4068142222</v>
      </c>
      <c r="CP57" s="748">
        <f t="shared" ca="1" si="122"/>
        <v>1285397.9342159051</v>
      </c>
      <c r="CQ57" s="748">
        <f t="shared" ca="1" si="122"/>
        <v>702569.31035240926</v>
      </c>
      <c r="CR57" s="749">
        <f t="shared" ca="1" si="122"/>
        <v>702569.31035240926</v>
      </c>
      <c r="CS57" s="748">
        <f t="shared" ca="1" si="122"/>
        <v>181073.3533250913</v>
      </c>
      <c r="CT57" s="748">
        <f t="shared" ref="CT57:DB57" ca="1" si="124">CT51-CT56</f>
        <v>1746437.7735086707</v>
      </c>
      <c r="CU57" s="748">
        <f t="shared" ca="1" si="124"/>
        <v>1205533.3856903873</v>
      </c>
      <c r="CV57" s="748">
        <f t="shared" ca="1" si="124"/>
        <v>607650.45900237933</v>
      </c>
      <c r="CW57" s="749">
        <f t="shared" ca="1" si="124"/>
        <v>607650.45900237933</v>
      </c>
      <c r="CX57" s="748">
        <f t="shared" ca="1" si="124"/>
        <v>186947.73870375194</v>
      </c>
      <c r="CY57" s="748">
        <f t="shared" ca="1" si="124"/>
        <v>1783199.9051472507</v>
      </c>
      <c r="CZ57" s="748">
        <f t="shared" ca="1" si="124"/>
        <v>1050150.6087635849</v>
      </c>
      <c r="DA57" s="748">
        <f t="shared" ca="1" si="124"/>
        <v>169038.04987842403</v>
      </c>
      <c r="DB57" s="749">
        <f t="shared" ca="1" si="124"/>
        <v>169038.04987842403</v>
      </c>
    </row>
    <row r="58" spans="1:106" ht="11.5" customHeight="1" x14ac:dyDescent="0.35">
      <c r="A58" s="19" t="s">
        <v>125</v>
      </c>
      <c r="B58" s="70">
        <f t="shared" ref="B58:AG58" si="125">B31</f>
        <v>162204</v>
      </c>
      <c r="C58" s="70">
        <f t="shared" si="125"/>
        <v>153279</v>
      </c>
      <c r="D58" s="70">
        <f t="shared" si="125"/>
        <v>129692</v>
      </c>
      <c r="E58" s="70">
        <f t="shared" si="125"/>
        <v>130446</v>
      </c>
      <c r="F58" s="29">
        <f t="shared" si="125"/>
        <v>130446</v>
      </c>
      <c r="G58" s="70">
        <f t="shared" si="125"/>
        <v>161622</v>
      </c>
      <c r="H58" s="70">
        <f t="shared" si="125"/>
        <v>141413</v>
      </c>
      <c r="I58" s="70">
        <f t="shared" si="125"/>
        <v>163131</v>
      </c>
      <c r="J58" s="70">
        <f t="shared" si="125"/>
        <v>179292</v>
      </c>
      <c r="K58" s="29">
        <f t="shared" si="125"/>
        <v>179292</v>
      </c>
      <c r="L58" s="70">
        <f t="shared" si="125"/>
        <v>194523</v>
      </c>
      <c r="M58" s="70">
        <f t="shared" si="125"/>
        <v>187522</v>
      </c>
      <c r="N58" s="70">
        <f t="shared" si="125"/>
        <v>151854</v>
      </c>
      <c r="O58" s="70">
        <f t="shared" si="125"/>
        <v>252745</v>
      </c>
      <c r="P58" s="29">
        <f t="shared" si="125"/>
        <v>252745</v>
      </c>
      <c r="Q58" s="70">
        <f t="shared" si="125"/>
        <v>322893</v>
      </c>
      <c r="R58" s="70">
        <f t="shared" si="125"/>
        <v>242727</v>
      </c>
      <c r="S58" s="70">
        <f t="shared" si="125"/>
        <v>268341</v>
      </c>
      <c r="T58" s="70">
        <f t="shared" si="125"/>
        <v>169321</v>
      </c>
      <c r="U58" s="29">
        <f t="shared" si="125"/>
        <v>169321</v>
      </c>
      <c r="V58" s="70">
        <f t="shared" si="125"/>
        <v>164418</v>
      </c>
      <c r="W58" s="70">
        <f t="shared" si="125"/>
        <v>150785</v>
      </c>
      <c r="X58" s="70">
        <f t="shared" si="125"/>
        <v>160085</v>
      </c>
      <c r="Y58" s="70">
        <f t="shared" si="125"/>
        <v>148482</v>
      </c>
      <c r="Z58" s="29">
        <f t="shared" si="125"/>
        <v>148482</v>
      </c>
      <c r="AA58" s="70">
        <f t="shared" si="125"/>
        <v>153148</v>
      </c>
      <c r="AB58" s="70">
        <f t="shared" si="125"/>
        <v>122259</v>
      </c>
      <c r="AC58" s="70">
        <f t="shared" si="125"/>
        <v>121424</v>
      </c>
      <c r="AD58" s="70">
        <f t="shared" si="125"/>
        <v>132812</v>
      </c>
      <c r="AE58" s="29">
        <f t="shared" si="125"/>
        <v>132812</v>
      </c>
      <c r="AF58" s="70">
        <f t="shared" si="125"/>
        <v>149733</v>
      </c>
      <c r="AG58" s="70">
        <f t="shared" si="125"/>
        <v>106565</v>
      </c>
      <c r="AH58" s="70">
        <f t="shared" ref="AH58:BM58" si="126">AH31</f>
        <v>120427</v>
      </c>
      <c r="AI58" s="70">
        <f t="shared" si="126"/>
        <v>64812</v>
      </c>
      <c r="AJ58" s="29">
        <f t="shared" si="126"/>
        <v>64812</v>
      </c>
      <c r="AK58" s="70">
        <f t="shared" si="126"/>
        <v>63651</v>
      </c>
      <c r="AL58" s="70">
        <f t="shared" si="126"/>
        <v>71456</v>
      </c>
      <c r="AM58" s="70">
        <f t="shared" si="126"/>
        <v>55493</v>
      </c>
      <c r="AN58" s="70">
        <f t="shared" si="126"/>
        <v>50182</v>
      </c>
      <c r="AO58" s="29">
        <f t="shared" si="126"/>
        <v>50182</v>
      </c>
      <c r="AP58" s="70">
        <f t="shared" si="126"/>
        <v>25196</v>
      </c>
      <c r="AQ58" s="70">
        <f t="shared" si="126"/>
        <v>28777</v>
      </c>
      <c r="AR58" s="70">
        <f t="shared" si="126"/>
        <v>50624</v>
      </c>
      <c r="AS58" s="70">
        <f t="shared" si="126"/>
        <v>29384</v>
      </c>
      <c r="AT58" s="29">
        <f t="shared" si="126"/>
        <v>29384</v>
      </c>
      <c r="AU58" s="70">
        <f t="shared" si="126"/>
        <v>63614</v>
      </c>
      <c r="AV58" s="70">
        <f t="shared" si="126"/>
        <v>77365</v>
      </c>
      <c r="AW58" s="70">
        <f t="shared" si="126"/>
        <v>62387</v>
      </c>
      <c r="AX58" s="70">
        <f t="shared" si="126"/>
        <v>110647</v>
      </c>
      <c r="AY58" s="29">
        <f t="shared" si="126"/>
        <v>110647</v>
      </c>
      <c r="AZ58" s="70">
        <f t="shared" si="126"/>
        <v>83128</v>
      </c>
      <c r="BA58" s="70">
        <f t="shared" si="126"/>
        <v>91907</v>
      </c>
      <c r="BB58" s="70">
        <f t="shared" si="126"/>
        <v>87047</v>
      </c>
      <c r="BC58" s="70">
        <f t="shared" si="126"/>
        <v>89792</v>
      </c>
      <c r="BD58" s="29">
        <f t="shared" si="126"/>
        <v>89792</v>
      </c>
      <c r="BE58" s="70">
        <f t="shared" si="126"/>
        <v>128535</v>
      </c>
      <c r="BF58" s="70">
        <f t="shared" si="126"/>
        <v>86082</v>
      </c>
      <c r="BG58" s="70">
        <f t="shared" si="126"/>
        <v>72661</v>
      </c>
      <c r="BH58" s="70">
        <f t="shared" si="126"/>
        <v>110251</v>
      </c>
      <c r="BI58" s="29">
        <f t="shared" si="126"/>
        <v>110251</v>
      </c>
      <c r="BJ58" s="70">
        <f t="shared" si="126"/>
        <v>93257</v>
      </c>
      <c r="BK58" s="70">
        <f t="shared" si="126"/>
        <v>110724</v>
      </c>
      <c r="BL58" s="70">
        <f t="shared" si="126"/>
        <v>166680</v>
      </c>
      <c r="BM58" s="70">
        <f t="shared" si="126"/>
        <v>107601</v>
      </c>
      <c r="BN58" s="29">
        <f t="shared" ref="BN58:CS58" si="127">BN31</f>
        <v>107601</v>
      </c>
      <c r="BO58" s="70">
        <f t="shared" si="127"/>
        <v>90815</v>
      </c>
      <c r="BP58" s="70">
        <f t="shared" si="127"/>
        <v>77780</v>
      </c>
      <c r="BQ58" s="70">
        <f t="shared" si="127"/>
        <v>91174</v>
      </c>
      <c r="BR58" s="70">
        <f t="shared" si="127"/>
        <v>55947</v>
      </c>
      <c r="BS58" s="29">
        <f t="shared" si="127"/>
        <v>55947</v>
      </c>
      <c r="BT58" s="70">
        <f t="shared" si="127"/>
        <v>118603</v>
      </c>
      <c r="BU58" s="70">
        <f t="shared" si="127"/>
        <v>100708</v>
      </c>
      <c r="BV58" s="70">
        <f t="shared" si="127"/>
        <v>82798</v>
      </c>
      <c r="BW58" s="70">
        <f t="shared" si="127"/>
        <v>129156</v>
      </c>
      <c r="BX58" s="29">
        <f t="shared" si="127"/>
        <v>129156</v>
      </c>
      <c r="BY58" s="70">
        <f t="shared" si="127"/>
        <v>177935</v>
      </c>
      <c r="BZ58" s="70">
        <f>BZ31</f>
        <v>222164</v>
      </c>
      <c r="CA58" s="70">
        <f>CA31</f>
        <v>228020</v>
      </c>
      <c r="CB58" s="70">
        <f t="shared" ref="CB58" si="128">CB31</f>
        <v>128500</v>
      </c>
      <c r="CC58" s="29">
        <f t="shared" si="127"/>
        <v>128500</v>
      </c>
      <c r="CD58" s="70">
        <f t="shared" ref="CD58" si="129">CD31</f>
        <v>132259</v>
      </c>
      <c r="CE58" s="70">
        <f>CE31</f>
        <v>181250</v>
      </c>
      <c r="CF58" s="70">
        <f t="shared" si="127"/>
        <v>181250</v>
      </c>
      <c r="CG58" s="70">
        <f t="shared" si="127"/>
        <v>181250</v>
      </c>
      <c r="CH58" s="29">
        <f t="shared" si="127"/>
        <v>181250</v>
      </c>
      <c r="CI58" s="70">
        <f t="shared" si="127"/>
        <v>181250</v>
      </c>
      <c r="CJ58" s="70">
        <f t="shared" si="127"/>
        <v>181250</v>
      </c>
      <c r="CK58" s="70">
        <f t="shared" si="127"/>
        <v>181250</v>
      </c>
      <c r="CL58" s="70">
        <f t="shared" si="127"/>
        <v>181250</v>
      </c>
      <c r="CM58" s="29">
        <f t="shared" si="127"/>
        <v>181250</v>
      </c>
      <c r="CN58" s="70">
        <f t="shared" si="127"/>
        <v>181250</v>
      </c>
      <c r="CO58" s="70">
        <f t="shared" si="127"/>
        <v>181250</v>
      </c>
      <c r="CP58" s="70">
        <f t="shared" si="127"/>
        <v>181250</v>
      </c>
      <c r="CQ58" s="70">
        <f t="shared" si="127"/>
        <v>181250</v>
      </c>
      <c r="CR58" s="29">
        <f t="shared" si="127"/>
        <v>181250</v>
      </c>
      <c r="CS58" s="70">
        <f t="shared" si="127"/>
        <v>181250</v>
      </c>
      <c r="CT58" s="70">
        <f t="shared" ref="CT58:DB58" si="130">CT31</f>
        <v>181250</v>
      </c>
      <c r="CU58" s="70">
        <f t="shared" si="130"/>
        <v>181250</v>
      </c>
      <c r="CV58" s="70">
        <f t="shared" si="130"/>
        <v>181250</v>
      </c>
      <c r="CW58" s="29">
        <f t="shared" si="130"/>
        <v>181250</v>
      </c>
      <c r="CX58" s="70">
        <f t="shared" si="130"/>
        <v>181250</v>
      </c>
      <c r="CY58" s="70">
        <f t="shared" si="130"/>
        <v>181250</v>
      </c>
      <c r="CZ58" s="70">
        <f t="shared" si="130"/>
        <v>181250</v>
      </c>
      <c r="DA58" s="70">
        <f t="shared" si="130"/>
        <v>181250</v>
      </c>
      <c r="DB58" s="29">
        <f t="shared" si="130"/>
        <v>181250</v>
      </c>
    </row>
    <row r="59" spans="1:106" ht="11.5" customHeight="1" x14ac:dyDescent="0.35">
      <c r="A59" s="19" t="s">
        <v>196</v>
      </c>
      <c r="B59" s="70">
        <f t="shared" ref="B59:AG59" si="131">B32</f>
        <v>0</v>
      </c>
      <c r="C59" s="70">
        <f t="shared" si="131"/>
        <v>0</v>
      </c>
      <c r="D59" s="70">
        <f t="shared" si="131"/>
        <v>0</v>
      </c>
      <c r="E59" s="70">
        <f t="shared" si="131"/>
        <v>0</v>
      </c>
      <c r="F59" s="29">
        <f t="shared" si="131"/>
        <v>0</v>
      </c>
      <c r="G59" s="70">
        <f t="shared" si="131"/>
        <v>0</v>
      </c>
      <c r="H59" s="70">
        <f t="shared" si="131"/>
        <v>0</v>
      </c>
      <c r="I59" s="70">
        <f t="shared" si="131"/>
        <v>0</v>
      </c>
      <c r="J59" s="70">
        <f t="shared" si="131"/>
        <v>0</v>
      </c>
      <c r="K59" s="29">
        <f t="shared" si="131"/>
        <v>0</v>
      </c>
      <c r="L59" s="70">
        <f t="shared" si="131"/>
        <v>0</v>
      </c>
      <c r="M59" s="70">
        <f t="shared" si="131"/>
        <v>0</v>
      </c>
      <c r="N59" s="70">
        <f t="shared" si="131"/>
        <v>0</v>
      </c>
      <c r="O59" s="70">
        <f t="shared" si="131"/>
        <v>0</v>
      </c>
      <c r="P59" s="29">
        <f t="shared" si="131"/>
        <v>0</v>
      </c>
      <c r="Q59" s="70">
        <f t="shared" si="131"/>
        <v>0</v>
      </c>
      <c r="R59" s="70">
        <f t="shared" si="131"/>
        <v>0</v>
      </c>
      <c r="S59" s="70">
        <f t="shared" si="131"/>
        <v>0</v>
      </c>
      <c r="T59" s="70">
        <f t="shared" si="131"/>
        <v>0</v>
      </c>
      <c r="U59" s="29">
        <f t="shared" si="131"/>
        <v>0</v>
      </c>
      <c r="V59" s="70">
        <f t="shared" si="131"/>
        <v>0</v>
      </c>
      <c r="W59" s="70">
        <f t="shared" si="131"/>
        <v>0</v>
      </c>
      <c r="X59" s="70">
        <f t="shared" si="131"/>
        <v>0</v>
      </c>
      <c r="Y59" s="70">
        <f t="shared" si="131"/>
        <v>0</v>
      </c>
      <c r="Z59" s="29">
        <f t="shared" si="131"/>
        <v>0</v>
      </c>
      <c r="AA59" s="70">
        <f t="shared" si="131"/>
        <v>0</v>
      </c>
      <c r="AB59" s="70">
        <f t="shared" si="131"/>
        <v>0</v>
      </c>
      <c r="AC59" s="70">
        <f t="shared" si="131"/>
        <v>0</v>
      </c>
      <c r="AD59" s="70">
        <f t="shared" si="131"/>
        <v>0</v>
      </c>
      <c r="AE59" s="29">
        <f t="shared" si="131"/>
        <v>0</v>
      </c>
      <c r="AF59" s="70">
        <f t="shared" si="131"/>
        <v>0</v>
      </c>
      <c r="AG59" s="70">
        <f t="shared" si="131"/>
        <v>0</v>
      </c>
      <c r="AH59" s="70">
        <f t="shared" ref="AH59:BM59" si="132">AH32</f>
        <v>0</v>
      </c>
      <c r="AI59" s="70">
        <f t="shared" si="132"/>
        <v>0</v>
      </c>
      <c r="AJ59" s="29">
        <f t="shared" si="132"/>
        <v>0</v>
      </c>
      <c r="AK59" s="70">
        <f t="shared" si="132"/>
        <v>0</v>
      </c>
      <c r="AL59" s="70">
        <f t="shared" si="132"/>
        <v>0</v>
      </c>
      <c r="AM59" s="70">
        <f t="shared" si="132"/>
        <v>0</v>
      </c>
      <c r="AN59" s="70">
        <f t="shared" si="132"/>
        <v>0</v>
      </c>
      <c r="AO59" s="29">
        <f t="shared" si="132"/>
        <v>0</v>
      </c>
      <c r="AP59" s="70">
        <f t="shared" si="132"/>
        <v>0</v>
      </c>
      <c r="AQ59" s="70">
        <f t="shared" si="132"/>
        <v>0</v>
      </c>
      <c r="AR59" s="70">
        <f t="shared" si="132"/>
        <v>0</v>
      </c>
      <c r="AS59" s="70">
        <f t="shared" si="132"/>
        <v>0</v>
      </c>
      <c r="AT59" s="29">
        <f t="shared" si="132"/>
        <v>0</v>
      </c>
      <c r="AU59" s="70">
        <f t="shared" si="132"/>
        <v>0</v>
      </c>
      <c r="AV59" s="70">
        <f t="shared" si="132"/>
        <v>0</v>
      </c>
      <c r="AW59" s="70">
        <f t="shared" si="132"/>
        <v>0</v>
      </c>
      <c r="AX59" s="70">
        <f t="shared" si="132"/>
        <v>0</v>
      </c>
      <c r="AY59" s="29">
        <f t="shared" si="132"/>
        <v>0</v>
      </c>
      <c r="AZ59" s="70">
        <f t="shared" si="132"/>
        <v>0</v>
      </c>
      <c r="BA59" s="70">
        <f t="shared" si="132"/>
        <v>0</v>
      </c>
      <c r="BB59" s="70">
        <f t="shared" si="132"/>
        <v>0</v>
      </c>
      <c r="BC59" s="70">
        <f t="shared" si="132"/>
        <v>0</v>
      </c>
      <c r="BD59" s="29">
        <f t="shared" si="132"/>
        <v>0</v>
      </c>
      <c r="BE59" s="70">
        <f t="shared" si="132"/>
        <v>0</v>
      </c>
      <c r="BF59" s="70">
        <f t="shared" si="132"/>
        <v>0</v>
      </c>
      <c r="BG59" s="70">
        <f t="shared" si="132"/>
        <v>0</v>
      </c>
      <c r="BH59" s="70">
        <f t="shared" si="132"/>
        <v>0</v>
      </c>
      <c r="BI59" s="29">
        <f t="shared" si="132"/>
        <v>0</v>
      </c>
      <c r="BJ59" s="70">
        <f t="shared" si="132"/>
        <v>0</v>
      </c>
      <c r="BK59" s="70">
        <f t="shared" si="132"/>
        <v>0</v>
      </c>
      <c r="BL59" s="70">
        <f t="shared" si="132"/>
        <v>0</v>
      </c>
      <c r="BM59" s="70">
        <f t="shared" si="132"/>
        <v>0</v>
      </c>
      <c r="BN59" s="29">
        <f t="shared" ref="BN59:BY59" si="133">BN32</f>
        <v>0</v>
      </c>
      <c r="BO59" s="70">
        <f t="shared" si="133"/>
        <v>0</v>
      </c>
      <c r="BP59" s="70">
        <f t="shared" si="133"/>
        <v>0</v>
      </c>
      <c r="BQ59" s="70">
        <f t="shared" si="133"/>
        <v>0</v>
      </c>
      <c r="BR59" s="70">
        <f t="shared" si="133"/>
        <v>0</v>
      </c>
      <c r="BS59" s="29">
        <f t="shared" si="133"/>
        <v>0</v>
      </c>
      <c r="BT59" s="70">
        <f t="shared" si="133"/>
        <v>0</v>
      </c>
      <c r="BU59" s="70">
        <f t="shared" si="133"/>
        <v>0</v>
      </c>
      <c r="BV59" s="70">
        <f t="shared" si="133"/>
        <v>0</v>
      </c>
      <c r="BW59" s="70">
        <f t="shared" si="133"/>
        <v>0</v>
      </c>
      <c r="BX59" s="29">
        <f t="shared" si="133"/>
        <v>0</v>
      </c>
      <c r="BY59" s="70">
        <f t="shared" si="133"/>
        <v>0</v>
      </c>
      <c r="BZ59" s="70">
        <f>BZ32</f>
        <v>0</v>
      </c>
      <c r="CA59" s="70">
        <f>CA32</f>
        <v>0</v>
      </c>
      <c r="CB59" s="70">
        <f t="shared" ref="CB59" si="134">CB32</f>
        <v>0</v>
      </c>
      <c r="CC59" s="29">
        <f>CC32</f>
        <v>0</v>
      </c>
      <c r="CD59" s="70">
        <f t="shared" ref="CD59" si="135">CD32</f>
        <v>0</v>
      </c>
      <c r="CE59" s="70">
        <f>CE32</f>
        <v>0</v>
      </c>
      <c r="CF59" s="70">
        <f>CE59+CF60+CF62</f>
        <v>0</v>
      </c>
      <c r="CG59" s="70">
        <f>CF59+CG60+CG62</f>
        <v>0</v>
      </c>
      <c r="CH59" s="29">
        <f>CH32</f>
        <v>0</v>
      </c>
      <c r="CI59" s="70">
        <f>CH59+CI60+CI62</f>
        <v>0</v>
      </c>
      <c r="CJ59" s="70">
        <f>CI59+CJ60+CJ62</f>
        <v>0</v>
      </c>
      <c r="CK59" s="70">
        <f>CJ59+CK60+CK62</f>
        <v>0</v>
      </c>
      <c r="CL59" s="70">
        <f>CK59+CL60+CL62</f>
        <v>0</v>
      </c>
      <c r="CM59" s="29">
        <f>CM32</f>
        <v>0</v>
      </c>
      <c r="CN59" s="70">
        <f>CM59+CN60+CN62</f>
        <v>0</v>
      </c>
      <c r="CO59" s="70">
        <f>CN59+CO60+CO62</f>
        <v>0</v>
      </c>
      <c r="CP59" s="70">
        <f>CO59+CP60+CP62</f>
        <v>0</v>
      </c>
      <c r="CQ59" s="70">
        <f>CP59+CQ60+CQ62</f>
        <v>0</v>
      </c>
      <c r="CR59" s="29">
        <f>CR32</f>
        <v>0</v>
      </c>
      <c r="CS59" s="70">
        <f>CR59+CS60+CS62</f>
        <v>0</v>
      </c>
      <c r="CT59" s="70">
        <f>CS59+CT60+CT62</f>
        <v>0</v>
      </c>
      <c r="CU59" s="70">
        <f>CT59+CU60+CU62</f>
        <v>0</v>
      </c>
      <c r="CV59" s="70">
        <f>CU59+CV60+CV62</f>
        <v>0</v>
      </c>
      <c r="CW59" s="29">
        <f>CW32</f>
        <v>0</v>
      </c>
      <c r="CX59" s="70">
        <f>CW59+CX60+CX62</f>
        <v>0</v>
      </c>
      <c r="CY59" s="70">
        <f>CX59+CY60+CY62</f>
        <v>0</v>
      </c>
      <c r="CZ59" s="70">
        <f>CY59+CZ60+CZ62</f>
        <v>0</v>
      </c>
      <c r="DA59" s="70">
        <f>CZ59+DA60+DA62</f>
        <v>0</v>
      </c>
      <c r="DB59" s="29">
        <f>DB32</f>
        <v>0</v>
      </c>
    </row>
    <row r="60" spans="1:106" ht="11.5" customHeight="1" outlineLevel="1" x14ac:dyDescent="0.35">
      <c r="A60" s="162" t="s">
        <v>201</v>
      </c>
      <c r="B60" s="70"/>
      <c r="C60" s="70">
        <f>C59-B59-C62</f>
        <v>0</v>
      </c>
      <c r="D60" s="70">
        <f>D59-C59-D62</f>
        <v>0</v>
      </c>
      <c r="E60" s="70">
        <f>E59-D59-E62</f>
        <v>0</v>
      </c>
      <c r="F60" s="29">
        <f>SUM(B60:E60)</f>
        <v>0</v>
      </c>
      <c r="G60" s="70">
        <f>G59-F59-G62</f>
        <v>0</v>
      </c>
      <c r="H60" s="70">
        <f>H59-G59-H62</f>
        <v>0</v>
      </c>
      <c r="I60" s="70">
        <f>I59-H59-I62</f>
        <v>0</v>
      </c>
      <c r="J60" s="70">
        <f>J59-I59-J62</f>
        <v>0</v>
      </c>
      <c r="K60" s="29">
        <f>SUM(G60:J60)</f>
        <v>0</v>
      </c>
      <c r="L60" s="70">
        <f>L59-K59-L62</f>
        <v>0</v>
      </c>
      <c r="M60" s="70">
        <f>M59-L59-M62</f>
        <v>0</v>
      </c>
      <c r="N60" s="70">
        <f>N59-M59-N62</f>
        <v>0</v>
      </c>
      <c r="O60" s="70">
        <f>O59-N59-O62</f>
        <v>0</v>
      </c>
      <c r="P60" s="29">
        <f>SUM(L60:O60)</f>
        <v>0</v>
      </c>
      <c r="Q60" s="70">
        <f>Q59-P59-Q62</f>
        <v>0</v>
      </c>
      <c r="R60" s="70">
        <f>R59-Q59-R62</f>
        <v>0</v>
      </c>
      <c r="S60" s="70">
        <f>S59-R59-S62</f>
        <v>0</v>
      </c>
      <c r="T60" s="70">
        <f>T59-S59-T62</f>
        <v>0</v>
      </c>
      <c r="U60" s="29">
        <f>SUM(Q60:T60)</f>
        <v>0</v>
      </c>
      <c r="V60" s="70">
        <f>V59-U59-V62</f>
        <v>0</v>
      </c>
      <c r="W60" s="70">
        <f>W59-V59-W62</f>
        <v>0</v>
      </c>
      <c r="X60" s="70">
        <f>X59-W59-X62</f>
        <v>0</v>
      </c>
      <c r="Y60" s="70">
        <f>Y59-X59-Y62</f>
        <v>0</v>
      </c>
      <c r="Z60" s="29">
        <f>SUM(V60:Y60)</f>
        <v>0</v>
      </c>
      <c r="AA60" s="70">
        <f>AA59-Z59-AA62</f>
        <v>0</v>
      </c>
      <c r="AB60" s="70">
        <f>AB59-AA59-AB62</f>
        <v>0</v>
      </c>
      <c r="AC60" s="70">
        <f>AC59-AB59-AC62</f>
        <v>0</v>
      </c>
      <c r="AD60" s="70">
        <f>AD59-AC59-AD62</f>
        <v>0</v>
      </c>
      <c r="AE60" s="29">
        <f>SUM(AA60:AD60)</f>
        <v>0</v>
      </c>
      <c r="AF60" s="70">
        <f>AF59-AE59-AF62</f>
        <v>0</v>
      </c>
      <c r="AG60" s="70">
        <f>AG59-AF59-AG62</f>
        <v>0</v>
      </c>
      <c r="AH60" s="70">
        <f>AH59-AG59-AH62</f>
        <v>0</v>
      </c>
      <c r="AI60" s="70">
        <f>AI59-AH59-AI62</f>
        <v>0</v>
      </c>
      <c r="AJ60" s="29">
        <f>SUM(AF60:AI60)</f>
        <v>0</v>
      </c>
      <c r="AK60" s="70">
        <f>AK59-AJ59-AK62</f>
        <v>0</v>
      </c>
      <c r="AL60" s="70">
        <f>AL59-AK59-AL62</f>
        <v>0</v>
      </c>
      <c r="AM60" s="70">
        <f>AM59-AL59-AM62</f>
        <v>0</v>
      </c>
      <c r="AN60" s="70">
        <f>AN59-AM59-AN62</f>
        <v>0</v>
      </c>
      <c r="AO60" s="29">
        <f>SUM(AK60:AN60)</f>
        <v>0</v>
      </c>
      <c r="AP60" s="70">
        <f>AP59-AO59-AP62</f>
        <v>0</v>
      </c>
      <c r="AQ60" s="70">
        <f>AQ59-AP59-AQ62</f>
        <v>0</v>
      </c>
      <c r="AR60" s="70">
        <f>AR59-AQ59-AR62</f>
        <v>0</v>
      </c>
      <c r="AS60" s="70">
        <f>AS59-AR59-AS62</f>
        <v>0</v>
      </c>
      <c r="AT60" s="29">
        <f>SUM(AP60:AS60)</f>
        <v>0</v>
      </c>
      <c r="AU60" s="70">
        <f>AU59-AT59-AU62</f>
        <v>0</v>
      </c>
      <c r="AV60" s="70">
        <f>AV59-AU59-AV62</f>
        <v>0</v>
      </c>
      <c r="AW60" s="70">
        <f>AW59-AV59-AW62</f>
        <v>0</v>
      </c>
      <c r="AX60" s="70">
        <f>AX59-AW59-AX62</f>
        <v>0</v>
      </c>
      <c r="AY60" s="29">
        <f>SUM(AU60:AX60)</f>
        <v>0</v>
      </c>
      <c r="AZ60" s="70">
        <f>AZ59-AY59-AZ62</f>
        <v>0</v>
      </c>
      <c r="BA60" s="70">
        <f>BA59-AZ59-BA62</f>
        <v>0</v>
      </c>
      <c r="BB60" s="70">
        <f>BB59-BA59-BB62</f>
        <v>0</v>
      </c>
      <c r="BC60" s="70">
        <f>BC59-BB59-BC62</f>
        <v>0</v>
      </c>
      <c r="BD60" s="29">
        <f>SUM(AZ60:BC60)</f>
        <v>0</v>
      </c>
      <c r="BE60" s="70">
        <f>BE59-BD59-BE62</f>
        <v>0</v>
      </c>
      <c r="BF60" s="70">
        <f>BF59-BE59-BF62</f>
        <v>0</v>
      </c>
      <c r="BG60" s="70">
        <f>BG59-BF59-BG62</f>
        <v>0</v>
      </c>
      <c r="BH60" s="70">
        <f>BH59-BG59-BH62</f>
        <v>0</v>
      </c>
      <c r="BI60" s="29">
        <f>SUM(BE60:BH60)</f>
        <v>0</v>
      </c>
      <c r="BJ60" s="70">
        <f>BJ59-BI59-BJ62</f>
        <v>0</v>
      </c>
      <c r="BK60" s="70">
        <f>BK59-BJ59-BK62</f>
        <v>0</v>
      </c>
      <c r="BL60" s="70">
        <f>BL59-BK59-BL62</f>
        <v>0</v>
      </c>
      <c r="BM60" s="70">
        <f>BM59-BL59-BM62</f>
        <v>0</v>
      </c>
      <c r="BN60" s="29">
        <f>SUM(BJ60:BM60)</f>
        <v>0</v>
      </c>
      <c r="BO60" s="70">
        <f>BO59-BN59-BO62</f>
        <v>0</v>
      </c>
      <c r="BP60" s="70">
        <f>BP59-BO59-BP62</f>
        <v>0</v>
      </c>
      <c r="BQ60" s="70">
        <f>BQ59-BP59-BQ62</f>
        <v>0</v>
      </c>
      <c r="BR60" s="70">
        <f>BR59-BQ59-BR62</f>
        <v>0</v>
      </c>
      <c r="BS60" s="29">
        <f>SUM(BO60:BR60)</f>
        <v>0</v>
      </c>
      <c r="BT60" s="70">
        <f>BT59-BS59-BT62</f>
        <v>0</v>
      </c>
      <c r="BU60" s="70">
        <f>BU59-BT59-BU62</f>
        <v>0</v>
      </c>
      <c r="BV60" s="70">
        <f>BV59-BU59-BV62</f>
        <v>0</v>
      </c>
      <c r="BW60" s="70">
        <f>BW59-BV59-BW62</f>
        <v>0</v>
      </c>
      <c r="BX60" s="29">
        <f>SUM(BT60:BW60)</f>
        <v>0</v>
      </c>
      <c r="BY60" s="70">
        <f>BY59-BX59-BY62</f>
        <v>0</v>
      </c>
      <c r="BZ60" s="70">
        <f>BZ59-BY59-BZ62</f>
        <v>0</v>
      </c>
      <c r="CA60" s="70">
        <f>CA59-BZ59-CA62</f>
        <v>0</v>
      </c>
      <c r="CB60" s="70">
        <f>CB59-CA59-CB62</f>
        <v>0</v>
      </c>
      <c r="CC60" s="29">
        <f>SUM(BY60:CB60)</f>
        <v>0</v>
      </c>
      <c r="CD60" s="70">
        <f>CD59-CC59-CD62</f>
        <v>0</v>
      </c>
      <c r="CE60" s="70">
        <f>CE59-CD59-CE62</f>
        <v>0</v>
      </c>
      <c r="CF60" s="70">
        <f>IFERROR(((-CE59/CF61)/4),0)</f>
        <v>0</v>
      </c>
      <c r="CG60" s="70">
        <f>IFERROR(((-CF59/CG61)/4),0)</f>
        <v>0</v>
      </c>
      <c r="CH60" s="29">
        <f>SUM(CD60:CG60)</f>
        <v>0</v>
      </c>
      <c r="CI60" s="70">
        <f>IFERROR(((-CH59/CI61)/4),0)</f>
        <v>0</v>
      </c>
      <c r="CJ60" s="70">
        <f>IFERROR(((-CI59/CJ61)/4),0)</f>
        <v>0</v>
      </c>
      <c r="CK60" s="70">
        <f>IFERROR(((-CJ59/CK61)/4),0)</f>
        <v>0</v>
      </c>
      <c r="CL60" s="70">
        <f>IFERROR(((-CK59/CL61)/4),0)</f>
        <v>0</v>
      </c>
      <c r="CM60" s="29">
        <f>SUM(CI60:CL60)</f>
        <v>0</v>
      </c>
      <c r="CN60" s="70">
        <f>IFERROR(((-CM59/CN61)/4),0)</f>
        <v>0</v>
      </c>
      <c r="CO60" s="70">
        <f>IFERROR(((-CN59/CO61)/4),0)</f>
        <v>0</v>
      </c>
      <c r="CP60" s="70">
        <f>IFERROR(((-CO59/CP61)/4),0)</f>
        <v>0</v>
      </c>
      <c r="CQ60" s="70">
        <f>IFERROR(((-CP59/CQ61)/4),0)</f>
        <v>0</v>
      </c>
      <c r="CR60" s="29">
        <f>SUM(CN60:CQ60)</f>
        <v>0</v>
      </c>
      <c r="CS60" s="70">
        <f>IFERROR(((-CR59/CS61)/4),0)</f>
        <v>0</v>
      </c>
      <c r="CT60" s="70">
        <f>IFERROR(((-CS59/CT61)/4),0)</f>
        <v>0</v>
      </c>
      <c r="CU60" s="70">
        <f>IFERROR(((-CT59/CU61)/4),0)</f>
        <v>0</v>
      </c>
      <c r="CV60" s="70">
        <f>IFERROR(((-CU59/CV61)/4),0)</f>
        <v>0</v>
      </c>
      <c r="CW60" s="29">
        <f>SUM(CS60:CV60)</f>
        <v>0</v>
      </c>
      <c r="CX60" s="70">
        <f>IFERROR(((-CW59/CX61)/4),0)</f>
        <v>0</v>
      </c>
      <c r="CY60" s="70">
        <f>IFERROR(((-CX59/CY61)/4),0)</f>
        <v>0</v>
      </c>
      <c r="CZ60" s="70">
        <f>IFERROR(((-CY59/CZ61)/4),0)</f>
        <v>0</v>
      </c>
      <c r="DA60" s="70">
        <f>IFERROR(((-CZ59/DA61)/4),0)</f>
        <v>0</v>
      </c>
      <c r="DB60" s="29">
        <f>SUM(CX60:DA60)</f>
        <v>0</v>
      </c>
    </row>
    <row r="61" spans="1:106" ht="11.5" customHeight="1" outlineLevel="1" x14ac:dyDescent="0.35">
      <c r="A61" s="199" t="s">
        <v>199</v>
      </c>
      <c r="B61" s="197"/>
      <c r="C61" s="197">
        <f>IFERROR((B59/-C60)/4,0)</f>
        <v>0</v>
      </c>
      <c r="D61" s="197">
        <f>IFERROR((C59/-D60)/4,0)</f>
        <v>0</v>
      </c>
      <c r="E61" s="197">
        <f>IFERROR((D59/-E60)/4,0)</f>
        <v>0</v>
      </c>
      <c r="F61" s="198">
        <f>IFERROR(#REF!/-F60,0)</f>
        <v>0</v>
      </c>
      <c r="G61" s="197">
        <f>IFERROR((F59/-G60)/4,0)</f>
        <v>0</v>
      </c>
      <c r="H61" s="197">
        <f>IFERROR((G59/-H60)/4,0)</f>
        <v>0</v>
      </c>
      <c r="I61" s="197">
        <f>IFERROR((H59/-I60)/4,0)</f>
        <v>0</v>
      </c>
      <c r="J61" s="197">
        <f>IFERROR((I59/-J60)/4,0)</f>
        <v>0</v>
      </c>
      <c r="K61" s="198">
        <f>IFERROR(F59/-K60,0)</f>
        <v>0</v>
      </c>
      <c r="L61" s="197">
        <f>IFERROR((K59/-L60)/4,0)</f>
        <v>0</v>
      </c>
      <c r="M61" s="197">
        <f>IFERROR((L59/-M60)/4,0)</f>
        <v>0</v>
      </c>
      <c r="N61" s="197">
        <f>IFERROR((M59/-N60)/4,0)</f>
        <v>0</v>
      </c>
      <c r="O61" s="197">
        <f>IFERROR((N59/-O60)/4,0)</f>
        <v>0</v>
      </c>
      <c r="P61" s="198">
        <f>IFERROR(K59/-P60,0)</f>
        <v>0</v>
      </c>
      <c r="Q61" s="197">
        <f>IFERROR((P59/-Q60)/4,0)</f>
        <v>0</v>
      </c>
      <c r="R61" s="197">
        <f>IFERROR((Q59/-R60)/4,0)</f>
        <v>0</v>
      </c>
      <c r="S61" s="197">
        <f>IFERROR((R59/-S60)/4,0)</f>
        <v>0</v>
      </c>
      <c r="T61" s="197">
        <f>IFERROR((S59/-T60)/4,0)</f>
        <v>0</v>
      </c>
      <c r="U61" s="198">
        <f>IFERROR(P59/-U60,0)</f>
        <v>0</v>
      </c>
      <c r="V61" s="197">
        <f>IFERROR((U59/-V60)/4,0)</f>
        <v>0</v>
      </c>
      <c r="W61" s="197">
        <f>IFERROR((V59/-W60)/4,0)</f>
        <v>0</v>
      </c>
      <c r="X61" s="197">
        <f>IFERROR((W59/-X60)/4,0)</f>
        <v>0</v>
      </c>
      <c r="Y61" s="197">
        <f>IFERROR((X59/-Y60)/4,0)</f>
        <v>0</v>
      </c>
      <c r="Z61" s="198">
        <f>IFERROR(U59/-Z60,0)</f>
        <v>0</v>
      </c>
      <c r="AA61" s="197">
        <f>IFERROR((Z59/-AA60)/4,0)</f>
        <v>0</v>
      </c>
      <c r="AB61" s="197">
        <f>IFERROR((AA59/-AB60)/4,0)</f>
        <v>0</v>
      </c>
      <c r="AC61" s="197">
        <f>IFERROR((AB59/-AC60)/4,0)</f>
        <v>0</v>
      </c>
      <c r="AD61" s="197">
        <f>IFERROR((AC59/-AD60)/4,0)</f>
        <v>0</v>
      </c>
      <c r="AE61" s="198">
        <f>IFERROR(Z59/-AE60,0)</f>
        <v>0</v>
      </c>
      <c r="AF61" s="197">
        <f>IFERROR((AE59/-AF60)/4,0)</f>
        <v>0</v>
      </c>
      <c r="AG61" s="197">
        <f>IFERROR((AF59/-AG60)/4,0)</f>
        <v>0</v>
      </c>
      <c r="AH61" s="197">
        <f>IFERROR((AG59/-AH60)/4,0)</f>
        <v>0</v>
      </c>
      <c r="AI61" s="197">
        <f>IFERROR((AH59/-AI60)/4,0)</f>
        <v>0</v>
      </c>
      <c r="AJ61" s="198">
        <f>IFERROR(AE59/-AJ60,0)</f>
        <v>0</v>
      </c>
      <c r="AK61" s="197">
        <f>IFERROR((AJ59/-AK60)/4,0)</f>
        <v>0</v>
      </c>
      <c r="AL61" s="197">
        <f>IFERROR((AK59/-AL60)/4,0)</f>
        <v>0</v>
      </c>
      <c r="AM61" s="197">
        <f>IFERROR((AL59/-AM60)/4,0)</f>
        <v>0</v>
      </c>
      <c r="AN61" s="197">
        <f>IFERROR((AM59/-AN60)/4,0)</f>
        <v>0</v>
      </c>
      <c r="AO61" s="198">
        <f>IFERROR(AJ59/-AO60,0)</f>
        <v>0</v>
      </c>
      <c r="AP61" s="197">
        <f>IFERROR((AO59/-AP60)/4,0)</f>
        <v>0</v>
      </c>
      <c r="AQ61" s="197">
        <f>IFERROR((AP59/-AQ60)/4,0)</f>
        <v>0</v>
      </c>
      <c r="AR61" s="197">
        <f>IFERROR((AQ59/-AR60)/4,0)</f>
        <v>0</v>
      </c>
      <c r="AS61" s="197">
        <f>IFERROR((AR59/-AS60)/4,0)</f>
        <v>0</v>
      </c>
      <c r="AT61" s="198">
        <f>IFERROR(AO59/-AT60,0)</f>
        <v>0</v>
      </c>
      <c r="AU61" s="197">
        <f>IFERROR((AT59/-AU60)/4,0)</f>
        <v>0</v>
      </c>
      <c r="AV61" s="197">
        <f>IFERROR((AU59/-AV60)/4,0)</f>
        <v>0</v>
      </c>
      <c r="AW61" s="197">
        <f>IFERROR((AV59/-AW60)/4,0)</f>
        <v>0</v>
      </c>
      <c r="AX61" s="197">
        <f>IFERROR((AW59/-AX60)/4,0)</f>
        <v>0</v>
      </c>
      <c r="AY61" s="198">
        <f>IFERROR(AT59/-AY60,0)</f>
        <v>0</v>
      </c>
      <c r="AZ61" s="197">
        <f>IFERROR((AY59/-AZ60)/4,0)</f>
        <v>0</v>
      </c>
      <c r="BA61" s="197">
        <f>IFERROR((AZ59/-BA60)/4,0)</f>
        <v>0</v>
      </c>
      <c r="BB61" s="197">
        <f>IFERROR((BA59/-BB60)/4,0)</f>
        <v>0</v>
      </c>
      <c r="BC61" s="197">
        <f>IFERROR((BB59/-BC60)/4,0)</f>
        <v>0</v>
      </c>
      <c r="BD61" s="198">
        <f>IFERROR(AY59/-BD60,0)</f>
        <v>0</v>
      </c>
      <c r="BE61" s="197">
        <f>IFERROR((BD59/-BE60)/4,0)</f>
        <v>0</v>
      </c>
      <c r="BF61" s="197">
        <f>IFERROR((BE59/-BF60)/4,0)</f>
        <v>0</v>
      </c>
      <c r="BG61" s="197">
        <f>IFERROR((BF59/-BG60)/4,0)</f>
        <v>0</v>
      </c>
      <c r="BH61" s="197">
        <f>IFERROR((BG59/-BH60)/4,0)</f>
        <v>0</v>
      </c>
      <c r="BI61" s="198">
        <f>IFERROR(BD59/-BI60,0)</f>
        <v>0</v>
      </c>
      <c r="BJ61" s="197">
        <f>IFERROR((BI59/-BJ60)/4,0)</f>
        <v>0</v>
      </c>
      <c r="BK61" s="197">
        <f>IFERROR((BJ59/-BK60)/4,0)</f>
        <v>0</v>
      </c>
      <c r="BL61" s="197">
        <f>IFERROR((BK59/-BL60)/4,0)</f>
        <v>0</v>
      </c>
      <c r="BM61" s="197">
        <f>IFERROR((BL59/-BM60)/4,0)</f>
        <v>0</v>
      </c>
      <c r="BN61" s="198">
        <f>IFERROR(BI59/-BN60,0)</f>
        <v>0</v>
      </c>
      <c r="BO61" s="197">
        <f>IFERROR((BN59/-BO60)/4,0)</f>
        <v>0</v>
      </c>
      <c r="BP61" s="197">
        <f>IFERROR((BO59/-BP60)/4,0)</f>
        <v>0</v>
      </c>
      <c r="BQ61" s="197">
        <f>IFERROR((BP59/-BQ60)/4,0)</f>
        <v>0</v>
      </c>
      <c r="BR61" s="197">
        <f>IFERROR((BQ59/-BR60)/4,0)</f>
        <v>0</v>
      </c>
      <c r="BS61" s="198">
        <f>IFERROR(BN59/-BS60,0)</f>
        <v>0</v>
      </c>
      <c r="BT61" s="197">
        <f>IFERROR((BS59/-BT60)/4,0)</f>
        <v>0</v>
      </c>
      <c r="BU61" s="197">
        <f>IFERROR((BT59/-BU60)/4,0)</f>
        <v>0</v>
      </c>
      <c r="BV61" s="197">
        <f>IFERROR((BU59/-BV60)/4,0)</f>
        <v>0</v>
      </c>
      <c r="BW61" s="197">
        <f>IFERROR((BV59/-BW60)/4,0)</f>
        <v>0</v>
      </c>
      <c r="BX61" s="198">
        <f>IFERROR(BS59/-BX60,0)</f>
        <v>0</v>
      </c>
      <c r="BY61" s="197">
        <f>IFERROR((BX59/-BY60)/4,0)</f>
        <v>0</v>
      </c>
      <c r="BZ61" s="197">
        <f>IFERROR((BY59/-BZ60)/4,0)</f>
        <v>0</v>
      </c>
      <c r="CA61" s="197">
        <f>IFERROR((BZ59/-CA60)/4,0)</f>
        <v>0</v>
      </c>
      <c r="CB61" s="197">
        <f>IFERROR((CA59/-CB60)/4,0)</f>
        <v>0</v>
      </c>
      <c r="CC61" s="198">
        <f>IFERROR(BX59/-CC60,0)</f>
        <v>0</v>
      </c>
      <c r="CD61" s="197">
        <f>IFERROR((CC59/-CD60)/4,0)</f>
        <v>0</v>
      </c>
      <c r="CE61" s="197">
        <f>IFERROR((CD59/-CE60)/4,0)</f>
        <v>0</v>
      </c>
      <c r="CF61" s="197">
        <f>IF(CE61=0,0,((CE61-0.25)*CE59+CF63*CF62)/(CE59+CF62))</f>
        <v>0</v>
      </c>
      <c r="CG61" s="197">
        <f>IF(CF61=0,0,((CF61-0.25)*CF59+CG63*CG62)/(CF59+CG62))</f>
        <v>0</v>
      </c>
      <c r="CH61" s="198">
        <f>IFERROR(CC59/-CH60,0)</f>
        <v>0</v>
      </c>
      <c r="CI61" s="197">
        <f>IF(CG61=0,0,((CG61-0.25)*CH59+CI63*CI62)/(CH59+CI62))</f>
        <v>0</v>
      </c>
      <c r="CJ61" s="197">
        <f>IF(CI61=0,0,((CI61-0.25)*CI59+CJ63*CJ62)/(CI59+CJ62))</f>
        <v>0</v>
      </c>
      <c r="CK61" s="197">
        <f>IF(CJ61=0,0,((CJ61-0.25)*CJ59+CK63*CK62)/(CJ59+CK62))</f>
        <v>0</v>
      </c>
      <c r="CL61" s="197">
        <f>IF(CK61=0,0,((CK61-0.25)*CK59+CL63*CL62)/(CK59+CL62))</f>
        <v>0</v>
      </c>
      <c r="CM61" s="198">
        <f>IFERROR(CH59/-CM60,0)</f>
        <v>0</v>
      </c>
      <c r="CN61" s="197">
        <f>IF(CL61=0,0,((CL61-0.25)*CM59+CN63*CN62)/(CM59+CN62))</f>
        <v>0</v>
      </c>
      <c r="CO61" s="197">
        <f>IF(CN61=0,0,((CN61-0.25)*CN59+CO63*CO62)/(CN59+CO62))</f>
        <v>0</v>
      </c>
      <c r="CP61" s="197">
        <f>IF(CO61=0,0,((CO61-0.25)*CO59+CP63*CP62)/(CO59+CP62))</f>
        <v>0</v>
      </c>
      <c r="CQ61" s="197">
        <f>IF(CP61=0,0,((CP61-0.25)*CP59+CQ63*CQ62)/(CP59+CQ62))</f>
        <v>0</v>
      </c>
      <c r="CR61" s="198">
        <f>IFERROR(CM59/-CR60,0)</f>
        <v>0</v>
      </c>
      <c r="CS61" s="197">
        <f>IF(CQ61=0,0,((CQ61-0.25)*CR59+CS63*CS62)/(CR59+CS62))</f>
        <v>0</v>
      </c>
      <c r="CT61" s="197">
        <f>IF(CS61=0,0,((CS61-0.25)*CS59+CT63*CT62)/(CS59+CT62))</f>
        <v>0</v>
      </c>
      <c r="CU61" s="197">
        <f>IF(CT61=0,0,((CT61-0.25)*CT59+CU63*CU62)/(CT59+CU62))</f>
        <v>0</v>
      </c>
      <c r="CV61" s="197">
        <f>IF(CU61=0,0,((CU61-0.25)*CU59+CV63*CV62)/(CU59+CV62))</f>
        <v>0</v>
      </c>
      <c r="CW61" s="198">
        <f>IFERROR(CR59/-CW60,0)</f>
        <v>0</v>
      </c>
      <c r="CX61" s="197">
        <f>IF(CV61=0,0,((CV61-0.25)*CW59+CX63*CX62)/(CW59+CX62))</f>
        <v>0</v>
      </c>
      <c r="CY61" s="197">
        <f>IF(CX61=0,0,((CX61-0.25)*CX59+CY63*CY62)/(CX59+CY62))</f>
        <v>0</v>
      </c>
      <c r="CZ61" s="197">
        <f>IF(CY61=0,0,((CY61-0.25)*CY59+CZ63*CZ62)/(CY59+CZ62))</f>
        <v>0</v>
      </c>
      <c r="DA61" s="197">
        <f>IF(CZ61=0,0,((CZ61-0.25)*CZ59+DA63*DA62)/(CZ59+DA62))</f>
        <v>0</v>
      </c>
      <c r="DB61" s="198">
        <f>IFERROR(CW59/-DB60,0)</f>
        <v>0</v>
      </c>
    </row>
    <row r="62" spans="1:106" ht="11.5" customHeight="1" outlineLevel="1" x14ac:dyDescent="0.35">
      <c r="A62" s="162" t="s">
        <v>202</v>
      </c>
      <c r="B62" s="397">
        <v>0</v>
      </c>
      <c r="C62" s="397">
        <v>0</v>
      </c>
      <c r="D62" s="397">
        <v>0</v>
      </c>
      <c r="E62" s="397">
        <v>0</v>
      </c>
      <c r="F62" s="29">
        <f>SUM(B62:E62)</f>
        <v>0</v>
      </c>
      <c r="G62" s="397">
        <v>0</v>
      </c>
      <c r="H62" s="397">
        <v>0</v>
      </c>
      <c r="I62" s="397">
        <v>0</v>
      </c>
      <c r="J62" s="397">
        <v>0</v>
      </c>
      <c r="K62" s="29">
        <f>SUM(G62:J62)</f>
        <v>0</v>
      </c>
      <c r="L62" s="397">
        <v>0</v>
      </c>
      <c r="M62" s="397">
        <v>0</v>
      </c>
      <c r="N62" s="397">
        <v>0</v>
      </c>
      <c r="O62" s="397">
        <v>0</v>
      </c>
      <c r="P62" s="29">
        <f>SUM(L62:O62)</f>
        <v>0</v>
      </c>
      <c r="Q62" s="397">
        <v>0</v>
      </c>
      <c r="R62" s="397">
        <v>0</v>
      </c>
      <c r="S62" s="397">
        <v>0</v>
      </c>
      <c r="T62" s="397">
        <v>0</v>
      </c>
      <c r="U62" s="29">
        <f>SUM(Q62:T62)</f>
        <v>0</v>
      </c>
      <c r="V62" s="397">
        <v>0</v>
      </c>
      <c r="W62" s="397">
        <v>0</v>
      </c>
      <c r="X62" s="397">
        <v>0</v>
      </c>
      <c r="Y62" s="397">
        <v>0</v>
      </c>
      <c r="Z62" s="29">
        <f>SUM(V62:Y62)</f>
        <v>0</v>
      </c>
      <c r="AA62" s="397">
        <v>0</v>
      </c>
      <c r="AB62" s="397">
        <v>0</v>
      </c>
      <c r="AC62" s="397">
        <v>0</v>
      </c>
      <c r="AD62" s="397">
        <v>0</v>
      </c>
      <c r="AE62" s="29">
        <f>SUM(AA62:AD62)</f>
        <v>0</v>
      </c>
      <c r="AF62" s="397">
        <v>0</v>
      </c>
      <c r="AG62" s="397">
        <v>0</v>
      </c>
      <c r="AH62" s="397">
        <v>0</v>
      </c>
      <c r="AI62" s="397">
        <v>0</v>
      </c>
      <c r="AJ62" s="29">
        <f>SUM(AF62:AI62)</f>
        <v>0</v>
      </c>
      <c r="AK62" s="397">
        <v>0</v>
      </c>
      <c r="AL62" s="397">
        <v>0</v>
      </c>
      <c r="AM62" s="397">
        <v>0</v>
      </c>
      <c r="AN62" s="397">
        <v>0</v>
      </c>
      <c r="AO62" s="29">
        <f>SUM(AK62:AN62)</f>
        <v>0</v>
      </c>
      <c r="AP62" s="397">
        <v>0</v>
      </c>
      <c r="AQ62" s="397">
        <v>0</v>
      </c>
      <c r="AR62" s="397">
        <v>0</v>
      </c>
      <c r="AS62" s="397">
        <v>0</v>
      </c>
      <c r="AT62" s="29">
        <f>SUM(AP62:AS62)</f>
        <v>0</v>
      </c>
      <c r="AU62" s="397">
        <v>0</v>
      </c>
      <c r="AV62" s="397">
        <v>0</v>
      </c>
      <c r="AW62" s="397">
        <v>0</v>
      </c>
      <c r="AX62" s="397">
        <v>0</v>
      </c>
      <c r="AY62" s="29">
        <f>SUM(AU62:AX62)</f>
        <v>0</v>
      </c>
      <c r="AZ62" s="397">
        <v>0</v>
      </c>
      <c r="BA62" s="397">
        <v>0</v>
      </c>
      <c r="BB62" s="397">
        <v>0</v>
      </c>
      <c r="BC62" s="397">
        <v>0</v>
      </c>
      <c r="BD62" s="29">
        <f>SUM(AZ62:BC62)</f>
        <v>0</v>
      </c>
      <c r="BE62" s="397">
        <v>0</v>
      </c>
      <c r="BF62" s="397">
        <v>0</v>
      </c>
      <c r="BG62" s="397">
        <v>0</v>
      </c>
      <c r="BH62" s="397">
        <v>0</v>
      </c>
      <c r="BI62" s="29">
        <f>SUM(BE62:BH62)</f>
        <v>0</v>
      </c>
      <c r="BJ62" s="397">
        <v>0</v>
      </c>
      <c r="BK62" s="397">
        <v>0</v>
      </c>
      <c r="BL62" s="397">
        <v>0</v>
      </c>
      <c r="BM62" s="397">
        <v>0</v>
      </c>
      <c r="BN62" s="29">
        <f>SUM(BJ62:BM62)</f>
        <v>0</v>
      </c>
      <c r="BO62" s="397">
        <v>0</v>
      </c>
      <c r="BP62" s="397">
        <v>0</v>
      </c>
      <c r="BQ62" s="397">
        <v>0</v>
      </c>
      <c r="BR62" s="397">
        <v>0</v>
      </c>
      <c r="BS62" s="29">
        <f>SUM(BO62:BR62)</f>
        <v>0</v>
      </c>
      <c r="BT62" s="397">
        <v>0</v>
      </c>
      <c r="BU62" s="397">
        <v>0</v>
      </c>
      <c r="BV62" s="397">
        <v>0</v>
      </c>
      <c r="BW62" s="397">
        <v>0</v>
      </c>
      <c r="BX62" s="29">
        <f>SUM(BT62:BW62)</f>
        <v>0</v>
      </c>
      <c r="BY62" s="397">
        <v>0</v>
      </c>
      <c r="BZ62" s="397">
        <v>0</v>
      </c>
      <c r="CA62" s="397">
        <v>0</v>
      </c>
      <c r="CB62" s="397">
        <v>0</v>
      </c>
      <c r="CC62" s="29">
        <f>SUM(BY62:CB62)</f>
        <v>0</v>
      </c>
      <c r="CD62" s="397">
        <v>0</v>
      </c>
      <c r="CE62" s="397">
        <v>0</v>
      </c>
      <c r="CF62" s="70">
        <v>0</v>
      </c>
      <c r="CG62" s="70">
        <v>0</v>
      </c>
      <c r="CH62" s="29">
        <f>SUM(CD62:CG62)</f>
        <v>0</v>
      </c>
      <c r="CI62" s="70">
        <v>0</v>
      </c>
      <c r="CJ62" s="70">
        <v>0</v>
      </c>
      <c r="CK62" s="70">
        <v>0</v>
      </c>
      <c r="CL62" s="70">
        <v>0</v>
      </c>
      <c r="CM62" s="29">
        <f>SUM(CI62:CL62)</f>
        <v>0</v>
      </c>
      <c r="CN62" s="70">
        <v>0</v>
      </c>
      <c r="CO62" s="70">
        <v>0</v>
      </c>
      <c r="CP62" s="70">
        <v>0</v>
      </c>
      <c r="CQ62" s="70">
        <v>0</v>
      </c>
      <c r="CR62" s="29">
        <f>SUM(CN62:CQ62)</f>
        <v>0</v>
      </c>
      <c r="CS62" s="70">
        <v>0</v>
      </c>
      <c r="CT62" s="70">
        <v>0</v>
      </c>
      <c r="CU62" s="70">
        <v>0</v>
      </c>
      <c r="CV62" s="70">
        <v>0</v>
      </c>
      <c r="CW62" s="29">
        <f>SUM(CS62:CV62)</f>
        <v>0</v>
      </c>
      <c r="CX62" s="70">
        <v>0</v>
      </c>
      <c r="CY62" s="70">
        <v>0</v>
      </c>
      <c r="CZ62" s="70">
        <v>0</v>
      </c>
      <c r="DA62" s="70">
        <v>0</v>
      </c>
      <c r="DB62" s="29">
        <f>SUM(CX62:DA62)</f>
        <v>0</v>
      </c>
    </row>
    <row r="63" spans="1:106" ht="11.5" customHeight="1" outlineLevel="1" x14ac:dyDescent="0.35">
      <c r="A63" s="199" t="s">
        <v>200</v>
      </c>
      <c r="B63" s="197">
        <f>B61</f>
        <v>0</v>
      </c>
      <c r="C63" s="197">
        <f>C61</f>
        <v>0</v>
      </c>
      <c r="D63" s="197">
        <f>D61</f>
        <v>0</v>
      </c>
      <c r="E63" s="197">
        <f>E61</f>
        <v>0</v>
      </c>
      <c r="F63" s="198">
        <f>IFERROR((SUMPRODUCT(B62:E62,B63:E63)/SUM(B62:E62)),0)</f>
        <v>0</v>
      </c>
      <c r="G63" s="197">
        <f>G61</f>
        <v>0</v>
      </c>
      <c r="H63" s="197">
        <f>H61</f>
        <v>0</v>
      </c>
      <c r="I63" s="197">
        <f>I61</f>
        <v>0</v>
      </c>
      <c r="J63" s="197">
        <f>J61</f>
        <v>0</v>
      </c>
      <c r="K63" s="198">
        <f>IFERROR((SUMPRODUCT(G62:J62,G63:J63)/SUM(G62:J62)),0)</f>
        <v>0</v>
      </c>
      <c r="L63" s="197">
        <f>L61</f>
        <v>0</v>
      </c>
      <c r="M63" s="197">
        <f>M61</f>
        <v>0</v>
      </c>
      <c r="N63" s="197">
        <f>N61</f>
        <v>0</v>
      </c>
      <c r="O63" s="197">
        <f>O61</f>
        <v>0</v>
      </c>
      <c r="P63" s="198">
        <f>IFERROR((SUMPRODUCT(L62:O62,L63:O63)/SUM(L62:O62)),0)</f>
        <v>0</v>
      </c>
      <c r="Q63" s="197">
        <f>Q61</f>
        <v>0</v>
      </c>
      <c r="R63" s="197">
        <f>R61</f>
        <v>0</v>
      </c>
      <c r="S63" s="197">
        <f>S61</f>
        <v>0</v>
      </c>
      <c r="T63" s="197">
        <f>T61</f>
        <v>0</v>
      </c>
      <c r="U63" s="198">
        <f>IFERROR((SUMPRODUCT(Q62:T62,Q63:T63)/SUM(Q62:T62)),0)</f>
        <v>0</v>
      </c>
      <c r="V63" s="197">
        <f>V61</f>
        <v>0</v>
      </c>
      <c r="W63" s="197">
        <f>W61</f>
        <v>0</v>
      </c>
      <c r="X63" s="197">
        <f>X61</f>
        <v>0</v>
      </c>
      <c r="Y63" s="197">
        <f>Y61</f>
        <v>0</v>
      </c>
      <c r="Z63" s="198">
        <f>IFERROR((SUMPRODUCT(V62:Y62,V63:Y63)/SUM(V62:Y62)),0)</f>
        <v>0</v>
      </c>
      <c r="AA63" s="197">
        <f>AA61</f>
        <v>0</v>
      </c>
      <c r="AB63" s="197">
        <f>AB61</f>
        <v>0</v>
      </c>
      <c r="AC63" s="197">
        <f>AC61</f>
        <v>0</v>
      </c>
      <c r="AD63" s="197">
        <f>AD61</f>
        <v>0</v>
      </c>
      <c r="AE63" s="198">
        <f>IFERROR((SUMPRODUCT(AA62:AD62,AA63:AD63)/SUM(AA62:AD62)),0)</f>
        <v>0</v>
      </c>
      <c r="AF63" s="197">
        <f>AF61</f>
        <v>0</v>
      </c>
      <c r="AG63" s="197">
        <f>AG61</f>
        <v>0</v>
      </c>
      <c r="AH63" s="197">
        <f>AH61</f>
        <v>0</v>
      </c>
      <c r="AI63" s="197">
        <f>AI61</f>
        <v>0</v>
      </c>
      <c r="AJ63" s="198">
        <f>IFERROR((SUMPRODUCT(AF62:AI62,AF63:AI63)/SUM(AF62:AI62)),0)</f>
        <v>0</v>
      </c>
      <c r="AK63" s="197">
        <f>AK61</f>
        <v>0</v>
      </c>
      <c r="AL63" s="197">
        <f>AL61</f>
        <v>0</v>
      </c>
      <c r="AM63" s="197">
        <f>AM61</f>
        <v>0</v>
      </c>
      <c r="AN63" s="197">
        <f>AN61</f>
        <v>0</v>
      </c>
      <c r="AO63" s="198">
        <f>IFERROR((SUMPRODUCT(AK62:AN62,AK63:AN63)/SUM(AK62:AN62)),0)</f>
        <v>0</v>
      </c>
      <c r="AP63" s="197">
        <f>AP61</f>
        <v>0</v>
      </c>
      <c r="AQ63" s="197">
        <f>AQ61</f>
        <v>0</v>
      </c>
      <c r="AR63" s="197">
        <f>AR61</f>
        <v>0</v>
      </c>
      <c r="AS63" s="197">
        <f>AS61</f>
        <v>0</v>
      </c>
      <c r="AT63" s="198">
        <f>IFERROR((SUMPRODUCT(AP62:AS62,AP63:AS63)/SUM(AP62:AS62)),0)</f>
        <v>0</v>
      </c>
      <c r="AU63" s="197">
        <f>AU61</f>
        <v>0</v>
      </c>
      <c r="AV63" s="197">
        <f>AV61</f>
        <v>0</v>
      </c>
      <c r="AW63" s="197">
        <f>AW61</f>
        <v>0</v>
      </c>
      <c r="AX63" s="197">
        <f>AX61</f>
        <v>0</v>
      </c>
      <c r="AY63" s="198">
        <f>IFERROR((SUMPRODUCT(AU62:AX62,AU63:AX63)/SUM(AU62:AX62)),0)</f>
        <v>0</v>
      </c>
      <c r="AZ63" s="197">
        <f>AZ61</f>
        <v>0</v>
      </c>
      <c r="BA63" s="197">
        <f>BA61</f>
        <v>0</v>
      </c>
      <c r="BB63" s="197">
        <f>BB61</f>
        <v>0</v>
      </c>
      <c r="BC63" s="197">
        <f>BC61</f>
        <v>0</v>
      </c>
      <c r="BD63" s="198">
        <f>IFERROR((SUMPRODUCT(AZ62:BC62,AZ63:BC63)/SUM(AZ62:BC62)),0)</f>
        <v>0</v>
      </c>
      <c r="BE63" s="197">
        <f>BE61</f>
        <v>0</v>
      </c>
      <c r="BF63" s="197">
        <f>BF61</f>
        <v>0</v>
      </c>
      <c r="BG63" s="197">
        <f>BG61</f>
        <v>0</v>
      </c>
      <c r="BH63" s="197">
        <f>BH61</f>
        <v>0</v>
      </c>
      <c r="BI63" s="198">
        <f>IFERROR((SUMPRODUCT(BE62:BH62,BE63:BH63)/SUM(BE62:BH62)),0)</f>
        <v>0</v>
      </c>
      <c r="BJ63" s="197">
        <f>BJ61</f>
        <v>0</v>
      </c>
      <c r="BK63" s="197">
        <f>BK61</f>
        <v>0</v>
      </c>
      <c r="BL63" s="197">
        <f>BL61</f>
        <v>0</v>
      </c>
      <c r="BM63" s="197">
        <f>BM61</f>
        <v>0</v>
      </c>
      <c r="BN63" s="198">
        <f>IFERROR((SUMPRODUCT(BJ62:BM62,BJ63:BM63)/SUM(BJ62:BM62)),0)</f>
        <v>0</v>
      </c>
      <c r="BO63" s="197">
        <f>BO61</f>
        <v>0</v>
      </c>
      <c r="BP63" s="197">
        <f>BP61</f>
        <v>0</v>
      </c>
      <c r="BQ63" s="197">
        <f>BQ61</f>
        <v>0</v>
      </c>
      <c r="BR63" s="197">
        <f>BR61</f>
        <v>0</v>
      </c>
      <c r="BS63" s="198">
        <f>IFERROR((SUMPRODUCT(BO62:BR62,BO63:BR63)/SUM(BO62:BR62)),0)</f>
        <v>0</v>
      </c>
      <c r="BT63" s="197">
        <f>BT61</f>
        <v>0</v>
      </c>
      <c r="BU63" s="197">
        <f>BU61</f>
        <v>0</v>
      </c>
      <c r="BV63" s="197">
        <f>BV61</f>
        <v>0</v>
      </c>
      <c r="BW63" s="197">
        <f>BW61</f>
        <v>0</v>
      </c>
      <c r="BX63" s="198">
        <f>IFERROR((SUMPRODUCT(BT62:BW62,BT63:BW63)/SUM(BT62:BW62)),0)</f>
        <v>0</v>
      </c>
      <c r="BY63" s="197">
        <f>BY61</f>
        <v>0</v>
      </c>
      <c r="BZ63" s="197">
        <f>BZ61</f>
        <v>0</v>
      </c>
      <c r="CA63" s="197">
        <f>CA61</f>
        <v>0</v>
      </c>
      <c r="CB63" s="197">
        <f>CB61</f>
        <v>0</v>
      </c>
      <c r="CC63" s="198">
        <f>IFERROR((SUMPRODUCT(BY62:CB62,BY63:CB63)/SUM(BY62:CB62)),0)</f>
        <v>0</v>
      </c>
      <c r="CD63" s="197">
        <f>CD61</f>
        <v>0</v>
      </c>
      <c r="CE63" s="197">
        <f>CE61</f>
        <v>0</v>
      </c>
      <c r="CF63" s="197">
        <f>CE63</f>
        <v>0</v>
      </c>
      <c r="CG63" s="197">
        <f>CF63</f>
        <v>0</v>
      </c>
      <c r="CH63" s="198">
        <f>IFERROR((SUMPRODUCT(CD62:CG62,CD63:CG63)/SUM(CD62:CG62)),0)</f>
        <v>0</v>
      </c>
      <c r="CI63" s="197">
        <f>CG63</f>
        <v>0</v>
      </c>
      <c r="CJ63" s="197">
        <f>CI63</f>
        <v>0</v>
      </c>
      <c r="CK63" s="197">
        <f>CJ63</f>
        <v>0</v>
      </c>
      <c r="CL63" s="197">
        <f>CK63</f>
        <v>0</v>
      </c>
      <c r="CM63" s="198">
        <f>IFERROR((SUMPRODUCT(CI62:CL62,CI63:CL63)/SUM(CI62:CL62)),0)</f>
        <v>0</v>
      </c>
      <c r="CN63" s="197">
        <f>CL63</f>
        <v>0</v>
      </c>
      <c r="CO63" s="197">
        <f>CN63</f>
        <v>0</v>
      </c>
      <c r="CP63" s="197">
        <f>CO63</f>
        <v>0</v>
      </c>
      <c r="CQ63" s="197">
        <f>CP63</f>
        <v>0</v>
      </c>
      <c r="CR63" s="198">
        <f>IFERROR((SUMPRODUCT(CN62:CQ62,CN63:CQ63)/SUM(CN62:CQ62)),0)</f>
        <v>0</v>
      </c>
      <c r="CS63" s="197">
        <f>CQ63</f>
        <v>0</v>
      </c>
      <c r="CT63" s="197">
        <f>CS63</f>
        <v>0</v>
      </c>
      <c r="CU63" s="197">
        <f>CT63</f>
        <v>0</v>
      </c>
      <c r="CV63" s="197">
        <f>CU63</f>
        <v>0</v>
      </c>
      <c r="CW63" s="198">
        <f>IFERROR((SUMPRODUCT(CS62:CV62,CS63:CV63)/SUM(CS62:CV62)),0)</f>
        <v>0</v>
      </c>
      <c r="CX63" s="197">
        <f>CV63</f>
        <v>0</v>
      </c>
      <c r="CY63" s="197">
        <f>CX63</f>
        <v>0</v>
      </c>
      <c r="CZ63" s="197">
        <f>CY63</f>
        <v>0</v>
      </c>
      <c r="DA63" s="197">
        <f>CZ63</f>
        <v>0</v>
      </c>
      <c r="DB63" s="198">
        <f>IFERROR((SUMPRODUCT(CX62:DA62,CX63:DA63)/SUM(CX62:DA62)),0)</f>
        <v>0</v>
      </c>
    </row>
    <row r="64" spans="1:106" ht="11.5" customHeight="1" x14ac:dyDescent="0.35">
      <c r="A64" s="32" t="s">
        <v>135</v>
      </c>
      <c r="B64" s="86">
        <f t="shared" ref="B64:AG64" si="136">B57+B58+B59</f>
        <v>1448830</v>
      </c>
      <c r="C64" s="86">
        <f t="shared" si="136"/>
        <v>1919208</v>
      </c>
      <c r="D64" s="86">
        <f t="shared" si="136"/>
        <v>2123606</v>
      </c>
      <c r="E64" s="86">
        <f t="shared" si="136"/>
        <v>2408513</v>
      </c>
      <c r="F64" s="87">
        <f t="shared" si="136"/>
        <v>2408513</v>
      </c>
      <c r="G64" s="86">
        <f t="shared" si="136"/>
        <v>2589406</v>
      </c>
      <c r="H64" s="86">
        <f t="shared" si="136"/>
        <v>2759298</v>
      </c>
      <c r="I64" s="86">
        <f t="shared" si="136"/>
        <v>3004203</v>
      </c>
      <c r="J64" s="86">
        <f t="shared" si="136"/>
        <v>2940735</v>
      </c>
      <c r="K64" s="87">
        <f t="shared" si="136"/>
        <v>2940735</v>
      </c>
      <c r="L64" s="86">
        <f t="shared" si="136"/>
        <v>2968409</v>
      </c>
      <c r="M64" s="86">
        <f t="shared" si="136"/>
        <v>3019122</v>
      </c>
      <c r="N64" s="86">
        <f t="shared" si="136"/>
        <v>2876085</v>
      </c>
      <c r="O64" s="86">
        <f t="shared" si="136"/>
        <v>2622359</v>
      </c>
      <c r="P64" s="87">
        <f t="shared" si="136"/>
        <v>2622359</v>
      </c>
      <c r="Q64" s="86">
        <f t="shared" si="136"/>
        <v>2481144</v>
      </c>
      <c r="R64" s="86">
        <f t="shared" si="136"/>
        <v>2498691</v>
      </c>
      <c r="S64" s="86">
        <f t="shared" si="136"/>
        <v>2562374</v>
      </c>
      <c r="T64" s="86">
        <f t="shared" si="136"/>
        <v>2655649</v>
      </c>
      <c r="U64" s="87">
        <f t="shared" si="136"/>
        <v>2655649</v>
      </c>
      <c r="V64" s="86">
        <f t="shared" si="136"/>
        <v>2565120</v>
      </c>
      <c r="W64" s="86">
        <f t="shared" si="136"/>
        <v>2672743</v>
      </c>
      <c r="X64" s="86">
        <f t="shared" si="136"/>
        <v>2596315</v>
      </c>
      <c r="Y64" s="86">
        <f t="shared" si="136"/>
        <v>2269438</v>
      </c>
      <c r="Z64" s="87">
        <f t="shared" si="136"/>
        <v>2269438</v>
      </c>
      <c r="AA64" s="86">
        <f t="shared" si="136"/>
        <v>1931287</v>
      </c>
      <c r="AB64" s="86">
        <f t="shared" si="136"/>
        <v>1833599</v>
      </c>
      <c r="AC64" s="86">
        <f t="shared" si="136"/>
        <v>1628021</v>
      </c>
      <c r="AD64" s="86">
        <f t="shared" si="136"/>
        <v>1640838</v>
      </c>
      <c r="AE64" s="87">
        <f t="shared" si="136"/>
        <v>1640838</v>
      </c>
      <c r="AF64" s="86">
        <f t="shared" si="136"/>
        <v>1682228</v>
      </c>
      <c r="AG64" s="86">
        <f t="shared" si="136"/>
        <v>1763018</v>
      </c>
      <c r="AH64" s="86">
        <f t="shared" ref="AH64:BM64" si="137">AH57+AH58+AH59</f>
        <v>2010765</v>
      </c>
      <c r="AI64" s="86">
        <f t="shared" si="137"/>
        <v>1790185</v>
      </c>
      <c r="AJ64" s="87">
        <f t="shared" si="137"/>
        <v>1790185</v>
      </c>
      <c r="AK64" s="86">
        <f t="shared" si="137"/>
        <v>1652669</v>
      </c>
      <c r="AL64" s="86">
        <f t="shared" si="137"/>
        <v>1816718</v>
      </c>
      <c r="AM64" s="86">
        <f t="shared" si="137"/>
        <v>1524571</v>
      </c>
      <c r="AN64" s="86">
        <f t="shared" si="137"/>
        <v>1261461</v>
      </c>
      <c r="AO64" s="87">
        <f t="shared" si="137"/>
        <v>1261461</v>
      </c>
      <c r="AP64" s="86">
        <f t="shared" si="137"/>
        <v>1054625</v>
      </c>
      <c r="AQ64" s="86">
        <f t="shared" si="137"/>
        <v>866514</v>
      </c>
      <c r="AR64" s="86">
        <f t="shared" si="137"/>
        <v>799681</v>
      </c>
      <c r="AS64" s="86">
        <f t="shared" si="137"/>
        <v>852214</v>
      </c>
      <c r="AT64" s="87">
        <f t="shared" si="137"/>
        <v>852214</v>
      </c>
      <c r="AU64" s="86">
        <f t="shared" si="137"/>
        <v>733400</v>
      </c>
      <c r="AV64" s="86">
        <f t="shared" si="137"/>
        <v>540883</v>
      </c>
      <c r="AW64" s="86">
        <f t="shared" si="137"/>
        <v>737566</v>
      </c>
      <c r="AX64" s="86">
        <f t="shared" si="137"/>
        <v>951754</v>
      </c>
      <c r="AY64" s="87">
        <f t="shared" si="137"/>
        <v>951754</v>
      </c>
      <c r="AZ64" s="86">
        <f t="shared" si="137"/>
        <v>924557</v>
      </c>
      <c r="BA64" s="86">
        <f t="shared" si="137"/>
        <v>1008519</v>
      </c>
      <c r="BB64" s="86">
        <f t="shared" si="137"/>
        <v>125420</v>
      </c>
      <c r="BC64" s="86">
        <f t="shared" si="137"/>
        <v>391460</v>
      </c>
      <c r="BD64" s="87">
        <f t="shared" si="137"/>
        <v>391460</v>
      </c>
      <c r="BE64" s="86">
        <f t="shared" si="137"/>
        <v>378879</v>
      </c>
      <c r="BF64" s="86">
        <f t="shared" si="137"/>
        <v>654802</v>
      </c>
      <c r="BG64" s="86">
        <f t="shared" si="137"/>
        <v>481125</v>
      </c>
      <c r="BH64" s="86">
        <f t="shared" si="137"/>
        <v>445495</v>
      </c>
      <c r="BI64" s="87">
        <f t="shared" si="137"/>
        <v>445495</v>
      </c>
      <c r="BJ64" s="86">
        <f t="shared" si="137"/>
        <v>530155</v>
      </c>
      <c r="BK64" s="86">
        <f t="shared" si="137"/>
        <v>578128</v>
      </c>
      <c r="BL64" s="86">
        <f t="shared" si="137"/>
        <v>565275</v>
      </c>
      <c r="BM64" s="86">
        <f t="shared" si="137"/>
        <v>468163</v>
      </c>
      <c r="BN64" s="87">
        <f t="shared" ref="BN64:CS64" si="138">BN57+BN58+BN59</f>
        <v>468163</v>
      </c>
      <c r="BO64" s="86">
        <f t="shared" si="138"/>
        <v>477141</v>
      </c>
      <c r="BP64" s="86">
        <f t="shared" si="138"/>
        <v>397104</v>
      </c>
      <c r="BQ64" s="86">
        <f t="shared" si="138"/>
        <v>500486</v>
      </c>
      <c r="BR64" s="86">
        <f t="shared" si="138"/>
        <v>610879</v>
      </c>
      <c r="BS64" s="87">
        <f t="shared" si="138"/>
        <v>610879</v>
      </c>
      <c r="BT64" s="86">
        <f t="shared" si="138"/>
        <v>536423</v>
      </c>
      <c r="BU64" s="86">
        <f t="shared" si="138"/>
        <v>516856</v>
      </c>
      <c r="BV64" s="86">
        <f t="shared" si="138"/>
        <v>442400</v>
      </c>
      <c r="BW64" s="86">
        <f t="shared" si="138"/>
        <v>794680</v>
      </c>
      <c r="BX64" s="87">
        <f t="shared" si="138"/>
        <v>794680</v>
      </c>
      <c r="BY64" s="86">
        <f>BY57+BY58+BY59</f>
        <v>692689</v>
      </c>
      <c r="BZ64" s="86">
        <f>BZ57+BZ58+BZ59</f>
        <v>1030502</v>
      </c>
      <c r="CA64" s="86">
        <f>CA57+CA58+CA59</f>
        <v>652931</v>
      </c>
      <c r="CB64" s="86">
        <f t="shared" ref="CB64" si="139">CB57+CB58+CB59</f>
        <v>1838365</v>
      </c>
      <c r="CC64" s="87">
        <f t="shared" si="138"/>
        <v>1838365</v>
      </c>
      <c r="CD64" s="86">
        <f>CD57+CD58+CD59</f>
        <v>1714053</v>
      </c>
      <c r="CE64" s="86">
        <f>CE57+CE58+CE59</f>
        <v>1342574</v>
      </c>
      <c r="CF64" s="86">
        <f t="shared" ca="1" si="138"/>
        <v>1180998.5445335051</v>
      </c>
      <c r="CG64" s="86">
        <f t="shared" ca="1" si="138"/>
        <v>952850.66727721132</v>
      </c>
      <c r="CH64" s="87">
        <f t="shared" ca="1" si="138"/>
        <v>952850.66727721132</v>
      </c>
      <c r="CI64" s="86">
        <f t="shared" ca="1" si="138"/>
        <v>939558.85941323452</v>
      </c>
      <c r="CJ64" s="86">
        <f t="shared" ca="1" si="138"/>
        <v>1462374.4682624014</v>
      </c>
      <c r="CK64" s="86">
        <f t="shared" ca="1" si="138"/>
        <v>1060655.621689802</v>
      </c>
      <c r="CL64" s="86">
        <f t="shared" ca="1" si="138"/>
        <v>540919.7994543314</v>
      </c>
      <c r="CM64" s="87">
        <f t="shared" ca="1" si="138"/>
        <v>540919.7994543314</v>
      </c>
      <c r="CN64" s="86">
        <f t="shared" ca="1" si="138"/>
        <v>284719.34236196615</v>
      </c>
      <c r="CO64" s="86">
        <f t="shared" ca="1" si="138"/>
        <v>1808820.4068142222</v>
      </c>
      <c r="CP64" s="86">
        <f t="shared" ca="1" si="138"/>
        <v>1466647.9342159051</v>
      </c>
      <c r="CQ64" s="86">
        <f t="shared" ca="1" si="138"/>
        <v>883819.31035240926</v>
      </c>
      <c r="CR64" s="87">
        <f t="shared" ca="1" si="138"/>
        <v>883819.31035240926</v>
      </c>
      <c r="CS64" s="86">
        <f t="shared" ca="1" si="138"/>
        <v>362323.3533250913</v>
      </c>
      <c r="CT64" s="86">
        <f t="shared" ref="CT64:DB64" ca="1" si="140">CT57+CT58+CT59</f>
        <v>1927687.7735086707</v>
      </c>
      <c r="CU64" s="86">
        <f t="shared" ca="1" si="140"/>
        <v>1386783.3856903873</v>
      </c>
      <c r="CV64" s="86">
        <f t="shared" ca="1" si="140"/>
        <v>788900.45900237933</v>
      </c>
      <c r="CW64" s="87">
        <f t="shared" ca="1" si="140"/>
        <v>788900.45900237933</v>
      </c>
      <c r="CX64" s="86">
        <f t="shared" ca="1" si="140"/>
        <v>368197.73870375194</v>
      </c>
      <c r="CY64" s="86">
        <f t="shared" ca="1" si="140"/>
        <v>1964449.9051472507</v>
      </c>
      <c r="CZ64" s="86">
        <f t="shared" ca="1" si="140"/>
        <v>1231400.6087635849</v>
      </c>
      <c r="DA64" s="86">
        <f t="shared" ca="1" si="140"/>
        <v>350288.04987842403</v>
      </c>
      <c r="DB64" s="87">
        <f t="shared" ca="1" si="140"/>
        <v>350288.04987842403</v>
      </c>
    </row>
    <row r="65" spans="1:106" ht="11.5" customHeight="1" collapsed="1" x14ac:dyDescent="0.35">
      <c r="A65" s="19" t="s">
        <v>137</v>
      </c>
      <c r="B65" s="70">
        <f t="shared" ref="B65:AG65" si="141">B43+B42</f>
        <v>4294319</v>
      </c>
      <c r="C65" s="70">
        <f t="shared" si="141"/>
        <v>4477558</v>
      </c>
      <c r="D65" s="70">
        <f t="shared" si="141"/>
        <v>4701328</v>
      </c>
      <c r="E65" s="70">
        <f t="shared" si="141"/>
        <v>4681937</v>
      </c>
      <c r="F65" s="29">
        <f t="shared" si="141"/>
        <v>4681937</v>
      </c>
      <c r="G65" s="70">
        <f t="shared" si="141"/>
        <v>4773810</v>
      </c>
      <c r="H65" s="70">
        <f t="shared" si="141"/>
        <v>4844971</v>
      </c>
      <c r="I65" s="70">
        <f t="shared" si="141"/>
        <v>4860349</v>
      </c>
      <c r="J65" s="70">
        <f t="shared" si="141"/>
        <v>4922766</v>
      </c>
      <c r="K65" s="29">
        <f t="shared" si="141"/>
        <v>4922766</v>
      </c>
      <c r="L65" s="70">
        <f t="shared" si="141"/>
        <v>5024246</v>
      </c>
      <c r="M65" s="70">
        <f t="shared" si="141"/>
        <v>5170256</v>
      </c>
      <c r="N65" s="70">
        <f t="shared" si="141"/>
        <v>5358811</v>
      </c>
      <c r="O65" s="70">
        <f t="shared" si="141"/>
        <v>5628762</v>
      </c>
      <c r="P65" s="29">
        <f t="shared" si="141"/>
        <v>5628762</v>
      </c>
      <c r="Q65" s="70">
        <f t="shared" si="141"/>
        <v>6196763</v>
      </c>
      <c r="R65" s="70">
        <f t="shared" si="141"/>
        <v>6113156</v>
      </c>
      <c r="S65" s="70">
        <f t="shared" si="141"/>
        <v>6322304</v>
      </c>
      <c r="T65" s="70">
        <f t="shared" si="141"/>
        <v>6194048</v>
      </c>
      <c r="U65" s="29">
        <f t="shared" si="141"/>
        <v>6194048</v>
      </c>
      <c r="V65" s="70">
        <f t="shared" si="141"/>
        <v>6212157</v>
      </c>
      <c r="W65" s="70">
        <f t="shared" si="141"/>
        <v>6320321</v>
      </c>
      <c r="X65" s="70">
        <f t="shared" si="141"/>
        <v>6444049</v>
      </c>
      <c r="Y65" s="70">
        <f t="shared" si="141"/>
        <v>6367845</v>
      </c>
      <c r="Z65" s="29">
        <f t="shared" si="141"/>
        <v>6367845</v>
      </c>
      <c r="AA65" s="70">
        <f t="shared" si="141"/>
        <v>6416604</v>
      </c>
      <c r="AB65" s="70">
        <f t="shared" si="141"/>
        <v>6416305</v>
      </c>
      <c r="AC65" s="70">
        <f t="shared" si="141"/>
        <v>6802767</v>
      </c>
      <c r="AD65" s="70">
        <f t="shared" si="141"/>
        <v>6678887</v>
      </c>
      <c r="AE65" s="29">
        <f t="shared" si="141"/>
        <v>6678887</v>
      </c>
      <c r="AF65" s="70">
        <f t="shared" si="141"/>
        <v>6733083</v>
      </c>
      <c r="AG65" s="70">
        <f t="shared" si="141"/>
        <v>6759697</v>
      </c>
      <c r="AH65" s="70">
        <f t="shared" ref="AH65:BM65" si="142">AH43+AH42</f>
        <v>6756531</v>
      </c>
      <c r="AI65" s="70">
        <f t="shared" si="142"/>
        <v>6766742</v>
      </c>
      <c r="AJ65" s="29">
        <f t="shared" si="142"/>
        <v>6766742</v>
      </c>
      <c r="AK65" s="70">
        <f t="shared" si="142"/>
        <v>6779635</v>
      </c>
      <c r="AL65" s="70">
        <f t="shared" si="142"/>
        <v>6314901</v>
      </c>
      <c r="AM65" s="70">
        <f t="shared" si="142"/>
        <v>6319779</v>
      </c>
      <c r="AN65" s="70">
        <f t="shared" si="142"/>
        <v>6365498</v>
      </c>
      <c r="AO65" s="29">
        <f t="shared" si="142"/>
        <v>6365498</v>
      </c>
      <c r="AP65" s="70">
        <f t="shared" si="142"/>
        <v>6035143</v>
      </c>
      <c r="AQ65" s="70">
        <f t="shared" si="142"/>
        <v>5781601</v>
      </c>
      <c r="AR65" s="70">
        <f t="shared" si="142"/>
        <v>5648645</v>
      </c>
      <c r="AS65" s="70">
        <f t="shared" si="142"/>
        <v>5537811</v>
      </c>
      <c r="AT65" s="29">
        <f t="shared" si="142"/>
        <v>5537811</v>
      </c>
      <c r="AU65" s="70">
        <f t="shared" si="142"/>
        <v>5567989</v>
      </c>
      <c r="AV65" s="70">
        <f t="shared" si="142"/>
        <v>5518350</v>
      </c>
      <c r="AW65" s="70">
        <f t="shared" si="142"/>
        <v>5480540</v>
      </c>
      <c r="AX65" s="70">
        <f t="shared" si="142"/>
        <v>5175443</v>
      </c>
      <c r="AY65" s="29">
        <f t="shared" si="142"/>
        <v>5175443</v>
      </c>
      <c r="AZ65" s="70">
        <f t="shared" si="142"/>
        <v>5210700</v>
      </c>
      <c r="BA65" s="70">
        <f t="shared" si="142"/>
        <v>5301776</v>
      </c>
      <c r="BB65" s="70">
        <f t="shared" si="142"/>
        <v>6546657</v>
      </c>
      <c r="BC65" s="70">
        <f t="shared" si="142"/>
        <v>5796628</v>
      </c>
      <c r="BD65" s="29">
        <f t="shared" si="142"/>
        <v>5796628</v>
      </c>
      <c r="BE65" s="70">
        <f t="shared" si="142"/>
        <v>6001048</v>
      </c>
      <c r="BF65" s="70">
        <f t="shared" si="142"/>
        <v>6293038</v>
      </c>
      <c r="BG65" s="70">
        <f t="shared" si="142"/>
        <v>6604535</v>
      </c>
      <c r="BH65" s="70">
        <f t="shared" si="142"/>
        <v>6801924</v>
      </c>
      <c r="BI65" s="29">
        <f t="shared" si="142"/>
        <v>6801924</v>
      </c>
      <c r="BJ65" s="70">
        <f t="shared" si="142"/>
        <v>6985511</v>
      </c>
      <c r="BK65" s="70">
        <f t="shared" si="142"/>
        <v>7074487</v>
      </c>
      <c r="BL65" s="70">
        <f t="shared" si="142"/>
        <v>6765178</v>
      </c>
      <c r="BM65" s="70">
        <f t="shared" si="142"/>
        <v>7699331</v>
      </c>
      <c r="BN65" s="29">
        <f t="shared" ref="BN65:CS65" si="143">BN43+BN42</f>
        <v>7699331</v>
      </c>
      <c r="BO65" s="70">
        <f t="shared" si="143"/>
        <v>7870905</v>
      </c>
      <c r="BP65" s="70">
        <f t="shared" si="143"/>
        <v>8243705</v>
      </c>
      <c r="BQ65" s="70">
        <f t="shared" si="143"/>
        <v>8539944</v>
      </c>
      <c r="BR65" s="70">
        <f t="shared" si="143"/>
        <v>8499826</v>
      </c>
      <c r="BS65" s="29">
        <f t="shared" si="143"/>
        <v>8499826</v>
      </c>
      <c r="BT65" s="70">
        <f t="shared" si="143"/>
        <v>8539883</v>
      </c>
      <c r="BU65" s="70">
        <f t="shared" si="143"/>
        <v>9233879</v>
      </c>
      <c r="BV65" s="70">
        <f t="shared" si="143"/>
        <v>9851466</v>
      </c>
      <c r="BW65" s="70">
        <f t="shared" si="143"/>
        <v>9949274</v>
      </c>
      <c r="BX65" s="29">
        <f t="shared" si="143"/>
        <v>9949274</v>
      </c>
      <c r="BY65" s="70">
        <f t="shared" si="143"/>
        <v>10089854</v>
      </c>
      <c r="BZ65" s="70">
        <f>BZ43+BZ42</f>
        <v>10874868</v>
      </c>
      <c r="CA65" s="70">
        <f>CA43+CA42</f>
        <v>11488949</v>
      </c>
      <c r="CB65" s="70">
        <f t="shared" ref="CB65" si="144">CB43+CB42</f>
        <v>11466784</v>
      </c>
      <c r="CC65" s="29">
        <f t="shared" si="143"/>
        <v>11466784</v>
      </c>
      <c r="CD65" s="70">
        <f t="shared" ref="CD65" si="145">CD43+CD42</f>
        <v>11927999</v>
      </c>
      <c r="CE65" s="70">
        <f>CE43+CE42</f>
        <v>12451506</v>
      </c>
      <c r="CF65" s="70">
        <f t="shared" ca="1" si="143"/>
        <v>13013017.870649748</v>
      </c>
      <c r="CG65" s="70">
        <f t="shared" ca="1" si="143"/>
        <v>13655788.938567599</v>
      </c>
      <c r="CH65" s="29">
        <f t="shared" ca="1" si="143"/>
        <v>13655788.938567599</v>
      </c>
      <c r="CI65" s="70">
        <f t="shared" ca="1" si="143"/>
        <v>13361401.761586161</v>
      </c>
      <c r="CJ65" s="70">
        <f t="shared" ca="1" si="143"/>
        <v>13923596.248282295</v>
      </c>
      <c r="CK65" s="70">
        <f t="shared" ca="1" si="143"/>
        <v>14508621.17707821</v>
      </c>
      <c r="CL65" s="70">
        <f t="shared" ca="1" si="143"/>
        <v>15160429.734393526</v>
      </c>
      <c r="CM65" s="29">
        <f t="shared" ca="1" si="143"/>
        <v>15160429.734393526</v>
      </c>
      <c r="CN65" s="70">
        <f t="shared" ca="1" si="143"/>
        <v>13994259.311933752</v>
      </c>
      <c r="CO65" s="70">
        <f t="shared" ca="1" si="143"/>
        <v>14636959.459157072</v>
      </c>
      <c r="CP65" s="70">
        <f t="shared" ca="1" si="143"/>
        <v>15281768.192866055</v>
      </c>
      <c r="CQ65" s="70">
        <f t="shared" ca="1" si="143"/>
        <v>15980820.935347743</v>
      </c>
      <c r="CR65" s="29">
        <f t="shared" ca="1" si="143"/>
        <v>15980820.935347743</v>
      </c>
      <c r="CS65" s="70">
        <f t="shared" ca="1" si="143"/>
        <v>14642086.757287752</v>
      </c>
      <c r="CT65" s="70">
        <f t="shared" ref="CT65:DB65" ca="1" si="146">CT43+CT42</f>
        <v>15324726.527211962</v>
      </c>
      <c r="CU65" s="70">
        <f t="shared" ca="1" si="146"/>
        <v>16009691.475282351</v>
      </c>
      <c r="CV65" s="70">
        <f t="shared" ca="1" si="146"/>
        <v>16760521.379558466</v>
      </c>
      <c r="CW65" s="29">
        <f t="shared" ca="1" si="146"/>
        <v>16760521.379558466</v>
      </c>
      <c r="CX65" s="70">
        <f t="shared" ca="1" si="146"/>
        <v>15353067.418872591</v>
      </c>
      <c r="CY65" s="70">
        <f t="shared" ca="1" si="146"/>
        <v>16090616.851843353</v>
      </c>
      <c r="CZ65" s="70">
        <f t="shared" ca="1" si="146"/>
        <v>16819852.343905158</v>
      </c>
      <c r="DA65" s="70">
        <f t="shared" ca="1" si="146"/>
        <v>17604315.368265461</v>
      </c>
      <c r="DB65" s="29">
        <f t="shared" ca="1" si="146"/>
        <v>17604315.368265461</v>
      </c>
    </row>
    <row r="66" spans="1:106" ht="11.5" customHeight="1" x14ac:dyDescent="0.35">
      <c r="A66" s="174" t="s">
        <v>23</v>
      </c>
      <c r="B66" s="175">
        <f t="shared" ref="B66:AG66" si="147">B57/B65</f>
        <v>0.2996111839851674</v>
      </c>
      <c r="C66" s="175">
        <f t="shared" si="147"/>
        <v>0.39439556115186003</v>
      </c>
      <c r="D66" s="175">
        <f t="shared" si="147"/>
        <v>0.42411718561223555</v>
      </c>
      <c r="E66" s="175">
        <f t="shared" si="147"/>
        <v>0.48656506911562458</v>
      </c>
      <c r="F66" s="176">
        <f t="shared" si="147"/>
        <v>0.48656506911562458</v>
      </c>
      <c r="G66" s="175">
        <f t="shared" si="147"/>
        <v>0.50856318119070509</v>
      </c>
      <c r="H66" s="175">
        <f t="shared" si="147"/>
        <v>0.5403303755584915</v>
      </c>
      <c r="I66" s="175">
        <f t="shared" si="147"/>
        <v>0.58454073976992182</v>
      </c>
      <c r="J66" s="175">
        <f t="shared" si="147"/>
        <v>0.56095353709682727</v>
      </c>
      <c r="K66" s="176">
        <f t="shared" si="147"/>
        <v>0.56095353709682727</v>
      </c>
      <c r="L66" s="175">
        <f t="shared" si="147"/>
        <v>0.55209995688905356</v>
      </c>
      <c r="M66" s="175">
        <f t="shared" si="147"/>
        <v>0.54767114046190368</v>
      </c>
      <c r="N66" s="175">
        <f t="shared" si="147"/>
        <v>0.50836482197263533</v>
      </c>
      <c r="O66" s="175">
        <f t="shared" si="147"/>
        <v>0.42098315757532473</v>
      </c>
      <c r="P66" s="176">
        <f t="shared" si="147"/>
        <v>0.42098315757532473</v>
      </c>
      <c r="Q66" s="175">
        <f t="shared" si="147"/>
        <v>0.34828683943536326</v>
      </c>
      <c r="R66" s="175">
        <f t="shared" si="147"/>
        <v>0.36903425988147531</v>
      </c>
      <c r="S66" s="175">
        <f t="shared" si="147"/>
        <v>0.36284762643491991</v>
      </c>
      <c r="T66" s="175">
        <f t="shared" si="147"/>
        <v>0.4014059949164101</v>
      </c>
      <c r="U66" s="176">
        <f t="shared" si="147"/>
        <v>0.4014059949164101</v>
      </c>
      <c r="V66" s="175">
        <f t="shared" si="147"/>
        <v>0.38645224195074274</v>
      </c>
      <c r="W66" s="175">
        <f t="shared" si="147"/>
        <v>0.39902372047242535</v>
      </c>
      <c r="X66" s="175">
        <f t="shared" si="147"/>
        <v>0.3780588881307389</v>
      </c>
      <c r="Y66" s="175">
        <f t="shared" si="147"/>
        <v>0.33307280563518743</v>
      </c>
      <c r="Z66" s="176">
        <f t="shared" si="147"/>
        <v>0.33307280563518743</v>
      </c>
      <c r="AA66" s="175">
        <f t="shared" si="147"/>
        <v>0.27711527780115464</v>
      </c>
      <c r="AB66" s="175">
        <f t="shared" si="147"/>
        <v>0.2667173708232386</v>
      </c>
      <c r="AC66" s="175">
        <f t="shared" si="147"/>
        <v>0.22146826431068417</v>
      </c>
      <c r="AD66" s="175">
        <f t="shared" si="147"/>
        <v>0.22579001561188264</v>
      </c>
      <c r="AE66" s="176">
        <f t="shared" si="147"/>
        <v>0.22579001561188264</v>
      </c>
      <c r="AF66" s="175">
        <f t="shared" si="147"/>
        <v>0.22760672933929374</v>
      </c>
      <c r="AG66" s="175">
        <f t="shared" si="147"/>
        <v>0.2450484097142224</v>
      </c>
      <c r="AH66" s="175">
        <f t="shared" ref="AH66:BM66" si="148">AH57/AH65</f>
        <v>0.27977937198837688</v>
      </c>
      <c r="AI66" s="175">
        <f t="shared" si="148"/>
        <v>0.25497839285138996</v>
      </c>
      <c r="AJ66" s="176">
        <f t="shared" si="148"/>
        <v>0.25497839285138996</v>
      </c>
      <c r="AK66" s="175">
        <f t="shared" si="148"/>
        <v>0.2343810544372964</v>
      </c>
      <c r="AL66" s="175">
        <f t="shared" si="148"/>
        <v>0.27637202863512822</v>
      </c>
      <c r="AM66" s="175">
        <f t="shared" si="148"/>
        <v>0.23245717927794626</v>
      </c>
      <c r="AN66" s="175">
        <f t="shared" si="148"/>
        <v>0.19028817541062773</v>
      </c>
      <c r="AO66" s="176">
        <f t="shared" si="148"/>
        <v>0.19028817541062773</v>
      </c>
      <c r="AP66" s="175">
        <f t="shared" si="148"/>
        <v>0.17057242885545545</v>
      </c>
      <c r="AQ66" s="175">
        <f t="shared" si="148"/>
        <v>0.14489706224971249</v>
      </c>
      <c r="AR66" s="175">
        <f t="shared" si="148"/>
        <v>0.13260826268954767</v>
      </c>
      <c r="AS66" s="175">
        <f t="shared" si="148"/>
        <v>0.14858398020445263</v>
      </c>
      <c r="AT66" s="176">
        <f t="shared" si="148"/>
        <v>0.14858398020445263</v>
      </c>
      <c r="AU66" s="175">
        <f t="shared" si="148"/>
        <v>0.12029226350842288</v>
      </c>
      <c r="AV66" s="175">
        <f t="shared" si="148"/>
        <v>8.3995759602054965E-2</v>
      </c>
      <c r="AW66" s="175">
        <f t="shared" si="148"/>
        <v>0.12319570699237667</v>
      </c>
      <c r="AX66" s="175">
        <f t="shared" si="148"/>
        <v>0.16251884138227393</v>
      </c>
      <c r="AY66" s="176">
        <f t="shared" si="148"/>
        <v>0.16251884138227393</v>
      </c>
      <c r="AZ66" s="175">
        <f t="shared" si="148"/>
        <v>0.16148099103767249</v>
      </c>
      <c r="BA66" s="175">
        <f t="shared" si="148"/>
        <v>0.17288772667875821</v>
      </c>
      <c r="BB66" s="175">
        <f t="shared" si="148"/>
        <v>5.8614648667251086E-3</v>
      </c>
      <c r="BC66" s="175">
        <f t="shared" si="148"/>
        <v>5.2041980268528527E-2</v>
      </c>
      <c r="BD66" s="176">
        <f t="shared" si="148"/>
        <v>5.2041980268528527E-2</v>
      </c>
      <c r="BE66" s="175">
        <f t="shared" si="148"/>
        <v>4.1716713480712035E-2</v>
      </c>
      <c r="BF66" s="175">
        <f t="shared" si="148"/>
        <v>9.0372885083484317E-2</v>
      </c>
      <c r="BG66" s="175">
        <f t="shared" si="148"/>
        <v>6.1845989157450147E-2</v>
      </c>
      <c r="BH66" s="175">
        <f t="shared" si="148"/>
        <v>4.9286643014535302E-2</v>
      </c>
      <c r="BI66" s="176">
        <f t="shared" si="148"/>
        <v>4.9286643014535302E-2</v>
      </c>
      <c r="BJ66" s="175">
        <f t="shared" si="148"/>
        <v>6.2543456019180266E-2</v>
      </c>
      <c r="BK66" s="175">
        <f t="shared" si="148"/>
        <v>6.6068960194569579E-2</v>
      </c>
      <c r="BL66" s="175">
        <f t="shared" si="148"/>
        <v>5.8918627122597517E-2</v>
      </c>
      <c r="BM66" s="175">
        <f t="shared" si="148"/>
        <v>4.6830302528882053E-2</v>
      </c>
      <c r="BN66" s="176">
        <f t="shared" ref="BN66:CS66" si="149">BN57/BN65</f>
        <v>4.6830302528882053E-2</v>
      </c>
      <c r="BO66" s="175">
        <f t="shared" si="149"/>
        <v>4.9082792893574499E-2</v>
      </c>
      <c r="BP66" s="175">
        <f t="shared" si="149"/>
        <v>3.8735495751000305E-2</v>
      </c>
      <c r="BQ66" s="175">
        <f t="shared" si="149"/>
        <v>4.7929119909919785E-2</v>
      </c>
      <c r="BR66" s="175">
        <f t="shared" si="149"/>
        <v>6.5287454119649035E-2</v>
      </c>
      <c r="BS66" s="176">
        <f t="shared" si="149"/>
        <v>6.5287454119649035E-2</v>
      </c>
      <c r="BT66" s="175">
        <f t="shared" si="149"/>
        <v>4.8925728841952516E-2</v>
      </c>
      <c r="BU66" s="175">
        <f t="shared" si="149"/>
        <v>4.5067517129041869E-2</v>
      </c>
      <c r="BV66" s="175">
        <f t="shared" si="149"/>
        <v>3.6502384518202674E-2</v>
      </c>
      <c r="BW66" s="175">
        <f t="shared" si="149"/>
        <v>6.6891714913068029E-2</v>
      </c>
      <c r="BX66" s="176">
        <f t="shared" si="149"/>
        <v>6.6891714913068029E-2</v>
      </c>
      <c r="BY66" s="175">
        <f t="shared" si="149"/>
        <v>5.1016991920794889E-2</v>
      </c>
      <c r="BZ66" s="175">
        <f>BZ57/BZ65</f>
        <v>7.4330833257010565E-2</v>
      </c>
      <c r="CA66" s="175">
        <f>CA57/CA65</f>
        <v>3.6984322935022171E-2</v>
      </c>
      <c r="CB66" s="175">
        <f t="shared" ref="CB66" si="150">CB57/CB65</f>
        <v>0.14911460789703548</v>
      </c>
      <c r="CC66" s="176">
        <f t="shared" si="149"/>
        <v>0.14911460789703548</v>
      </c>
      <c r="CD66" s="175">
        <f t="shared" ref="CD66" si="151">CD57/CD65</f>
        <v>0.13261184881051716</v>
      </c>
      <c r="CE66" s="175">
        <f>CE57/CE65</f>
        <v>9.3267754117453749E-2</v>
      </c>
      <c r="CF66" s="175">
        <f t="shared" ca="1" si="149"/>
        <v>7.6826801781959525E-2</v>
      </c>
      <c r="CG66" s="175">
        <f t="shared" ca="1" si="149"/>
        <v>5.6503558362564078E-2</v>
      </c>
      <c r="CH66" s="176">
        <f t="shared" ca="1" si="149"/>
        <v>5.6503558362564078E-2</v>
      </c>
      <c r="CI66" s="175">
        <f t="shared" ca="1" si="149"/>
        <v>5.6753690439379022E-2</v>
      </c>
      <c r="CJ66" s="175">
        <f t="shared" ca="1" si="149"/>
        <v>9.201103259658576E-2</v>
      </c>
      <c r="CK66" s="175">
        <f t="shared" ca="1" si="149"/>
        <v>6.0612625483609149E-2</v>
      </c>
      <c r="CL66" s="175">
        <f t="shared" ca="1" si="149"/>
        <v>2.3724248306653924E-2</v>
      </c>
      <c r="CM66" s="176">
        <f t="shared" ca="1" si="149"/>
        <v>2.3724248306653924E-2</v>
      </c>
      <c r="CN66" s="175">
        <f t="shared" ca="1" si="149"/>
        <v>7.3936990915790431E-3</v>
      </c>
      <c r="CO66" s="175">
        <f t="shared" ca="1" si="149"/>
        <v>0.11119593596988431</v>
      </c>
      <c r="CP66" s="175">
        <f t="shared" ca="1" si="149"/>
        <v>8.4113167926206586E-2</v>
      </c>
      <c r="CQ66" s="175">
        <f t="shared" ca="1" si="149"/>
        <v>4.3963280309236588E-2</v>
      </c>
      <c r="CR66" s="176">
        <f t="shared" ca="1" si="149"/>
        <v>4.3963280309236588E-2</v>
      </c>
      <c r="CS66" s="175">
        <f t="shared" ca="1" si="149"/>
        <v>1.2366635734825594E-2</v>
      </c>
      <c r="CT66" s="175">
        <f t="shared" ref="CT66:DB66" ca="1" si="152">CT57/CT65</f>
        <v>0.1139620841133797</v>
      </c>
      <c r="CU66" s="175">
        <f t="shared" ca="1" si="152"/>
        <v>7.5300225963231826E-2</v>
      </c>
      <c r="CV66" s="175">
        <f t="shared" ca="1" si="152"/>
        <v>3.6254866137009581E-2</v>
      </c>
      <c r="CW66" s="176">
        <f t="shared" ca="1" si="152"/>
        <v>3.6254866137009581E-2</v>
      </c>
      <c r="CX66" s="175">
        <f t="shared" ca="1" si="152"/>
        <v>1.217657251175413E-2</v>
      </c>
      <c r="CY66" s="175">
        <f t="shared" ca="1" si="152"/>
        <v>0.11082234581596952</v>
      </c>
      <c r="CZ66" s="175">
        <f t="shared" ca="1" si="152"/>
        <v>6.2435185951208269E-2</v>
      </c>
      <c r="DA66" s="175">
        <f t="shared" ca="1" si="152"/>
        <v>9.6020803048746575E-3</v>
      </c>
      <c r="DB66" s="176">
        <f t="shared" ca="1" si="152"/>
        <v>9.6020803048746575E-3</v>
      </c>
    </row>
    <row r="67" spans="1:106" ht="11.5" customHeight="1" x14ac:dyDescent="0.35">
      <c r="A67" s="216" t="s">
        <v>138</v>
      </c>
      <c r="B67" s="204">
        <f t="shared" ref="B67:AG67" si="153">B64/B65</f>
        <v>0.33738294709824773</v>
      </c>
      <c r="C67" s="204">
        <f t="shared" si="153"/>
        <v>0.42862828354205573</v>
      </c>
      <c r="D67" s="204">
        <f t="shared" si="153"/>
        <v>0.45170343358302167</v>
      </c>
      <c r="E67" s="204">
        <f t="shared" si="153"/>
        <v>0.51442661445465843</v>
      </c>
      <c r="F67" s="59">
        <f t="shared" si="153"/>
        <v>0.51442661445465843</v>
      </c>
      <c r="G67" s="204">
        <f t="shared" si="153"/>
        <v>0.54241915786342565</v>
      </c>
      <c r="H67" s="204">
        <f t="shared" si="153"/>
        <v>0.56951795996302146</v>
      </c>
      <c r="I67" s="204">
        <f t="shared" si="153"/>
        <v>0.61810437892422954</v>
      </c>
      <c r="J67" s="204">
        <f t="shared" si="153"/>
        <v>0.59737452480983255</v>
      </c>
      <c r="K67" s="59">
        <f t="shared" si="153"/>
        <v>0.59737452480983255</v>
      </c>
      <c r="L67" s="204">
        <f t="shared" si="153"/>
        <v>0.59081681111951923</v>
      </c>
      <c r="M67" s="204">
        <f t="shared" si="153"/>
        <v>0.58394052441503863</v>
      </c>
      <c r="N67" s="204">
        <f t="shared" si="153"/>
        <v>0.53670207812889836</v>
      </c>
      <c r="O67" s="204">
        <f t="shared" si="153"/>
        <v>0.4658855712854798</v>
      </c>
      <c r="P67" s="59">
        <f t="shared" si="153"/>
        <v>0.4658855712854798</v>
      </c>
      <c r="Q67" s="204">
        <f t="shared" si="153"/>
        <v>0.40039356031528073</v>
      </c>
      <c r="R67" s="204">
        <f t="shared" si="153"/>
        <v>0.40873993727626123</v>
      </c>
      <c r="S67" s="204">
        <f t="shared" si="153"/>
        <v>0.40529117233211182</v>
      </c>
      <c r="T67" s="204">
        <f t="shared" si="153"/>
        <v>0.42874207626418137</v>
      </c>
      <c r="U67" s="59">
        <f t="shared" si="153"/>
        <v>0.42874207626418137</v>
      </c>
      <c r="V67" s="204">
        <f t="shared" si="153"/>
        <v>0.41291937727909966</v>
      </c>
      <c r="W67" s="204">
        <f t="shared" si="153"/>
        <v>0.42288089481531083</v>
      </c>
      <c r="X67" s="204">
        <f t="shared" si="153"/>
        <v>0.4029011883677483</v>
      </c>
      <c r="Y67" s="204">
        <f t="shared" si="153"/>
        <v>0.35639027017774461</v>
      </c>
      <c r="Z67" s="59">
        <f t="shared" si="153"/>
        <v>0.35639027017774461</v>
      </c>
      <c r="AA67" s="204">
        <f t="shared" si="153"/>
        <v>0.30098273167550937</v>
      </c>
      <c r="AB67" s="204">
        <f t="shared" si="153"/>
        <v>0.28577179544925002</v>
      </c>
      <c r="AC67" s="204">
        <f t="shared" si="153"/>
        <v>0.2393174718463825</v>
      </c>
      <c r="AD67" s="204">
        <f t="shared" si="153"/>
        <v>0.24567536477260357</v>
      </c>
      <c r="AE67" s="59">
        <f t="shared" si="153"/>
        <v>0.24567536477260357</v>
      </c>
      <c r="AF67" s="204">
        <f t="shared" si="153"/>
        <v>0.24984513038083742</v>
      </c>
      <c r="AG67" s="204">
        <f t="shared" si="153"/>
        <v>0.26081316958437634</v>
      </c>
      <c r="AH67" s="204">
        <f t="shared" ref="AH67:BM67" si="154">AH64/AH65</f>
        <v>0.29760316351689942</v>
      </c>
      <c r="AI67" s="204">
        <f t="shared" si="154"/>
        <v>0.26455641429804772</v>
      </c>
      <c r="AJ67" s="59">
        <f t="shared" si="154"/>
        <v>0.26455641429804772</v>
      </c>
      <c r="AK67" s="204">
        <f t="shared" si="154"/>
        <v>0.24376961296588975</v>
      </c>
      <c r="AL67" s="204">
        <f t="shared" si="154"/>
        <v>0.28768748710391501</v>
      </c>
      <c r="AM67" s="204">
        <f t="shared" si="154"/>
        <v>0.24123802430433089</v>
      </c>
      <c r="AN67" s="204">
        <f t="shared" si="154"/>
        <v>0.19817161202469941</v>
      </c>
      <c r="AO67" s="59">
        <f t="shared" si="154"/>
        <v>0.19817161202469941</v>
      </c>
      <c r="AP67" s="204">
        <f t="shared" si="154"/>
        <v>0.17474730921868795</v>
      </c>
      <c r="AQ67" s="204">
        <f t="shared" si="154"/>
        <v>0.14987440330109256</v>
      </c>
      <c r="AR67" s="204">
        <f t="shared" si="154"/>
        <v>0.14157041201916565</v>
      </c>
      <c r="AS67" s="204">
        <f t="shared" si="154"/>
        <v>0.15389004789076405</v>
      </c>
      <c r="AT67" s="59">
        <f t="shared" si="154"/>
        <v>0.15389004789076405</v>
      </c>
      <c r="AU67" s="204">
        <f t="shared" si="154"/>
        <v>0.13171721424018618</v>
      </c>
      <c r="AV67" s="204">
        <f t="shared" si="154"/>
        <v>9.8015348790852344E-2</v>
      </c>
      <c r="AW67" s="204">
        <f t="shared" si="154"/>
        <v>0.13457907432479282</v>
      </c>
      <c r="AX67" s="204">
        <f t="shared" si="154"/>
        <v>0.18389807403926581</v>
      </c>
      <c r="AY67" s="59">
        <f t="shared" si="154"/>
        <v>0.18389807403926581</v>
      </c>
      <c r="AZ67" s="204">
        <f t="shared" si="154"/>
        <v>0.1774343178459708</v>
      </c>
      <c r="BA67" s="204">
        <f t="shared" si="154"/>
        <v>0.19022286116954018</v>
      </c>
      <c r="BB67" s="204">
        <f t="shared" si="154"/>
        <v>1.9157869428625938E-2</v>
      </c>
      <c r="BC67" s="204">
        <f t="shared" si="154"/>
        <v>6.7532365368279626E-2</v>
      </c>
      <c r="BD67" s="59">
        <f t="shared" si="154"/>
        <v>6.7532365368279626E-2</v>
      </c>
      <c r="BE67" s="204">
        <f t="shared" si="154"/>
        <v>6.3135472337498388E-2</v>
      </c>
      <c r="BF67" s="204">
        <f t="shared" si="154"/>
        <v>0.10405181090595671</v>
      </c>
      <c r="BG67" s="204">
        <f t="shared" si="154"/>
        <v>7.2847672091979218E-2</v>
      </c>
      <c r="BH67" s="204">
        <f t="shared" si="154"/>
        <v>6.549543923160564E-2</v>
      </c>
      <c r="BI67" s="59">
        <f t="shared" si="154"/>
        <v>6.549543923160564E-2</v>
      </c>
      <c r="BJ67" s="204">
        <f t="shared" si="154"/>
        <v>7.5893517310329908E-2</v>
      </c>
      <c r="BK67" s="204">
        <f t="shared" si="154"/>
        <v>8.172013037835818E-2</v>
      </c>
      <c r="BL67" s="204">
        <f t="shared" si="154"/>
        <v>8.3556559783053749E-2</v>
      </c>
      <c r="BM67" s="204">
        <f t="shared" si="154"/>
        <v>6.0805672596748989E-2</v>
      </c>
      <c r="BN67" s="59">
        <f t="shared" ref="BN67:CS67" si="155">BN64/BN65</f>
        <v>6.0805672596748989E-2</v>
      </c>
      <c r="BO67" s="204">
        <f t="shared" si="155"/>
        <v>6.0620856178546179E-2</v>
      </c>
      <c r="BP67" s="204">
        <f t="shared" si="155"/>
        <v>4.8170573789333801E-2</v>
      </c>
      <c r="BQ67" s="204">
        <f t="shared" si="155"/>
        <v>5.8605302329851346E-2</v>
      </c>
      <c r="BR67" s="204">
        <f t="shared" si="155"/>
        <v>7.186958885981902E-2</v>
      </c>
      <c r="BS67" s="59">
        <f t="shared" si="155"/>
        <v>7.186958885981902E-2</v>
      </c>
      <c r="BT67" s="204">
        <f t="shared" si="155"/>
        <v>6.2813858222647775E-2</v>
      </c>
      <c r="BU67" s="204">
        <f t="shared" si="155"/>
        <v>5.597387620089022E-2</v>
      </c>
      <c r="BV67" s="204">
        <f t="shared" si="155"/>
        <v>4.4907021959980371E-2</v>
      </c>
      <c r="BW67" s="204">
        <f t="shared" si="155"/>
        <v>7.987316461482516E-2</v>
      </c>
      <c r="BX67" s="59">
        <f t="shared" si="155"/>
        <v>7.987316461482516E-2</v>
      </c>
      <c r="BY67" s="204">
        <f t="shared" si="155"/>
        <v>6.8652034013574434E-2</v>
      </c>
      <c r="BZ67" s="204">
        <f>BZ64/BZ65</f>
        <v>9.4759954787497186E-2</v>
      </c>
      <c r="CA67" s="204">
        <f>CA64/CA65</f>
        <v>5.6831221028137563E-2</v>
      </c>
      <c r="CB67" s="204">
        <f t="shared" ref="CB67" si="156">CB64/CB65</f>
        <v>0.16032088857695409</v>
      </c>
      <c r="CC67" s="59">
        <f t="shared" si="155"/>
        <v>0.16032088857695409</v>
      </c>
      <c r="CD67" s="204">
        <f t="shared" ref="CD67" si="157">CD64/CD65</f>
        <v>0.14369996174546962</v>
      </c>
      <c r="CE67" s="204">
        <f>CE64/CE65</f>
        <v>0.10782422624219111</v>
      </c>
      <c r="CF67" s="204">
        <f t="shared" ca="1" si="155"/>
        <v>9.0755161967247588E-2</v>
      </c>
      <c r="CG67" s="204">
        <f t="shared" ca="1" si="155"/>
        <v>6.9776317689423731E-2</v>
      </c>
      <c r="CH67" s="59">
        <f t="shared" ca="1" si="155"/>
        <v>6.9776317689423731E-2</v>
      </c>
      <c r="CI67" s="204">
        <f t="shared" ca="1" si="155"/>
        <v>7.0318883914893784E-2</v>
      </c>
      <c r="CJ67" s="204">
        <f t="shared" ca="1" si="155"/>
        <v>0.1050285028512522</v>
      </c>
      <c r="CK67" s="204">
        <f t="shared" ca="1" si="155"/>
        <v>7.3105197850606513E-2</v>
      </c>
      <c r="CL67" s="204">
        <f t="shared" ca="1" si="155"/>
        <v>3.5679714159235223E-2</v>
      </c>
      <c r="CM67" s="59">
        <f t="shared" ca="1" si="155"/>
        <v>3.5679714159235223E-2</v>
      </c>
      <c r="CN67" s="204">
        <f t="shared" ca="1" si="155"/>
        <v>2.034543851271705E-2</v>
      </c>
      <c r="CO67" s="204">
        <f t="shared" ca="1" si="155"/>
        <v>0.12357897224908966</v>
      </c>
      <c r="CP67" s="204">
        <f t="shared" ca="1" si="155"/>
        <v>9.5973706426235164E-2</v>
      </c>
      <c r="CQ67" s="204">
        <f t="shared" ca="1" si="155"/>
        <v>5.5305000533326938E-2</v>
      </c>
      <c r="CR67" s="59">
        <f t="shared" ca="1" si="155"/>
        <v>5.5305000533326938E-2</v>
      </c>
      <c r="CS67" s="204">
        <f t="shared" ca="1" si="155"/>
        <v>2.4745335779734635E-2</v>
      </c>
      <c r="CT67" s="204">
        <f t="shared" ref="CT67:DB67" ca="1" si="158">CT64/CT65</f>
        <v>0.12578937510471688</v>
      </c>
      <c r="CU67" s="204">
        <f t="shared" ca="1" si="158"/>
        <v>8.6621493476714842E-2</v>
      </c>
      <c r="CV67" s="204">
        <f t="shared" ca="1" si="158"/>
        <v>4.7068968866597505E-2</v>
      </c>
      <c r="CW67" s="59">
        <f t="shared" ca="1" si="158"/>
        <v>4.7068968866597505E-2</v>
      </c>
      <c r="CX67" s="204">
        <f t="shared" ca="1" si="158"/>
        <v>2.3982030994741083E-2</v>
      </c>
      <c r="CY67" s="204">
        <f t="shared" ca="1" si="158"/>
        <v>0.12208667468967803</v>
      </c>
      <c r="CZ67" s="204">
        <f t="shared" ca="1" si="158"/>
        <v>7.3211142618014438E-2</v>
      </c>
      <c r="DA67" s="204">
        <f t="shared" ca="1" si="158"/>
        <v>1.9897851325128675E-2</v>
      </c>
      <c r="DB67" s="59">
        <f t="shared" ca="1" si="158"/>
        <v>1.9897851325128675E-2</v>
      </c>
    </row>
    <row r="68" spans="1:106" ht="11.5" customHeight="1" x14ac:dyDescent="0.35">
      <c r="A68" s="32" t="s">
        <v>24</v>
      </c>
      <c r="B68" s="420">
        <f>B57/(IS!B65*4)</f>
        <v>1.2668280118311035</v>
      </c>
      <c r="C68" s="420">
        <f>C57/(IS!C65*4)</f>
        <v>1.7949205568339826</v>
      </c>
      <c r="D68" s="420">
        <f>D57/(IS!D65*4)</f>
        <v>1.9717047180558191</v>
      </c>
      <c r="E68" s="420">
        <f>E57/(IS!E65*4)</f>
        <v>2.8640376462778665</v>
      </c>
      <c r="F68" s="421">
        <f>F57/IS!F65</f>
        <v>2.3940943905432901</v>
      </c>
      <c r="G68" s="420">
        <f>G57/(IS!G65*4)</f>
        <v>3.3498134534295869</v>
      </c>
      <c r="H68" s="420">
        <f>H57/(IS!H65*4)</f>
        <v>3.522677729455078</v>
      </c>
      <c r="I68" s="420">
        <f>I57/(IS!I65*4)</f>
        <v>2.4349930748872097</v>
      </c>
      <c r="J68" s="420">
        <f>J57/(IS!J65*4)</f>
        <v>1.7836336367370877</v>
      </c>
      <c r="K68" s="421">
        <f>K57/IS!K65</f>
        <v>2.6407072249672714</v>
      </c>
      <c r="L68" s="420">
        <f>L57/(IS!L65*4)</f>
        <v>2.3201407197248503</v>
      </c>
      <c r="M68" s="420">
        <f>M57/(IS!M65*4)</f>
        <v>2.7582203069538012</v>
      </c>
      <c r="N68" s="420">
        <f>N57/(IS!N65*4)</f>
        <v>2.3593197351966104</v>
      </c>
      <c r="O68" s="420">
        <f>O57/(IS!O65*4)</f>
        <v>1.9783646861986168</v>
      </c>
      <c r="P68" s="421">
        <f>P57/IS!P65</f>
        <v>2.0719730057508805</v>
      </c>
      <c r="Q68" s="420">
        <f>Q57/(IS!Q65*4)</f>
        <v>2.0739810038515056</v>
      </c>
      <c r="R68" s="420">
        <f>R57/(IS!R65*4)</f>
        <v>1.9243585369182477</v>
      </c>
      <c r="S68" s="420">
        <f>S57/(IS!S65*4)</f>
        <v>1.8497700318988011</v>
      </c>
      <c r="T68" s="420">
        <f>T57/(IS!T65*4)</f>
        <v>1.976482484284029</v>
      </c>
      <c r="U68" s="421">
        <f>U57/IS!U65</f>
        <v>2.1110471484245652</v>
      </c>
      <c r="V68" s="420">
        <f>V57/(IS!V65*4)</f>
        <v>2.0836605459677338</v>
      </c>
      <c r="W68" s="420">
        <f>W57/(IS!W65*4)</f>
        <v>2.1612015863929441</v>
      </c>
      <c r="X68" s="420">
        <f>X57/(IS!X65*4)</f>
        <v>2.0848922907345728</v>
      </c>
      <c r="Y68" s="420">
        <f>Y57/(IS!Y65*4)</f>
        <v>2.0589007319393482</v>
      </c>
      <c r="Z68" s="421">
        <f>Z57/IS!Z65</f>
        <v>1.87789282065176</v>
      </c>
      <c r="AA68" s="420">
        <f>AA57/(IS!AA65*4)</f>
        <v>2.3827338997132368</v>
      </c>
      <c r="AB68" s="420">
        <f>AB57/(IS!AB65*4)</f>
        <v>1.6383545801629029</v>
      </c>
      <c r="AC68" s="420">
        <f>AC57/(IS!AC65*4)</f>
        <v>1.6636304007915124</v>
      </c>
      <c r="AD68" s="420">
        <f>AD57/(IS!AD65*4)</f>
        <v>2.3094944928388528</v>
      </c>
      <c r="AE68" s="421">
        <f>AE57/IS!AE65</f>
        <v>1.8009592211582786</v>
      </c>
      <c r="AF68" s="420">
        <f>AF57/(IS!AF65*4)</f>
        <v>2.3918027618583859</v>
      </c>
      <c r="AG68" s="420">
        <f>AG57/(IS!AG65*4)</f>
        <v>4.2124492660746435</v>
      </c>
      <c r="AH68" s="420">
        <f>AH57/(IS!AH65*4)</f>
        <v>3.9966552496934331</v>
      </c>
      <c r="AI68" s="420">
        <f>AI57/(IS!AI65*4)</f>
        <v>4.582712698142875</v>
      </c>
      <c r="AJ68" s="421">
        <f>AJ57/IS!AJ65</f>
        <v>3.664317055248079</v>
      </c>
      <c r="AK68" s="420">
        <f>AK57/(IS!AK65*4)</f>
        <v>3.9254009347733718</v>
      </c>
      <c r="AL68" s="420">
        <f>AL57/(IS!AL65*4)</f>
        <v>-5.2708476787591056</v>
      </c>
      <c r="AM68" s="420">
        <f>AM57/(IS!AM65*4)</f>
        <v>11.54173344646617</v>
      </c>
      <c r="AN68" s="420">
        <f>AN57/(IS!AN65*4)</f>
        <v>5.2543682329261525</v>
      </c>
      <c r="AO68" s="421">
        <f>AO57/IS!AO65</f>
        <v>11.228542294322132</v>
      </c>
      <c r="AP68" s="420">
        <f>AP57/(IS!AP65*4)</f>
        <v>45.44539113544058</v>
      </c>
      <c r="AQ68" s="420">
        <f>AQ57/(IS!AQ65*4)</f>
        <v>13.843231542071518</v>
      </c>
      <c r="AR68" s="420">
        <f>AR57/(IS!AR65*4)</f>
        <v>-4.1773015235673334</v>
      </c>
      <c r="AS68" s="420">
        <f>AS57/(IS!AS65*4)</f>
        <v>1.7155014969435665</v>
      </c>
      <c r="AT68" s="421">
        <f>AT57/IS!AT65</f>
        <v>8.582410246782235</v>
      </c>
      <c r="AU68" s="420">
        <f>AU57/(IS!AU65*4)</f>
        <v>1.3217651795017524</v>
      </c>
      <c r="AV68" s="420">
        <f>AV57/(IS!AV65*4)</f>
        <v>1.1304214223002633</v>
      </c>
      <c r="AW68" s="420">
        <f>AW57/(IS!AW65*4)</f>
        <v>1.1268383457391768</v>
      </c>
      <c r="AX68" s="420">
        <f>AX57/(IS!AX65*4)</f>
        <v>0.80019769313610956</v>
      </c>
      <c r="AY68" s="421">
        <f>AY57/IS!AY65</f>
        <v>1.3106050454212568</v>
      </c>
      <c r="AZ68" s="420">
        <f>AZ57/(IS!AZ65*4)</f>
        <v>2.6299916233246647</v>
      </c>
      <c r="BA68" s="420">
        <f>BA57/(IS!BA65*4)</f>
        <v>2.0489359799713878</v>
      </c>
      <c r="BB68" s="420">
        <f>BB57/(IS!BB65*4)</f>
        <v>4.3386383371323133E-2</v>
      </c>
      <c r="BC68" s="420">
        <f>BC57/(IS!BC65*4)</f>
        <v>0.3326056468471329</v>
      </c>
      <c r="BD68" s="421">
        <f>BD57/IS!BD65</f>
        <v>0.47159057156524647</v>
      </c>
      <c r="BE68" s="420">
        <f>BE57/(IS!BE65*4)</f>
        <v>0.40098924262713115</v>
      </c>
      <c r="BF68" s="420">
        <f>BF57/(IS!BF65*4)</f>
        <v>0.57206313697246713</v>
      </c>
      <c r="BG68" s="420">
        <f>BG57/(IS!BG65*4)</f>
        <v>0.44736311782074983</v>
      </c>
      <c r="BH68" s="420">
        <f>BH57/(IS!BH65*4)</f>
        <v>0.38215593381088958</v>
      </c>
      <c r="BI68" s="421">
        <f>BI57/IS!BI65</f>
        <v>0.39339068354394729</v>
      </c>
      <c r="BJ68" s="420">
        <f>BJ57/(IS!BJ65*4)</f>
        <v>0.71762383133052565</v>
      </c>
      <c r="BK68" s="420">
        <f>BK57/(IS!BK65*4)</f>
        <v>0.74589394800171072</v>
      </c>
      <c r="BL68" s="420">
        <f>BL57/(IS!BL65*4)</f>
        <v>0.31043030884542777</v>
      </c>
      <c r="BM68" s="420">
        <f>BM57/(IS!BM65*4)</f>
        <v>0.42594045183270568</v>
      </c>
      <c r="BN68" s="421">
        <f>BN57/IS!BN65</f>
        <v>0.42847992432479964</v>
      </c>
      <c r="BO68" s="420">
        <f>BO57/(IS!BO65*4)</f>
        <v>0.5241275078552784</v>
      </c>
      <c r="BP68" s="420">
        <f>BP57/(IS!BP65*4)</f>
        <v>0.24038458643107286</v>
      </c>
      <c r="BQ68" s="420">
        <f>BQ57/(IS!BQ65*4)</f>
        <v>0.34059606308123475</v>
      </c>
      <c r="BR68" s="420">
        <f>BR57/(IS!BR65*4)</f>
        <v>0.55006938662225924</v>
      </c>
      <c r="BS68" s="421">
        <f>BS57/IS!BS65</f>
        <v>0.51910542031176332</v>
      </c>
      <c r="BT68" s="420">
        <f>BT57/(IS!BT65*4)</f>
        <v>0.36196829247162782</v>
      </c>
      <c r="BU68" s="420">
        <f>BU57/(IS!BU65*4)</f>
        <v>0.25396868019870866</v>
      </c>
      <c r="BV68" s="420">
        <f>BV57/(IS!BV65*4)</f>
        <v>0.22394672140335845</v>
      </c>
      <c r="BW68" s="420">
        <f>BW57/(IS!BW65*4)</f>
        <v>0.26565364006207809</v>
      </c>
      <c r="BX68" s="421">
        <f>BX57/IS!BX65</f>
        <v>0.38559530465565639</v>
      </c>
      <c r="BY68" s="420">
        <f>BY57/(IS!BY65*4)</f>
        <v>0.38625360550588134</v>
      </c>
      <c r="BZ68" s="420">
        <f>BZ57/(IS!BZ65*4)</f>
        <v>0.51543753060724784</v>
      </c>
      <c r="CA68" s="420">
        <f>CA57/(IS!CA65*4)</f>
        <v>0.2561797468293377</v>
      </c>
      <c r="CB68" s="420">
        <f>CB57/(IS!CB65*4)</f>
        <v>0.67213365430576866</v>
      </c>
      <c r="CC68" s="421">
        <f>CC57/IS!CC65</f>
        <v>0.96282688019460771</v>
      </c>
      <c r="CD68" s="420">
        <f>CD57/(IS!CD65*4)</f>
        <v>1.0826374895965658</v>
      </c>
      <c r="CE68" s="420">
        <f>CE57/(IS!CE65*4)</f>
        <v>0.56728984380190162</v>
      </c>
      <c r="CF68" s="420">
        <f ca="1">CF57/(IS!CF65*4)</f>
        <v>0.47945498130299113</v>
      </c>
      <c r="CG68" s="420">
        <f ca="1">CG57/(IS!CG65*4)</f>
        <v>0.32690751632756732</v>
      </c>
      <c r="CH68" s="421">
        <f ca="1">CH57/IS!CH65</f>
        <v>0.38804714046429828</v>
      </c>
      <c r="CI68" s="420">
        <f ca="1">CI57/(IS!CI65*4)</f>
        <v>0.34262686369798784</v>
      </c>
      <c r="CJ68" s="420">
        <f ca="1">CJ57/(IS!CJ65*4)</f>
        <v>0.58085873183915282</v>
      </c>
      <c r="CK68" s="420">
        <f ca="1">CK57/(IS!CK65*4)</f>
        <v>0.39575417416474135</v>
      </c>
      <c r="CL68" s="420">
        <f ca="1">CL57/(IS!CL65*4)</f>
        <v>0.14717130579966853</v>
      </c>
      <c r="CM68" s="421">
        <f ca="1">CM57/IS!CM65</f>
        <v>0.15836153996489483</v>
      </c>
      <c r="CN68" s="420">
        <f ca="1">CN57/(IS!CN65*4)</f>
        <v>4.0091614431946851E-2</v>
      </c>
      <c r="CO68" s="420">
        <f ca="1">CO57/(IS!CO65*4)</f>
        <v>0.65267612276279874</v>
      </c>
      <c r="CP68" s="420">
        <f ca="1">CP57/(IS!CP65*4)</f>
        <v>0.51865173122433894</v>
      </c>
      <c r="CQ68" s="420">
        <f ca="1">CQ57/(IS!CQ65*4)</f>
        <v>0.26102185287684898</v>
      </c>
      <c r="CR68" s="421">
        <f ca="1">CR57/IS!CR65</f>
        <v>0.2743214876995439</v>
      </c>
      <c r="CS68" s="420">
        <f ca="1">CS57/(IS!CS65*4)</f>
        <v>6.3262045991875279E-2</v>
      </c>
      <c r="CT68" s="420">
        <f ca="1">CT57/(IS!CT65*4)</f>
        <v>0.63393082541770485</v>
      </c>
      <c r="CU68" s="420">
        <f ca="1">CU57/(IS!CU65*4)</f>
        <v>0.44292868219590692</v>
      </c>
      <c r="CV68" s="420">
        <f ca="1">CV57/(IS!CV65*4)</f>
        <v>0.20745962665148543</v>
      </c>
      <c r="CW68" s="421">
        <f ca="1">CW57/IS!CW65</f>
        <v>0.21570937148243441</v>
      </c>
      <c r="CX68" s="420">
        <f ca="1">CX57/(IS!CX65*4)</f>
        <v>5.9262618064761345E-2</v>
      </c>
      <c r="CY68" s="420">
        <f ca="1">CY57/(IS!CY65*4)</f>
        <v>0.58987928662063771</v>
      </c>
      <c r="CZ68" s="420">
        <f ca="1">CZ57/(IS!CZ65*4)</f>
        <v>0.35292029350102266</v>
      </c>
      <c r="DA68" s="420">
        <f ca="1">DA57/(IS!DA65*4)</f>
        <v>5.3208878466084228E-2</v>
      </c>
      <c r="DB68" s="421">
        <f ca="1">DB57/IS!DB65</f>
        <v>5.4837816425157643E-2</v>
      </c>
    </row>
    <row r="69" spans="1:106" ht="11.5" customHeight="1" x14ac:dyDescent="0.35">
      <c r="A69" s="16"/>
      <c r="B69" s="120"/>
      <c r="C69" s="120"/>
      <c r="D69" s="120"/>
      <c r="E69" s="120"/>
      <c r="F69" s="39"/>
      <c r="G69" s="120"/>
      <c r="H69" s="120"/>
      <c r="I69" s="120"/>
      <c r="J69" s="120"/>
      <c r="K69" s="39"/>
      <c r="L69" s="120"/>
      <c r="M69" s="120"/>
      <c r="N69" s="120"/>
      <c r="O69" s="120"/>
      <c r="P69" s="39"/>
      <c r="Q69" s="120"/>
      <c r="R69" s="120"/>
      <c r="S69" s="120"/>
      <c r="T69" s="120"/>
      <c r="U69" s="39"/>
      <c r="V69" s="120"/>
      <c r="W69" s="120"/>
      <c r="X69" s="120"/>
      <c r="Y69" s="120"/>
      <c r="Z69" s="39"/>
      <c r="AA69" s="120"/>
      <c r="AB69" s="120"/>
      <c r="AC69" s="120"/>
      <c r="AD69" s="120"/>
      <c r="AE69" s="39"/>
      <c r="AF69" s="120"/>
      <c r="AG69" s="120"/>
      <c r="AH69" s="120"/>
      <c r="AI69" s="120"/>
      <c r="AJ69" s="39"/>
      <c r="AK69" s="120"/>
      <c r="AL69" s="120"/>
      <c r="AM69" s="120"/>
      <c r="AN69" s="120"/>
      <c r="AO69" s="39"/>
      <c r="AP69" s="120"/>
      <c r="AQ69" s="120"/>
      <c r="AR69" s="120"/>
      <c r="AS69" s="120"/>
      <c r="AT69" s="39"/>
      <c r="AU69" s="120"/>
      <c r="AV69" s="120"/>
      <c r="AW69" s="120"/>
      <c r="AX69" s="120"/>
      <c r="AY69" s="39"/>
      <c r="AZ69" s="120"/>
      <c r="BA69" s="120"/>
      <c r="BB69" s="120"/>
      <c r="BC69" s="120"/>
      <c r="BD69" s="39"/>
      <c r="BE69" s="120"/>
      <c r="BF69" s="120"/>
      <c r="BG69" s="120"/>
      <c r="BH69" s="120"/>
      <c r="BI69" s="39"/>
      <c r="BJ69" s="120"/>
      <c r="BK69" s="120"/>
      <c r="BL69" s="120"/>
      <c r="BM69" s="120"/>
      <c r="BN69" s="39"/>
      <c r="BO69" s="120"/>
      <c r="BP69" s="120"/>
      <c r="BQ69" s="120"/>
      <c r="BR69" s="120"/>
      <c r="BS69" s="39"/>
      <c r="BT69" s="120"/>
      <c r="BU69" s="120"/>
      <c r="BV69" s="120"/>
      <c r="BW69" s="120"/>
      <c r="BX69" s="39"/>
      <c r="BY69" s="120"/>
      <c r="BZ69" s="120"/>
      <c r="CA69" s="120"/>
      <c r="CB69" s="120"/>
      <c r="CC69" s="39"/>
      <c r="CD69" s="120"/>
      <c r="CE69" s="120"/>
      <c r="CF69" s="120"/>
      <c r="CG69" s="120"/>
      <c r="CH69" s="704">
        <f ca="1">CH75/IS!CH45</f>
        <v>0.39457174254637473</v>
      </c>
      <c r="CI69" s="120"/>
      <c r="CJ69" s="120"/>
      <c r="CK69" s="120"/>
      <c r="CL69" s="120"/>
      <c r="CM69" s="704">
        <f ca="1">CM75/IS!CM45</f>
        <v>0.57390709624147906</v>
      </c>
      <c r="CN69" s="120"/>
      <c r="CO69" s="120"/>
      <c r="CP69" s="120"/>
      <c r="CQ69" s="120"/>
      <c r="CR69" s="704">
        <f ca="1">CR75/IS!CR45</f>
        <v>0.58993645276167617</v>
      </c>
      <c r="CS69" s="120"/>
      <c r="CT69" s="120"/>
      <c r="CU69" s="120"/>
      <c r="CV69" s="120"/>
      <c r="CW69" s="704">
        <f ca="1">CW75/IS!CW45</f>
        <v>0.77662592831743005</v>
      </c>
      <c r="CX69" s="120"/>
      <c r="CY69" s="120"/>
      <c r="CZ69" s="120"/>
      <c r="DA69" s="120"/>
      <c r="DB69" s="704">
        <f ca="1">DB75/IS!DB45</f>
        <v>0.86774563637517599</v>
      </c>
    </row>
    <row r="70" spans="1:106" ht="11.5" customHeight="1" thickBot="1" x14ac:dyDescent="0.4">
      <c r="A70" s="124" t="s">
        <v>150</v>
      </c>
      <c r="B70" s="129" t="str">
        <f>Macro!B$3</f>
        <v>1Q10</v>
      </c>
      <c r="C70" s="129" t="str">
        <f>Macro!C$3</f>
        <v>2Q10</v>
      </c>
      <c r="D70" s="129" t="str">
        <f>Macro!D$3</f>
        <v>3Q10</v>
      </c>
      <c r="E70" s="130" t="str">
        <f>Macro!E$3</f>
        <v>4Q10</v>
      </c>
      <c r="F70" s="131" t="str">
        <f>Macro!F$3</f>
        <v>2010</v>
      </c>
      <c r="G70" s="129" t="str">
        <f>Macro!G$3</f>
        <v>1Q11</v>
      </c>
      <c r="H70" s="129" t="str">
        <f>Macro!H$3</f>
        <v>2Q11</v>
      </c>
      <c r="I70" s="129" t="str">
        <f>Macro!I$3</f>
        <v>3Q11</v>
      </c>
      <c r="J70" s="130" t="str">
        <f>Macro!J$3</f>
        <v>4Q11</v>
      </c>
      <c r="K70" s="131" t="str">
        <f>Macro!K$3</f>
        <v>2011</v>
      </c>
      <c r="L70" s="129" t="str">
        <f>Macro!L$3</f>
        <v>1Q12</v>
      </c>
      <c r="M70" s="129" t="str">
        <f>Macro!M$3</f>
        <v>2Q12</v>
      </c>
      <c r="N70" s="129" t="str">
        <f>Macro!N$3</f>
        <v>3Q12</v>
      </c>
      <c r="O70" s="130" t="str">
        <f>Macro!O$3</f>
        <v>4Q12</v>
      </c>
      <c r="P70" s="131" t="str">
        <f>Macro!P$3</f>
        <v>2012</v>
      </c>
      <c r="Q70" s="129" t="str">
        <f>Macro!Q$3</f>
        <v>1Q13</v>
      </c>
      <c r="R70" s="129" t="str">
        <f>Macro!R$3</f>
        <v>2Q13</v>
      </c>
      <c r="S70" s="129" t="str">
        <f>Macro!S$3</f>
        <v>3Q13</v>
      </c>
      <c r="T70" s="130" t="str">
        <f>Macro!T$3</f>
        <v>4Q13</v>
      </c>
      <c r="U70" s="131" t="str">
        <f>Macro!U$3</f>
        <v>2013</v>
      </c>
      <c r="V70" s="129" t="str">
        <f>Macro!V$3</f>
        <v>1Q14</v>
      </c>
      <c r="W70" s="129" t="str">
        <f>Macro!W$3</f>
        <v>2Q14</v>
      </c>
      <c r="X70" s="129" t="str">
        <f>Macro!X$3</f>
        <v>3Q14</v>
      </c>
      <c r="Y70" s="130" t="str">
        <f>Macro!Y$3</f>
        <v>4Q14</v>
      </c>
      <c r="Z70" s="131" t="str">
        <f>Macro!Z$3</f>
        <v>2014</v>
      </c>
      <c r="AA70" s="129" t="str">
        <f>Macro!AA$3</f>
        <v>1Q15</v>
      </c>
      <c r="AB70" s="129" t="str">
        <f>Macro!AB$3</f>
        <v>2Q15</v>
      </c>
      <c r="AC70" s="129" t="str">
        <f>Macro!AC$3</f>
        <v>3Q15</v>
      </c>
      <c r="AD70" s="130" t="str">
        <f>Macro!AD$3</f>
        <v>4Q15</v>
      </c>
      <c r="AE70" s="131" t="str">
        <f>Macro!AE$3</f>
        <v>2015</v>
      </c>
      <c r="AF70" s="129" t="str">
        <f>Macro!AF$3</f>
        <v>1Q16</v>
      </c>
      <c r="AG70" s="129" t="str">
        <f>Macro!AG$3</f>
        <v>2Q16</v>
      </c>
      <c r="AH70" s="129" t="str">
        <f>Macro!AH$3</f>
        <v>3Q16</v>
      </c>
      <c r="AI70" s="130" t="str">
        <f>Macro!AI$3</f>
        <v>4Q16</v>
      </c>
      <c r="AJ70" s="131" t="str">
        <f>Macro!AJ$3</f>
        <v>2016</v>
      </c>
      <c r="AK70" s="129" t="str">
        <f>Macro!AK$3</f>
        <v>1Q17</v>
      </c>
      <c r="AL70" s="129" t="str">
        <f>Macro!AL$3</f>
        <v>2Q17</v>
      </c>
      <c r="AM70" s="129" t="str">
        <f>Macro!AM$3</f>
        <v>3Q17</v>
      </c>
      <c r="AN70" s="130" t="str">
        <f>Macro!AN$3</f>
        <v>4Q17</v>
      </c>
      <c r="AO70" s="131" t="str">
        <f>Macro!AO$3</f>
        <v>2017</v>
      </c>
      <c r="AP70" s="129" t="str">
        <f>Macro!AP$3</f>
        <v>1Q18</v>
      </c>
      <c r="AQ70" s="129" t="str">
        <f>Macro!AQ$3</f>
        <v>2Q18</v>
      </c>
      <c r="AR70" s="129" t="str">
        <f>Macro!AR$3</f>
        <v>3Q18</v>
      </c>
      <c r="AS70" s="130" t="str">
        <f>Macro!AS$3</f>
        <v>4Q18</v>
      </c>
      <c r="AT70" s="131" t="str">
        <f>Macro!AT$3</f>
        <v>2018</v>
      </c>
      <c r="AU70" s="129" t="str">
        <f>Macro!AU$3</f>
        <v>1Q19</v>
      </c>
      <c r="AV70" s="129" t="str">
        <f>Macro!AV$3</f>
        <v>2Q19</v>
      </c>
      <c r="AW70" s="129" t="str">
        <f>Macro!AW$3</f>
        <v>3Q19</v>
      </c>
      <c r="AX70" s="130" t="str">
        <f>Macro!AX$3</f>
        <v>4Q19</v>
      </c>
      <c r="AY70" s="131" t="str">
        <f>Macro!AY$3</f>
        <v>2019</v>
      </c>
      <c r="AZ70" s="129" t="str">
        <f>Macro!AZ$3</f>
        <v>1Q20</v>
      </c>
      <c r="BA70" s="129" t="str">
        <f>Macro!BA$3</f>
        <v>2Q20</v>
      </c>
      <c r="BB70" s="129" t="str">
        <f>Macro!BB$3</f>
        <v>3Q20</v>
      </c>
      <c r="BC70" s="130" t="str">
        <f>Macro!BC$3</f>
        <v>4Q20</v>
      </c>
      <c r="BD70" s="131" t="str">
        <f>Macro!BD$3</f>
        <v>2020</v>
      </c>
      <c r="BE70" s="129" t="str">
        <f>Macro!BE$3</f>
        <v>1Q21</v>
      </c>
      <c r="BF70" s="129" t="str">
        <f>Macro!BF$3</f>
        <v>2Q21</v>
      </c>
      <c r="BG70" s="129" t="str">
        <f>Macro!BG$3</f>
        <v>3Q21</v>
      </c>
      <c r="BH70" s="130" t="str">
        <f>Macro!BH$3</f>
        <v>4Q21</v>
      </c>
      <c r="BI70" s="131" t="str">
        <f>Macro!BI$3</f>
        <v>2021</v>
      </c>
      <c r="BJ70" s="129" t="str">
        <f>Macro!BJ$3</f>
        <v>1Q22</v>
      </c>
      <c r="BK70" s="129" t="str">
        <f>Macro!BK$3</f>
        <v>2Q22</v>
      </c>
      <c r="BL70" s="129" t="str">
        <f>Macro!BL$3</f>
        <v>3Q22</v>
      </c>
      <c r="BM70" s="130" t="str">
        <f>Macro!BM$3</f>
        <v>4Q22</v>
      </c>
      <c r="BN70" s="131" t="str">
        <f>Macro!BN$3</f>
        <v>2022</v>
      </c>
      <c r="BO70" s="129" t="str">
        <f>Macro!BO$3</f>
        <v>1Q23</v>
      </c>
      <c r="BP70" s="129" t="str">
        <f>Macro!BP$3</f>
        <v>2Q23</v>
      </c>
      <c r="BQ70" s="129" t="str">
        <f>Macro!BQ$3</f>
        <v>3Q23</v>
      </c>
      <c r="BR70" s="130" t="str">
        <f>Macro!BR$3</f>
        <v>4Q23</v>
      </c>
      <c r="BS70" s="131" t="str">
        <f>Macro!BS$3</f>
        <v>2023</v>
      </c>
      <c r="BT70" s="129" t="str">
        <f>Macro!BT$3</f>
        <v>1Q24</v>
      </c>
      <c r="BU70" s="129" t="str">
        <f>Macro!BU$3</f>
        <v>2Q24</v>
      </c>
      <c r="BV70" s="129" t="str">
        <f>Macro!BV$3</f>
        <v>3Q24</v>
      </c>
      <c r="BW70" s="130" t="str">
        <f>Macro!BW$3</f>
        <v>4Q24</v>
      </c>
      <c r="BX70" s="131" t="str">
        <f>Macro!BX$3</f>
        <v>2024</v>
      </c>
      <c r="BY70" s="129" t="str">
        <f>Macro!BY$3</f>
        <v>1Q25</v>
      </c>
      <c r="BZ70" s="129" t="str">
        <f>Macro!BZ$3</f>
        <v>2Q25</v>
      </c>
      <c r="CA70" s="125" t="str">
        <f>Macro!CA$3</f>
        <v>3Q25</v>
      </c>
      <c r="CB70" s="125" t="str">
        <f>Macro!CB$3</f>
        <v>4Q25</v>
      </c>
      <c r="CC70" s="126" t="str">
        <f>Macro!CC$3</f>
        <v>2025</v>
      </c>
      <c r="CD70" s="125" t="str">
        <f>Macro!CD$3</f>
        <v>1Q26</v>
      </c>
      <c r="CE70" s="125" t="str">
        <f>Macro!CE$3</f>
        <v>2Q26</v>
      </c>
      <c r="CF70" s="125" t="str">
        <f>Macro!CF$3</f>
        <v>3Q26E</v>
      </c>
      <c r="CG70" s="125" t="str">
        <f>Macro!CG$3</f>
        <v>4Q26E</v>
      </c>
      <c r="CH70" s="126" t="str">
        <f>Macro!CH$3</f>
        <v>2026E</v>
      </c>
      <c r="CI70" s="125" t="str">
        <f>Macro!CI$3</f>
        <v>1Q27E</v>
      </c>
      <c r="CJ70" s="125" t="str">
        <f>Macro!CJ$3</f>
        <v>2Q27E</v>
      </c>
      <c r="CK70" s="125" t="str">
        <f>Macro!CK$3</f>
        <v>3Q27E</v>
      </c>
      <c r="CL70" s="125" t="str">
        <f>Macro!CL$3</f>
        <v>4Q27E</v>
      </c>
      <c r="CM70" s="126" t="str">
        <f>Macro!CM$3</f>
        <v>2027E</v>
      </c>
      <c r="CN70" s="125" t="str">
        <f>Macro!CN$3</f>
        <v>1Q28E</v>
      </c>
      <c r="CO70" s="125" t="str">
        <f>Macro!CO$3</f>
        <v>2Q28E</v>
      </c>
      <c r="CP70" s="125" t="str">
        <f>Macro!CP$3</f>
        <v>3Q28E</v>
      </c>
      <c r="CQ70" s="125" t="str">
        <f>Macro!CQ$3</f>
        <v>4Q28E</v>
      </c>
      <c r="CR70" s="126" t="str">
        <f>Macro!CR$3</f>
        <v>2028E</v>
      </c>
      <c r="CS70" s="125" t="str">
        <f>Macro!CS$3</f>
        <v>1Q29E</v>
      </c>
      <c r="CT70" s="125" t="str">
        <f>Macro!CT$3</f>
        <v>2Q29E</v>
      </c>
      <c r="CU70" s="125" t="str">
        <f>Macro!CU$3</f>
        <v>3Q29E</v>
      </c>
      <c r="CV70" s="125" t="str">
        <f>Macro!CV$3</f>
        <v>4Q29E</v>
      </c>
      <c r="CW70" s="126" t="str">
        <f>Macro!CW$3</f>
        <v>2029E</v>
      </c>
      <c r="CX70" s="125" t="str">
        <f>Macro!CX$3</f>
        <v>1Q30E</v>
      </c>
      <c r="CY70" s="125" t="str">
        <f>Macro!CY$3</f>
        <v>2Q30E</v>
      </c>
      <c r="CZ70" s="125" t="str">
        <f>Macro!CZ$3</f>
        <v>3Q30E</v>
      </c>
      <c r="DA70" s="125" t="str">
        <f>Macro!DA$3</f>
        <v>4Q30E</v>
      </c>
      <c r="DB70" s="126" t="str">
        <f>Macro!DB$3</f>
        <v>2030E</v>
      </c>
    </row>
    <row r="71" spans="1:106" ht="11.5" customHeight="1" thickTop="1" x14ac:dyDescent="0.35">
      <c r="A71" s="132" t="s">
        <v>133</v>
      </c>
      <c r="B71" s="751"/>
      <c r="C71" s="751">
        <f>C64-B64</f>
        <v>470378</v>
      </c>
      <c r="D71" s="751">
        <f>D64-C64</f>
        <v>204398</v>
      </c>
      <c r="E71" s="751">
        <f>E64-D64</f>
        <v>284907</v>
      </c>
      <c r="F71" s="226"/>
      <c r="G71" s="751">
        <f>G64-F64</f>
        <v>180893</v>
      </c>
      <c r="H71" s="751">
        <f>H64-G64</f>
        <v>169892</v>
      </c>
      <c r="I71" s="751">
        <f>I64-H64</f>
        <v>244905</v>
      </c>
      <c r="J71" s="751">
        <f>J64-I64</f>
        <v>-63468</v>
      </c>
      <c r="K71" s="226">
        <f>K64-F64</f>
        <v>532222</v>
      </c>
      <c r="L71" s="751">
        <f>L64-K64</f>
        <v>27674</v>
      </c>
      <c r="M71" s="751">
        <f>M64-L64</f>
        <v>50713</v>
      </c>
      <c r="N71" s="751">
        <f>N64-M64</f>
        <v>-143037</v>
      </c>
      <c r="O71" s="751">
        <f>O64-N64</f>
        <v>-253726</v>
      </c>
      <c r="P71" s="226">
        <f>P64-K64</f>
        <v>-318376</v>
      </c>
      <c r="Q71" s="751">
        <f>Q64-P64</f>
        <v>-141215</v>
      </c>
      <c r="R71" s="751">
        <f>R64-Q64</f>
        <v>17547</v>
      </c>
      <c r="S71" s="751">
        <f>S64-R64</f>
        <v>63683</v>
      </c>
      <c r="T71" s="751">
        <f>T64-S64</f>
        <v>93275</v>
      </c>
      <c r="U71" s="226">
        <f>U64-P64</f>
        <v>33290</v>
      </c>
      <c r="V71" s="751">
        <f>V64-U64</f>
        <v>-90529</v>
      </c>
      <c r="W71" s="751">
        <f>W64-V64</f>
        <v>107623</v>
      </c>
      <c r="X71" s="751">
        <f>X64-W64</f>
        <v>-76428</v>
      </c>
      <c r="Y71" s="751">
        <f>Y64-X64</f>
        <v>-326877</v>
      </c>
      <c r="Z71" s="226">
        <f>Z64-U64</f>
        <v>-386211</v>
      </c>
      <c r="AA71" s="751">
        <f>AA64-Z64</f>
        <v>-338151</v>
      </c>
      <c r="AB71" s="751">
        <f>AB64-AA64</f>
        <v>-97688</v>
      </c>
      <c r="AC71" s="751">
        <f>AC64-AB64</f>
        <v>-205578</v>
      </c>
      <c r="AD71" s="751">
        <f>AD64-AC64</f>
        <v>12817</v>
      </c>
      <c r="AE71" s="226">
        <f>AE64-Z64</f>
        <v>-628600</v>
      </c>
      <c r="AF71" s="751">
        <f>AF64-AE64</f>
        <v>41390</v>
      </c>
      <c r="AG71" s="751">
        <f>AG64-AF64</f>
        <v>80790</v>
      </c>
      <c r="AH71" s="751">
        <f>AH64-AG64</f>
        <v>247747</v>
      </c>
      <c r="AI71" s="751">
        <f>AI64-AH64</f>
        <v>-220580</v>
      </c>
      <c r="AJ71" s="226">
        <f>AJ64-AE64</f>
        <v>149347</v>
      </c>
      <c r="AK71" s="751">
        <f>AK64-AJ64</f>
        <v>-137516</v>
      </c>
      <c r="AL71" s="751">
        <f>AL64-AK64</f>
        <v>164049</v>
      </c>
      <c r="AM71" s="751">
        <f>AM64-AL64</f>
        <v>-292147</v>
      </c>
      <c r="AN71" s="751">
        <f>AN64-AM64</f>
        <v>-263110</v>
      </c>
      <c r="AO71" s="226">
        <f>AO64-AJ64</f>
        <v>-528724</v>
      </c>
      <c r="AP71" s="751">
        <f>AP64-AO64</f>
        <v>-206836</v>
      </c>
      <c r="AQ71" s="751">
        <f>AQ64-AP64</f>
        <v>-188111</v>
      </c>
      <c r="AR71" s="751">
        <f>AR64-AQ64</f>
        <v>-66833</v>
      </c>
      <c r="AS71" s="751">
        <f>AS64-AR64</f>
        <v>52533</v>
      </c>
      <c r="AT71" s="226">
        <f>AT64-AO64</f>
        <v>-409247</v>
      </c>
      <c r="AU71" s="751">
        <f>AU64-AT64</f>
        <v>-118814</v>
      </c>
      <c r="AV71" s="751">
        <f>AV64-AU64</f>
        <v>-192517</v>
      </c>
      <c r="AW71" s="751">
        <f>AW64-AV64</f>
        <v>196683</v>
      </c>
      <c r="AX71" s="751">
        <f>AX64-AW64</f>
        <v>214188</v>
      </c>
      <c r="AY71" s="226">
        <f>AY64-AT64</f>
        <v>99540</v>
      </c>
      <c r="AZ71" s="751">
        <f>AZ64-AY64</f>
        <v>-27197</v>
      </c>
      <c r="BA71" s="751">
        <f>BA64-AZ64</f>
        <v>83962</v>
      </c>
      <c r="BB71" s="751">
        <f>BB64-BA64</f>
        <v>-883099</v>
      </c>
      <c r="BC71" s="751">
        <f>BC64-BB64</f>
        <v>266040</v>
      </c>
      <c r="BD71" s="226">
        <f>BD64-AY64</f>
        <v>-560294</v>
      </c>
      <c r="BE71" s="751">
        <f>BE64-BD64</f>
        <v>-12581</v>
      </c>
      <c r="BF71" s="751">
        <f>BF64-BE64</f>
        <v>275923</v>
      </c>
      <c r="BG71" s="751">
        <f>BG64-BF64</f>
        <v>-173677</v>
      </c>
      <c r="BH71" s="751">
        <f>BH64-BG64</f>
        <v>-35630</v>
      </c>
      <c r="BI71" s="226">
        <f>BI64-BD64</f>
        <v>54035</v>
      </c>
      <c r="BJ71" s="751">
        <f>BJ64-BI64</f>
        <v>84660</v>
      </c>
      <c r="BK71" s="751">
        <f>BK64-BJ64</f>
        <v>47973</v>
      </c>
      <c r="BL71" s="751">
        <f>BL64-BK64</f>
        <v>-12853</v>
      </c>
      <c r="BM71" s="751">
        <f>BM64-BL64</f>
        <v>-97112</v>
      </c>
      <c r="BN71" s="226">
        <f>BN64-BI64</f>
        <v>22668</v>
      </c>
      <c r="BO71" s="751">
        <f>BO64-BN64</f>
        <v>8978</v>
      </c>
      <c r="BP71" s="751">
        <f>BP64-BO64</f>
        <v>-80037</v>
      </c>
      <c r="BQ71" s="751">
        <f>BQ64-BP64</f>
        <v>103382</v>
      </c>
      <c r="BR71" s="751">
        <f>BR64-BQ64</f>
        <v>110393</v>
      </c>
      <c r="BS71" s="226">
        <f>BS64-BN64</f>
        <v>142716</v>
      </c>
      <c r="BT71" s="751">
        <f>BT64-BS64</f>
        <v>-74456</v>
      </c>
      <c r="BU71" s="751">
        <f>BU64-BT64</f>
        <v>-19567</v>
      </c>
      <c r="BV71" s="751">
        <f>BV64-BU64</f>
        <v>-74456</v>
      </c>
      <c r="BW71" s="751">
        <f>BW64-BV64</f>
        <v>352280</v>
      </c>
      <c r="BX71" s="226">
        <f>BX64-BS64</f>
        <v>183801</v>
      </c>
      <c r="BY71" s="751">
        <f>BY64-BX64</f>
        <v>-101991</v>
      </c>
      <c r="BZ71" s="751">
        <f>BZ64-BY64</f>
        <v>337813</v>
      </c>
      <c r="CA71" s="751">
        <f>CA64-BZ64</f>
        <v>-377571</v>
      </c>
      <c r="CB71" s="751">
        <f>CB64-CA64</f>
        <v>1185434</v>
      </c>
      <c r="CC71" s="226">
        <f>CC64-BX64</f>
        <v>1043685</v>
      </c>
      <c r="CD71" s="751">
        <f>CD64-CC64</f>
        <v>-124312</v>
      </c>
      <c r="CE71" s="751">
        <f>CE64-CD64</f>
        <v>-371479</v>
      </c>
      <c r="CF71" s="751">
        <f ca="1">CF64-CE64</f>
        <v>-161575.4554664949</v>
      </c>
      <c r="CG71" s="751">
        <f ca="1">CG64-CF64</f>
        <v>-228147.87725629378</v>
      </c>
      <c r="CH71" s="226">
        <f ca="1">CH64-CC64</f>
        <v>-885514.33272278868</v>
      </c>
      <c r="CI71" s="751">
        <f ca="1">CI64-CH64</f>
        <v>-13291.807863976806</v>
      </c>
      <c r="CJ71" s="751">
        <f ca="1">CJ64-CI64</f>
        <v>522815.60884916689</v>
      </c>
      <c r="CK71" s="751">
        <f ca="1">CK64-CJ64</f>
        <v>-401718.84657259937</v>
      </c>
      <c r="CL71" s="751">
        <f ca="1">CL64-CK64</f>
        <v>-519735.82223547064</v>
      </c>
      <c r="CM71" s="226">
        <f ca="1">CM64-CH64</f>
        <v>-411930.86782287993</v>
      </c>
      <c r="CN71" s="751">
        <f ca="1">CN64-CM64</f>
        <v>-256200.45709236525</v>
      </c>
      <c r="CO71" s="751">
        <f ca="1">CO64-CN64</f>
        <v>1524101.0644522561</v>
      </c>
      <c r="CP71" s="751">
        <f ca="1">CP64-CO64</f>
        <v>-342172.47259831708</v>
      </c>
      <c r="CQ71" s="751">
        <f ca="1">CQ64-CP64</f>
        <v>-582828.62386349589</v>
      </c>
      <c r="CR71" s="226">
        <f ca="1">CR64-CM64</f>
        <v>342899.51089807786</v>
      </c>
      <c r="CS71" s="751">
        <f ca="1">CS64-CR64</f>
        <v>-521495.95702731796</v>
      </c>
      <c r="CT71" s="751">
        <f ca="1">CT64-CS64</f>
        <v>1565364.4201835794</v>
      </c>
      <c r="CU71" s="751">
        <f ca="1">CU64-CT64</f>
        <v>-540904.3878182834</v>
      </c>
      <c r="CV71" s="751">
        <f ca="1">CV64-CU64</f>
        <v>-597882.92668800801</v>
      </c>
      <c r="CW71" s="226">
        <f ca="1">CW64-CR64</f>
        <v>-94918.85135002993</v>
      </c>
      <c r="CX71" s="751">
        <f ca="1">CX64-CW64</f>
        <v>-420702.72029862739</v>
      </c>
      <c r="CY71" s="751">
        <f ca="1">CY64-CX64</f>
        <v>1596252.1664434988</v>
      </c>
      <c r="CZ71" s="751">
        <f ca="1">CZ64-CY64</f>
        <v>-733049.29638366587</v>
      </c>
      <c r="DA71" s="751">
        <f ca="1">DA64-CZ64</f>
        <v>-881112.55888516083</v>
      </c>
      <c r="DB71" s="226">
        <f ca="1">DB64-CW64</f>
        <v>-438612.40912395529</v>
      </c>
    </row>
    <row r="72" spans="1:106" ht="11.5" customHeight="1" x14ac:dyDescent="0.35">
      <c r="A72" s="19" t="s">
        <v>131</v>
      </c>
      <c r="B72" s="397">
        <v>0</v>
      </c>
      <c r="C72" s="397">
        <v>0</v>
      </c>
      <c r="D72" s="397">
        <v>0</v>
      </c>
      <c r="E72" s="397">
        <v>0</v>
      </c>
      <c r="F72" s="29">
        <f>SUM(B72:E72)</f>
        <v>0</v>
      </c>
      <c r="G72" s="397">
        <v>0</v>
      </c>
      <c r="H72" s="397">
        <f>-142559-G72</f>
        <v>-142559</v>
      </c>
      <c r="I72" s="397">
        <f>-142559-H72-G72</f>
        <v>0</v>
      </c>
      <c r="J72" s="397">
        <f>-142559-I72-H72-G72</f>
        <v>0</v>
      </c>
      <c r="K72" s="29">
        <f>SUM(G72:J72)</f>
        <v>-142559</v>
      </c>
      <c r="L72" s="397">
        <v>0</v>
      </c>
      <c r="M72" s="397">
        <f>-118283-L72</f>
        <v>-118283</v>
      </c>
      <c r="N72" s="397">
        <f>-118283-M72-L72</f>
        <v>0</v>
      </c>
      <c r="O72" s="397">
        <f>-118283-N72-M72-L72</f>
        <v>0</v>
      </c>
      <c r="P72" s="29">
        <f>SUM(L72:O72)</f>
        <v>-118283</v>
      </c>
      <c r="Q72" s="397">
        <v>0</v>
      </c>
      <c r="R72" s="397">
        <f>-280320-Q72</f>
        <v>-280320</v>
      </c>
      <c r="S72" s="397">
        <f>-208751-R72-Q72</f>
        <v>71569</v>
      </c>
      <c r="T72" s="397">
        <f>-208755-S72-R72-Q72</f>
        <v>-4</v>
      </c>
      <c r="U72" s="29">
        <f>SUM(Q72:T72)</f>
        <v>-208755</v>
      </c>
      <c r="V72" s="397">
        <v>0</v>
      </c>
      <c r="W72" s="397">
        <f>-170670-V72</f>
        <v>-170670</v>
      </c>
      <c r="X72" s="397">
        <f>-170826-W72-V72</f>
        <v>-156</v>
      </c>
      <c r="Y72" s="397">
        <f>-170648-X72-W72-V72</f>
        <v>178</v>
      </c>
      <c r="Z72" s="29">
        <f>SUM(V72:Y72)</f>
        <v>-170648</v>
      </c>
      <c r="AA72" s="397">
        <v>0</v>
      </c>
      <c r="AB72" s="397">
        <f>-157284-AA72</f>
        <v>-157284</v>
      </c>
      <c r="AC72" s="397">
        <f>-157284-AB72-AA72</f>
        <v>0</v>
      </c>
      <c r="AD72" s="397">
        <f>-156979-AC72-AB72-AA72</f>
        <v>305</v>
      </c>
      <c r="AE72" s="29">
        <f>SUM(AA72:AD72)</f>
        <v>-156979</v>
      </c>
      <c r="AF72" s="397">
        <v>0</v>
      </c>
      <c r="AG72" s="397">
        <f>-106657-AF72</f>
        <v>-106657</v>
      </c>
      <c r="AH72" s="397">
        <f>-106657-AG72-AF72</f>
        <v>0</v>
      </c>
      <c r="AI72" s="397">
        <f>-106658-AH72-AG72-AF72</f>
        <v>-1</v>
      </c>
      <c r="AJ72" s="29">
        <f>SUM(AF72:AI72)</f>
        <v>-106658</v>
      </c>
      <c r="AK72" s="397">
        <v>0</v>
      </c>
      <c r="AL72" s="397">
        <f>-35946-AK72</f>
        <v>-35946</v>
      </c>
      <c r="AM72" s="397">
        <f>-35946-AL72-AK72</f>
        <v>0</v>
      </c>
      <c r="AN72" s="397">
        <f>-35946-AM72-AL72-AK72</f>
        <v>0</v>
      </c>
      <c r="AO72" s="29">
        <f>SUM(AK72:AN72)</f>
        <v>-35946</v>
      </c>
      <c r="AP72" s="397">
        <v>0</v>
      </c>
      <c r="AQ72" s="397">
        <v>0</v>
      </c>
      <c r="AR72" s="397">
        <f>-200000-AQ72-AP72</f>
        <v>-200000</v>
      </c>
      <c r="AS72" s="397">
        <f>-430000-AR72-AQ72-AP72</f>
        <v>-230000</v>
      </c>
      <c r="AT72" s="29">
        <f>SUM(AP72:AS72)</f>
        <v>-430000</v>
      </c>
      <c r="AU72" s="397">
        <v>0</v>
      </c>
      <c r="AV72" s="397">
        <v>0</v>
      </c>
      <c r="AW72" s="397">
        <f>-300000-AV72-AU72</f>
        <v>-300000</v>
      </c>
      <c r="AX72" s="397">
        <f>-700000-AW72-AV72-AU72</f>
        <v>-400000</v>
      </c>
      <c r="AY72" s="29">
        <f>SUM(AU72:AX72)</f>
        <v>-700000</v>
      </c>
      <c r="AZ72" s="397">
        <v>0</v>
      </c>
      <c r="BA72" s="397">
        <v>0</v>
      </c>
      <c r="BB72" s="397">
        <v>0</v>
      </c>
      <c r="BC72" s="397">
        <f>-600000-BB72-BA72-AZ72</f>
        <v>-600000</v>
      </c>
      <c r="BD72" s="29">
        <f>SUM(AZ72:BC72)</f>
        <v>-600000</v>
      </c>
      <c r="BE72" s="397">
        <v>0</v>
      </c>
      <c r="BF72" s="397">
        <f>-418062-BE72</f>
        <v>-418062</v>
      </c>
      <c r="BG72" s="397">
        <f>-418062-BF72-BE72</f>
        <v>0</v>
      </c>
      <c r="BH72" s="397">
        <f>-418062-BG72-BF72-BE72</f>
        <v>0</v>
      </c>
      <c r="BI72" s="29">
        <f>SUM(BE72:BH72)</f>
        <v>-418062</v>
      </c>
      <c r="BJ72" s="397">
        <v>0</v>
      </c>
      <c r="BK72" s="397">
        <v>0</v>
      </c>
      <c r="BL72" s="397">
        <v>0</v>
      </c>
      <c r="BM72" s="574">
        <f>-25034-BL72-BK72-BJ72</f>
        <v>-25034</v>
      </c>
      <c r="BN72" s="29">
        <f>SUM(BJ72:BM72)</f>
        <v>-25034</v>
      </c>
      <c r="BO72" s="397">
        <v>-17</v>
      </c>
      <c r="BP72" s="397">
        <f>-17-BO72</f>
        <v>0</v>
      </c>
      <c r="BQ72" s="397">
        <f>-192126-BP72-BO72</f>
        <v>-192109</v>
      </c>
      <c r="BR72" s="397">
        <f>-317126-BQ72-BP72-BO72</f>
        <v>-125000</v>
      </c>
      <c r="BS72" s="29">
        <f>SUM(BO72:BR72)</f>
        <v>-317126</v>
      </c>
      <c r="BT72" s="574">
        <v>0</v>
      </c>
      <c r="BU72" s="574">
        <v>0</v>
      </c>
      <c r="BV72" s="574">
        <v>0</v>
      </c>
      <c r="BW72" s="574">
        <f>-223746-BV72-BU72-BT72</f>
        <v>-223746</v>
      </c>
      <c r="BX72" s="29">
        <f>SUM(BT72:BW72)</f>
        <v>-223746</v>
      </c>
      <c r="BY72" s="574">
        <v>0</v>
      </c>
      <c r="BZ72" s="574">
        <v>0</v>
      </c>
      <c r="CA72" s="574">
        <v>0</v>
      </c>
      <c r="CB72" s="574">
        <v>-1391637</v>
      </c>
      <c r="CC72" s="29">
        <f>SUM(BY72:CB72)</f>
        <v>-1391637</v>
      </c>
      <c r="CD72" s="574">
        <v>0</v>
      </c>
      <c r="CE72" s="574">
        <v>0</v>
      </c>
      <c r="CF72" s="422">
        <f>-IS!CF55+(CF39-CE39)</f>
        <v>0</v>
      </c>
      <c r="CG72" s="422">
        <f>-IS!CG55+(CG39-CF39)</f>
        <v>0</v>
      </c>
      <c r="CH72" s="29">
        <f>SUM(CD72:CG72)</f>
        <v>0</v>
      </c>
      <c r="CI72" s="422">
        <f ca="1">-IS!CI55+(CI39-CH39)</f>
        <v>0</v>
      </c>
      <c r="CJ72" s="422">
        <f ca="1">-IS!CJ55+(CJ39-CI39)</f>
        <v>-943446.08653175994</v>
      </c>
      <c r="CK72" s="422">
        <f>-IS!CK55+(CK39-CJ39)</f>
        <v>0</v>
      </c>
      <c r="CL72" s="422">
        <f>-IS!CL55+(CL39-CK39)</f>
        <v>0</v>
      </c>
      <c r="CM72" s="29">
        <f ca="1">SUM(CI72:CL72)</f>
        <v>-943446.08653175994</v>
      </c>
      <c r="CN72" s="422">
        <f ca="1">-IS!CN55+(CN39-CM39)</f>
        <v>0</v>
      </c>
      <c r="CO72" s="422">
        <f ca="1">-IS!CO55+(CO39-CN39)</f>
        <v>-1889332.9087317602</v>
      </c>
      <c r="CP72" s="422">
        <f>-IS!CP55+(CP39-CO39)</f>
        <v>0</v>
      </c>
      <c r="CQ72" s="422">
        <f>-IS!CQ55+(CQ39-CP39)</f>
        <v>0</v>
      </c>
      <c r="CR72" s="29">
        <f ca="1">SUM(CN72:CQ72)</f>
        <v>-1889332.9087317602</v>
      </c>
      <c r="CS72" s="422">
        <f ca="1">-IS!CS55+(CS39-CR39)</f>
        <v>0</v>
      </c>
      <c r="CT72" s="422">
        <f ca="1">-IS!CT55+(CT39-CS39)</f>
        <v>-2097084.7156087356</v>
      </c>
      <c r="CU72" s="422">
        <f>-IS!CU55+(CU39-CT39)</f>
        <v>0</v>
      </c>
      <c r="CV72" s="422">
        <f>-IS!CV55+(CV39-CU39)</f>
        <v>0</v>
      </c>
      <c r="CW72" s="29">
        <f ca="1">SUM(CS72:CV72)</f>
        <v>-2097084.7156087356</v>
      </c>
      <c r="CX72" s="422">
        <f ca="1">-IS!CX55+(CX39-CW39)</f>
        <v>0</v>
      </c>
      <c r="CY72" s="422">
        <f ca="1">-IS!CY55+(CY39-CX39)</f>
        <v>-2257976.1885702363</v>
      </c>
      <c r="CZ72" s="422">
        <f>-IS!CZ55+(CZ39-CY39)</f>
        <v>0</v>
      </c>
      <c r="DA72" s="422">
        <f>-IS!DA55+(DA39-CZ39)</f>
        <v>0</v>
      </c>
      <c r="DB72" s="29">
        <f ca="1">SUM(CX72:DA72)</f>
        <v>-2257976.1885702363</v>
      </c>
    </row>
    <row r="73" spans="1:106" ht="11.5" customHeight="1" x14ac:dyDescent="0.35">
      <c r="A73" s="19" t="s">
        <v>132</v>
      </c>
      <c r="B73" s="397">
        <v>0</v>
      </c>
      <c r="C73" s="397">
        <v>0</v>
      </c>
      <c r="D73" s="397">
        <v>0</v>
      </c>
      <c r="E73" s="397">
        <v>0</v>
      </c>
      <c r="F73" s="29">
        <f>SUM(B73:E73)</f>
        <v>0</v>
      </c>
      <c r="G73" s="397">
        <v>0</v>
      </c>
      <c r="H73" s="397">
        <v>0</v>
      </c>
      <c r="I73" s="397">
        <f>-108156-H73-G73</f>
        <v>-108156</v>
      </c>
      <c r="J73" s="397">
        <f>-161863-I73-H73-G73</f>
        <v>-53707</v>
      </c>
      <c r="K73" s="29">
        <f>SUM(G73:J73)</f>
        <v>-161863</v>
      </c>
      <c r="L73" s="397">
        <v>0</v>
      </c>
      <c r="M73" s="397">
        <f>-8-L73</f>
        <v>-8</v>
      </c>
      <c r="N73" s="397">
        <f>-12-M73-L73</f>
        <v>-4</v>
      </c>
      <c r="O73" s="397">
        <f>-13-N73-M73-L73</f>
        <v>-1</v>
      </c>
      <c r="P73" s="29">
        <f>SUM(L73:O73)</f>
        <v>-13</v>
      </c>
      <c r="Q73" s="397">
        <v>0</v>
      </c>
      <c r="R73" s="397">
        <f>-8-Q73</f>
        <v>-8</v>
      </c>
      <c r="S73" s="397">
        <f>36-R73-Q73</f>
        <v>44</v>
      </c>
      <c r="T73" s="397">
        <f>-108851-S73-R73-Q73</f>
        <v>-108887</v>
      </c>
      <c r="U73" s="29">
        <f>SUM(Q73:T73)</f>
        <v>-108851</v>
      </c>
      <c r="V73" s="397">
        <v>-54139</v>
      </c>
      <c r="W73" s="397">
        <f>-155141-V73</f>
        <v>-101002</v>
      </c>
      <c r="X73" s="397">
        <f>-238538-W73-V73</f>
        <v>-83397</v>
      </c>
      <c r="Y73" s="397">
        <f>-302434-X73-W73-V73</f>
        <v>-63896</v>
      </c>
      <c r="Z73" s="29">
        <f>SUM(V73:Y73)</f>
        <v>-302434</v>
      </c>
      <c r="AA73" s="397">
        <f>-46418</f>
        <v>-46418</v>
      </c>
      <c r="AB73" s="397">
        <f>-46604-AA73</f>
        <v>-186</v>
      </c>
      <c r="AC73" s="397">
        <f>-46430-AB73-AA73</f>
        <v>174</v>
      </c>
      <c r="AD73" s="397">
        <f>-46417-AC73-AB73-AA73</f>
        <v>13</v>
      </c>
      <c r="AE73" s="29">
        <f>SUM(AA73:AD73)</f>
        <v>-46417</v>
      </c>
      <c r="AF73" s="397">
        <v>0</v>
      </c>
      <c r="AG73" s="397">
        <v>0</v>
      </c>
      <c r="AH73" s="397">
        <v>0</v>
      </c>
      <c r="AI73" s="397">
        <v>0</v>
      </c>
      <c r="AJ73" s="29">
        <f>SUM(AF73:AI73)</f>
        <v>0</v>
      </c>
      <c r="AK73" s="397">
        <v>0</v>
      </c>
      <c r="AL73" s="397">
        <v>0</v>
      </c>
      <c r="AM73" s="397">
        <v>0</v>
      </c>
      <c r="AN73" s="397">
        <v>0</v>
      </c>
      <c r="AO73" s="29">
        <f>SUM(AK73:AN73)</f>
        <v>0</v>
      </c>
      <c r="AP73" s="397">
        <v>0</v>
      </c>
      <c r="AQ73" s="397">
        <v>0</v>
      </c>
      <c r="AR73" s="397">
        <v>0</v>
      </c>
      <c r="AS73" s="397">
        <v>0</v>
      </c>
      <c r="AT73" s="29">
        <f>SUM(AP73:AS73)</f>
        <v>0</v>
      </c>
      <c r="AU73" s="397">
        <v>0</v>
      </c>
      <c r="AV73" s="397">
        <v>0</v>
      </c>
      <c r="AW73" s="397">
        <v>0</v>
      </c>
      <c r="AX73" s="397">
        <v>0</v>
      </c>
      <c r="AY73" s="29">
        <f>SUM(AU73:AX73)</f>
        <v>0</v>
      </c>
      <c r="AZ73" s="397">
        <v>0</v>
      </c>
      <c r="BA73" s="397">
        <v>0</v>
      </c>
      <c r="BB73" s="397">
        <v>0</v>
      </c>
      <c r="BC73" s="397">
        <v>0</v>
      </c>
      <c r="BD73" s="29">
        <f>SUM(AZ73:BC73)</f>
        <v>0</v>
      </c>
      <c r="BE73" s="397">
        <v>0</v>
      </c>
      <c r="BF73" s="397">
        <v>0</v>
      </c>
      <c r="BG73" s="397">
        <v>0</v>
      </c>
      <c r="BH73" s="397">
        <v>0</v>
      </c>
      <c r="BI73" s="29">
        <f>SUM(BE73:BH73)</f>
        <v>0</v>
      </c>
      <c r="BJ73" s="397">
        <v>0</v>
      </c>
      <c r="BK73" s="397">
        <v>0</v>
      </c>
      <c r="BL73" s="397">
        <v>-67000</v>
      </c>
      <c r="BM73" s="574">
        <v>-39000</v>
      </c>
      <c r="BN73" s="29">
        <f>SUM(BJ73:BM73)</f>
        <v>-106000</v>
      </c>
      <c r="BO73" s="397">
        <v>0</v>
      </c>
      <c r="BP73" s="397">
        <v>0</v>
      </c>
      <c r="BQ73" s="397">
        <v>0</v>
      </c>
      <c r="BR73" s="397">
        <f>-10652-BQ73-BP73-BO73</f>
        <v>-10652</v>
      </c>
      <c r="BS73" s="29">
        <f>SUM(BO73:BR73)</f>
        <v>-10652</v>
      </c>
      <c r="BT73" s="574">
        <v>0</v>
      </c>
      <c r="BU73" s="574">
        <v>0</v>
      </c>
      <c r="BV73" s="574">
        <v>0</v>
      </c>
      <c r="BW73" s="574">
        <v>-152379</v>
      </c>
      <c r="BX73" s="29">
        <f>SUM(BT73:BW73)</f>
        <v>-152379</v>
      </c>
      <c r="BY73" s="574">
        <v>-3596</v>
      </c>
      <c r="BZ73" s="574">
        <v>0</v>
      </c>
      <c r="CA73" s="574">
        <v>0</v>
      </c>
      <c r="CB73" s="574">
        <v>-3596</v>
      </c>
      <c r="CC73" s="29">
        <f>SUM(BY73:CB73)</f>
        <v>-7192</v>
      </c>
      <c r="CD73" s="574">
        <v>0</v>
      </c>
      <c r="CE73" s="574">
        <v>0</v>
      </c>
      <c r="CF73" s="422">
        <f>IS!CF50*Valuation!$B$6</f>
        <v>0</v>
      </c>
      <c r="CG73" s="422">
        <f>IS!CG50*Valuation!$B$6</f>
        <v>0</v>
      </c>
      <c r="CH73" s="29">
        <f>SUM(CD73:CG73)</f>
        <v>0</v>
      </c>
      <c r="CI73" s="422">
        <f>IS!CI50*Valuation!$B$6</f>
        <v>0</v>
      </c>
      <c r="CJ73" s="422">
        <f>IS!CJ50*Valuation!$B$6</f>
        <v>0</v>
      </c>
      <c r="CK73" s="422">
        <f>IS!CK50*Valuation!$B$6</f>
        <v>0</v>
      </c>
      <c r="CL73" s="422">
        <f>IS!CL50*Valuation!$B$6</f>
        <v>0</v>
      </c>
      <c r="CM73" s="29">
        <f>SUM(CI73:CL73)</f>
        <v>0</v>
      </c>
      <c r="CN73" s="422">
        <f>IS!CN50*Valuation!$B$6</f>
        <v>0</v>
      </c>
      <c r="CO73" s="422">
        <f>IS!CO50*Valuation!$B$6</f>
        <v>0</v>
      </c>
      <c r="CP73" s="422">
        <f>IS!CP50*Valuation!$B$6</f>
        <v>0</v>
      </c>
      <c r="CQ73" s="422">
        <f>IS!CQ50*Valuation!$B$6</f>
        <v>0</v>
      </c>
      <c r="CR73" s="29">
        <f>SUM(CN73:CQ73)</f>
        <v>0</v>
      </c>
      <c r="CS73" s="422">
        <f>IS!CS50*Valuation!$B$6</f>
        <v>0</v>
      </c>
      <c r="CT73" s="422">
        <f>IS!CT50*Valuation!$B$6</f>
        <v>0</v>
      </c>
      <c r="CU73" s="422">
        <f>IS!CU50*Valuation!$B$6</f>
        <v>0</v>
      </c>
      <c r="CV73" s="422">
        <f>IS!CV50*Valuation!$B$6</f>
        <v>0</v>
      </c>
      <c r="CW73" s="29">
        <f>SUM(CS73:CV73)</f>
        <v>0</v>
      </c>
      <c r="CX73" s="422">
        <f>IS!CX50*Valuation!$B$6</f>
        <v>0</v>
      </c>
      <c r="CY73" s="422">
        <f>IS!CY50*Valuation!$B$6</f>
        <v>0</v>
      </c>
      <c r="CZ73" s="422">
        <f>IS!CZ50*Valuation!$B$6</f>
        <v>0</v>
      </c>
      <c r="DA73" s="422">
        <f>IS!DA50*Valuation!$B$6</f>
        <v>0</v>
      </c>
      <c r="DB73" s="29">
        <f>SUM(CX73:DA73)</f>
        <v>0</v>
      </c>
    </row>
    <row r="74" spans="1:106" ht="11.5" customHeight="1" x14ac:dyDescent="0.35">
      <c r="A74" s="19" t="s">
        <v>134</v>
      </c>
      <c r="B74" s="397">
        <v>0</v>
      </c>
      <c r="C74" s="397">
        <v>0</v>
      </c>
      <c r="D74" s="397">
        <v>0</v>
      </c>
      <c r="E74" s="397">
        <v>0</v>
      </c>
      <c r="F74" s="29">
        <f>SUM(B74:E74)</f>
        <v>0</v>
      </c>
      <c r="G74" s="397">
        <v>0</v>
      </c>
      <c r="H74" s="397">
        <v>0</v>
      </c>
      <c r="I74" s="397">
        <v>142000</v>
      </c>
      <c r="J74" s="397">
        <v>0</v>
      </c>
      <c r="K74" s="29">
        <f>SUM(G74:J74)</f>
        <v>142000</v>
      </c>
      <c r="L74" s="397">
        <v>0</v>
      </c>
      <c r="M74" s="397">
        <v>0</v>
      </c>
      <c r="N74" s="397">
        <v>0</v>
      </c>
      <c r="O74" s="397">
        <v>0</v>
      </c>
      <c r="P74" s="29">
        <f>SUM(L74:O74)</f>
        <v>0</v>
      </c>
      <c r="Q74" s="397">
        <v>0</v>
      </c>
      <c r="R74" s="397">
        <v>0</v>
      </c>
      <c r="S74" s="397">
        <v>0</v>
      </c>
      <c r="T74" s="397">
        <v>0</v>
      </c>
      <c r="U74" s="29">
        <f>SUM(Q74:T74)</f>
        <v>0</v>
      </c>
      <c r="V74" s="397">
        <v>0</v>
      </c>
      <c r="W74" s="397">
        <v>0</v>
      </c>
      <c r="X74" s="397">
        <v>0</v>
      </c>
      <c r="Y74" s="397">
        <v>0</v>
      </c>
      <c r="Z74" s="29">
        <f>SUM(V74:Y74)</f>
        <v>0</v>
      </c>
      <c r="AA74" s="397">
        <v>0</v>
      </c>
      <c r="AB74" s="397">
        <v>0</v>
      </c>
      <c r="AC74" s="397">
        <v>0</v>
      </c>
      <c r="AD74" s="397">
        <v>-80000</v>
      </c>
      <c r="AE74" s="29">
        <f>SUM(AA74:AD74)</f>
        <v>-80000</v>
      </c>
      <c r="AF74" s="397">
        <v>0</v>
      </c>
      <c r="AG74" s="397">
        <v>0</v>
      </c>
      <c r="AH74" s="397">
        <v>-73000</v>
      </c>
      <c r="AI74" s="397">
        <v>-1200</v>
      </c>
      <c r="AJ74" s="29">
        <f>SUM(AF74:AI74)</f>
        <v>-74200</v>
      </c>
      <c r="AK74" s="397">
        <v>0</v>
      </c>
      <c r="AL74" s="397">
        <v>-20000</v>
      </c>
      <c r="AM74" s="397">
        <v>103000</v>
      </c>
      <c r="AN74" s="397">
        <v>66000</v>
      </c>
      <c r="AO74" s="29">
        <f>SUM(AK74:AN74)</f>
        <v>149000</v>
      </c>
      <c r="AP74" s="397">
        <v>1600</v>
      </c>
      <c r="AQ74" s="397">
        <v>0</v>
      </c>
      <c r="AR74" s="397">
        <v>56000</v>
      </c>
      <c r="AS74" s="397">
        <v>0</v>
      </c>
      <c r="AT74" s="29">
        <f>SUM(AP74:AS74)</f>
        <v>57600</v>
      </c>
      <c r="AU74" s="397">
        <v>0</v>
      </c>
      <c r="AV74" s="397">
        <v>1000</v>
      </c>
      <c r="AW74" s="397">
        <v>25000</v>
      </c>
      <c r="AX74" s="397">
        <v>52000</v>
      </c>
      <c r="AY74" s="29">
        <f>SUM(AU74:AX74)</f>
        <v>78000</v>
      </c>
      <c r="AZ74" s="397">
        <v>0</v>
      </c>
      <c r="BA74" s="397">
        <v>-28000</v>
      </c>
      <c r="BB74" s="397">
        <v>569000</v>
      </c>
      <c r="BC74" s="397">
        <v>-40000</v>
      </c>
      <c r="BD74" s="29">
        <f>SUM(AZ74:BC74)</f>
        <v>501000</v>
      </c>
      <c r="BE74" s="397">
        <v>0</v>
      </c>
      <c r="BF74" s="397">
        <v>0</v>
      </c>
      <c r="BG74" s="397">
        <v>0</v>
      </c>
      <c r="BH74" s="397">
        <v>0</v>
      </c>
      <c r="BI74" s="29">
        <f>SUM(BE74:BH74)</f>
        <v>0</v>
      </c>
      <c r="BJ74" s="397">
        <v>0</v>
      </c>
      <c r="BK74" s="397">
        <v>0</v>
      </c>
      <c r="BL74" s="397">
        <v>183000</v>
      </c>
      <c r="BM74" s="574">
        <f>411000+22000</f>
        <v>433000</v>
      </c>
      <c r="BN74" s="29">
        <f>SUM(BJ74:BM74)</f>
        <v>616000</v>
      </c>
      <c r="BO74" s="397">
        <f>-52000+132000</f>
        <v>80000</v>
      </c>
      <c r="BP74" s="397">
        <f>16000+34000</f>
        <v>50000</v>
      </c>
      <c r="BQ74" s="397">
        <f>17000+49000</f>
        <v>66000</v>
      </c>
      <c r="BR74" s="397">
        <v>6000</v>
      </c>
      <c r="BS74" s="29">
        <f>SUM(BO74:BR74)</f>
        <v>202000</v>
      </c>
      <c r="BT74" s="397">
        <f>32000+35000</f>
        <v>67000</v>
      </c>
      <c r="BU74" s="397">
        <f>11000+56000</f>
        <v>67000</v>
      </c>
      <c r="BV74" s="574">
        <f>115000-27000</f>
        <v>88000</v>
      </c>
      <c r="BW74" s="574">
        <v>1000</v>
      </c>
      <c r="BX74" s="29">
        <f>SUM(BT74:BW74)</f>
        <v>223000</v>
      </c>
      <c r="BY74" s="397">
        <v>131000</v>
      </c>
      <c r="BZ74" s="397">
        <f>48000+4000</f>
        <v>52000</v>
      </c>
      <c r="CA74" s="397">
        <f>251000+(631000-592000)</f>
        <v>290000</v>
      </c>
      <c r="CB74" s="574">
        <f>(713000-631000)-(106000-169000)</f>
        <v>145000</v>
      </c>
      <c r="CC74" s="29">
        <f>SUM(BY74:CB74)</f>
        <v>618000</v>
      </c>
      <c r="CD74" s="397">
        <f>(803000-713000)-(202000-106000)</f>
        <v>-6000</v>
      </c>
      <c r="CE74" s="397">
        <f>(887000-803000)-(139000-202000)</f>
        <v>147000</v>
      </c>
      <c r="CF74" s="493">
        <v>0</v>
      </c>
      <c r="CG74" s="493">
        <v>0</v>
      </c>
      <c r="CH74" s="29">
        <f>SUM(CD74:CG74)</f>
        <v>141000</v>
      </c>
      <c r="CI74" s="493">
        <v>0</v>
      </c>
      <c r="CJ74" s="493">
        <v>0</v>
      </c>
      <c r="CK74" s="493">
        <v>0</v>
      </c>
      <c r="CL74" s="493">
        <v>0</v>
      </c>
      <c r="CM74" s="29">
        <f>SUM(CI74:CL74)</f>
        <v>0</v>
      </c>
      <c r="CN74" s="493">
        <v>0</v>
      </c>
      <c r="CO74" s="493">
        <v>0</v>
      </c>
      <c r="CP74" s="493">
        <v>0</v>
      </c>
      <c r="CQ74" s="493">
        <v>0</v>
      </c>
      <c r="CR74" s="29">
        <f>SUM(CN74:CQ74)</f>
        <v>0</v>
      </c>
      <c r="CS74" s="493">
        <v>0</v>
      </c>
      <c r="CT74" s="493">
        <v>0</v>
      </c>
      <c r="CU74" s="493">
        <v>0</v>
      </c>
      <c r="CV74" s="493">
        <v>0</v>
      </c>
      <c r="CW74" s="29">
        <f>SUM(CS74:CV74)</f>
        <v>0</v>
      </c>
      <c r="CX74" s="493">
        <v>0</v>
      </c>
      <c r="CY74" s="493">
        <v>0</v>
      </c>
      <c r="CZ74" s="493">
        <v>0</v>
      </c>
      <c r="DA74" s="493">
        <v>0</v>
      </c>
      <c r="DB74" s="29">
        <f>SUM(CX74:DA74)</f>
        <v>0</v>
      </c>
    </row>
    <row r="75" spans="1:106" ht="11.5" customHeight="1" x14ac:dyDescent="0.35">
      <c r="A75" s="32" t="s">
        <v>203</v>
      </c>
      <c r="B75" s="86">
        <f t="shared" ref="B75:AG75" si="159">-(B71+SUM(B72:B74))</f>
        <v>0</v>
      </c>
      <c r="C75" s="86">
        <f t="shared" si="159"/>
        <v>-470378</v>
      </c>
      <c r="D75" s="86">
        <f t="shared" si="159"/>
        <v>-204398</v>
      </c>
      <c r="E75" s="86">
        <f t="shared" si="159"/>
        <v>-284907</v>
      </c>
      <c r="F75" s="87">
        <f t="shared" si="159"/>
        <v>0</v>
      </c>
      <c r="G75" s="86">
        <f t="shared" si="159"/>
        <v>-180893</v>
      </c>
      <c r="H75" s="86">
        <f t="shared" si="159"/>
        <v>-27333</v>
      </c>
      <c r="I75" s="86">
        <f t="shared" si="159"/>
        <v>-278749</v>
      </c>
      <c r="J75" s="86">
        <f t="shared" si="159"/>
        <v>117175</v>
      </c>
      <c r="K75" s="87">
        <f t="shared" si="159"/>
        <v>-369800</v>
      </c>
      <c r="L75" s="86">
        <f t="shared" si="159"/>
        <v>-27674</v>
      </c>
      <c r="M75" s="86">
        <f t="shared" si="159"/>
        <v>67578</v>
      </c>
      <c r="N75" s="86">
        <f t="shared" si="159"/>
        <v>143041</v>
      </c>
      <c r="O75" s="86">
        <f t="shared" si="159"/>
        <v>253727</v>
      </c>
      <c r="P75" s="87">
        <f t="shared" si="159"/>
        <v>436672</v>
      </c>
      <c r="Q75" s="86">
        <f t="shared" si="159"/>
        <v>141215</v>
      </c>
      <c r="R75" s="86">
        <f t="shared" si="159"/>
        <v>262781</v>
      </c>
      <c r="S75" s="86">
        <f t="shared" si="159"/>
        <v>-135296</v>
      </c>
      <c r="T75" s="86">
        <f t="shared" si="159"/>
        <v>15616</v>
      </c>
      <c r="U75" s="87">
        <f t="shared" si="159"/>
        <v>284316</v>
      </c>
      <c r="V75" s="86">
        <f t="shared" si="159"/>
        <v>144668</v>
      </c>
      <c r="W75" s="86">
        <f t="shared" si="159"/>
        <v>164049</v>
      </c>
      <c r="X75" s="86">
        <f t="shared" si="159"/>
        <v>159981</v>
      </c>
      <c r="Y75" s="86">
        <f t="shared" si="159"/>
        <v>390595</v>
      </c>
      <c r="Z75" s="87">
        <f t="shared" si="159"/>
        <v>859293</v>
      </c>
      <c r="AA75" s="86">
        <f t="shared" si="159"/>
        <v>384569</v>
      </c>
      <c r="AB75" s="86">
        <f t="shared" si="159"/>
        <v>255158</v>
      </c>
      <c r="AC75" s="86">
        <f t="shared" si="159"/>
        <v>205404</v>
      </c>
      <c r="AD75" s="86">
        <f t="shared" si="159"/>
        <v>66865</v>
      </c>
      <c r="AE75" s="87">
        <f t="shared" si="159"/>
        <v>911996</v>
      </c>
      <c r="AF75" s="86">
        <f t="shared" si="159"/>
        <v>-41390</v>
      </c>
      <c r="AG75" s="86">
        <f t="shared" si="159"/>
        <v>25867</v>
      </c>
      <c r="AH75" s="86">
        <f t="shared" ref="AH75:BM75" si="160">-(AH71+SUM(AH72:AH74))</f>
        <v>-174747</v>
      </c>
      <c r="AI75" s="86">
        <f t="shared" si="160"/>
        <v>221781</v>
      </c>
      <c r="AJ75" s="87">
        <f t="shared" si="160"/>
        <v>31511</v>
      </c>
      <c r="AK75" s="86">
        <f t="shared" si="160"/>
        <v>137516</v>
      </c>
      <c r="AL75" s="86">
        <f t="shared" si="160"/>
        <v>-108103</v>
      </c>
      <c r="AM75" s="86">
        <f t="shared" si="160"/>
        <v>189147</v>
      </c>
      <c r="AN75" s="86">
        <f t="shared" si="160"/>
        <v>197110</v>
      </c>
      <c r="AO75" s="87">
        <f t="shared" si="160"/>
        <v>415670</v>
      </c>
      <c r="AP75" s="86">
        <f t="shared" si="160"/>
        <v>205236</v>
      </c>
      <c r="AQ75" s="86">
        <f t="shared" si="160"/>
        <v>188111</v>
      </c>
      <c r="AR75" s="86">
        <f t="shared" si="160"/>
        <v>210833</v>
      </c>
      <c r="AS75" s="86">
        <f t="shared" si="160"/>
        <v>177467</v>
      </c>
      <c r="AT75" s="87">
        <f t="shared" si="160"/>
        <v>781647</v>
      </c>
      <c r="AU75" s="86">
        <f t="shared" si="160"/>
        <v>118814</v>
      </c>
      <c r="AV75" s="86">
        <f t="shared" si="160"/>
        <v>191517</v>
      </c>
      <c r="AW75" s="86">
        <f t="shared" si="160"/>
        <v>78317</v>
      </c>
      <c r="AX75" s="86">
        <f t="shared" si="160"/>
        <v>133812</v>
      </c>
      <c r="AY75" s="87">
        <f t="shared" si="160"/>
        <v>522460</v>
      </c>
      <c r="AZ75" s="86">
        <f t="shared" si="160"/>
        <v>27197</v>
      </c>
      <c r="BA75" s="86">
        <f t="shared" si="160"/>
        <v>-55962</v>
      </c>
      <c r="BB75" s="86">
        <f t="shared" si="160"/>
        <v>314099</v>
      </c>
      <c r="BC75" s="86">
        <f t="shared" si="160"/>
        <v>373960</v>
      </c>
      <c r="BD75" s="87">
        <f t="shared" si="160"/>
        <v>659294</v>
      </c>
      <c r="BE75" s="86">
        <f t="shared" si="160"/>
        <v>12581</v>
      </c>
      <c r="BF75" s="86">
        <f t="shared" si="160"/>
        <v>142139</v>
      </c>
      <c r="BG75" s="86">
        <f t="shared" si="160"/>
        <v>173677</v>
      </c>
      <c r="BH75" s="86">
        <f t="shared" si="160"/>
        <v>35630</v>
      </c>
      <c r="BI75" s="87">
        <f t="shared" si="160"/>
        <v>364027</v>
      </c>
      <c r="BJ75" s="86">
        <f t="shared" si="160"/>
        <v>-84660</v>
      </c>
      <c r="BK75" s="86">
        <f t="shared" si="160"/>
        <v>-47973</v>
      </c>
      <c r="BL75" s="86">
        <f t="shared" si="160"/>
        <v>-103147</v>
      </c>
      <c r="BM75" s="86">
        <f t="shared" si="160"/>
        <v>-271854</v>
      </c>
      <c r="BN75" s="87">
        <f t="shared" ref="BN75:CS75" si="161">-(BN71+SUM(BN72:BN74))</f>
        <v>-507634</v>
      </c>
      <c r="BO75" s="86">
        <f t="shared" si="161"/>
        <v>-88961</v>
      </c>
      <c r="BP75" s="86">
        <f t="shared" si="161"/>
        <v>30037</v>
      </c>
      <c r="BQ75" s="86">
        <f t="shared" si="161"/>
        <v>22727</v>
      </c>
      <c r="BR75" s="86">
        <f t="shared" si="161"/>
        <v>19259</v>
      </c>
      <c r="BS75" s="87">
        <f t="shared" si="161"/>
        <v>-16938</v>
      </c>
      <c r="BT75" s="86">
        <f t="shared" si="161"/>
        <v>7456</v>
      </c>
      <c r="BU75" s="86">
        <f t="shared" si="161"/>
        <v>-47433</v>
      </c>
      <c r="BV75" s="86">
        <f t="shared" si="161"/>
        <v>-13544</v>
      </c>
      <c r="BW75" s="86">
        <f t="shared" si="161"/>
        <v>22845</v>
      </c>
      <c r="BX75" s="87">
        <f t="shared" si="161"/>
        <v>-30676</v>
      </c>
      <c r="BY75" s="86">
        <f t="shared" si="161"/>
        <v>-25413</v>
      </c>
      <c r="BZ75" s="86">
        <f>-(BZ71+SUM(BZ72:BZ74))</f>
        <v>-389813</v>
      </c>
      <c r="CA75" s="86">
        <f>-(CA71+SUM(CA72:CA74))</f>
        <v>87571</v>
      </c>
      <c r="CB75" s="86">
        <f t="shared" ref="CB75" si="162">-(CB71+SUM(CB72:CB74))</f>
        <v>64799</v>
      </c>
      <c r="CC75" s="87">
        <f t="shared" si="161"/>
        <v>-262856</v>
      </c>
      <c r="CD75" s="86">
        <f t="shared" ref="CD75" si="163">-(CD71+SUM(CD72:CD74))</f>
        <v>130312</v>
      </c>
      <c r="CE75" s="86">
        <f>-(CE71+SUM(CE72:CE74))</f>
        <v>224479</v>
      </c>
      <c r="CF75" s="86">
        <f t="shared" ca="1" si="161"/>
        <v>161575.4554664949</v>
      </c>
      <c r="CG75" s="86">
        <f t="shared" ca="1" si="161"/>
        <v>228147.87725629378</v>
      </c>
      <c r="CH75" s="87">
        <f ca="1">-(CH71+SUM(CH72:CH74))</f>
        <v>744514.33272278868</v>
      </c>
      <c r="CI75" s="86">
        <f t="shared" ca="1" si="161"/>
        <v>13291.807863976806</v>
      </c>
      <c r="CJ75" s="86">
        <f t="shared" ca="1" si="161"/>
        <v>420630.47768259305</v>
      </c>
      <c r="CK75" s="86">
        <f t="shared" ca="1" si="161"/>
        <v>401718.84657259937</v>
      </c>
      <c r="CL75" s="86">
        <f t="shared" ca="1" si="161"/>
        <v>519735.82223547064</v>
      </c>
      <c r="CM75" s="87">
        <f t="shared" ca="1" si="161"/>
        <v>1355376.9543546399</v>
      </c>
      <c r="CN75" s="86">
        <f t="shared" ca="1" si="161"/>
        <v>256200.45709236525</v>
      </c>
      <c r="CO75" s="86">
        <f t="shared" ca="1" si="161"/>
        <v>365231.84427950415</v>
      </c>
      <c r="CP75" s="86">
        <f t="shared" ca="1" si="161"/>
        <v>342172.47259831708</v>
      </c>
      <c r="CQ75" s="86">
        <f t="shared" ca="1" si="161"/>
        <v>582828.62386349589</v>
      </c>
      <c r="CR75" s="87">
        <f t="shared" ca="1" si="161"/>
        <v>1546433.3978336824</v>
      </c>
      <c r="CS75" s="86">
        <f t="shared" ca="1" si="161"/>
        <v>521495.95702731796</v>
      </c>
      <c r="CT75" s="86">
        <f t="shared" ref="CT75:DB75" ca="1" si="164">-(CT71+SUM(CT72:CT74))</f>
        <v>531720.29542515613</v>
      </c>
      <c r="CU75" s="86">
        <f t="shared" ca="1" si="164"/>
        <v>540904.3878182834</v>
      </c>
      <c r="CV75" s="86">
        <f t="shared" ca="1" si="164"/>
        <v>597882.92668800801</v>
      </c>
      <c r="CW75" s="87">
        <f t="shared" ca="1" si="164"/>
        <v>2192003.5669587655</v>
      </c>
      <c r="CX75" s="86">
        <f t="shared" ca="1" si="164"/>
        <v>420702.72029862739</v>
      </c>
      <c r="CY75" s="86">
        <f t="shared" ca="1" si="164"/>
        <v>661724.02212673752</v>
      </c>
      <c r="CZ75" s="86">
        <f t="shared" ca="1" si="164"/>
        <v>733049.29638366587</v>
      </c>
      <c r="DA75" s="86">
        <f t="shared" ca="1" si="164"/>
        <v>881112.55888516083</v>
      </c>
      <c r="DB75" s="87">
        <f t="shared" ca="1" si="164"/>
        <v>2696588.5976941916</v>
      </c>
    </row>
    <row r="76" spans="1:106" s="15" customFormat="1" ht="11.5" customHeight="1" thickBot="1" x14ac:dyDescent="0.4">
      <c r="A76" s="124" t="s">
        <v>206</v>
      </c>
      <c r="B76" s="129"/>
      <c r="C76" s="129"/>
      <c r="D76" s="129"/>
      <c r="E76" s="130"/>
      <c r="F76" s="131"/>
      <c r="G76" s="129"/>
      <c r="H76" s="129"/>
      <c r="I76" s="129"/>
      <c r="J76" s="130"/>
      <c r="K76" s="131"/>
      <c r="L76" s="129"/>
      <c r="M76" s="129"/>
      <c r="N76" s="129"/>
      <c r="O76" s="130"/>
      <c r="P76" s="131"/>
      <c r="Q76" s="129"/>
      <c r="R76" s="129"/>
      <c r="S76" s="129"/>
      <c r="T76" s="130"/>
      <c r="U76" s="131"/>
      <c r="V76" s="129"/>
      <c r="W76" s="129"/>
      <c r="X76" s="129"/>
      <c r="Y76" s="130"/>
      <c r="Z76" s="131"/>
      <c r="AA76" s="129"/>
      <c r="AB76" s="129"/>
      <c r="AC76" s="129"/>
      <c r="AD76" s="130"/>
      <c r="AE76" s="131"/>
      <c r="AF76" s="129"/>
      <c r="AG76" s="129"/>
      <c r="AH76" s="129"/>
      <c r="AI76" s="130"/>
      <c r="AJ76" s="131"/>
      <c r="AK76" s="129"/>
      <c r="AL76" s="129"/>
      <c r="AM76" s="129"/>
      <c r="AN76" s="130"/>
      <c r="AO76" s="131"/>
      <c r="AP76" s="129"/>
      <c r="AQ76" s="129"/>
      <c r="AR76" s="129"/>
      <c r="AS76" s="130"/>
      <c r="AT76" s="131"/>
      <c r="AU76" s="129"/>
      <c r="AV76" s="129"/>
      <c r="AW76" s="129"/>
      <c r="AX76" s="130"/>
      <c r="AY76" s="131"/>
      <c r="AZ76" s="129"/>
      <c r="BA76" s="129"/>
      <c r="BB76" s="129"/>
      <c r="BC76" s="130"/>
      <c r="BD76" s="131"/>
      <c r="BE76" s="129"/>
      <c r="BF76" s="129"/>
      <c r="BG76" s="129"/>
      <c r="BH76" s="130"/>
      <c r="BI76" s="131"/>
      <c r="BJ76" s="129"/>
      <c r="BK76" s="129"/>
      <c r="BL76" s="129"/>
      <c r="BM76" s="130"/>
      <c r="BN76" s="131"/>
      <c r="BO76" s="129"/>
      <c r="BP76" s="129"/>
      <c r="BQ76" s="129"/>
      <c r="BR76" s="130"/>
      <c r="BS76" s="131"/>
      <c r="BT76" s="129"/>
      <c r="BU76" s="129"/>
      <c r="BV76" s="129"/>
      <c r="BW76" s="130"/>
      <c r="BX76" s="131"/>
      <c r="BY76" s="129"/>
      <c r="BZ76" s="129"/>
      <c r="CA76" s="129"/>
      <c r="CB76" s="130"/>
      <c r="CC76" s="131"/>
      <c r="CD76" s="129"/>
      <c r="CE76" s="129"/>
      <c r="CF76" s="129"/>
      <c r="CG76" s="130"/>
      <c r="CH76" s="131"/>
      <c r="CI76" s="129"/>
      <c r="CJ76" s="129"/>
      <c r="CK76" s="129"/>
      <c r="CL76" s="130"/>
      <c r="CM76" s="131"/>
      <c r="CN76" s="129"/>
      <c r="CO76" s="129"/>
      <c r="CP76" s="129"/>
      <c r="CQ76" s="130"/>
      <c r="CR76" s="131"/>
      <c r="CS76" s="129"/>
      <c r="CT76" s="129"/>
      <c r="CU76" s="129"/>
      <c r="CV76" s="130"/>
      <c r="CW76" s="131"/>
      <c r="CX76" s="129"/>
      <c r="CY76" s="129"/>
      <c r="CZ76" s="129"/>
      <c r="DA76" s="130"/>
      <c r="DB76" s="131"/>
    </row>
    <row r="77" spans="1:106" s="7" customFormat="1" ht="11.5" customHeight="1" outlineLevel="1" thickTop="1" x14ac:dyDescent="0.35">
      <c r="A77" s="127" t="s">
        <v>142</v>
      </c>
      <c r="B77" s="559">
        <f>IS!B45</f>
        <v>174240</v>
      </c>
      <c r="C77" s="559">
        <f>IS!C45</f>
        <v>167794</v>
      </c>
      <c r="D77" s="559">
        <f>IS!D45</f>
        <v>176034</v>
      </c>
      <c r="E77" s="559">
        <f>IS!E45</f>
        <v>82526</v>
      </c>
      <c r="F77" s="473">
        <f>IS!F45</f>
        <v>600594</v>
      </c>
      <c r="G77" s="559">
        <f>IS!G45</f>
        <v>74181</v>
      </c>
      <c r="H77" s="559">
        <f>IS!H45</f>
        <v>108873</v>
      </c>
      <c r="I77" s="559">
        <f>IS!I45</f>
        <v>146753</v>
      </c>
      <c r="J77" s="559">
        <f>IS!J45</f>
        <v>168364</v>
      </c>
      <c r="K77" s="473">
        <f>IS!K45</f>
        <v>498171</v>
      </c>
      <c r="L77" s="559">
        <f>IS!L45</f>
        <v>117906</v>
      </c>
      <c r="M77" s="559">
        <f>IS!M45</f>
        <v>142745</v>
      </c>
      <c r="N77" s="559">
        <f>IS!N45</f>
        <v>150395</v>
      </c>
      <c r="O77" s="559">
        <f>IS!O45</f>
        <v>249102</v>
      </c>
      <c r="P77" s="473">
        <f>IS!P45</f>
        <v>660148</v>
      </c>
      <c r="Q77" s="559">
        <f>IS!Q45</f>
        <v>172929</v>
      </c>
      <c r="R77" s="559">
        <f>IS!R45</f>
        <v>182777</v>
      </c>
      <c r="S77" s="559">
        <f>IS!S45</f>
        <v>174604</v>
      </c>
      <c r="T77" s="559">
        <f>IS!T45</f>
        <v>182522</v>
      </c>
      <c r="U77" s="473">
        <f>IS!U45</f>
        <v>712832</v>
      </c>
      <c r="V77" s="559">
        <f>IS!V45</f>
        <v>163453</v>
      </c>
      <c r="W77" s="559">
        <f>IS!W45</f>
        <v>168894</v>
      </c>
      <c r="X77" s="559">
        <f>IS!X45</f>
        <v>179129</v>
      </c>
      <c r="Y77" s="559">
        <f>IS!Y45</f>
        <v>150023</v>
      </c>
      <c r="Z77" s="473">
        <f>IS!Z45</f>
        <v>661499</v>
      </c>
      <c r="AA77" s="559">
        <f>IS!AA45</f>
        <v>100541</v>
      </c>
      <c r="AB77" s="559">
        <f>IS!AB45</f>
        <v>118006</v>
      </c>
      <c r="AC77" s="559">
        <f>IS!AC45</f>
        <v>131232</v>
      </c>
      <c r="AD77" s="559">
        <f>IS!AD45</f>
        <v>98021</v>
      </c>
      <c r="AE77" s="473">
        <f>IS!AE45</f>
        <v>447800</v>
      </c>
      <c r="AF77" s="559">
        <f>IS!AF45</f>
        <v>61272</v>
      </c>
      <c r="AG77" s="559">
        <f>IS!AG45</f>
        <v>44703</v>
      </c>
      <c r="AH77" s="559">
        <f>IS!AH45</f>
        <v>14444</v>
      </c>
      <c r="AI77" s="559">
        <f>IS!AI45</f>
        <v>30933</v>
      </c>
      <c r="AJ77" s="473">
        <f>IS!AJ45</f>
        <v>151352</v>
      </c>
      <c r="AK77" s="559">
        <f>IS!AK45</f>
        <v>4025</v>
      </c>
      <c r="AL77" s="559">
        <f>IS!AL45</f>
        <v>-141028</v>
      </c>
      <c r="AM77" s="559">
        <f>IS!AM45</f>
        <v>-6763</v>
      </c>
      <c r="AN77" s="559">
        <f>IS!AN45</f>
        <v>48762</v>
      </c>
      <c r="AO77" s="473">
        <f>IS!AO45</f>
        <v>-95004</v>
      </c>
      <c r="AP77" s="559">
        <f>IS!AP45</f>
        <v>-51284</v>
      </c>
      <c r="AQ77" s="559">
        <f>IS!AQ45</f>
        <v>-28437</v>
      </c>
      <c r="AR77" s="559">
        <f>IS!AR45</f>
        <v>-120753</v>
      </c>
      <c r="AS77" s="559">
        <f>IS!AS45</f>
        <v>116111</v>
      </c>
      <c r="AT77" s="473">
        <f>IS!AT45</f>
        <v>-84363</v>
      </c>
      <c r="AU77" s="559">
        <f>IS!AU45</f>
        <v>48410</v>
      </c>
      <c r="AV77" s="559">
        <f>IS!AV45</f>
        <v>113835</v>
      </c>
      <c r="AW77" s="559">
        <f>IS!AW45</f>
        <v>104383</v>
      </c>
      <c r="AX77" s="559">
        <f>IS!AX45</f>
        <v>149215</v>
      </c>
      <c r="AY77" s="473">
        <f>IS!AY45</f>
        <v>415843</v>
      </c>
      <c r="AZ77" s="559">
        <f>IS!AZ45</f>
        <v>27935</v>
      </c>
      <c r="BA77" s="559">
        <f>IS!BA45</f>
        <v>67811</v>
      </c>
      <c r="BB77" s="559">
        <f>IS!BB45</f>
        <v>1403281</v>
      </c>
      <c r="BC77" s="559">
        <f>IS!BC45</f>
        <v>261231</v>
      </c>
      <c r="BD77" s="473">
        <f>IS!BD45</f>
        <v>1760258</v>
      </c>
      <c r="BE77" s="559">
        <f>IS!BE45</f>
        <v>192285</v>
      </c>
      <c r="BF77" s="559">
        <f>IS!BF45</f>
        <v>266974</v>
      </c>
      <c r="BG77" s="559">
        <f>IS!BG45</f>
        <v>237547</v>
      </c>
      <c r="BH77" s="559">
        <f>IS!BH45</f>
        <v>217549</v>
      </c>
      <c r="BI77" s="473">
        <f>IS!BI45</f>
        <v>914355</v>
      </c>
      <c r="BJ77" s="559">
        <f>IS!BJ45</f>
        <v>161751</v>
      </c>
      <c r="BK77" s="559">
        <f>IS!BK45</f>
        <v>150797</v>
      </c>
      <c r="BL77" s="559">
        <f>IS!BL45</f>
        <v>288628</v>
      </c>
      <c r="BM77" s="559">
        <f>IS!BM45</f>
        <v>207704</v>
      </c>
      <c r="BN77" s="473">
        <f>IS!BN45</f>
        <v>808880</v>
      </c>
      <c r="BO77" s="559">
        <f>IS!BO45</f>
        <v>163576</v>
      </c>
      <c r="BP77" s="559">
        <f>IS!BP45</f>
        <v>279385</v>
      </c>
      <c r="BQ77" s="559">
        <f>IS!BQ45</f>
        <v>251319</v>
      </c>
      <c r="BR77" s="559">
        <f>IS!BR45</f>
        <v>247810</v>
      </c>
      <c r="BS77" s="473">
        <f>IS!BS45</f>
        <v>942090</v>
      </c>
      <c r="BT77" s="559">
        <f>IS!BT45</f>
        <v>267258</v>
      </c>
      <c r="BU77" s="559">
        <f>IS!BU45</f>
        <v>412005</v>
      </c>
      <c r="BV77" s="559">
        <f>IS!BV45</f>
        <v>473101</v>
      </c>
      <c r="BW77" s="559">
        <f>IS!BW45</f>
        <v>588632</v>
      </c>
      <c r="BX77" s="473">
        <f>IS!BX45</f>
        <v>1740996</v>
      </c>
      <c r="BY77" s="559">
        <f>IS!BY45</f>
        <v>327632</v>
      </c>
      <c r="BZ77" s="559">
        <f>IS!BZ45</f>
        <v>387807</v>
      </c>
      <c r="CA77" s="559">
        <f>IS!CA45</f>
        <v>609115</v>
      </c>
      <c r="CB77" s="559">
        <f>IS!CB45</f>
        <v>682202</v>
      </c>
      <c r="CC77" s="473">
        <f>IS!CC45</f>
        <v>2006756</v>
      </c>
      <c r="CD77" s="559">
        <f>IS!CD45</f>
        <v>296776</v>
      </c>
      <c r="CE77" s="559">
        <f>IS!CE45</f>
        <v>451606</v>
      </c>
      <c r="CF77" s="559">
        <f ca="1">IS!CF45</f>
        <v>526589.59437053686</v>
      </c>
      <c r="CG77" s="559">
        <f ca="1">IS!CG45</f>
        <v>611920.57869298302</v>
      </c>
      <c r="CH77" s="473">
        <f ca="1">IS!CH45</f>
        <v>1886892.1730635199</v>
      </c>
      <c r="CI77" s="559">
        <f ca="1">IS!CI45</f>
        <v>598186.46450873488</v>
      </c>
      <c r="CJ77" s="559">
        <f ca="1">IS!CJ45</f>
        <v>549989.4275677409</v>
      </c>
      <c r="CK77" s="559">
        <f ca="1">IS!CK45</f>
        <v>570949.26691046485</v>
      </c>
      <c r="CL77" s="559">
        <f ca="1">IS!CL45</f>
        <v>642540.97692775982</v>
      </c>
      <c r="CM77" s="473">
        <f ca="1">IS!CM45</f>
        <v>2361666.1359147001</v>
      </c>
      <c r="CN77" s="559">
        <f ca="1">IS!CN45</f>
        <v>687859.31239049661</v>
      </c>
      <c r="CO77" s="559">
        <f ca="1">IS!CO45</f>
        <v>620757.82794206496</v>
      </c>
      <c r="CP77" s="559">
        <f ca="1">IS!CP45</f>
        <v>621637.85394329845</v>
      </c>
      <c r="CQ77" s="559">
        <f ca="1">IS!CQ45</f>
        <v>691100.90023505944</v>
      </c>
      <c r="CR77" s="473">
        <f ca="1">IS!CR45</f>
        <v>2621355.8945109192</v>
      </c>
      <c r="CS77" s="559">
        <f ca="1">IS!CS45</f>
        <v>740132.8885729945</v>
      </c>
      <c r="CT77" s="559">
        <f ca="1">IS!CT45</f>
        <v>669423.10540621809</v>
      </c>
      <c r="CU77" s="559">
        <f ca="1">IS!CU45</f>
        <v>672746.38330580911</v>
      </c>
      <c r="CV77" s="559">
        <f ca="1">IS!CV45</f>
        <v>740167.85842777393</v>
      </c>
      <c r="CW77" s="473">
        <f ca="1">IS!CW45</f>
        <v>2822470.2357127955</v>
      </c>
      <c r="CX77" s="559">
        <f ca="1">IS!CX45</f>
        <v>816319.52652669791</v>
      </c>
      <c r="CY77" s="559">
        <f ca="1">IS!CY45</f>
        <v>733924.75903028122</v>
      </c>
      <c r="CZ77" s="559">
        <f ca="1">IS!CZ45</f>
        <v>740908.81434042891</v>
      </c>
      <c r="DA77" s="559">
        <f ca="1">IS!DA45</f>
        <v>816426.45412791753</v>
      </c>
      <c r="DB77" s="473">
        <f ca="1">IS!DB45</f>
        <v>3107579.5540253255</v>
      </c>
    </row>
    <row r="78" spans="1:106" s="7" customFormat="1" ht="11.5" customHeight="1" outlineLevel="1" x14ac:dyDescent="0.35">
      <c r="A78" s="7" t="s">
        <v>116</v>
      </c>
      <c r="B78" s="422">
        <f>IS!B64</f>
        <v>18320</v>
      </c>
      <c r="C78" s="422">
        <f>IS!C64</f>
        <v>10916</v>
      </c>
      <c r="D78" s="422">
        <f>IS!D64</f>
        <v>11322</v>
      </c>
      <c r="E78" s="422">
        <f>IS!E64</f>
        <v>18975</v>
      </c>
      <c r="F78" s="423">
        <f>IS!F64</f>
        <v>59533</v>
      </c>
      <c r="G78" s="422">
        <f>IS!G64</f>
        <v>10409</v>
      </c>
      <c r="H78" s="422">
        <f>IS!H64</f>
        <v>6201</v>
      </c>
      <c r="I78" s="422">
        <f>IS!I64</f>
        <v>9000</v>
      </c>
      <c r="J78" s="422">
        <f>IS!J64</f>
        <v>7507</v>
      </c>
      <c r="K78" s="423">
        <f>IS!K64</f>
        <v>33117</v>
      </c>
      <c r="L78" s="422">
        <f>IS!L64</f>
        <v>22651</v>
      </c>
      <c r="M78" s="422">
        <f>IS!M64</f>
        <v>32515</v>
      </c>
      <c r="N78" s="422">
        <f>IS!N64</f>
        <v>30082</v>
      </c>
      <c r="O78" s="422">
        <f>IS!O64</f>
        <v>-65386</v>
      </c>
      <c r="P78" s="423">
        <f>IS!P64</f>
        <v>19862</v>
      </c>
      <c r="Q78" s="422">
        <f>IS!Q64</f>
        <v>26262</v>
      </c>
      <c r="R78" s="422">
        <f>IS!R64</f>
        <v>25204</v>
      </c>
      <c r="S78" s="422">
        <f>IS!S64</f>
        <v>25591</v>
      </c>
      <c r="T78" s="422">
        <f>IS!T64</f>
        <v>18955</v>
      </c>
      <c r="U78" s="423">
        <f>IS!U64</f>
        <v>96012</v>
      </c>
      <c r="V78" s="422">
        <f>IS!V64</f>
        <v>24639</v>
      </c>
      <c r="W78" s="422">
        <f>IS!W64</f>
        <v>23136</v>
      </c>
      <c r="X78" s="422">
        <f>IS!X64</f>
        <v>19917</v>
      </c>
      <c r="Y78" s="422">
        <f>IS!Y64</f>
        <v>12408</v>
      </c>
      <c r="Z78" s="423">
        <f>IS!Z64</f>
        <v>80100</v>
      </c>
      <c r="AA78" s="422">
        <f>IS!AA64</f>
        <v>18848</v>
      </c>
      <c r="AB78" s="422">
        <f>IS!AB64</f>
        <v>17303</v>
      </c>
      <c r="AC78" s="422">
        <f>IS!AC64</f>
        <v>21106</v>
      </c>
      <c r="AD78" s="422">
        <f>IS!AD64</f>
        <v>9932</v>
      </c>
      <c r="AE78" s="423">
        <f>IS!AE64</f>
        <v>67189</v>
      </c>
      <c r="AF78" s="422">
        <f>IS!AF64</f>
        <v>29847</v>
      </c>
      <c r="AG78" s="422">
        <f>IS!AG64</f>
        <v>17590</v>
      </c>
      <c r="AH78" s="422">
        <f>IS!AH64</f>
        <v>25607</v>
      </c>
      <c r="AI78" s="422">
        <f>IS!AI64</f>
        <v>15588</v>
      </c>
      <c r="AJ78" s="423">
        <f>IS!AJ64</f>
        <v>88632</v>
      </c>
      <c r="AK78" s="422">
        <f>IS!AK64</f>
        <v>21342</v>
      </c>
      <c r="AL78" s="422">
        <f>IS!AL64</f>
        <v>28661</v>
      </c>
      <c r="AM78" s="422">
        <f>IS!AM64</f>
        <v>761</v>
      </c>
      <c r="AN78" s="422">
        <f>IS!AN64</f>
        <v>-6308</v>
      </c>
      <c r="AO78" s="423">
        <f>IS!AO64</f>
        <v>44456</v>
      </c>
      <c r="AP78" s="422">
        <f>IS!AP64</f>
        <v>15867</v>
      </c>
      <c r="AQ78" s="422">
        <f>IS!AQ64</f>
        <v>9584</v>
      </c>
      <c r="AR78" s="422">
        <f>IS!AR64</f>
        <v>22894</v>
      </c>
      <c r="AS78" s="422">
        <f>IS!AS64</f>
        <v>13024</v>
      </c>
      <c r="AT78" s="423">
        <f>IS!AT64</f>
        <v>61369</v>
      </c>
      <c r="AU78" s="422">
        <f>IS!AU64</f>
        <v>24359</v>
      </c>
      <c r="AV78" s="422">
        <f>IS!AV64</f>
        <v>-7881</v>
      </c>
      <c r="AW78" s="422">
        <f>IS!AW64</f>
        <v>31538</v>
      </c>
      <c r="AX78" s="422">
        <f>IS!AX64</f>
        <v>26662</v>
      </c>
      <c r="AY78" s="423">
        <f>IS!AY64</f>
        <v>74678</v>
      </c>
      <c r="AZ78" s="422">
        <f>IS!AZ64</f>
        <v>17199</v>
      </c>
      <c r="BA78" s="422">
        <f>IS!BA64</f>
        <v>13725</v>
      </c>
      <c r="BB78" s="422">
        <f>IS!BB64</f>
        <v>8963</v>
      </c>
      <c r="BC78" s="422">
        <f>IS!BC64</f>
        <v>11276</v>
      </c>
      <c r="BD78" s="423">
        <f>IS!BD64</f>
        <v>51163</v>
      </c>
      <c r="BE78" s="422">
        <f>IS!BE64</f>
        <v>10932</v>
      </c>
      <c r="BF78" s="422">
        <f>IS!BF64</f>
        <v>10462</v>
      </c>
      <c r="BG78" s="422">
        <f>IS!BG64</f>
        <v>11020</v>
      </c>
      <c r="BH78" s="422">
        <f>IS!BH64</f>
        <v>7758</v>
      </c>
      <c r="BI78" s="423">
        <f>IS!BI64</f>
        <v>40172</v>
      </c>
      <c r="BJ78" s="422">
        <f>IS!BJ64</f>
        <v>8532</v>
      </c>
      <c r="BK78" s="422">
        <f>IS!BK64</f>
        <v>9251</v>
      </c>
      <c r="BL78" s="422">
        <f>IS!BL64</f>
        <v>22832</v>
      </c>
      <c r="BM78" s="422">
        <f>IS!BM64</f>
        <v>22658</v>
      </c>
      <c r="BN78" s="423">
        <f>IS!BN64</f>
        <v>63273</v>
      </c>
      <c r="BO78" s="422">
        <f>IS!BO64</f>
        <v>29284</v>
      </c>
      <c r="BP78" s="422">
        <f>IS!BP64</f>
        <v>16071</v>
      </c>
      <c r="BQ78" s="422">
        <f>IS!BQ64</f>
        <v>42302</v>
      </c>
      <c r="BR78" s="422">
        <f>IS!BR64</f>
        <v>3292</v>
      </c>
      <c r="BS78" s="423">
        <f>IS!BS64</f>
        <v>90949</v>
      </c>
      <c r="BT78" s="422">
        <f>IS!BT64</f>
        <v>23638</v>
      </c>
      <c r="BU78" s="422">
        <f>IS!BU64</f>
        <v>16365</v>
      </c>
      <c r="BV78" s="422">
        <f>IS!BV64</f>
        <v>39999</v>
      </c>
      <c r="BW78" s="422">
        <f>IS!BW64</f>
        <v>20057</v>
      </c>
      <c r="BX78" s="423">
        <f>IS!BX64</f>
        <v>100059</v>
      </c>
      <c r="BY78" s="422">
        <f>IS!BY64</f>
        <v>30272</v>
      </c>
      <c r="BZ78" s="422">
        <f>IS!BZ64</f>
        <v>23802</v>
      </c>
      <c r="CA78" s="422">
        <f>IS!CA64</f>
        <v>28629</v>
      </c>
      <c r="CB78" s="422">
        <f>IS!CB64</f>
        <v>49872</v>
      </c>
      <c r="CC78" s="423">
        <f>IS!CC64</f>
        <v>132575</v>
      </c>
      <c r="CD78" s="422">
        <f>IS!CD64</f>
        <v>54583</v>
      </c>
      <c r="CE78" s="422">
        <f>IS!CE64</f>
        <v>41166</v>
      </c>
      <c r="CF78" s="422">
        <f>IS!CF64</f>
        <v>42795.670501209162</v>
      </c>
      <c r="CG78" s="422">
        <f>IS!CG64</f>
        <v>43074.129503825498</v>
      </c>
      <c r="CH78" s="423">
        <f>IS!CH64</f>
        <v>181618.80000503466</v>
      </c>
      <c r="CI78" s="422">
        <f>IS!CI64</f>
        <v>43354.400358323808</v>
      </c>
      <c r="CJ78" s="422">
        <f>IS!CJ64</f>
        <v>43636.494853898243</v>
      </c>
      <c r="CK78" s="422">
        <f>IS!CK64</f>
        <v>43920.424856451791</v>
      </c>
      <c r="CL78" s="422">
        <f>IS!CL64</f>
        <v>44206.202309095461</v>
      </c>
      <c r="CM78" s="423">
        <f>IS!CM64</f>
        <v>175117.52237776929</v>
      </c>
      <c r="CN78" s="422">
        <f>IS!CN64</f>
        <v>44493.839232650585</v>
      </c>
      <c r="CO78" s="422">
        <f>IS!CO64</f>
        <v>44783.347726154512</v>
      </c>
      <c r="CP78" s="422">
        <f>IS!CP64</f>
        <v>45074.739967369504</v>
      </c>
      <c r="CQ78" s="422">
        <f>IS!CQ64</f>
        <v>45368.02821329498</v>
      </c>
      <c r="CR78" s="423">
        <f>IS!CR64</f>
        <v>179719.95513946959</v>
      </c>
      <c r="CS78" s="422">
        <f>IS!CS64</f>
        <v>45663.224800683121</v>
      </c>
      <c r="CT78" s="422">
        <f>IS!CT64</f>
        <v>45960.342146557734</v>
      </c>
      <c r="CU78" s="422">
        <f>IS!CU64</f>
        <v>46259.392748736624</v>
      </c>
      <c r="CV78" s="422">
        <f>IS!CV64</f>
        <v>46560.389186357257</v>
      </c>
      <c r="CW78" s="423">
        <f>IS!CW64</f>
        <v>184443.34888233474</v>
      </c>
      <c r="CX78" s="422">
        <f>IS!CX64</f>
        <v>46863.344120405905</v>
      </c>
      <c r="CY78" s="422">
        <f>IS!CY64</f>
        <v>47168.270294250193</v>
      </c>
      <c r="CZ78" s="422">
        <f>IS!CZ64</f>
        <v>47475.180534175124</v>
      </c>
      <c r="DA78" s="422">
        <f>IS!DA64</f>
        <v>47784.087749922648</v>
      </c>
      <c r="DB78" s="423">
        <f>IS!DB64</f>
        <v>189290.88269875388</v>
      </c>
    </row>
    <row r="79" spans="1:106" s="7" customFormat="1" ht="11.5" customHeight="1" outlineLevel="1" x14ac:dyDescent="0.35">
      <c r="A79" s="7" t="s">
        <v>143</v>
      </c>
      <c r="B79" s="422"/>
      <c r="C79" s="422">
        <f>(SUM('BS &amp; FCF'!C33:C38)-SUM('BS &amp; FCF'!B33:B38)+SUM('BS &amp; FCF'!C40:C41)-SUM('BS &amp; FCF'!B40:B41))-(('BS &amp; FCF'!C8-'BS &amp; FCF'!B8)+('BS &amp; FCF'!C12-'BS &amp; FCF'!B12)+(SUM('BS &amp; FCF'!C16:C19)-SUM('BS &amp; FCF'!B16:B19)))</f>
        <v>-404259</v>
      </c>
      <c r="D79" s="422">
        <f>(SUM('BS &amp; FCF'!D33:D38)-SUM('BS &amp; FCF'!C33:C38)+SUM('BS &amp; FCF'!D40:D41)-SUM('BS &amp; FCF'!C40:C41))-(('BS &amp; FCF'!D8-'BS &amp; FCF'!C8)+('BS &amp; FCF'!D12-'BS &amp; FCF'!C12)+(SUM('BS &amp; FCF'!D16:D19)-SUM('BS &amp; FCF'!C16:C19)))</f>
        <v>-439072</v>
      </c>
      <c r="E79" s="422">
        <f>(SUM('BS &amp; FCF'!E33:E38)-SUM('BS &amp; FCF'!D33:D38)+SUM('BS &amp; FCF'!E40:E41)-SUM('BS &amp; FCF'!D40:D41))-(('BS &amp; FCF'!E8-'BS &amp; FCF'!D8)+('BS &amp; FCF'!E12-'BS &amp; FCF'!D12)+(SUM('BS &amp; FCF'!E16:E19)-SUM('BS &amp; FCF'!D16:D19)))</f>
        <v>-483302</v>
      </c>
      <c r="F79" s="428"/>
      <c r="G79" s="422">
        <f>(SUM('BS &amp; FCF'!G33:G38)-SUM('BS &amp; FCF'!F33:F38)+SUM('BS &amp; FCF'!G40:G41)-SUM('BS &amp; FCF'!F40:F41))-(('BS &amp; FCF'!G8-'BS &amp; FCF'!F8)+('BS &amp; FCF'!G12-'BS &amp; FCF'!F12)+(SUM('BS &amp; FCF'!G16:G19)-SUM('BS &amp; FCF'!F16:F19)))</f>
        <v>-226139</v>
      </c>
      <c r="H79" s="422">
        <f>(SUM('BS &amp; FCF'!H33:H38)-SUM('BS &amp; FCF'!G33:G38)+SUM('BS &amp; FCF'!H40:H41)-SUM('BS &amp; FCF'!G40:G41))-(('BS &amp; FCF'!H8-'BS &amp; FCF'!G8)+('BS &amp; FCF'!H12-'BS &amp; FCF'!G12)+(SUM('BS &amp; FCF'!H16:H19)-SUM('BS &amp; FCF'!G16:G19)))</f>
        <v>-120002</v>
      </c>
      <c r="I79" s="422">
        <f>(SUM('BS &amp; FCF'!I33:I38)-SUM('BS &amp; FCF'!H33:H38)+SUM('BS &amp; FCF'!I40:I41)-SUM('BS &amp; FCF'!H40:H41))-(('BS &amp; FCF'!I8-'BS &amp; FCF'!H8)+('BS &amp; FCF'!I12-'BS &amp; FCF'!H12)+(SUM('BS &amp; FCF'!I16:I19)-SUM('BS &amp; FCF'!H16:H19)))</f>
        <v>-260894</v>
      </c>
      <c r="J79" s="422">
        <f>(SUM('BS &amp; FCF'!J33:J38)-SUM('BS &amp; FCF'!I33:I38)+SUM('BS &amp; FCF'!J40:J41)-SUM('BS &amp; FCF'!I40:I41))-(('BS &amp; FCF'!J8-'BS &amp; FCF'!I8)+('BS &amp; FCF'!J12-'BS &amp; FCF'!I12)+(SUM('BS &amp; FCF'!J16:J19)-SUM('BS &amp; FCF'!I16:I19)))</f>
        <v>336</v>
      </c>
      <c r="K79" s="423">
        <f>(SUM('BS &amp; FCF'!K33:K38)-SUM('BS &amp; FCF'!F33:F38)+SUM('BS &amp; FCF'!K40:K41)-SUM('BS &amp; FCF'!F40:F41))-(('BS &amp; FCF'!K8-'BS &amp; FCF'!F8)+('BS &amp; FCF'!K12-'BS &amp; FCF'!F12)+(SUM('BS &amp; FCF'!K16:K19)-SUM('BS &amp; FCF'!F16:F19)))</f>
        <v>-606699</v>
      </c>
      <c r="L79" s="422">
        <f>(SUM('BS &amp; FCF'!L33:L38)-SUM('BS &amp; FCF'!K33:K38)+SUM('BS &amp; FCF'!L40:L41)-SUM('BS &amp; FCF'!K40:K41))-(('BS &amp; FCF'!L8-'BS &amp; FCF'!K8)+('BS &amp; FCF'!L12-'BS &amp; FCF'!K12)+(SUM('BS &amp; FCF'!L16:L19)-SUM('BS &amp; FCF'!K16:K19)))</f>
        <v>-60429</v>
      </c>
      <c r="M79" s="422">
        <f>(SUM('BS &amp; FCF'!M33:M38)-SUM('BS &amp; FCF'!L33:L38)+SUM('BS &amp; FCF'!M40:M41)-SUM('BS &amp; FCF'!L40:L41))-(('BS &amp; FCF'!M8-'BS &amp; FCF'!L8)+('BS &amp; FCF'!M12-'BS &amp; FCF'!L12)+(SUM('BS &amp; FCF'!M16:M19)-SUM('BS &amp; FCF'!L16:L19)))</f>
        <v>-122396</v>
      </c>
      <c r="N79" s="422">
        <f>(SUM('BS &amp; FCF'!N33:N38)-SUM('BS &amp; FCF'!M33:M38)+SUM('BS &amp; FCF'!N40:N41)-SUM('BS &amp; FCF'!M40:M41))-(('BS &amp; FCF'!N8-'BS &amp; FCF'!M8)+('BS &amp; FCF'!N12-'BS &amp; FCF'!M12)+(SUM('BS &amp; FCF'!N16:N19)-SUM('BS &amp; FCF'!M16:M19)))</f>
        <v>-62639</v>
      </c>
      <c r="O79" s="422">
        <f>(SUM('BS &amp; FCF'!O33:O38)-SUM('BS &amp; FCF'!N33:N38)+SUM('BS &amp; FCF'!O40:O41)-SUM('BS &amp; FCF'!N40:N41))-(('BS &amp; FCF'!O8-'BS &amp; FCF'!N8)+('BS &amp; FCF'!O12-'BS &amp; FCF'!N12)+(SUM('BS &amp; FCF'!O16:O19)-SUM('BS &amp; FCF'!N16:N19)))</f>
        <v>312373</v>
      </c>
      <c r="P79" s="423">
        <f>(SUM('BS &amp; FCF'!P33:P38)-SUM('BS &amp; FCF'!K33:K38)+SUM('BS &amp; FCF'!P40:P41)-SUM('BS &amp; FCF'!K40:K41))-(('BS &amp; FCF'!P8-'BS &amp; FCF'!K8)+('BS &amp; FCF'!P12-'BS &amp; FCF'!K12)+(SUM('BS &amp; FCF'!P16:P19)-SUM('BS &amp; FCF'!K16:K19)))</f>
        <v>66909</v>
      </c>
      <c r="Q79" s="422">
        <f>(SUM('BS &amp; FCF'!Q33:Q38)-SUM('BS &amp; FCF'!P33:P38)+SUM('BS &amp; FCF'!Q40:Q41)-SUM('BS &amp; FCF'!P40:P41))-(('BS &amp; FCF'!Q8-'BS &amp; FCF'!P8)+('BS &amp; FCF'!Q12-'BS &amp; FCF'!P12)+(SUM('BS &amp; FCF'!Q16:Q19)-SUM('BS &amp; FCF'!P16:P19)))</f>
        <v>48069</v>
      </c>
      <c r="R79" s="422">
        <f>(SUM('BS &amp; FCF'!R33:R38)-SUM('BS &amp; FCF'!Q33:Q38)+SUM('BS &amp; FCF'!R40:R41)-SUM('BS &amp; FCF'!Q40:Q41))-(('BS &amp; FCF'!R8-'BS &amp; FCF'!Q8)+('BS &amp; FCF'!R12-'BS &amp; FCF'!Q12)+(SUM('BS &amp; FCF'!R16:R19)-SUM('BS &amp; FCF'!Q16:Q19)))</f>
        <v>-236347</v>
      </c>
      <c r="S79" s="422">
        <f>(SUM('BS &amp; FCF'!S33:S38)-SUM('BS &amp; FCF'!R33:R38)+SUM('BS &amp; FCF'!S40:S41)-SUM('BS &amp; FCF'!R40:R41))-(('BS &amp; FCF'!S8-'BS &amp; FCF'!R8)+('BS &amp; FCF'!S12-'BS &amp; FCF'!R12)+(SUM('BS &amp; FCF'!S16:S19)-SUM('BS &amp; FCF'!R16:R19)))</f>
        <v>-259367</v>
      </c>
      <c r="T79" s="422">
        <f>(SUM('BS &amp; FCF'!T33:T38)-SUM('BS &amp; FCF'!S33:S38)+SUM('BS &amp; FCF'!T40:T41)-SUM('BS &amp; FCF'!S40:S41))-(('BS &amp; FCF'!T8-'BS &amp; FCF'!S8)+('BS &amp; FCF'!T12-'BS &amp; FCF'!S12)+(SUM('BS &amp; FCF'!T16:T19)-SUM('BS &amp; FCF'!S16:S19)))</f>
        <v>-250086</v>
      </c>
      <c r="U79" s="423">
        <f>(SUM('BS &amp; FCF'!U33:U38)-SUM('BS &amp; FCF'!P33:P38)+SUM('BS &amp; FCF'!U40:U41)-SUM('BS &amp; FCF'!P40:P41))-(('BS &amp; FCF'!U8-'BS &amp; FCF'!P8)+('BS &amp; FCF'!U12-'BS &amp; FCF'!P12)+(SUM('BS &amp; FCF'!U16:U19)-SUM('BS &amp; FCF'!P16:P19)))</f>
        <v>-697731</v>
      </c>
      <c r="V79" s="422">
        <f>(SUM('BS &amp; FCF'!V33:V38)-SUM('BS &amp; FCF'!U33:U38)+SUM('BS &amp; FCF'!V40:V41)-SUM('BS &amp; FCF'!U40:U41))-(('BS &amp; FCF'!V8-'BS &amp; FCF'!U8)+('BS &amp; FCF'!V12-'BS &amp; FCF'!U12)+(SUM('BS &amp; FCF'!V16:V19)-SUM('BS &amp; FCF'!U16:U19)))</f>
        <v>59837</v>
      </c>
      <c r="W79" s="422">
        <f>(SUM('BS &amp; FCF'!W33:W38)-SUM('BS &amp; FCF'!V33:V38)+SUM('BS &amp; FCF'!W40:W41)-SUM('BS &amp; FCF'!V40:V41))-(('BS &amp; FCF'!W8-'BS &amp; FCF'!V8)+('BS &amp; FCF'!W12-'BS &amp; FCF'!V12)+(SUM('BS &amp; FCF'!W16:W19)-SUM('BS &amp; FCF'!V16:V19)))</f>
        <v>-61962</v>
      </c>
      <c r="X79" s="422">
        <f>(SUM('BS &amp; FCF'!X33:X38)-SUM('BS &amp; FCF'!W33:W38)+SUM('BS &amp; FCF'!X40:X41)-SUM('BS &amp; FCF'!W40:W41))-(('BS &amp; FCF'!X8-'BS &amp; FCF'!W8)+('BS &amp; FCF'!X12-'BS &amp; FCF'!W12)+(SUM('BS &amp; FCF'!X16:X19)-SUM('BS &amp; FCF'!W16:W19)))</f>
        <v>-45559</v>
      </c>
      <c r="Y79" s="422">
        <f>(SUM('BS &amp; FCF'!Y33:Y38)-SUM('BS &amp; FCF'!X33:X38)+SUM('BS &amp; FCF'!Y40:Y41)-SUM('BS &amp; FCF'!X40:X41))-(('BS &amp; FCF'!Y8-'BS &amp; FCF'!X8)+('BS &amp; FCF'!Y12-'BS &amp; FCF'!X12)+(SUM('BS &amp; FCF'!Y16:Y19)-SUM('BS &amp; FCF'!X16:X19)))</f>
        <v>248458</v>
      </c>
      <c r="Z79" s="423">
        <f>(SUM('BS &amp; FCF'!Z33:Z38)-SUM('BS &amp; FCF'!U33:U38)+SUM('BS &amp; FCF'!Z40:Z41)-SUM('BS &amp; FCF'!U40:U41))-(('BS &amp; FCF'!Z8-'BS &amp; FCF'!U8)+('BS &amp; FCF'!Z12-'BS &amp; FCF'!U12)+(SUM('BS &amp; FCF'!Z16:Z19)-SUM('BS &amp; FCF'!U16:U19)))</f>
        <v>200774</v>
      </c>
      <c r="AA79" s="422">
        <f>(SUM('BS &amp; FCF'!AA33:AA38)-SUM('BS &amp; FCF'!Z33:Z38)+SUM('BS &amp; FCF'!AA40:AA41)-SUM('BS &amp; FCF'!Z40:Z41))-(('BS &amp; FCF'!AA8-'BS &amp; FCF'!Z8)+('BS &amp; FCF'!AA12-'BS &amp; FCF'!Z12)+(SUM('BS &amp; FCF'!AA16:AA19)-SUM('BS &amp; FCF'!Z16:Z19)))</f>
        <v>252706</v>
      </c>
      <c r="AB79" s="422">
        <f>(SUM('BS &amp; FCF'!AB33:AB38)-SUM('BS &amp; FCF'!AA33:AA38)+SUM('BS &amp; FCF'!AB40:AB41)-SUM('BS &amp; FCF'!AA40:AA41))-(('BS &amp; FCF'!AB8-'BS &amp; FCF'!AA8)+('BS &amp; FCF'!AB12-'BS &amp; FCF'!AA12)+(SUM('BS &amp; FCF'!AB16:AB19)-SUM('BS &amp; FCF'!AA16:AA19)))</f>
        <v>367180</v>
      </c>
      <c r="AC79" s="422">
        <f>(SUM('BS &amp; FCF'!AC33:AC38)-SUM('BS &amp; FCF'!AB33:AB38)+SUM('BS &amp; FCF'!AC40:AC41)-SUM('BS &amp; FCF'!AB40:AB41))-(('BS &amp; FCF'!AC8-'BS &amp; FCF'!AB8)+('BS &amp; FCF'!AC12-'BS &amp; FCF'!AB12)+(SUM('BS &amp; FCF'!AC16:AC19)-SUM('BS &amp; FCF'!AB16:AB19)))</f>
        <v>-215553</v>
      </c>
      <c r="AD79" s="422">
        <f>(SUM('BS &amp; FCF'!AD33:AD38)-SUM('BS &amp; FCF'!AC33:AC38)+SUM('BS &amp; FCF'!AD40:AD41)-SUM('BS &amp; FCF'!AC40:AC41))-(('BS &amp; FCF'!AD8-'BS &amp; FCF'!AC8)+('BS &amp; FCF'!AD12-'BS &amp; FCF'!AC12)+(SUM('BS &amp; FCF'!AD16:AD19)-SUM('BS &amp; FCF'!AC16:AC19)))</f>
        <v>-5918</v>
      </c>
      <c r="AE79" s="423">
        <f>(SUM('BS &amp; FCF'!AE33:AE38)-SUM('BS &amp; FCF'!Z33:Z38)+SUM('BS &amp; FCF'!AE40:AE41)-SUM('BS &amp; FCF'!Z40:Z41))-(('BS &amp; FCF'!AE8-'BS &amp; FCF'!Z8)+('BS &amp; FCF'!AE12-'BS &amp; FCF'!Z12)+(SUM('BS &amp; FCF'!AE16:AE19)-SUM('BS &amp; FCF'!Z16:Z19)))</f>
        <v>398415</v>
      </c>
      <c r="AF79" s="422">
        <f>(SUM('BS &amp; FCF'!AF33:AF38)-SUM('BS &amp; FCF'!AE33:AE38)+SUM('BS &amp; FCF'!AF40:AF41)-SUM('BS &amp; FCF'!AE40:AE41))-(('BS &amp; FCF'!AF8-'BS &amp; FCF'!AE8)+('BS &amp; FCF'!AF12-'BS &amp; FCF'!AE12)+(SUM('BS &amp; FCF'!AF16:AF19)-SUM('BS &amp; FCF'!AE16:AE19)))</f>
        <v>-77861</v>
      </c>
      <c r="AG79" s="422">
        <f>(SUM('BS &amp; FCF'!AG33:AG38)-SUM('BS &amp; FCF'!AF33:AF38)+SUM('BS &amp; FCF'!AG40:AG41)-SUM('BS &amp; FCF'!AF40:AF41))-(('BS &amp; FCF'!AG8-'BS &amp; FCF'!AF8)+('BS &amp; FCF'!AG12-'BS &amp; FCF'!AF12)+(SUM('BS &amp; FCF'!AG16:AG19)-SUM('BS &amp; FCF'!AF16:AF19)))</f>
        <v>-17371</v>
      </c>
      <c r="AH79" s="422">
        <f>(SUM('BS &amp; FCF'!AH33:AH38)-SUM('BS &amp; FCF'!AG33:AG38)+SUM('BS &amp; FCF'!AH40:AH41)-SUM('BS &amp; FCF'!AG40:AG41))-(('BS &amp; FCF'!AH8-'BS &amp; FCF'!AG8)+('BS &amp; FCF'!AH12-'BS &amp; FCF'!AG12)+(SUM('BS &amp; FCF'!AH16:AH19)-SUM('BS &amp; FCF'!AG16:AG19)))</f>
        <v>-193722</v>
      </c>
      <c r="AI79" s="422">
        <f>(SUM('BS &amp; FCF'!AI33:AI38)-SUM('BS &amp; FCF'!AH33:AH38)+SUM('BS &amp; FCF'!AI40:AI41)-SUM('BS &amp; FCF'!AH40:AH41))-(('BS &amp; FCF'!AI8-'BS &amp; FCF'!AH8)+('BS &amp; FCF'!AI12-'BS &amp; FCF'!AH12)+(SUM('BS &amp; FCF'!AI16:AI19)-SUM('BS &amp; FCF'!AH16:AH19)))</f>
        <v>331039</v>
      </c>
      <c r="AJ79" s="423">
        <f>(SUM('BS &amp; FCF'!AJ33:AJ38)-SUM('BS &amp; FCF'!AE33:AE38)+SUM('BS &amp; FCF'!AJ40:AJ41)-SUM('BS &amp; FCF'!AE40:AE41))-(('BS &amp; FCF'!AJ8-'BS &amp; FCF'!AE8)+('BS &amp; FCF'!AJ12-'BS &amp; FCF'!AE12)+(SUM('BS &amp; FCF'!AJ16:AJ19)-SUM('BS &amp; FCF'!AE16:AE19)))</f>
        <v>42085</v>
      </c>
      <c r="AK79" s="422">
        <f>(SUM('BS &amp; FCF'!AK33:AK38)-SUM('BS &amp; FCF'!AJ33:AJ38)+SUM('BS &amp; FCF'!AK40:AK41)-SUM('BS &amp; FCF'!AJ40:AJ41))-(('BS &amp; FCF'!AK8-'BS &amp; FCF'!AJ8)+('BS &amp; FCF'!AK12-'BS &amp; FCF'!AJ12)+(SUM('BS &amp; FCF'!AK16:AK19)-SUM('BS &amp; FCF'!AJ16:AJ19)))</f>
        <v>94490</v>
      </c>
      <c r="AL79" s="422">
        <f>(SUM('BS &amp; FCF'!AL33:AL38)-SUM('BS &amp; FCF'!AK33:AK38)+SUM('BS &amp; FCF'!AL40:AL41)-SUM('BS &amp; FCF'!AK40:AK41))-(('BS &amp; FCF'!AL8-'BS &amp; FCF'!AK8)+('BS &amp; FCF'!AL12-'BS &amp; FCF'!AK12)+(SUM('BS &amp; FCF'!AL16:AL19)-SUM('BS &amp; FCF'!AK16:AK19)))</f>
        <v>295924</v>
      </c>
      <c r="AM79" s="422">
        <f>(SUM('BS &amp; FCF'!AM33:AM38)-SUM('BS &amp; FCF'!AL33:AL38)+SUM('BS &amp; FCF'!AM40:AM41)-SUM('BS &amp; FCF'!AL40:AL41))-(('BS &amp; FCF'!AM8-'BS &amp; FCF'!AL8)+('BS &amp; FCF'!AM12-'BS &amp; FCF'!AL12)+(SUM('BS &amp; FCF'!AM16:AM19)-SUM('BS &amp; FCF'!AL16:AL19)))</f>
        <v>166396</v>
      </c>
      <c r="AN79" s="422">
        <f>(SUM('BS &amp; FCF'!AN33:AN38)-SUM('BS &amp; FCF'!AM33:AM38)+SUM('BS &amp; FCF'!AN40:AN41)-SUM('BS &amp; FCF'!AM40:AM41))-(('BS &amp; FCF'!AN8-'BS &amp; FCF'!AM8)+('BS &amp; FCF'!AN12-'BS &amp; FCF'!AM12)+(SUM('BS &amp; FCF'!AN16:AN19)-SUM('BS &amp; FCF'!AM16:AM19)))</f>
        <v>300737</v>
      </c>
      <c r="AO79" s="423">
        <f>(SUM('BS &amp; FCF'!AO33:AO38)-SUM('BS &amp; FCF'!AJ33:AJ38)+SUM('BS &amp; FCF'!AO40:AO41)-SUM('BS &amp; FCF'!AJ40:AJ41))-(('BS &amp; FCF'!AO8-'BS &amp; FCF'!AJ8)+('BS &amp; FCF'!AO12-'BS &amp; FCF'!AJ12)+(SUM('BS &amp; FCF'!AO16:AO19)-SUM('BS &amp; FCF'!AJ16:AJ19)))</f>
        <v>857547</v>
      </c>
      <c r="AP79" s="422">
        <f>(SUM('BS &amp; FCF'!AP33:AP38)-SUM('BS &amp; FCF'!AO33:AO38)+SUM('BS &amp; FCF'!AP40:AP41)-SUM('BS &amp; FCF'!AO40:AO41))-(('BS &amp; FCF'!AP8-'BS &amp; FCF'!AO8)+('BS &amp; FCF'!AP12-'BS &amp; FCF'!AO12)+(SUM('BS &amp; FCF'!AP16:AP19)-SUM('BS &amp; FCF'!AO16:AO19)))</f>
        <v>633105</v>
      </c>
      <c r="AQ79" s="422">
        <f>(SUM('BS &amp; FCF'!AQ33:AQ38)-SUM('BS &amp; FCF'!AP33:AP38)+SUM('BS &amp; FCF'!AQ40:AQ41)-SUM('BS &amp; FCF'!AP40:AP41))-(('BS &amp; FCF'!AQ8-'BS &amp; FCF'!AP8)+('BS &amp; FCF'!AQ12-'BS &amp; FCF'!AP12)+(SUM('BS &amp; FCF'!AQ16:AQ19)-SUM('BS &amp; FCF'!AP16:AP19)))</f>
        <v>175179</v>
      </c>
      <c r="AR79" s="422">
        <f>(SUM('BS &amp; FCF'!AR33:AR38)-SUM('BS &amp; FCF'!AQ33:AQ38)+SUM('BS &amp; FCF'!AR40:AR41)-SUM('BS &amp; FCF'!AQ40:AQ41))-(('BS &amp; FCF'!AR8-'BS &amp; FCF'!AQ8)+('BS &amp; FCF'!AR12-'BS &amp; FCF'!AQ12)+(SUM('BS &amp; FCF'!AR16:AR19)-SUM('BS &amp; FCF'!AQ16:AQ19)))</f>
        <v>289570</v>
      </c>
      <c r="AS79" s="422">
        <f>(SUM('BS &amp; FCF'!AS33:AS38)-SUM('BS &amp; FCF'!AR33:AR38)+SUM('BS &amp; FCF'!AS40:AS41)-SUM('BS &amp; FCF'!AR40:AR41))-(('BS &amp; FCF'!AS8-'BS &amp; FCF'!AR8)+('BS &amp; FCF'!AS12-'BS &amp; FCF'!AR12)+(SUM('BS &amp; FCF'!AS16:AS19)-SUM('BS &amp; FCF'!AR16:AR19)))</f>
        <v>112747</v>
      </c>
      <c r="AT79" s="423">
        <f>(SUM('BS &amp; FCF'!AT33:AT38)-SUM('BS &amp; FCF'!AO33:AO38)+SUM('BS &amp; FCF'!AT40:AT41)-SUM('BS &amp; FCF'!AO40:AO41))-(('BS &amp; FCF'!AT8-'BS &amp; FCF'!AO8)+('BS &amp; FCF'!AT12-'BS &amp; FCF'!AO12)+(SUM('BS &amp; FCF'!AT16:AT19)-SUM('BS &amp; FCF'!AO16:AO19)))</f>
        <v>1210601</v>
      </c>
      <c r="AU79" s="422">
        <f>(SUM('BS &amp; FCF'!AU33:AU38)-SUM('BS &amp; FCF'!AT33:AT38)+SUM('BS &amp; FCF'!AU40:AU41)-SUM('BS &amp; FCF'!AT40:AT41))-(('BS &amp; FCF'!AU8-'BS &amp; FCF'!AT8)+('BS &amp; FCF'!AU12-'BS &amp; FCF'!AT12)+(SUM('BS &amp; FCF'!AU16:AU19)-SUM('BS &amp; FCF'!AT16:AT19)))</f>
        <v>44177</v>
      </c>
      <c r="AV79" s="422">
        <f>(SUM('BS &amp; FCF'!AV33:AV38)-SUM('BS &amp; FCF'!AU33:AU38)+SUM('BS &amp; FCF'!AV40:AV41)-SUM('BS &amp; FCF'!AU40:AU41))-(('BS &amp; FCF'!AV8-'BS &amp; FCF'!AU8)+('BS &amp; FCF'!AV12-'BS &amp; FCF'!AU12)+(SUM('BS &amp; FCF'!AV16:AV19)-SUM('BS &amp; FCF'!AU16:AU19)))</f>
        <v>242618</v>
      </c>
      <c r="AW79" s="422">
        <f>(SUM('BS &amp; FCF'!AW33:AW38)-SUM('BS &amp; FCF'!AV33:AV38)+SUM('BS &amp; FCF'!AW40:AW41)-SUM('BS &amp; FCF'!AV40:AV41))-(('BS &amp; FCF'!AW8-'BS &amp; FCF'!AV8)+('BS &amp; FCF'!AW12-'BS &amp; FCF'!AV12)+(SUM('BS &amp; FCF'!AW16:AW19)-SUM('BS &amp; FCF'!AV16:AV19)))</f>
        <v>-81799</v>
      </c>
      <c r="AX79" s="422">
        <f>(SUM('BS &amp; FCF'!AX33:AX38)-SUM('BS &amp; FCF'!AW33:AW38)+SUM('BS &amp; FCF'!AX40:AX41)-SUM('BS &amp; FCF'!AW40:AW41))-(('BS &amp; FCF'!AX8-'BS &amp; FCF'!AW8)+('BS &amp; FCF'!AX12-'BS &amp; FCF'!AW12)+(SUM('BS &amp; FCF'!AX16:AX19)-SUM('BS &amp; FCF'!AW16:AW19)))</f>
        <v>100557</v>
      </c>
      <c r="AY79" s="423">
        <f>(SUM('BS &amp; FCF'!AY33:AY38)-SUM('BS &amp; FCF'!AT33:AT38)+SUM('BS &amp; FCF'!AY40:AY41)-SUM('BS &amp; FCF'!AT40:AT41))-(('BS &amp; FCF'!AY8-'BS &amp; FCF'!AT8)+('BS &amp; FCF'!AY12-'BS &amp; FCF'!AT12)+(SUM('BS &amp; FCF'!AY16:AY19)-SUM('BS &amp; FCF'!AT16:AT19)))</f>
        <v>305553</v>
      </c>
      <c r="AZ79" s="422">
        <f>(SUM('BS &amp; FCF'!AZ33:AZ38)-SUM('BS &amp; FCF'!AY33:AY38)+SUM('BS &amp; FCF'!AZ40:AZ41)-SUM('BS &amp; FCF'!AY40:AY41))-(('BS &amp; FCF'!AZ8-'BS &amp; FCF'!AY8)+('BS &amp; FCF'!AZ12-'BS &amp; FCF'!AY12)+(SUM('BS &amp; FCF'!AZ16:AZ19)-SUM('BS &amp; FCF'!AY16:AY19)))</f>
        <v>12475</v>
      </c>
      <c r="BA79" s="422">
        <f>(SUM('BS &amp; FCF'!BA33:BA38)-SUM('BS &amp; FCF'!AZ33:AZ38)+SUM('BS &amp; FCF'!BA40:BA41)-SUM('BS &amp; FCF'!AZ40:AZ41))-(('BS &amp; FCF'!BA8-'BS &amp; FCF'!AZ8)+('BS &amp; FCF'!BA12-'BS &amp; FCF'!AZ12)+(SUM('BS &amp; FCF'!BA16:BA19)-SUM('BS &amp; FCF'!AZ16:AZ19)))</f>
        <v>-139677</v>
      </c>
      <c r="BB79" s="422">
        <f>(SUM('BS &amp; FCF'!BB33:BB38)-SUM('BS &amp; FCF'!BA33:BA38)+SUM('BS &amp; FCF'!BB40:BB41)-SUM('BS &amp; FCF'!BA40:BA41))-(('BS &amp; FCF'!BB8-'BS &amp; FCF'!BA8)+('BS &amp; FCF'!BB12-'BS &amp; FCF'!BA12)+(SUM('BS &amp; FCF'!BB16:BB19)-SUM('BS &amp; FCF'!BA16:BA19)))</f>
        <v>943950</v>
      </c>
      <c r="BC79" s="422">
        <f>(SUM('BS &amp; FCF'!BC33:BC38)-SUM('BS &amp; FCF'!BB33:BB38)+SUM('BS &amp; FCF'!BC40:BC41)-SUM('BS &amp; FCF'!BB40:BB41))-(('BS &amp; FCF'!BC8-'BS &amp; FCF'!BB8)+('BS &amp; FCF'!BC12-'BS &amp; FCF'!BB12)+(SUM('BS &amp; FCF'!BC16:BC19)-SUM('BS &amp; FCF'!BB16:BB19)))</f>
        <v>-55544</v>
      </c>
      <c r="BD79" s="423">
        <f>(SUM('BS &amp; FCF'!BD33:BD38)-SUM('BS &amp; FCF'!AY33:AY38)+SUM('BS &amp; FCF'!BD40:BD41)-SUM('BS &amp; FCF'!AY40:AY41))-(('BS &amp; FCF'!BD8-'BS &amp; FCF'!AY8)+('BS &amp; FCF'!BD12-'BS &amp; FCF'!AY12)+(SUM('BS &amp; FCF'!BD16:BD19)-SUM('BS &amp; FCF'!AY16:AY19)))</f>
        <v>761204</v>
      </c>
      <c r="BE79" s="422">
        <f>(SUM('BS &amp; FCF'!BE33:BE38)-SUM('BS &amp; FCF'!BD33:BD38)+SUM('BS &amp; FCF'!BE40:BE41)-SUM('BS &amp; FCF'!BD40:BD41))-(('BS &amp; FCF'!BE8-'BS &amp; FCF'!BD8)+('BS &amp; FCF'!BE12-'BS &amp; FCF'!BD12)+(SUM('BS &amp; FCF'!BE16:BE19)-SUM('BS &amp; FCF'!BD16:BD19)))</f>
        <v>-117037</v>
      </c>
      <c r="BF79" s="422">
        <f>(SUM('BS &amp; FCF'!BF33:BF38)-SUM('BS &amp; FCF'!BE33:BE38)+SUM('BS &amp; FCF'!BF40:BF41)-SUM('BS &amp; FCF'!BE40:BE41))-(('BS &amp; FCF'!BF8-'BS &amp; FCF'!BE8)+('BS &amp; FCF'!BF12-'BS &amp; FCF'!BE12)+(SUM('BS &amp; FCF'!BF16:BF19)-SUM('BS &amp; FCF'!BE16:BE19)))</f>
        <v>-140135</v>
      </c>
      <c r="BG79" s="422">
        <f>(SUM('BS &amp; FCF'!BG33:BG38)-SUM('BS &amp; FCF'!BF33:BF38)+SUM('BS &amp; FCF'!BG40:BG41)-SUM('BS &amp; FCF'!BF40:BF41))-(('BS &amp; FCF'!BG8-'BS &amp; FCF'!BF8)+('BS &amp; FCF'!BG12-'BS &amp; FCF'!BF12)+(SUM('BS &amp; FCF'!BG16:BG19)-SUM('BS &amp; FCF'!BF16:BF19)))</f>
        <v>-65144</v>
      </c>
      <c r="BH79" s="422">
        <f>(SUM('BS &amp; FCF'!BH33:BH38)-SUM('BS &amp; FCF'!BG33:BG38)+SUM('BS &amp; FCF'!BH40:BH41)-SUM('BS &amp; FCF'!BG40:BG41))-(('BS &amp; FCF'!BH8-'BS &amp; FCF'!BG8)+('BS &amp; FCF'!BH12-'BS &amp; FCF'!BG12)+(SUM('BS &amp; FCF'!BH16:BH19)-SUM('BS &amp; FCF'!BG16:BG19)))</f>
        <v>-296187</v>
      </c>
      <c r="BI79" s="423">
        <f>(SUM('BS &amp; FCF'!BI33:BI38)-SUM('BS &amp; FCF'!BD33:BD38)+SUM('BS &amp; FCF'!BI40:BI41)-SUM('BS &amp; FCF'!BD40:BD41))-(('BS &amp; FCF'!BI8-'BS &amp; FCF'!BD8)+('BS &amp; FCF'!BI12-'BS &amp; FCF'!BD12)+(SUM('BS &amp; FCF'!BI16:BI19)-SUM('BS &amp; FCF'!BD16:BD19)))</f>
        <v>-618503</v>
      </c>
      <c r="BJ79" s="422">
        <f>(SUM('BS &amp; FCF'!BJ33:BJ38)-SUM('BS &amp; FCF'!BI33:BI38)+SUM('BS &amp; FCF'!BJ40:BJ41)-SUM('BS &amp; FCF'!BI40:BI41))-(('BS &amp; FCF'!BJ8-'BS &amp; FCF'!BI8)+('BS &amp; FCF'!BJ12-'BS &amp; FCF'!BI12)+(SUM('BS &amp; FCF'!BJ16:BJ19)-SUM('BS &amp; FCF'!BI16:BI19)))</f>
        <v>-186410</v>
      </c>
      <c r="BK79" s="422">
        <f>(SUM('BS &amp; FCF'!BK33:BK38)-SUM('BS &amp; FCF'!BJ33:BJ38)+SUM('BS &amp; FCF'!BK40:BK41)-SUM('BS &amp; FCF'!BJ40:BJ41))-(('BS &amp; FCF'!BK8-'BS &amp; FCF'!BJ8)+('BS &amp; FCF'!BK12-'BS &amp; FCF'!BJ12)+(SUM('BS &amp; FCF'!BK16:BK19)-SUM('BS &amp; FCF'!BJ16:BJ19)))</f>
        <v>83782</v>
      </c>
      <c r="BL79" s="422">
        <f>(SUM('BS &amp; FCF'!BL33:BL38)-SUM('BS &amp; FCF'!BK33:BK38)+SUM('BS &amp; FCF'!BL40:BL41)-SUM('BS &amp; FCF'!BK40:BK41))-(('BS &amp; FCF'!BL8-'BS &amp; FCF'!BK8)+('BS &amp; FCF'!BL12-'BS &amp; FCF'!BK12)+(SUM('BS &amp; FCF'!BL16:BL19)-SUM('BS &amp; FCF'!BK16:BK19)))</f>
        <v>293798</v>
      </c>
      <c r="BM79" s="422">
        <f>(SUM('BS &amp; FCF'!BM33:BM38)-SUM('BS &amp; FCF'!BL33:BL38)+SUM('BS &amp; FCF'!BM40:BM41)-SUM('BS &amp; FCF'!BL40:BL41))-(('BS &amp; FCF'!BM8-'BS &amp; FCF'!BL8)+('BS &amp; FCF'!BM12-'BS &amp; FCF'!BL12)+(SUM('BS &amp; FCF'!BM16:BM19)-SUM('BS &amp; FCF'!BL16:BL19)))</f>
        <v>-745402</v>
      </c>
      <c r="BN79" s="423">
        <f>(SUM('BS &amp; FCF'!BN33:BN38)-SUM('BS &amp; FCF'!BI33:BI38)+SUM('BS &amp; FCF'!BN40:BN41)-SUM('BS &amp; FCF'!BI40:BI41))-(('BS &amp; FCF'!BN8-'BS &amp; FCF'!BI8)+('BS &amp; FCF'!BN12-'BS &amp; FCF'!BI12)+(SUM('BS &amp; FCF'!BN16:BN19)-SUM('BS &amp; FCF'!BI16:BI19)))</f>
        <v>-554232</v>
      </c>
      <c r="BO79" s="422">
        <f>(SUM('BS &amp; FCF'!BO33:BO38)-SUM('BS &amp; FCF'!BN33:BN38)+SUM('BS &amp; FCF'!BO40:BO41)-SUM('BS &amp; FCF'!BN40:BN41))-(('BS &amp; FCF'!BO8-'BS &amp; FCF'!BN8)+('BS &amp; FCF'!BO12-'BS &amp; FCF'!BN12)+(SUM('BS &amp; FCF'!BO16:BO19)-SUM('BS &amp; FCF'!BN16:BN19)))</f>
        <v>-177603</v>
      </c>
      <c r="BP79" s="422">
        <f>(SUM('BS &amp; FCF'!BP33:BP38)-SUM('BS &amp; FCF'!BO33:BO38)+SUM('BS &amp; FCF'!BP40:BP41)-SUM('BS &amp; FCF'!BO40:BO41))-(('BS &amp; FCF'!BP8-'BS &amp; FCF'!BO8)+('BS &amp; FCF'!BP12-'BS &amp; FCF'!BO12)+(SUM('BS &amp; FCF'!BP16:BP19)-SUM('BS &amp; FCF'!BO16:BO19)))</f>
        <v>-264949</v>
      </c>
      <c r="BQ79" s="422">
        <f>(SUM('BS &amp; FCF'!BQ33:BQ38)-SUM('BS &amp; FCF'!BP33:BP38)+SUM('BS &amp; FCF'!BQ40:BQ41)-SUM('BS &amp; FCF'!BP40:BP41))-(('BS &amp; FCF'!BQ8-'BS &amp; FCF'!BP8)+('BS &amp; FCF'!BQ12-'BS &amp; FCF'!BP12)+(SUM('BS &amp; FCF'!BQ16:BQ19)-SUM('BS &amp; FCF'!BP16:BP19)))</f>
        <v>-123236</v>
      </c>
      <c r="BR79" s="422">
        <f>(SUM('BS &amp; FCF'!BR33:BR38)-SUM('BS &amp; FCF'!BQ33:BQ38)+SUM('BS &amp; FCF'!BR40:BR41)-SUM('BS &amp; FCF'!BQ40:BQ41))-(('BS &amp; FCF'!BR8-'BS &amp; FCF'!BQ8)+('BS &amp; FCF'!BR12-'BS &amp; FCF'!BQ12)+(SUM('BS &amp; FCF'!BR16:BR19)-SUM('BS &amp; FCF'!BQ16:BQ19)))</f>
        <v>-324217</v>
      </c>
      <c r="BS79" s="423">
        <f>(SUM('BS &amp; FCF'!BS33:BS38)-SUM('BS &amp; FCF'!BN33:BN38)+SUM('BS &amp; FCF'!BS40:BS41)-SUM('BS &amp; FCF'!BN40:BN41))-(('BS &amp; FCF'!BS8-'BS &amp; FCF'!BN8)+('BS &amp; FCF'!BS12-'BS &amp; FCF'!BN12)+(SUM('BS &amp; FCF'!BS16:BS19)-SUM('BS &amp; FCF'!BN16:BN19)))</f>
        <v>-890005</v>
      </c>
      <c r="BT79" s="422">
        <f>(SUM('BS &amp; FCF'!BT33:BT38)-SUM('BS &amp; FCF'!BS33:BS38)+SUM('BS &amp; FCF'!BT40:BT41)-SUM('BS &amp; FCF'!BS40:BS41))-(('BS &amp; FCF'!BT8-'BS &amp; FCF'!BS8)+('BS &amp; FCF'!BT12-'BS &amp; FCF'!BS12)+(SUM('BS &amp; FCF'!BT16:BT19)-SUM('BS &amp; FCF'!BS16:BS19)))</f>
        <v>3130</v>
      </c>
      <c r="BU79" s="422">
        <f>(SUM('BS &amp; FCF'!BU33:BU38)-SUM('BS &amp; FCF'!BT33:BT38)+SUM('BS &amp; FCF'!BU40:BU41)-SUM('BS &amp; FCF'!BT40:BT41))-(('BS &amp; FCF'!BU8-'BS &amp; FCF'!BT8)+('BS &amp; FCF'!BU12-'BS &amp; FCF'!BT12)+(SUM('BS &amp; FCF'!BU16:BU19)-SUM('BS &amp; FCF'!BT16:BT19)))</f>
        <v>-482570</v>
      </c>
      <c r="BV79" s="422">
        <f>(SUM('BS &amp; FCF'!BV33:BV38)-SUM('BS &amp; FCF'!BU33:BU38)+SUM('BS &amp; FCF'!BV40:BV41)-SUM('BS &amp; FCF'!BU40:BU41))-(('BS &amp; FCF'!BV8-'BS &amp; FCF'!BU8)+('BS &amp; FCF'!BV12-'BS &amp; FCF'!BU12)+(SUM('BS &amp; FCF'!BV16:BV19)-SUM('BS &amp; FCF'!BU16:BU19)))</f>
        <v>-475798</v>
      </c>
      <c r="BW79" s="422">
        <f>(SUM('BS &amp; FCF'!BW33:BW38)-SUM('BS &amp; FCF'!BV33:BV38)+SUM('BS &amp; FCF'!BW40:BW41)-SUM('BS &amp; FCF'!BV40:BV41))-(('BS &amp; FCF'!BW8-'BS &amp; FCF'!BV8)+('BS &amp; FCF'!BW12-'BS &amp; FCF'!BV12)+(SUM('BS &amp; FCF'!BW16:BW19)-SUM('BS &amp; FCF'!BV16:BV19)))</f>
        <v>-391309</v>
      </c>
      <c r="BX79" s="423">
        <f>(SUM('BS &amp; FCF'!BX33:BX38)-SUM('BS &amp; FCF'!BS33:BS38)+SUM('BS &amp; FCF'!BX40:BX41)-SUM('BS &amp; FCF'!BS40:BS41))-(('BS &amp; FCF'!BX8-'BS &amp; FCF'!BS8)+('BS &amp; FCF'!BX12-'BS &amp; FCF'!BS12)+(SUM('BS &amp; FCF'!BX16:BX19)-SUM('BS &amp; FCF'!BS16:BS19)))</f>
        <v>-1346547</v>
      </c>
      <c r="BY79" s="422">
        <f>(SUM('BS &amp; FCF'!BY33:BY38)-SUM('BS &amp; FCF'!BX33:BX38)+SUM('BS &amp; FCF'!BY40:BY41)-SUM('BS &amp; FCF'!BX40:BX41))-(('BS &amp; FCF'!BY8-'BS &amp; FCF'!BX8)+('BS &amp; FCF'!BY12-'BS &amp; FCF'!BX12)+(SUM('BS &amp; FCF'!BY16:BY19)-SUM('BS &amp; FCF'!BX16:BX19)))</f>
        <v>-103286</v>
      </c>
      <c r="BZ79" s="422">
        <f>(SUM('BS &amp; FCF'!BZ33:BZ38)-SUM('BS &amp; FCF'!BY33:BY38)+SUM('BS &amp; FCF'!BZ40:BZ41)-SUM('BS &amp; FCF'!BY40:BY41))-(('BS &amp; FCF'!BZ8-'BS &amp; FCF'!BY8)+('BS &amp; FCF'!BZ12-'BS &amp; FCF'!BY12)+(SUM('BS &amp; FCF'!BZ16:BZ19)-SUM('BS &amp; FCF'!BY16:BY19)))</f>
        <v>-1094335</v>
      </c>
      <c r="CA79" s="422">
        <f>(SUM('BS &amp; FCF'!CA33:CA38)-SUM('BS &amp; FCF'!BZ33:BZ38)+SUM('BS &amp; FCF'!CA40:CA41)-SUM('BS &amp; FCF'!BZ40:BZ41))-(('BS &amp; FCF'!CA8-'BS &amp; FCF'!BZ8)+('BS &amp; FCF'!CA12-'BS &amp; FCF'!BZ12)+(SUM('BS &amp; FCF'!CA16:CA19)-SUM('BS &amp; FCF'!BZ16:BZ19)))</f>
        <v>-128524</v>
      </c>
      <c r="CB79" s="422">
        <f>(SUM('BS &amp; FCF'!CB33:CB38)-SUM('BS &amp; FCF'!CA33:CA38)+SUM('BS &amp; FCF'!CB40:CB41)-SUM('BS &amp; FCF'!CA40:CA41))-(('BS &amp; FCF'!CB8-'BS &amp; FCF'!CA8)+('BS &amp; FCF'!CB12-'BS &amp; FCF'!CA12)+(SUM('BS &amp; FCF'!CB16:CB19)-SUM('BS &amp; FCF'!CA16:CA19)))</f>
        <v>-416446</v>
      </c>
      <c r="CC79" s="423">
        <f>(SUM('BS &amp; FCF'!CC33:CC38)-SUM('BS &amp; FCF'!BX33:BX38)+SUM('BS &amp; FCF'!CC40:CC41)-SUM('BS &amp; FCF'!BX40:BX41))-(('BS &amp; FCF'!CC8-'BS &amp; FCF'!BX8)+('BS &amp; FCF'!CC12-'BS &amp; FCF'!BX12)+(SUM('BS &amp; FCF'!CC16:CC19)-SUM('BS &amp; FCF'!BX16:BX19)))</f>
        <v>-1742591</v>
      </c>
      <c r="CD79" s="422">
        <f>(SUM('BS &amp; FCF'!CD33:CD38)-SUM('BS &amp; FCF'!CC33:CC38)+SUM('BS &amp; FCF'!CD40:CD41)-SUM('BS &amp; FCF'!CC40:CC41))-(('BS &amp; FCF'!CD8-'BS &amp; FCF'!CC8)+('BS &amp; FCF'!CD12-'BS &amp; FCF'!CC12)+(SUM('BS &amp; FCF'!CD16:CD19)-SUM('BS &amp; FCF'!CC16:CC19)))</f>
        <v>-348478</v>
      </c>
      <c r="CE79" s="422">
        <f>(SUM('BS &amp; FCF'!CE33:CE38)-SUM('BS &amp; FCF'!CD33:CD38)+SUM('BS &amp; FCF'!CE40:CE41)-SUM('BS &amp; FCF'!CD40:CD41))-(('BS &amp; FCF'!CE8-'BS &amp; FCF'!CD8)+('BS &amp; FCF'!CE12-'BS &amp; FCF'!CD12)+(SUM('BS &amp; FCF'!CE16:CE19)-SUM('BS &amp; FCF'!CD16:CD19)))</f>
        <v>228</v>
      </c>
      <c r="CF79" s="422">
        <f>(SUM('BS &amp; FCF'!CF33:CF38)-SUM('BS &amp; FCF'!CE33:CE38)+SUM('BS &amp; FCF'!CF40:CF41)-SUM('BS &amp; FCF'!CE40:CE41))-(('BS &amp; FCF'!CF8-'BS &amp; FCF'!CE8)+('BS &amp; FCF'!CF12-'BS &amp; FCF'!CE12)+(SUM('BS &amp; FCF'!CF16:CF19)-SUM('BS &amp; FCF'!CE16:CE19)))</f>
        <v>-306148.5129561869</v>
      </c>
      <c r="CG79" s="422">
        <f>(SUM('BS &amp; FCF'!CG33:CG38)-SUM('BS &amp; FCF'!CF33:CF38)+SUM('BS &amp; FCF'!CG40:CG41)-SUM('BS &amp; FCF'!CF40:CF41))-(('BS &amp; FCF'!CG8-'BS &amp; FCF'!CF8)+('BS &amp; FCF'!CG12-'BS &amp; FCF'!CF12)+(SUM('BS &amp; FCF'!CG16:CG19)-SUM('BS &amp; FCF'!CF16:CF19)))</f>
        <v>-331243.72903272114</v>
      </c>
      <c r="CH79" s="423">
        <f>(SUM('BS &amp; FCF'!CH33:CH38)-SUM('BS &amp; FCF'!CC33:CC38)+SUM('BS &amp; FCF'!CH40:CH41)-SUM('BS &amp; FCF'!CC40:CC41))-(('BS &amp; FCF'!CH8-'BS &amp; FCF'!CC8)+('BS &amp; FCF'!CH12-'BS &amp; FCF'!CC12)+(SUM('BS &amp; FCF'!CH16:CH19)-SUM('BS &amp; FCF'!CC16:CC19)))</f>
        <v>-985642.24198890803</v>
      </c>
      <c r="CI79" s="422">
        <f>(SUM('BS &amp; FCF'!CI33:CI38)-SUM('BS &amp; FCF'!CH33:CH38)+SUM('BS &amp; FCF'!CI40:CI41)-SUM('BS &amp; FCF'!CH40:CH41))-(('BS &amp; FCF'!CI8-'BS &amp; FCF'!CH8)+('BS &amp; FCF'!CI12-'BS &amp; FCF'!CH12)+(SUM('BS &amp; FCF'!CI16:CI19)-SUM('BS &amp; FCF'!CH16:CH19)))</f>
        <v>-501041.88334262418</v>
      </c>
      <c r="CJ79" s="422">
        <f>(SUM('BS &amp; FCF'!CJ33:CJ38)-SUM('BS &amp; FCF'!CI33:CI38)+SUM('BS &amp; FCF'!CJ40:CJ41)-SUM('BS &amp; FCF'!CI40:CI41))-(('BS &amp; FCF'!CJ8-'BS &amp; FCF'!CI8)+('BS &amp; FCF'!CJ12-'BS &amp; FCF'!CI12)+(SUM('BS &amp; FCF'!CJ16:CJ19)-SUM('BS &amp; FCF'!CI16:CI19)))</f>
        <v>-105917.90489706956</v>
      </c>
      <c r="CK79" s="422">
        <f>(SUM('BS &amp; FCF'!CK33:CK38)-SUM('BS &amp; FCF'!CJ33:CJ38)+SUM('BS &amp; FCF'!CK40:CK41)-SUM('BS &amp; FCF'!CJ40:CJ41))-(('BS &amp; FCF'!CK8-'BS &amp; FCF'!CJ8)+('BS &amp; FCF'!CK12-'BS &amp; FCF'!CJ12)+(SUM('BS &amp; FCF'!CK16:CK19)-SUM('BS &amp; FCF'!CJ16:CJ19)))</f>
        <v>-142837.09412830742</v>
      </c>
      <c r="CL79" s="422">
        <f>(SUM('BS &amp; FCF'!CL33:CL38)-SUM('BS &amp; FCF'!CK33:CK38)+SUM('BS &amp; FCF'!CL40:CL41)-SUM('BS &amp; FCF'!CK40:CK41))-(('BS &amp; FCF'!CL8-'BS &amp; FCF'!CK8)+('BS &amp; FCF'!CL12-'BS &amp; FCF'!CK12)+(SUM('BS &amp; FCF'!CL16:CL19)-SUM('BS &amp; FCF'!CK16:CK19)))</f>
        <v>-103898.63197238022</v>
      </c>
      <c r="CM79" s="423">
        <f>(SUM('BS &amp; FCF'!CM33:CM38)-SUM('BS &amp; FCF'!CH33:CH38)+SUM('BS &amp; FCF'!CM40:CM41)-SUM('BS &amp; FCF'!CH40:CH41))-(('BS &amp; FCF'!CM8-'BS &amp; FCF'!CH8)+('BS &amp; FCF'!CM12-'BS &amp; FCF'!CH12)+(SUM('BS &amp; FCF'!CM16:CM19)-SUM('BS &amp; FCF'!CH16:CH19)))</f>
        <v>-853695.51434038137</v>
      </c>
      <c r="CN79" s="422">
        <f>(SUM('BS &amp; FCF'!CN33:CN38)-SUM('BS &amp; FCF'!CM33:CM38)+SUM('BS &amp; FCF'!CN40:CN41)-SUM('BS &amp; FCF'!CM40:CM41))-(('BS &amp; FCF'!CN8-'BS &amp; FCF'!CM8)+('BS &amp; FCF'!CN12-'BS &amp; FCF'!CM12)+(SUM('BS &amp; FCF'!CN16:CN19)-SUM('BS &amp; FCF'!CM16:CM19)))</f>
        <v>-372028.04180925549</v>
      </c>
      <c r="CO79" s="422">
        <f>(SUM('BS &amp; FCF'!CO33:CO38)-SUM('BS &amp; FCF'!CN33:CN38)+SUM('BS &amp; FCF'!CO40:CO41)-SUM('BS &amp; FCF'!CN40:CN41))-(('BS &amp; FCF'!CO8-'BS &amp; FCF'!CN8)+('BS &amp; FCF'!CO12-'BS &amp; FCF'!CN12)+(SUM('BS &amp; FCF'!CO16:CO19)-SUM('BS &amp; FCF'!CN16:CN19)))</f>
        <v>-216750.2072494491</v>
      </c>
      <c r="CP79" s="422">
        <f>(SUM('BS &amp; FCF'!CP33:CP38)-SUM('BS &amp; FCF'!CO33:CO38)+SUM('BS &amp; FCF'!CP40:CP41)-SUM('BS &amp; FCF'!CO40:CO41))-(('BS &amp; FCF'!CP8-'BS &amp; FCF'!CO8)+('BS &amp; FCF'!CP12-'BS &amp; FCF'!CO12)+(SUM('BS &amp; FCF'!CP16:CP19)-SUM('BS &amp; FCF'!CO16:CO19)))</f>
        <v>-238740.13627600786</v>
      </c>
      <c r="CQ79" s="422">
        <f>(SUM('BS &amp; FCF'!CQ33:CQ38)-SUM('BS &amp; FCF'!CP33:CP38)+SUM('BS &amp; FCF'!CQ40:CQ41)-SUM('BS &amp; FCF'!CP40:CP41))-(('BS &amp; FCF'!CQ8-'BS &amp; FCF'!CP8)+('BS &amp; FCF'!CQ12-'BS &amp; FCF'!CP12)+(SUM('BS &amp; FCF'!CQ16:CQ19)-SUM('BS &amp; FCF'!CP16:CP19)))</f>
        <v>-91306.165513449116</v>
      </c>
      <c r="CR79" s="423">
        <f>(SUM('BS &amp; FCF'!CR33:CR38)-SUM('BS &amp; FCF'!CM33:CM38)+SUM('BS &amp; FCF'!CR40:CR41)-SUM('BS &amp; FCF'!CM40:CM41))-(('BS &amp; FCF'!CR8-'BS &amp; FCF'!CM8)+('BS &amp; FCF'!CR12-'BS &amp; FCF'!CM12)+(SUM('BS &amp; FCF'!CR16:CR19)-SUM('BS &amp; FCF'!CM16:CM19)))</f>
        <v>-918824.55084816157</v>
      </c>
      <c r="CS79" s="422">
        <f>(SUM('BS &amp; FCF'!CS33:CS38)-SUM('BS &amp; FCF'!CR33:CR38)+SUM('BS &amp; FCF'!CS40:CS41)-SUM('BS &amp; FCF'!CR40:CR41))-(('BS &amp; FCF'!CS8-'BS &amp; FCF'!CR8)+('BS &amp; FCF'!CS12-'BS &amp; FCF'!CR12)+(SUM('BS &amp; FCF'!CS16:CS19)-SUM('BS &amp; FCF'!CR16:CR19)))</f>
        <v>-185595.09813333186</v>
      </c>
      <c r="CT79" s="422">
        <f>(SUM('BS &amp; FCF'!CT33:CT38)-SUM('BS &amp; FCF'!CS33:CS38)+SUM('BS &amp; FCF'!CT40:CT41)-SUM('BS &amp; FCF'!CS40:CS41))-(('BS &amp; FCF'!CT8-'BS &amp; FCF'!CS8)+('BS &amp; FCF'!CT12-'BS &amp; FCF'!CS12)+(SUM('BS &amp; FCF'!CT16:CT19)-SUM('BS &amp; FCF'!CS16:CS19)))</f>
        <v>-112448.16743164253</v>
      </c>
      <c r="CU79" s="422">
        <f>(SUM('BS &amp; FCF'!CU33:CU38)-SUM('BS &amp; FCF'!CT33:CT38)+SUM('BS &amp; FCF'!CU40:CU41)-SUM('BS &amp; FCF'!CT40:CT41))-(('BS &amp; FCF'!CU8-'BS &amp; FCF'!CT8)+('BS &amp; FCF'!CU12-'BS &amp; FCF'!CT12)+(SUM('BS &amp; FCF'!CU16:CU19)-SUM('BS &amp; FCF'!CT16:CT19)))</f>
        <v>-108117.55041788123</v>
      </c>
      <c r="CV79" s="422">
        <f>(SUM('BS &amp; FCF'!CV33:CV38)-SUM('BS &amp; FCF'!CU33:CU38)+SUM('BS &amp; FCF'!CV40:CV41)-SUM('BS &amp; FCF'!CU40:CU41))-(('BS &amp; FCF'!CV8-'BS &amp; FCF'!CU8)+('BS &amp; FCF'!CV12-'BS &amp; FCF'!CU12)+(SUM('BS &amp; FCF'!CV16:CV19)-SUM('BS &amp; FCF'!CU16:CU19)))</f>
        <v>-120963.33935048408</v>
      </c>
      <c r="CW79" s="423">
        <f>(SUM('BS &amp; FCF'!CW33:CW38)-SUM('BS &amp; FCF'!CR33:CR38)+SUM('BS &amp; FCF'!CW40:CW41)-SUM('BS &amp; FCF'!CR40:CR41))-(('BS &amp; FCF'!CW8-'BS &amp; FCF'!CR8)+('BS &amp; FCF'!CW12-'BS &amp; FCF'!CR12)+(SUM('BS &amp; FCF'!CW16:CW19)-SUM('BS &amp; FCF'!CR16:CR19)))</f>
        <v>-527124.1553333397</v>
      </c>
      <c r="CX79" s="422">
        <f>(SUM('BS &amp; FCF'!CX33:CX38)-SUM('BS &amp; FCF'!CW33:CW38)+SUM('BS &amp; FCF'!CX40:CX41)-SUM('BS &amp; FCF'!CW40:CW41))-(('BS &amp; FCF'!CX8-'BS &amp; FCF'!CW8)+('BS &amp; FCF'!CX12-'BS &amp; FCF'!CW12)+(SUM('BS &amp; FCF'!CX16:CX19)-SUM('BS &amp; FCF'!CW16:CW19)))</f>
        <v>-337469.16087959125</v>
      </c>
      <c r="CY79" s="422">
        <f>(SUM('BS &amp; FCF'!CY33:CY38)-SUM('BS &amp; FCF'!CX33:CX38)+SUM('BS &amp; FCF'!CY40:CY41)-SUM('BS &amp; FCF'!CX40:CX41))-(('BS &amp; FCF'!CY8-'BS &amp; FCF'!CX8)+('BS &amp; FCF'!CY12-'BS &amp; FCF'!CX12)+(SUM('BS &amp; FCF'!CY16:CY19)-SUM('BS &amp; FCF'!CX16:CX19)))</f>
        <v>-61818.280760532944</v>
      </c>
      <c r="CZ79" s="422">
        <f>(SUM('BS &amp; FCF'!CZ33:CZ38)-SUM('BS &amp; FCF'!CY33:CY38)+SUM('BS &amp; FCF'!CZ40:CZ41)-SUM('BS &amp; FCF'!CY40:CY41))-(('BS &amp; FCF'!CZ8-'BS &amp; FCF'!CY8)+('BS &amp; FCF'!CZ12-'BS &amp; FCF'!CY12)+(SUM('BS &amp; FCF'!CZ16:CZ19)-SUM('BS &amp; FCF'!CY16:CY19)))</f>
        <v>-21358.252018716652</v>
      </c>
      <c r="DA79" s="422">
        <f>(SUM('BS &amp; FCF'!DA33:DA38)-SUM('BS &amp; FCF'!CZ33:CZ38)+SUM('BS &amp; FCF'!DA40:DA41)-SUM('BS &amp; FCF'!CZ40:CZ41))-(('BS &amp; FCF'!DA8-'BS &amp; FCF'!CZ8)+('BS &amp; FCF'!DA12-'BS &amp; FCF'!CZ12)+(SUM('BS &amp; FCF'!DA16:DA19)-SUM('BS &amp; FCF'!CZ16:CZ19)))</f>
        <v>19503.347028686432</v>
      </c>
      <c r="DB79" s="423">
        <f>(SUM('BS &amp; FCF'!DB33:DB38)-SUM('BS &amp; FCF'!CW33:CW38)+SUM('BS &amp; FCF'!DB40:DB41)-SUM('BS &amp; FCF'!CW40:CW41))-(('BS &amp; FCF'!DB8-'BS &amp; FCF'!CW8)+('BS &amp; FCF'!DB12-'BS &amp; FCF'!CW12)+(SUM('BS &amp; FCF'!DB16:DB19)-SUM('BS &amp; FCF'!CW16:CW19)))</f>
        <v>-401142.34663015441</v>
      </c>
    </row>
    <row r="80" spans="1:106" s="7" customFormat="1" ht="11.5" customHeight="1" x14ac:dyDescent="0.35">
      <c r="A80" s="11" t="s">
        <v>148</v>
      </c>
      <c r="B80" s="120"/>
      <c r="C80" s="120">
        <f>SUM(C77:C79)</f>
        <v>-225549</v>
      </c>
      <c r="D80" s="120">
        <f>SUM(D77:D79)</f>
        <v>-251716</v>
      </c>
      <c r="E80" s="120">
        <f>SUM(E77:E79)</f>
        <v>-381801</v>
      </c>
      <c r="F80" s="39"/>
      <c r="G80" s="120">
        <f t="shared" ref="G80:AL80" si="165">SUM(G77:G79)</f>
        <v>-141549</v>
      </c>
      <c r="H80" s="120">
        <f t="shared" si="165"/>
        <v>-4928</v>
      </c>
      <c r="I80" s="120">
        <f t="shared" si="165"/>
        <v>-105141</v>
      </c>
      <c r="J80" s="120">
        <f t="shared" si="165"/>
        <v>176207</v>
      </c>
      <c r="K80" s="39">
        <f t="shared" si="165"/>
        <v>-75411</v>
      </c>
      <c r="L80" s="120">
        <f t="shared" si="165"/>
        <v>80128</v>
      </c>
      <c r="M80" s="120">
        <f t="shared" si="165"/>
        <v>52864</v>
      </c>
      <c r="N80" s="120">
        <f t="shared" si="165"/>
        <v>117838</v>
      </c>
      <c r="O80" s="120">
        <f t="shared" si="165"/>
        <v>496089</v>
      </c>
      <c r="P80" s="39">
        <f t="shared" si="165"/>
        <v>746919</v>
      </c>
      <c r="Q80" s="120">
        <f t="shared" si="165"/>
        <v>247260</v>
      </c>
      <c r="R80" s="120">
        <f t="shared" si="165"/>
        <v>-28366</v>
      </c>
      <c r="S80" s="120">
        <f t="shared" si="165"/>
        <v>-59172</v>
      </c>
      <c r="T80" s="120">
        <f t="shared" si="165"/>
        <v>-48609</v>
      </c>
      <c r="U80" s="39">
        <f t="shared" si="165"/>
        <v>111113</v>
      </c>
      <c r="V80" s="120">
        <f t="shared" si="165"/>
        <v>247929</v>
      </c>
      <c r="W80" s="120">
        <f t="shared" si="165"/>
        <v>130068</v>
      </c>
      <c r="X80" s="120">
        <f t="shared" si="165"/>
        <v>153487</v>
      </c>
      <c r="Y80" s="120">
        <f t="shared" si="165"/>
        <v>410889</v>
      </c>
      <c r="Z80" s="39">
        <f t="shared" si="165"/>
        <v>942373</v>
      </c>
      <c r="AA80" s="120">
        <f t="shared" si="165"/>
        <v>372095</v>
      </c>
      <c r="AB80" s="120">
        <f t="shared" si="165"/>
        <v>502489</v>
      </c>
      <c r="AC80" s="120">
        <f t="shared" si="165"/>
        <v>-63215</v>
      </c>
      <c r="AD80" s="120">
        <f t="shared" si="165"/>
        <v>102035</v>
      </c>
      <c r="AE80" s="39">
        <f t="shared" si="165"/>
        <v>913404</v>
      </c>
      <c r="AF80" s="120">
        <f t="shared" si="165"/>
        <v>13258</v>
      </c>
      <c r="AG80" s="120">
        <f t="shared" si="165"/>
        <v>44922</v>
      </c>
      <c r="AH80" s="120">
        <f t="shared" si="165"/>
        <v>-153671</v>
      </c>
      <c r="AI80" s="120">
        <f t="shared" si="165"/>
        <v>377560</v>
      </c>
      <c r="AJ80" s="39">
        <f t="shared" si="165"/>
        <v>282069</v>
      </c>
      <c r="AK80" s="120">
        <f t="shared" si="165"/>
        <v>119857</v>
      </c>
      <c r="AL80" s="120">
        <f t="shared" si="165"/>
        <v>183557</v>
      </c>
      <c r="AM80" s="120">
        <f t="shared" ref="AM80:BR80" si="166">SUM(AM77:AM79)</f>
        <v>160394</v>
      </c>
      <c r="AN80" s="120">
        <f t="shared" si="166"/>
        <v>343191</v>
      </c>
      <c r="AO80" s="39">
        <f t="shared" si="166"/>
        <v>806999</v>
      </c>
      <c r="AP80" s="120">
        <f t="shared" si="166"/>
        <v>597688</v>
      </c>
      <c r="AQ80" s="120">
        <f t="shared" si="166"/>
        <v>156326</v>
      </c>
      <c r="AR80" s="120">
        <f t="shared" si="166"/>
        <v>191711</v>
      </c>
      <c r="AS80" s="120">
        <f t="shared" si="166"/>
        <v>241882</v>
      </c>
      <c r="AT80" s="39">
        <f t="shared" si="166"/>
        <v>1187607</v>
      </c>
      <c r="AU80" s="120">
        <f t="shared" si="166"/>
        <v>116946</v>
      </c>
      <c r="AV80" s="120">
        <f t="shared" si="166"/>
        <v>348572</v>
      </c>
      <c r="AW80" s="120">
        <f t="shared" si="166"/>
        <v>54122</v>
      </c>
      <c r="AX80" s="120">
        <f t="shared" si="166"/>
        <v>276434</v>
      </c>
      <c r="AY80" s="39">
        <f t="shared" si="166"/>
        <v>796074</v>
      </c>
      <c r="AZ80" s="120">
        <f t="shared" si="166"/>
        <v>57609</v>
      </c>
      <c r="BA80" s="120">
        <f t="shared" si="166"/>
        <v>-58141</v>
      </c>
      <c r="BB80" s="120">
        <f t="shared" si="166"/>
        <v>2356194</v>
      </c>
      <c r="BC80" s="120">
        <f t="shared" si="166"/>
        <v>216963</v>
      </c>
      <c r="BD80" s="39">
        <f t="shared" si="166"/>
        <v>2572625</v>
      </c>
      <c r="BE80" s="120">
        <f t="shared" si="166"/>
        <v>86180</v>
      </c>
      <c r="BF80" s="120">
        <f t="shared" si="166"/>
        <v>137301</v>
      </c>
      <c r="BG80" s="120">
        <f t="shared" si="166"/>
        <v>183423</v>
      </c>
      <c r="BH80" s="120">
        <f t="shared" si="166"/>
        <v>-70880</v>
      </c>
      <c r="BI80" s="39">
        <f t="shared" si="166"/>
        <v>336024</v>
      </c>
      <c r="BJ80" s="120">
        <f t="shared" si="166"/>
        <v>-16127</v>
      </c>
      <c r="BK80" s="120">
        <f t="shared" si="166"/>
        <v>243830</v>
      </c>
      <c r="BL80" s="120">
        <f t="shared" si="166"/>
        <v>605258</v>
      </c>
      <c r="BM80" s="120">
        <f t="shared" si="166"/>
        <v>-515040</v>
      </c>
      <c r="BN80" s="39">
        <f t="shared" si="166"/>
        <v>317921</v>
      </c>
      <c r="BO80" s="120">
        <f t="shared" si="166"/>
        <v>15257</v>
      </c>
      <c r="BP80" s="120">
        <f t="shared" si="166"/>
        <v>30507</v>
      </c>
      <c r="BQ80" s="120">
        <f t="shared" si="166"/>
        <v>170385</v>
      </c>
      <c r="BR80" s="120">
        <f t="shared" si="166"/>
        <v>-73115</v>
      </c>
      <c r="BS80" s="39">
        <f t="shared" ref="BS80:CX80" si="167">SUM(BS77:BS79)</f>
        <v>143034</v>
      </c>
      <c r="BT80" s="120">
        <f t="shared" si="167"/>
        <v>294026</v>
      </c>
      <c r="BU80" s="120">
        <f t="shared" si="167"/>
        <v>-54200</v>
      </c>
      <c r="BV80" s="120">
        <f t="shared" si="167"/>
        <v>37302</v>
      </c>
      <c r="BW80" s="120">
        <f t="shared" si="167"/>
        <v>217380</v>
      </c>
      <c r="BX80" s="39">
        <f t="shared" si="167"/>
        <v>494508</v>
      </c>
      <c r="BY80" s="120">
        <f t="shared" si="167"/>
        <v>254618</v>
      </c>
      <c r="BZ80" s="120">
        <f>SUM(BZ77:BZ79)</f>
        <v>-682726</v>
      </c>
      <c r="CA80" s="120">
        <f>SUM(CA77:CA79)</f>
        <v>509220</v>
      </c>
      <c r="CB80" s="120">
        <f t="shared" ref="CB80" si="168">SUM(CB77:CB79)</f>
        <v>315628</v>
      </c>
      <c r="CC80" s="39">
        <f t="shared" si="167"/>
        <v>396740</v>
      </c>
      <c r="CD80" s="120">
        <f t="shared" ref="CD80" si="169">SUM(CD77:CD79)</f>
        <v>2881</v>
      </c>
      <c r="CE80" s="120">
        <f>SUM(CE77:CE79)</f>
        <v>493000</v>
      </c>
      <c r="CF80" s="120">
        <f t="shared" ca="1" si="167"/>
        <v>263236.75191555917</v>
      </c>
      <c r="CG80" s="120">
        <f t="shared" ca="1" si="167"/>
        <v>323750.97916408733</v>
      </c>
      <c r="CH80" s="39">
        <f t="shared" ca="1" si="167"/>
        <v>1082868.7310796464</v>
      </c>
      <c r="CI80" s="120">
        <f t="shared" ca="1" si="167"/>
        <v>140498.98152443452</v>
      </c>
      <c r="CJ80" s="120">
        <f t="shared" ca="1" si="167"/>
        <v>487708.01752456953</v>
      </c>
      <c r="CK80" s="120">
        <f t="shared" ca="1" si="167"/>
        <v>472032.59763860924</v>
      </c>
      <c r="CL80" s="120">
        <f t="shared" ca="1" si="167"/>
        <v>582848.54726447503</v>
      </c>
      <c r="CM80" s="39">
        <f t="shared" ca="1" si="167"/>
        <v>1683088.1439520882</v>
      </c>
      <c r="CN80" s="120">
        <f t="shared" ca="1" si="167"/>
        <v>360325.1098138917</v>
      </c>
      <c r="CO80" s="120">
        <f t="shared" ca="1" si="167"/>
        <v>448790.96841877035</v>
      </c>
      <c r="CP80" s="120">
        <f t="shared" ca="1" si="167"/>
        <v>427972.45763466007</v>
      </c>
      <c r="CQ80" s="120">
        <f t="shared" ca="1" si="167"/>
        <v>645162.76293490524</v>
      </c>
      <c r="CR80" s="39">
        <f t="shared" ca="1" si="167"/>
        <v>1882251.298802227</v>
      </c>
      <c r="CS80" s="120">
        <f t="shared" ca="1" si="167"/>
        <v>600201.01524034573</v>
      </c>
      <c r="CT80" s="120">
        <f t="shared" ca="1" si="167"/>
        <v>602935.28012113331</v>
      </c>
      <c r="CU80" s="120">
        <f t="shared" ca="1" si="167"/>
        <v>610888.22563666455</v>
      </c>
      <c r="CV80" s="120">
        <f t="shared" ca="1" si="167"/>
        <v>665764.90826364711</v>
      </c>
      <c r="CW80" s="39">
        <f t="shared" ca="1" si="167"/>
        <v>2479789.4292617906</v>
      </c>
      <c r="CX80" s="120">
        <f t="shared" ca="1" si="167"/>
        <v>525713.70976751251</v>
      </c>
      <c r="CY80" s="120">
        <f ca="1">SUM(CY77:CY79)</f>
        <v>719274.7485639985</v>
      </c>
      <c r="CZ80" s="120">
        <f ca="1">SUM(CZ77:CZ79)</f>
        <v>767025.74285588739</v>
      </c>
      <c r="DA80" s="120">
        <f ca="1">SUM(DA77:DA79)</f>
        <v>883713.88890652661</v>
      </c>
      <c r="DB80" s="39">
        <f ca="1">SUM(DB77:DB79)</f>
        <v>2895728.0900939247</v>
      </c>
    </row>
    <row r="81" spans="1:106" s="7" customFormat="1" ht="11.5" customHeight="1" outlineLevel="1" x14ac:dyDescent="0.35">
      <c r="A81" s="7" t="s">
        <v>139</v>
      </c>
      <c r="B81" s="70"/>
      <c r="C81" s="422">
        <f>-('BS &amp; FCF'!C20-'BS &amp; FCF'!B20)-C78</f>
        <v>-20414</v>
      </c>
      <c r="D81" s="422">
        <f>-('BS &amp; FCF'!D20-'BS &amp; FCF'!C20)-D78</f>
        <v>-15836</v>
      </c>
      <c r="E81" s="422">
        <f>-('BS &amp; FCF'!E20-'BS &amp; FCF'!D20)-E78</f>
        <v>-14181</v>
      </c>
      <c r="F81" s="423"/>
      <c r="G81" s="422">
        <f>-('BS &amp; FCF'!G20-'BS &amp; FCF'!F20)-G78</f>
        <v>-32</v>
      </c>
      <c r="H81" s="422">
        <f>-('BS &amp; FCF'!H20-'BS &amp; FCF'!G20)-H78</f>
        <v>-5181</v>
      </c>
      <c r="I81" s="422">
        <f>-('BS &amp; FCF'!I20-'BS &amp; FCF'!H20)-I78</f>
        <v>-32146</v>
      </c>
      <c r="J81" s="422">
        <f>-('BS &amp; FCF'!J20-'BS &amp; FCF'!I20)-J78</f>
        <v>-22795</v>
      </c>
      <c r="K81" s="423">
        <f>-('BS &amp; FCF'!K20-'BS &amp; FCF'!F20)-K78</f>
        <v>-60154</v>
      </c>
      <c r="L81" s="422">
        <f>-('BS &amp; FCF'!L20-'BS &amp; FCF'!K20)-L78</f>
        <v>-14916</v>
      </c>
      <c r="M81" s="422">
        <f>-('BS &amp; FCF'!M20-'BS &amp; FCF'!L20)-M78</f>
        <v>-28518</v>
      </c>
      <c r="N81" s="422">
        <f>-('BS &amp; FCF'!N20-'BS &amp; FCF'!M20)-N78</f>
        <v>-17614</v>
      </c>
      <c r="O81" s="422">
        <f>-('BS &amp; FCF'!O20-'BS &amp; FCF'!N20)-O78</f>
        <v>-583812</v>
      </c>
      <c r="P81" s="423">
        <f>-('BS &amp; FCF'!P20-'BS &amp; FCF'!K20)-P78</f>
        <v>-644860</v>
      </c>
      <c r="Q81" s="422">
        <f>-('BS &amp; FCF'!Q20-'BS &amp; FCF'!P20)-Q78</f>
        <v>-406298</v>
      </c>
      <c r="R81" s="422">
        <f>-('BS &amp; FCF'!R20-'BS &amp; FCF'!Q20)-R78</f>
        <v>356625</v>
      </c>
      <c r="S81" s="422">
        <f>-('BS &amp; FCF'!S20-'BS &amp; FCF'!R20)-S78</f>
        <v>-38624</v>
      </c>
      <c r="T81" s="422">
        <f>-('BS &amp; FCF'!T20-'BS &amp; FCF'!S20)-T78</f>
        <v>-45361</v>
      </c>
      <c r="U81" s="423">
        <f>-('BS &amp; FCF'!U20-'BS &amp; FCF'!P20)-U78</f>
        <v>-133658</v>
      </c>
      <c r="V81" s="422">
        <f>-('BS &amp; FCF'!V20-'BS &amp; FCF'!U20)-V78</f>
        <v>-40640</v>
      </c>
      <c r="W81" s="422">
        <f>-('BS &amp; FCF'!W20-'BS &amp; FCF'!V20)-W78</f>
        <v>-25641</v>
      </c>
      <c r="X81" s="422">
        <f>-('BS &amp; FCF'!X20-'BS &amp; FCF'!W20)-X78</f>
        <v>-37295</v>
      </c>
      <c r="Y81" s="422">
        <f>-('BS &amp; FCF'!Y20-'BS &amp; FCF'!X20)-Y78</f>
        <v>11925</v>
      </c>
      <c r="Z81" s="423">
        <f>-('BS &amp; FCF'!Z20-'BS &amp; FCF'!U20)-Z78</f>
        <v>-91651</v>
      </c>
      <c r="AA81" s="422">
        <f>-('BS &amp; FCF'!AA20-'BS &amp; FCF'!Z20)-AA78</f>
        <v>29088</v>
      </c>
      <c r="AB81" s="422">
        <f>-('BS &amp; FCF'!AB20-'BS &amp; FCF'!AA20)-AB78</f>
        <v>-121867</v>
      </c>
      <c r="AC81" s="422">
        <f>-('BS &amp; FCF'!AC20-'BS &amp; FCF'!AB20)-AC78</f>
        <v>5639</v>
      </c>
      <c r="AD81" s="422">
        <f>-('BS &amp; FCF'!AD20-'BS &amp; FCF'!AC20)-AD78</f>
        <v>16173</v>
      </c>
      <c r="AE81" s="423">
        <f>-('BS &amp; FCF'!AE20-'BS &amp; FCF'!Z20)-AE78</f>
        <v>-70967</v>
      </c>
      <c r="AF81" s="422">
        <f>-('BS &amp; FCF'!AF20-'BS &amp; FCF'!AE20)-AF78</f>
        <v>30764</v>
      </c>
      <c r="AG81" s="422">
        <f>-('BS &amp; FCF'!AG20-'BS &amp; FCF'!AF20)-AG78</f>
        <v>-4372</v>
      </c>
      <c r="AH81" s="422">
        <f>-('BS &amp; FCF'!AH20-'BS &amp; FCF'!AG20)-AH78</f>
        <v>-60558</v>
      </c>
      <c r="AI81" s="422">
        <f>-('BS &amp; FCF'!AI20-'BS &amp; FCF'!AH20)-AI78</f>
        <v>-138962</v>
      </c>
      <c r="AJ81" s="423">
        <f>-('BS &amp; FCF'!AJ20-'BS &amp; FCF'!AE20)-AJ78</f>
        <v>-173128</v>
      </c>
      <c r="AK81" s="422">
        <f>-('BS &amp; FCF'!AK20-'BS &amp; FCF'!AJ20)-AK78</f>
        <v>-9316</v>
      </c>
      <c r="AL81" s="422">
        <f>-('BS &amp; FCF'!AL20-'BS &amp; FCF'!AK20)-AL78</f>
        <v>-9689</v>
      </c>
      <c r="AM81" s="422">
        <f>-('BS &amp; FCF'!AM20-'BS &amp; FCF'!AL20)-AM78</f>
        <v>104087</v>
      </c>
      <c r="AN81" s="422">
        <f>-('BS &amp; FCF'!AN20-'BS &amp; FCF'!AM20)-AN78</f>
        <v>-12230</v>
      </c>
      <c r="AO81" s="423">
        <f>-('BS &amp; FCF'!AO20-'BS &amp; FCF'!AJ20)-AO78</f>
        <v>72852</v>
      </c>
      <c r="AP81" s="422">
        <f>-('BS &amp; FCF'!AP20-'BS &amp; FCF'!AO20)-AP78</f>
        <v>-96423</v>
      </c>
      <c r="AQ81" s="422">
        <f>-('BS &amp; FCF'!AQ20-'BS &amp; FCF'!AP20)-AQ78</f>
        <v>30446</v>
      </c>
      <c r="AR81" s="422">
        <f>-('BS &amp; FCF'!AR20-'BS &amp; FCF'!AQ20)-AR78</f>
        <v>-3677</v>
      </c>
      <c r="AS81" s="422">
        <f>-('BS &amp; FCF'!AS20-'BS &amp; FCF'!AR20)-AS78</f>
        <v>-26296</v>
      </c>
      <c r="AT81" s="423">
        <f>-('BS &amp; FCF'!AT20-'BS &amp; FCF'!AO20)-AT78</f>
        <v>-95950</v>
      </c>
      <c r="AU81" s="422">
        <f>-('BS &amp; FCF'!AU20-'BS &amp; FCF'!AT20)-AU78</f>
        <v>63981</v>
      </c>
      <c r="AV81" s="422">
        <f>-('BS &amp; FCF'!AV20-'BS &amp; FCF'!AU20)-AV78</f>
        <v>7881</v>
      </c>
      <c r="AW81" s="422">
        <f>-('BS &amp; FCF'!AW20-'BS &amp; FCF'!AV20)-AW78</f>
        <v>-94951</v>
      </c>
      <c r="AX81" s="422">
        <f>-('BS &amp; FCF'!AX20-'BS &amp; FCF'!AW20)-AX78</f>
        <v>-14319</v>
      </c>
      <c r="AY81" s="423">
        <f>-('BS &amp; FCF'!AY20-'BS &amp; FCF'!AT20)-AY78</f>
        <v>-37408</v>
      </c>
      <c r="AZ81" s="422">
        <f>-('BS &amp; FCF'!AZ20-'BS &amp; FCF'!AY20)-AZ78</f>
        <v>14220</v>
      </c>
      <c r="BA81" s="422">
        <f>-('BS &amp; FCF'!BA20-'BS &amp; FCF'!AZ20)-BA78</f>
        <v>-4274</v>
      </c>
      <c r="BB81" s="422">
        <f>-('BS &amp; FCF'!BB20-'BS &amp; FCF'!BA20)-BB78</f>
        <v>-1285989</v>
      </c>
      <c r="BC81" s="422">
        <f>-('BS &amp; FCF'!BC20-'BS &amp; FCF'!BB20)-BC78</f>
        <v>-441</v>
      </c>
      <c r="BD81" s="423">
        <f>-('BS &amp; FCF'!BD20-'BS &amp; FCF'!AY20)-BD78</f>
        <v>-1276484</v>
      </c>
      <c r="BE81" s="422">
        <f>-('BS &amp; FCF'!BE20-'BS &amp; FCF'!BD20)-BE78</f>
        <v>-85544</v>
      </c>
      <c r="BF81" s="422">
        <f>-('BS &amp; FCF'!BF20-'BS &amp; FCF'!BE20)-BF78</f>
        <v>8398</v>
      </c>
      <c r="BG81" s="422">
        <f>-('BS &amp; FCF'!BG20-'BS &amp; FCF'!BF20)-BG78</f>
        <v>-69158</v>
      </c>
      <c r="BH81" s="422">
        <f>-('BS &amp; FCF'!BH20-'BS &amp; FCF'!BG20)-BH78</f>
        <v>36445</v>
      </c>
      <c r="BI81" s="423">
        <f>-('BS &amp; FCF'!BI20-'BS &amp; FCF'!BD20)-BI78</f>
        <v>-109859</v>
      </c>
      <c r="BJ81" s="422">
        <f>-('BS &amp; FCF'!BJ20-'BS &amp; FCF'!BI20)-BJ78</f>
        <v>-130793</v>
      </c>
      <c r="BK81" s="422">
        <f>-('BS &amp; FCF'!BK20-'BS &amp; FCF'!BJ20)-BK78</f>
        <v>-145634</v>
      </c>
      <c r="BL81" s="422">
        <f>-('BS &amp; FCF'!BL20-'BS &amp; FCF'!BK20)-BL78</f>
        <v>-169344</v>
      </c>
      <c r="BM81" s="422">
        <f>-('BS &amp; FCF'!BM20-'BS &amp; FCF'!BL20)-BM78</f>
        <v>22555</v>
      </c>
      <c r="BN81" s="423">
        <f>-('BS &amp; FCF'!BN20-'BS &amp; FCF'!BI20)-BN78</f>
        <v>-423216</v>
      </c>
      <c r="BO81" s="422">
        <f>-('BS &amp; FCF'!BO20-'BS &amp; FCF'!BN20)-BO78</f>
        <v>-78092</v>
      </c>
      <c r="BP81" s="422">
        <f>-('BS &amp; FCF'!BP20-'BS &amp; FCF'!BO20)-BP78</f>
        <v>-40777</v>
      </c>
      <c r="BQ81" s="422">
        <f>-('BS &amp; FCF'!BQ20-'BS &amp; FCF'!BP20)-BQ78</f>
        <v>-83998</v>
      </c>
      <c r="BR81" s="422">
        <f>-('BS &amp; FCF'!BR20-'BS &amp; FCF'!BQ20)-BR78</f>
        <v>-71354</v>
      </c>
      <c r="BS81" s="423">
        <f>-('BS &amp; FCF'!BS20-'BS &amp; FCF'!BN20)-BS78</f>
        <v>-274221</v>
      </c>
      <c r="BT81" s="422">
        <f>-('BS &amp; FCF'!BT20-'BS &amp; FCF'!BS20)-BT78</f>
        <v>-135238</v>
      </c>
      <c r="BU81" s="422">
        <f>-('BS &amp; FCF'!BU20-'BS &amp; FCF'!BT20)-BU78</f>
        <v>-200184</v>
      </c>
      <c r="BV81" s="422">
        <f>-('BS &amp; FCF'!BV20-'BS &amp; FCF'!BU20)-BV78</f>
        <v>-168901</v>
      </c>
      <c r="BW81" s="422">
        <f>-('BS &amp; FCF'!BW20-'BS &amp; FCF'!BV20)-BW78</f>
        <v>-256603</v>
      </c>
      <c r="BX81" s="423">
        <f>-('BS &amp; FCF'!BX20-'BS &amp; FCF'!BS20)-BX78</f>
        <v>-760926</v>
      </c>
      <c r="BY81" s="422">
        <f>-('BS &amp; FCF'!BY20-'BS &amp; FCF'!BX20)-BY78</f>
        <v>32642</v>
      </c>
      <c r="BZ81" s="422">
        <f>-('BS &amp; FCF'!BZ20-'BS &amp; FCF'!BY20)-BZ78</f>
        <v>-76279</v>
      </c>
      <c r="CA81" s="422">
        <f>-('BS &amp; FCF'!CA20-'BS &amp; FCF'!BZ20)-CA78</f>
        <v>-110726</v>
      </c>
      <c r="CB81" s="422">
        <f>-('BS &amp; FCF'!CB20-'BS &amp; FCF'!CA20)-CB78</f>
        <v>-449115</v>
      </c>
      <c r="CC81" s="423">
        <f>-('BS &amp; FCF'!CC20-'BS &amp; FCF'!BX20)-CC78</f>
        <v>-603478</v>
      </c>
      <c r="CD81" s="422">
        <f>-('BS &amp; FCF'!CD20-'BS &amp; FCF'!CC20)-CD78</f>
        <v>3062</v>
      </c>
      <c r="CE81" s="422">
        <f>-('BS &amp; FCF'!CE20-'BS &amp; FCF'!CD20)-CE78</f>
        <v>-166754</v>
      </c>
      <c r="CF81" s="422">
        <f>-('BS &amp; FCF'!CF20-'BS &amp; FCF'!CE20)-CF78</f>
        <v>-136583.57272827561</v>
      </c>
      <c r="CG81" s="422">
        <f>-('BS &amp; FCF'!CG20-'BS &amp; FCF'!CF20)-CG78</f>
        <v>-126453.59113266115</v>
      </c>
      <c r="CH81" s="423">
        <f>-('BS &amp; FCF'!CH20-'BS &amp; FCF'!CC20)-CH78</f>
        <v>-426729.16386093677</v>
      </c>
      <c r="CI81" s="422">
        <f>-('BS &amp; FCF'!CI20-'BS &amp; FCF'!CH20)-CI78</f>
        <v>-178079.61870204366</v>
      </c>
      <c r="CJ81" s="422">
        <f>-('BS &amp; FCF'!CJ20-'BS &amp; FCF'!CI20)-CJ78</f>
        <v>-79282.598970369727</v>
      </c>
      <c r="CK81" s="422">
        <f>-('BS &amp; FCF'!CK20-'BS &amp; FCF'!CJ20)-CK78</f>
        <v>-84389.412951459628</v>
      </c>
      <c r="CL81" s="422">
        <f>-('BS &amp; FCF'!CL20-'BS &amp; FCF'!CK20)-CL78</f>
        <v>-72380.305416560892</v>
      </c>
      <c r="CM81" s="423">
        <f>-('BS &amp; FCF'!CM20-'BS &amp; FCF'!CH20)-CM78</f>
        <v>-414131.93604043388</v>
      </c>
      <c r="CN81" s="422">
        <f>-('BS &amp; FCF'!CN20-'BS &amp; FCF'!CM20)-CN78</f>
        <v>-139427.82660301588</v>
      </c>
      <c r="CO81" s="422">
        <f>-('BS &amp; FCF'!CO20-'BS &amp; FCF'!CN20)-CO78</f>
        <v>-105501.44342052136</v>
      </c>
      <c r="CP81" s="422">
        <f>-('BS &amp; FCF'!CP20-'BS &amp; FCF'!CO20)-CP78</f>
        <v>-108970.86480202808</v>
      </c>
      <c r="CQ81" s="422">
        <f>-('BS &amp; FCF'!CQ20-'BS &amp; FCF'!CP20)-CQ78</f>
        <v>-70285.981318036851</v>
      </c>
      <c r="CR81" s="423">
        <f>-('BS &amp; FCF'!CR20-'BS &amp; FCF'!CM20)-CR78</f>
        <v>-424186.11614360218</v>
      </c>
      <c r="CS81" s="422">
        <f>-('BS &amp; FCF'!CS20-'BS &amp; FCF'!CR20)-CS78</f>
        <v>-96922.707188777189</v>
      </c>
      <c r="CT81" s="422">
        <f>-('BS &amp; FCF'!CT20-'BS &amp; FCF'!CS20)-CT78</f>
        <v>-84431.649213969678</v>
      </c>
      <c r="CU81" s="422">
        <f>-('BS &amp; FCF'!CU20-'BS &amp; FCF'!CT20)-CU78</f>
        <v>-82202.402582960989</v>
      </c>
      <c r="CV81" s="422">
        <f>-('BS &amp; FCF'!CV20-'BS &amp; FCF'!CU20)-CV78</f>
        <v>-78544.027423981694</v>
      </c>
      <c r="CW81" s="423">
        <f>-('BS &amp; FCF'!CW20-'BS &amp; FCF'!CR20)-CW78</f>
        <v>-342100.78640968958</v>
      </c>
      <c r="CX81" s="422">
        <f>-('BS &amp; FCF'!CX20-'BS &amp; FCF'!CW20)-CX78</f>
        <v>-139213.69082654762</v>
      </c>
      <c r="CY81" s="422">
        <f>-('BS &amp; FCF'!CY20-'BS &amp; FCF'!CX20)-CY78</f>
        <v>-61175.400377740356</v>
      </c>
      <c r="CZ81" s="422">
        <f>-('BS &amp; FCF'!CZ20-'BS &amp; FCF'!CY20)-CZ78</f>
        <v>-22303.124193598975</v>
      </c>
      <c r="DA81" s="422">
        <f>-('BS &amp; FCF'!DA20-'BS &amp; FCF'!CZ20)-DA78</f>
        <v>29362.099746251479</v>
      </c>
      <c r="DB81" s="423">
        <f>-('BS &amp; FCF'!DB20-'BS &amp; FCF'!CW20)-DB78</f>
        <v>-193330.11565163548</v>
      </c>
    </row>
    <row r="82" spans="1:106" s="7" customFormat="1" ht="11.5" customHeight="1" x14ac:dyDescent="0.35">
      <c r="A82" s="11" t="s">
        <v>147</v>
      </c>
      <c r="B82" s="120"/>
      <c r="C82" s="120">
        <f>SUM(C81)</f>
        <v>-20414</v>
      </c>
      <c r="D82" s="120">
        <f>SUM(D81)</f>
        <v>-15836</v>
      </c>
      <c r="E82" s="120">
        <f>SUM(E81)</f>
        <v>-14181</v>
      </c>
      <c r="F82" s="39"/>
      <c r="G82" s="120">
        <f t="shared" ref="G82:AL82" si="170">SUM(G81)</f>
        <v>-32</v>
      </c>
      <c r="H82" s="120">
        <f t="shared" si="170"/>
        <v>-5181</v>
      </c>
      <c r="I82" s="120">
        <f t="shared" si="170"/>
        <v>-32146</v>
      </c>
      <c r="J82" s="120">
        <f t="shared" si="170"/>
        <v>-22795</v>
      </c>
      <c r="K82" s="39">
        <f t="shared" si="170"/>
        <v>-60154</v>
      </c>
      <c r="L82" s="120">
        <f t="shared" si="170"/>
        <v>-14916</v>
      </c>
      <c r="M82" s="120">
        <f t="shared" si="170"/>
        <v>-28518</v>
      </c>
      <c r="N82" s="120">
        <f t="shared" si="170"/>
        <v>-17614</v>
      </c>
      <c r="O82" s="120">
        <f t="shared" si="170"/>
        <v>-583812</v>
      </c>
      <c r="P82" s="39">
        <f t="shared" si="170"/>
        <v>-644860</v>
      </c>
      <c r="Q82" s="120">
        <f t="shared" si="170"/>
        <v>-406298</v>
      </c>
      <c r="R82" s="120">
        <f t="shared" si="170"/>
        <v>356625</v>
      </c>
      <c r="S82" s="120">
        <f t="shared" si="170"/>
        <v>-38624</v>
      </c>
      <c r="T82" s="120">
        <f t="shared" si="170"/>
        <v>-45361</v>
      </c>
      <c r="U82" s="39">
        <f t="shared" si="170"/>
        <v>-133658</v>
      </c>
      <c r="V82" s="120">
        <f t="shared" si="170"/>
        <v>-40640</v>
      </c>
      <c r="W82" s="120">
        <f t="shared" si="170"/>
        <v>-25641</v>
      </c>
      <c r="X82" s="120">
        <f t="shared" si="170"/>
        <v>-37295</v>
      </c>
      <c r="Y82" s="120">
        <f t="shared" si="170"/>
        <v>11925</v>
      </c>
      <c r="Z82" s="39">
        <f t="shared" si="170"/>
        <v>-91651</v>
      </c>
      <c r="AA82" s="120">
        <f t="shared" si="170"/>
        <v>29088</v>
      </c>
      <c r="AB82" s="120">
        <f t="shared" si="170"/>
        <v>-121867</v>
      </c>
      <c r="AC82" s="120">
        <f t="shared" si="170"/>
        <v>5639</v>
      </c>
      <c r="AD82" s="120">
        <f t="shared" si="170"/>
        <v>16173</v>
      </c>
      <c r="AE82" s="39">
        <f t="shared" si="170"/>
        <v>-70967</v>
      </c>
      <c r="AF82" s="120">
        <f t="shared" si="170"/>
        <v>30764</v>
      </c>
      <c r="AG82" s="120">
        <f t="shared" si="170"/>
        <v>-4372</v>
      </c>
      <c r="AH82" s="120">
        <f t="shared" si="170"/>
        <v>-60558</v>
      </c>
      <c r="AI82" s="120">
        <f t="shared" si="170"/>
        <v>-138962</v>
      </c>
      <c r="AJ82" s="39">
        <f t="shared" si="170"/>
        <v>-173128</v>
      </c>
      <c r="AK82" s="120">
        <f t="shared" si="170"/>
        <v>-9316</v>
      </c>
      <c r="AL82" s="120">
        <f t="shared" si="170"/>
        <v>-9689</v>
      </c>
      <c r="AM82" s="120">
        <f t="shared" ref="AM82:BR82" si="171">SUM(AM81)</f>
        <v>104087</v>
      </c>
      <c r="AN82" s="120">
        <f t="shared" si="171"/>
        <v>-12230</v>
      </c>
      <c r="AO82" s="39">
        <f t="shared" si="171"/>
        <v>72852</v>
      </c>
      <c r="AP82" s="120">
        <f t="shared" si="171"/>
        <v>-96423</v>
      </c>
      <c r="AQ82" s="120">
        <f t="shared" si="171"/>
        <v>30446</v>
      </c>
      <c r="AR82" s="120">
        <f t="shared" si="171"/>
        <v>-3677</v>
      </c>
      <c r="AS82" s="120">
        <f t="shared" si="171"/>
        <v>-26296</v>
      </c>
      <c r="AT82" s="39">
        <f t="shared" si="171"/>
        <v>-95950</v>
      </c>
      <c r="AU82" s="120">
        <f t="shared" si="171"/>
        <v>63981</v>
      </c>
      <c r="AV82" s="120">
        <f t="shared" si="171"/>
        <v>7881</v>
      </c>
      <c r="AW82" s="120">
        <f t="shared" si="171"/>
        <v>-94951</v>
      </c>
      <c r="AX82" s="120">
        <f t="shared" si="171"/>
        <v>-14319</v>
      </c>
      <c r="AY82" s="39">
        <f t="shared" si="171"/>
        <v>-37408</v>
      </c>
      <c r="AZ82" s="120">
        <f t="shared" si="171"/>
        <v>14220</v>
      </c>
      <c r="BA82" s="120">
        <f t="shared" si="171"/>
        <v>-4274</v>
      </c>
      <c r="BB82" s="120">
        <f t="shared" si="171"/>
        <v>-1285989</v>
      </c>
      <c r="BC82" s="120">
        <f t="shared" si="171"/>
        <v>-441</v>
      </c>
      <c r="BD82" s="39">
        <f t="shared" si="171"/>
        <v>-1276484</v>
      </c>
      <c r="BE82" s="120">
        <f t="shared" si="171"/>
        <v>-85544</v>
      </c>
      <c r="BF82" s="120">
        <f t="shared" si="171"/>
        <v>8398</v>
      </c>
      <c r="BG82" s="120">
        <f t="shared" si="171"/>
        <v>-69158</v>
      </c>
      <c r="BH82" s="120">
        <f t="shared" si="171"/>
        <v>36445</v>
      </c>
      <c r="BI82" s="39">
        <f t="shared" si="171"/>
        <v>-109859</v>
      </c>
      <c r="BJ82" s="120">
        <f t="shared" si="171"/>
        <v>-130793</v>
      </c>
      <c r="BK82" s="120">
        <f t="shared" si="171"/>
        <v>-145634</v>
      </c>
      <c r="BL82" s="120">
        <f t="shared" si="171"/>
        <v>-169344</v>
      </c>
      <c r="BM82" s="120">
        <f t="shared" si="171"/>
        <v>22555</v>
      </c>
      <c r="BN82" s="39">
        <f t="shared" si="171"/>
        <v>-423216</v>
      </c>
      <c r="BO82" s="120">
        <f t="shared" si="171"/>
        <v>-78092</v>
      </c>
      <c r="BP82" s="120">
        <f t="shared" si="171"/>
        <v>-40777</v>
      </c>
      <c r="BQ82" s="120">
        <f t="shared" si="171"/>
        <v>-83998</v>
      </c>
      <c r="BR82" s="120">
        <f t="shared" si="171"/>
        <v>-71354</v>
      </c>
      <c r="BS82" s="39">
        <f t="shared" ref="BS82:CX82" si="172">SUM(BS81)</f>
        <v>-274221</v>
      </c>
      <c r="BT82" s="120">
        <f t="shared" si="172"/>
        <v>-135238</v>
      </c>
      <c r="BU82" s="120">
        <f t="shared" si="172"/>
        <v>-200184</v>
      </c>
      <c r="BV82" s="120">
        <f t="shared" si="172"/>
        <v>-168901</v>
      </c>
      <c r="BW82" s="120">
        <f t="shared" si="172"/>
        <v>-256603</v>
      </c>
      <c r="BX82" s="39">
        <f t="shared" si="172"/>
        <v>-760926</v>
      </c>
      <c r="BY82" s="120">
        <f t="shared" si="172"/>
        <v>32642</v>
      </c>
      <c r="BZ82" s="120">
        <f>SUM(BZ81)</f>
        <v>-76279</v>
      </c>
      <c r="CA82" s="120">
        <f>SUM(CA81)</f>
        <v>-110726</v>
      </c>
      <c r="CB82" s="120">
        <f t="shared" ref="CB82" si="173">SUM(CB81)</f>
        <v>-449115</v>
      </c>
      <c r="CC82" s="39">
        <f t="shared" si="172"/>
        <v>-603478</v>
      </c>
      <c r="CD82" s="120">
        <f t="shared" ref="CD82" si="174">SUM(CD81)</f>
        <v>3062</v>
      </c>
      <c r="CE82" s="120">
        <f>SUM(CE81)</f>
        <v>-166754</v>
      </c>
      <c r="CF82" s="120">
        <f t="shared" si="172"/>
        <v>-136583.57272827561</v>
      </c>
      <c r="CG82" s="120">
        <f t="shared" si="172"/>
        <v>-126453.59113266115</v>
      </c>
      <c r="CH82" s="39">
        <f t="shared" si="172"/>
        <v>-426729.16386093677</v>
      </c>
      <c r="CI82" s="120">
        <f t="shared" si="172"/>
        <v>-178079.61870204366</v>
      </c>
      <c r="CJ82" s="120">
        <f t="shared" si="172"/>
        <v>-79282.598970369727</v>
      </c>
      <c r="CK82" s="120">
        <f t="shared" si="172"/>
        <v>-84389.412951459628</v>
      </c>
      <c r="CL82" s="120">
        <f t="shared" si="172"/>
        <v>-72380.305416560892</v>
      </c>
      <c r="CM82" s="39">
        <f t="shared" si="172"/>
        <v>-414131.93604043388</v>
      </c>
      <c r="CN82" s="120">
        <f t="shared" si="172"/>
        <v>-139427.82660301588</v>
      </c>
      <c r="CO82" s="120">
        <f t="shared" si="172"/>
        <v>-105501.44342052136</v>
      </c>
      <c r="CP82" s="120">
        <f t="shared" si="172"/>
        <v>-108970.86480202808</v>
      </c>
      <c r="CQ82" s="120">
        <f t="shared" si="172"/>
        <v>-70285.981318036851</v>
      </c>
      <c r="CR82" s="39">
        <f t="shared" si="172"/>
        <v>-424186.11614360218</v>
      </c>
      <c r="CS82" s="120">
        <f t="shared" si="172"/>
        <v>-96922.707188777189</v>
      </c>
      <c r="CT82" s="120">
        <f t="shared" si="172"/>
        <v>-84431.649213969678</v>
      </c>
      <c r="CU82" s="120">
        <f t="shared" si="172"/>
        <v>-82202.402582960989</v>
      </c>
      <c r="CV82" s="120">
        <f t="shared" si="172"/>
        <v>-78544.027423981694</v>
      </c>
      <c r="CW82" s="39">
        <f t="shared" si="172"/>
        <v>-342100.78640968958</v>
      </c>
      <c r="CX82" s="120">
        <f t="shared" si="172"/>
        <v>-139213.69082654762</v>
      </c>
      <c r="CY82" s="120">
        <f>SUM(CY81)</f>
        <v>-61175.400377740356</v>
      </c>
      <c r="CZ82" s="120">
        <f>SUM(CZ81)</f>
        <v>-22303.124193598975</v>
      </c>
      <c r="DA82" s="120">
        <f>SUM(DA81)</f>
        <v>29362.099746251479</v>
      </c>
      <c r="DB82" s="39">
        <f>SUM(DB81)</f>
        <v>-193330.11565163548</v>
      </c>
    </row>
    <row r="83" spans="1:106" s="7" customFormat="1" ht="11.5" customHeight="1" outlineLevel="1" x14ac:dyDescent="0.35">
      <c r="A83" s="7" t="s">
        <v>144</v>
      </c>
      <c r="B83" s="70"/>
      <c r="C83" s="422">
        <f>('BS &amp; FCF'!C28-'BS &amp; FCF'!B28)+('BS &amp; FCF'!C31-'BS &amp; FCF'!B31)-('BS &amp; FCF'!C7-'BS &amp; FCF'!B7)</f>
        <v>140427</v>
      </c>
      <c r="D83" s="422">
        <f>('BS &amp; FCF'!D28-'BS &amp; FCF'!C28)+('BS &amp; FCF'!D31-'BS &amp; FCF'!C31)-('BS &amp; FCF'!D7-'BS &amp; FCF'!C7)</f>
        <v>208908</v>
      </c>
      <c r="E83" s="422">
        <f>('BS &amp; FCF'!E28-'BS &amp; FCF'!D28)+('BS &amp; FCF'!E31-'BS &amp; FCF'!D31)-('BS &amp; FCF'!E7-'BS &amp; FCF'!D7)</f>
        <v>523726</v>
      </c>
      <c r="F83" s="423"/>
      <c r="G83" s="422">
        <f>('BS &amp; FCF'!G28-'BS &amp; FCF'!F28)+('BS &amp; FCF'!G31-'BS &amp; FCF'!F31)+('BS &amp; FCF'!G32-'BS &amp; FCF'!F32)-('BS &amp; FCF'!G7-'BS &amp; FCF'!F7)</f>
        <v>182901</v>
      </c>
      <c r="H83" s="422">
        <f>('BS &amp; FCF'!H28-'BS &amp; FCF'!G28)+('BS &amp; FCF'!H31-'BS &amp; FCF'!G31)+('BS &amp; FCF'!H32-'BS &amp; FCF'!G32)-('BS &amp; FCF'!H7-'BS &amp; FCF'!G7)</f>
        <v>545115</v>
      </c>
      <c r="I83" s="422">
        <f>('BS &amp; FCF'!I28-'BS &amp; FCF'!H28)+('BS &amp; FCF'!I31-'BS &amp; FCF'!H31)+('BS &amp; FCF'!I32-'BS &amp; FCF'!H32)-('BS &amp; FCF'!I7-'BS &amp; FCF'!H7)</f>
        <v>476838</v>
      </c>
      <c r="J83" s="422">
        <f>('BS &amp; FCF'!J28-'BS &amp; FCF'!I28)+('BS &amp; FCF'!J31-'BS &amp; FCF'!I31)+('BS &amp; FCF'!J32-'BS &amp; FCF'!I32)-('BS &amp; FCF'!J7-'BS &amp; FCF'!I7)</f>
        <v>-114634</v>
      </c>
      <c r="K83" s="423">
        <f>('BS &amp; FCF'!K28-'BS &amp; FCF'!F28)+('BS &amp; FCF'!K31-'BS &amp; FCF'!F31)+('BS &amp; FCF'!K32-'BS &amp; FCF'!F32)-('BS &amp; FCF'!K7-'BS &amp; FCF'!F7)</f>
        <v>1090220</v>
      </c>
      <c r="L83" s="422">
        <f>('BS &amp; FCF'!L28-'BS &amp; FCF'!K28)+('BS &amp; FCF'!L31-'BS &amp; FCF'!K31)+('BS &amp; FCF'!L32-'BS &amp; FCF'!K32)-('BS &amp; FCF'!L7-'BS &amp; FCF'!K7)</f>
        <v>98613</v>
      </c>
      <c r="M83" s="422">
        <f>('BS &amp; FCF'!M28-'BS &amp; FCF'!L28)+('BS &amp; FCF'!M31-'BS &amp; FCF'!L31)+('BS &amp; FCF'!M32-'BS &amp; FCF'!L32)-('BS &amp; FCF'!M7-'BS &amp; FCF'!L7)</f>
        <v>-250770</v>
      </c>
      <c r="N83" s="422">
        <f>('BS &amp; FCF'!N28-'BS &amp; FCF'!M28)+('BS &amp; FCF'!N31-'BS &amp; FCF'!M31)+('BS &amp; FCF'!N32-'BS &amp; FCF'!M32)-('BS &amp; FCF'!N7-'BS &amp; FCF'!M7)</f>
        <v>-120493</v>
      </c>
      <c r="O83" s="422">
        <f>('BS &amp; FCF'!O28-'BS &amp; FCF'!N28)+('BS &amp; FCF'!O31-'BS &amp; FCF'!N31)+('BS &amp; FCF'!O32-'BS &amp; FCF'!N32)-('BS &amp; FCF'!O7-'BS &amp; FCF'!N7)</f>
        <v>-29095</v>
      </c>
      <c r="P83" s="423">
        <f>('BS &amp; FCF'!P28-'BS &amp; FCF'!K28)+('BS &amp; FCF'!P31-'BS &amp; FCF'!K31)+('BS &amp; FCF'!P32-'BS &amp; FCF'!K32)-('BS &amp; FCF'!P7-'BS &amp; FCF'!K7)</f>
        <v>-301745</v>
      </c>
      <c r="Q83" s="422">
        <f>('BS &amp; FCF'!Q28-'BS &amp; FCF'!P28)+('BS &amp; FCF'!Q31-'BS &amp; FCF'!P31)+('BS &amp; FCF'!Q32-'BS &amp; FCF'!P32)-('BS &amp; FCF'!Q7-'BS &amp; FCF'!P7)</f>
        <v>-307695</v>
      </c>
      <c r="R83" s="422">
        <f>('BS &amp; FCF'!R28-'BS &amp; FCF'!Q28)+('BS &amp; FCF'!R31-'BS &amp; FCF'!Q31)+('BS &amp; FCF'!R32-'BS &amp; FCF'!Q32)-('BS &amp; FCF'!R7-'BS &amp; FCF'!Q7)</f>
        <v>-22223</v>
      </c>
      <c r="S83" s="422">
        <f>('BS &amp; FCF'!S28-'BS &amp; FCF'!R28)+('BS &amp; FCF'!S31-'BS &amp; FCF'!R31)+('BS &amp; FCF'!S32-'BS &amp; FCF'!R32)-('BS &amp; FCF'!S7-'BS &amp; FCF'!R7)</f>
        <v>121023</v>
      </c>
      <c r="T83" s="422">
        <f>('BS &amp; FCF'!T28-'BS &amp; FCF'!S28)+('BS &amp; FCF'!T31-'BS &amp; FCF'!S31)+('BS &amp; FCF'!T32-'BS &amp; FCF'!S32)-('BS &amp; FCF'!T7-'BS &amp; FCF'!S7)</f>
        <v>380069</v>
      </c>
      <c r="U83" s="423">
        <f>('BS &amp; FCF'!U28-'BS &amp; FCF'!P28)+('BS &amp; FCF'!U31-'BS &amp; FCF'!P31)+('BS &amp; FCF'!U32-'BS &amp; FCF'!P32)-('BS &amp; FCF'!U7-'BS &amp; FCF'!P7)</f>
        <v>171174</v>
      </c>
      <c r="V83" s="422">
        <f>('BS &amp; FCF'!V28-'BS &amp; FCF'!U28)+('BS &amp; FCF'!V31-'BS &amp; FCF'!U31)+('BS &amp; FCF'!V32-'BS &amp; FCF'!U32)-('BS &amp; FCF'!V7-'BS &amp; FCF'!U7)</f>
        <v>399488</v>
      </c>
      <c r="W83" s="422">
        <f>('BS &amp; FCF'!W28-'BS &amp; FCF'!V28)+('BS &amp; FCF'!W31-'BS &amp; FCF'!V31)+('BS &amp; FCF'!W32-'BS &amp; FCF'!V32)-('BS &amp; FCF'!W7-'BS &amp; FCF'!V7)</f>
        <v>-303291</v>
      </c>
      <c r="X83" s="422">
        <f>('BS &amp; FCF'!X28-'BS &amp; FCF'!W28)+('BS &amp; FCF'!X31-'BS &amp; FCF'!W31)+('BS &amp; FCF'!X32-'BS &amp; FCF'!W32)-('BS &amp; FCF'!X7-'BS &amp; FCF'!W7)</f>
        <v>-36294</v>
      </c>
      <c r="Y83" s="422">
        <f>('BS &amp; FCF'!Y28-'BS &amp; FCF'!X28)+('BS &amp; FCF'!Y31-'BS &amp; FCF'!X31)+('BS &amp; FCF'!Y32-'BS &amp; FCF'!X32)-('BS &amp; FCF'!Y7-'BS &amp; FCF'!X7)</f>
        <v>-382537</v>
      </c>
      <c r="Z83" s="423">
        <f>('BS &amp; FCF'!Z28-'BS &amp; FCF'!U28)+('BS &amp; FCF'!Z31-'BS &amp; FCF'!U31)+('BS &amp; FCF'!Z32-'BS &amp; FCF'!U32)-('BS &amp; FCF'!Z7-'BS &amp; FCF'!U7)</f>
        <v>-322634</v>
      </c>
      <c r="AA83" s="422">
        <f>('BS &amp; FCF'!AA28-'BS &amp; FCF'!Z28)+('BS &amp; FCF'!AA31-'BS &amp; FCF'!Z31)+('BS &amp; FCF'!AA32-'BS &amp; FCF'!Z32)-('BS &amp; FCF'!AA7-'BS &amp; FCF'!Z7)</f>
        <v>-81923</v>
      </c>
      <c r="AB83" s="422">
        <f>('BS &amp; FCF'!AB28-'BS &amp; FCF'!AA28)+('BS &amp; FCF'!AB31-'BS &amp; FCF'!AA31)+('BS &amp; FCF'!AB32-'BS &amp; FCF'!AA32)-('BS &amp; FCF'!AB7-'BS &amp; FCF'!AA7)</f>
        <v>114338</v>
      </c>
      <c r="AC83" s="422">
        <f>('BS &amp; FCF'!AC28-'BS &amp; FCF'!AB28)+('BS &amp; FCF'!AC31-'BS &amp; FCF'!AB31)+('BS &amp; FCF'!AC32-'BS &amp; FCF'!AB32)-('BS &amp; FCF'!AC7-'BS &amp; FCF'!AB7)</f>
        <v>85389</v>
      </c>
      <c r="AD83" s="422">
        <f>('BS &amp; FCF'!AD28-'BS &amp; FCF'!AC28)+('BS &amp; FCF'!AD31-'BS &amp; FCF'!AC31)+('BS &amp; FCF'!AD32-'BS &amp; FCF'!AC32)-('BS &amp; FCF'!AD7-'BS &amp; FCF'!AC7)</f>
        <v>-293535</v>
      </c>
      <c r="AE83" s="423">
        <f>('BS &amp; FCF'!AE28-'BS &amp; FCF'!Z28)+('BS &amp; FCF'!AE31-'BS &amp; FCF'!Z31)+('BS &amp; FCF'!AE32-'BS &amp; FCF'!Z32)-('BS &amp; FCF'!AE7-'BS &amp; FCF'!Z7)</f>
        <v>-175731</v>
      </c>
      <c r="AF83" s="422">
        <f>('BS &amp; FCF'!AF28-'BS &amp; FCF'!AE28)+('BS &amp; FCF'!AF31-'BS &amp; FCF'!AE31)+('BS &amp; FCF'!AF32-'BS &amp; FCF'!AE32)-('BS &amp; FCF'!AF7-'BS &amp; FCF'!AE7)</f>
        <v>-130716</v>
      </c>
      <c r="AG83" s="422">
        <f>('BS &amp; FCF'!AG28-'BS &amp; FCF'!AF28)+('BS &amp; FCF'!AG31-'BS &amp; FCF'!AF31)+('BS &amp; FCF'!AG32-'BS &amp; FCF'!AF32)-('BS &amp; FCF'!AG7-'BS &amp; FCF'!AF7)</f>
        <v>-175236</v>
      </c>
      <c r="AH83" s="422">
        <f>('BS &amp; FCF'!AH28-'BS &amp; FCF'!AG28)+('BS &amp; FCF'!AH31-'BS &amp; FCF'!AG31)+('BS &amp; FCF'!AH32-'BS &amp; FCF'!AG32)-('BS &amp; FCF'!AH7-'BS &amp; FCF'!AG7)</f>
        <v>-66470</v>
      </c>
      <c r="AI83" s="422">
        <f>('BS &amp; FCF'!AI28-'BS &amp; FCF'!AH28)+('BS &amp; FCF'!AI31-'BS &amp; FCF'!AH31)+('BS &amp; FCF'!AI32-'BS &amp; FCF'!AH32)-('BS &amp; FCF'!AI7-'BS &amp; FCF'!AH7)</f>
        <v>-137605</v>
      </c>
      <c r="AJ83" s="423">
        <f>('BS &amp; FCF'!AJ28-'BS &amp; FCF'!AE28)+('BS &amp; FCF'!AJ31-'BS &amp; FCF'!AE31)+('BS &amp; FCF'!AJ32-'BS &amp; FCF'!AE32)-('BS &amp; FCF'!AJ7-'BS &amp; FCF'!AE7)</f>
        <v>-510027</v>
      </c>
      <c r="AK83" s="422">
        <f>('BS &amp; FCF'!AK28-'BS &amp; FCF'!AJ28)+('BS &amp; FCF'!AK31-'BS &amp; FCF'!AJ31)+('BS &amp; FCF'!AK32-'BS &amp; FCF'!AJ32)-('BS &amp; FCF'!AK7-'BS &amp; FCF'!AJ7)</f>
        <v>159247</v>
      </c>
      <c r="AL83" s="422">
        <f>('BS &amp; FCF'!AL28-'BS &amp; FCF'!AK28)+('BS &amp; FCF'!AL31-'BS &amp; FCF'!AK31)+('BS &amp; FCF'!AL32-'BS &amp; FCF'!AK32)-('BS &amp; FCF'!AL7-'BS &amp; FCF'!AK7)</f>
        <v>-159258</v>
      </c>
      <c r="AM83" s="422">
        <f>('BS &amp; FCF'!AM28-'BS &amp; FCF'!AL28)+('BS &amp; FCF'!AM31-'BS &amp; FCF'!AL31)+('BS &amp; FCF'!AM32-'BS &amp; FCF'!AL32)-('BS &amp; FCF'!AM7-'BS &amp; FCF'!AL7)</f>
        <v>-293989</v>
      </c>
      <c r="AN83" s="422">
        <f>('BS &amp; FCF'!AN28-'BS &amp; FCF'!AM28)+('BS &amp; FCF'!AN31-'BS &amp; FCF'!AM31)+('BS &amp; FCF'!AN32-'BS &amp; FCF'!AM32)-('BS &amp; FCF'!AN7-'BS &amp; FCF'!AM7)</f>
        <v>-579195</v>
      </c>
      <c r="AO83" s="423">
        <f>('BS &amp; FCF'!AO28-'BS &amp; FCF'!AJ28)+('BS &amp; FCF'!AO31-'BS &amp; FCF'!AJ31)+('BS &amp; FCF'!AO32-'BS &amp; FCF'!AJ32)-('BS &amp; FCF'!AO7-'BS &amp; FCF'!AJ7)</f>
        <v>-873195</v>
      </c>
      <c r="AP83" s="422">
        <f>('BS &amp; FCF'!AP28-'BS &amp; FCF'!AO28)+('BS &amp; FCF'!AP31-'BS &amp; FCF'!AO31)+('BS &amp; FCF'!AP32-'BS &amp; FCF'!AO32)-('BS &amp; FCF'!AP7-'BS &amp; FCF'!AO7)</f>
        <v>-469415</v>
      </c>
      <c r="AQ83" s="422">
        <f>('BS &amp; FCF'!AQ28-'BS &amp; FCF'!AP28)+('BS &amp; FCF'!AQ31-'BS &amp; FCF'!AP31)+('BS &amp; FCF'!AQ32-'BS &amp; FCF'!AP32)-('BS &amp; FCF'!AQ7-'BS &amp; FCF'!AP7)</f>
        <v>249917</v>
      </c>
      <c r="AR83" s="422">
        <f>('BS &amp; FCF'!AR28-'BS &amp; FCF'!AQ28)+('BS &amp; FCF'!AR31-'BS &amp; FCF'!AQ31)+('BS &amp; FCF'!AR32-'BS &amp; FCF'!AQ32)-('BS &amp; FCF'!AR7-'BS &amp; FCF'!AQ7)</f>
        <v>636873</v>
      </c>
      <c r="AS83" s="422">
        <f>('BS &amp; FCF'!AS28-'BS &amp; FCF'!AR28)+('BS &amp; FCF'!AS31-'BS &amp; FCF'!AR31)+('BS &amp; FCF'!AS32-'BS &amp; FCF'!AR32)-('BS &amp; FCF'!AS7-'BS &amp; FCF'!AR7)</f>
        <v>-579812</v>
      </c>
      <c r="AT83" s="423">
        <f>('BS &amp; FCF'!AT28-'BS &amp; FCF'!AO28)+('BS &amp; FCF'!AT31-'BS &amp; FCF'!AO31)+('BS &amp; FCF'!AT32-'BS &amp; FCF'!AO32)-('BS &amp; FCF'!AT7-'BS &amp; FCF'!AO7)</f>
        <v>-162437</v>
      </c>
      <c r="AU83" s="422">
        <f>('BS &amp; FCF'!AU28-'BS &amp; FCF'!AT28)+('BS &amp; FCF'!AU31-'BS &amp; FCF'!AT31)+('BS &amp; FCF'!AU32-'BS &amp; FCF'!AT32)-('BS &amp; FCF'!AU7-'BS &amp; FCF'!AT7)</f>
        <v>-275157</v>
      </c>
      <c r="AV83" s="422">
        <f>('BS &amp; FCF'!AV28-'BS &amp; FCF'!AU28)+('BS &amp; FCF'!AV31-'BS &amp; FCF'!AU31)+('BS &amp; FCF'!AV32-'BS &amp; FCF'!AU32)-('BS &amp; FCF'!AV7-'BS &amp; FCF'!AU7)</f>
        <v>-101058</v>
      </c>
      <c r="AW83" s="422">
        <f>('BS &amp; FCF'!AW28-'BS &amp; FCF'!AV28)+('BS &amp; FCF'!AW31-'BS &amp; FCF'!AV31)+('BS &amp; FCF'!AW32-'BS &amp; FCF'!AV32)-('BS &amp; FCF'!AW7-'BS &amp; FCF'!AV7)</f>
        <v>416319</v>
      </c>
      <c r="AX83" s="422">
        <f>('BS &amp; FCF'!AX28-'BS &amp; FCF'!AW28)+('BS &amp; FCF'!AX31-'BS &amp; FCF'!AW31)+('BS &amp; FCF'!AX32-'BS &amp; FCF'!AW32)-('BS &amp; FCF'!AX7-'BS &amp; FCF'!AW7)</f>
        <v>93952</v>
      </c>
      <c r="AY83" s="423">
        <f>('BS &amp; FCF'!AY28-'BS &amp; FCF'!AT28)+('BS &amp; FCF'!AY31-'BS &amp; FCF'!AT31)+('BS &amp; FCF'!AY32-'BS &amp; FCF'!AT32)-('BS &amp; FCF'!AY7-'BS &amp; FCF'!AT7)</f>
        <v>134056</v>
      </c>
      <c r="AZ83" s="422">
        <f>('BS &amp; FCF'!AZ28-'BS &amp; FCF'!AY28)+('BS &amp; FCF'!AZ31-'BS &amp; FCF'!AY31)+('BS &amp; FCF'!AZ32-'BS &amp; FCF'!AY32)-('BS &amp; FCF'!AZ7-'BS &amp; FCF'!AY7)</f>
        <v>-69949</v>
      </c>
      <c r="BA83" s="422">
        <f>('BS &amp; FCF'!BA28-'BS &amp; FCF'!AZ28)+('BS &amp; FCF'!BA31-'BS &amp; FCF'!AZ31)+('BS &amp; FCF'!BA32-'BS &amp; FCF'!AZ32)-('BS &amp; FCF'!BA7-'BS &amp; FCF'!AZ7)</f>
        <v>360724</v>
      </c>
      <c r="BB83" s="422">
        <f>('BS &amp; FCF'!BB28-'BS &amp; FCF'!BA28)+('BS &amp; FCF'!BB31-'BS &amp; FCF'!BA31)+('BS &amp; FCF'!BB32-'BS &amp; FCF'!BA32)-('BS &amp; FCF'!BB7-'BS &amp; FCF'!BA7)</f>
        <v>-509552</v>
      </c>
      <c r="BC83" s="422">
        <f>('BS &amp; FCF'!BC28-'BS &amp; FCF'!BB28)+('BS &amp; FCF'!BC31-'BS &amp; FCF'!BB31)+('BS &amp; FCF'!BC32-'BS &amp; FCF'!BB32)-('BS &amp; FCF'!BC7-'BS &amp; FCF'!BB7)</f>
        <v>381817</v>
      </c>
      <c r="BD83" s="423">
        <f>('BS &amp; FCF'!BD28-'BS &amp; FCF'!AY28)+('BS &amp; FCF'!BD31-'BS &amp; FCF'!AY31)+('BS &amp; FCF'!BD32-'BS &amp; FCF'!AY32)-('BS &amp; FCF'!BD7-'BS &amp; FCF'!AY7)</f>
        <v>163040</v>
      </c>
      <c r="BE83" s="422">
        <f>('BS &amp; FCF'!BE28-'BS &amp; FCF'!BD28)+('BS &amp; FCF'!BE31-'BS &amp; FCF'!BD31)+('BS &amp; FCF'!BE32-'BS &amp; FCF'!BD32)-('BS &amp; FCF'!BE7-'BS &amp; FCF'!BD7)</f>
        <v>29861</v>
      </c>
      <c r="BF83" s="422">
        <f>('BS &amp; FCF'!BF28-'BS &amp; FCF'!BE28)+('BS &amp; FCF'!BF31-'BS &amp; FCF'!BE31)+('BS &amp; FCF'!BF32-'BS &amp; FCF'!BE32)-('BS &amp; FCF'!BF7-'BS &amp; FCF'!BE7)</f>
        <v>584325</v>
      </c>
      <c r="BG83" s="422">
        <f>('BS &amp; FCF'!BG28-'BS &amp; FCF'!BF28)+('BS &amp; FCF'!BG31-'BS &amp; FCF'!BF31)+('BS &amp; FCF'!BG32-'BS &amp; FCF'!BF32)-('BS &amp; FCF'!BG7-'BS &amp; FCF'!BF7)</f>
        <v>25333</v>
      </c>
      <c r="BH83" s="422">
        <f>('BS &amp; FCF'!BH28-'BS &amp; FCF'!BG28)+('BS &amp; FCF'!BH31-'BS &amp; FCF'!BG31)+('BS &amp; FCF'!BH32-'BS &amp; FCF'!BG32)-('BS &amp; FCF'!BH7-'BS &amp; FCF'!BG7)</f>
        <v>141732</v>
      </c>
      <c r="BI83" s="423">
        <f>('BS &amp; FCF'!BI28-'BS &amp; FCF'!BD28)+('BS &amp; FCF'!BI31-'BS &amp; FCF'!BD31)+('BS &amp; FCF'!BI32-'BS &amp; FCF'!BD32)-('BS &amp; FCF'!BI7-'BS &amp; FCF'!BD7)</f>
        <v>781251</v>
      </c>
      <c r="BJ83" s="422">
        <f>('BS &amp; FCF'!BJ28-'BS &amp; FCF'!BI28)+('BS &amp; FCF'!BJ31-'BS &amp; FCF'!BI31)+('BS &amp; FCF'!BJ32-'BS &amp; FCF'!BI32)-('BS &amp; FCF'!BJ7-'BS &amp; FCF'!BI7)</f>
        <v>67725</v>
      </c>
      <c r="BK83" s="422">
        <f>('BS &amp; FCF'!BK28-'BS &amp; FCF'!BJ28)+('BS &amp; FCF'!BK31-'BS &amp; FCF'!BJ31)+('BS &amp; FCF'!BK32-'BS &amp; FCF'!BJ32)-('BS &amp; FCF'!BK7-'BS &amp; FCF'!BJ7)</f>
        <v>286101</v>
      </c>
      <c r="BL83" s="422">
        <f>('BS &amp; FCF'!BL28-'BS &amp; FCF'!BK28)+('BS &amp; FCF'!BL31-'BS &amp; FCF'!BK31)+('BS &amp; FCF'!BL32-'BS &amp; FCF'!BK32)-('BS &amp; FCF'!BL7-'BS &amp; FCF'!BK7)</f>
        <v>578422</v>
      </c>
      <c r="BM83" s="422">
        <f>('BS &amp; FCF'!BM28-'BS &amp; FCF'!BL28)+('BS &amp; FCF'!BM31-'BS &amp; FCF'!BL31)+('BS &amp; FCF'!BM32-'BS &amp; FCF'!BL32)-('BS &amp; FCF'!BM7-'BS &amp; FCF'!BL7)</f>
        <v>426513</v>
      </c>
      <c r="BN83" s="423">
        <f>('BS &amp; FCF'!BN28-'BS &amp; FCF'!BI28)+('BS &amp; FCF'!BN31-'BS &amp; FCF'!BI31)+('BS &amp; FCF'!BN32-'BS &amp; FCF'!BI32)-('BS &amp; FCF'!BN7-'BS &amp; FCF'!BI7)</f>
        <v>1358761</v>
      </c>
      <c r="BO83" s="422">
        <f>('BS &amp; FCF'!BO28-'BS &amp; FCF'!BN28)+('BS &amp; FCF'!BO31-'BS &amp; FCF'!BN31)+('BS &amp; FCF'!BO32-'BS &amp; FCF'!BN32)-('BS &amp; FCF'!BO7-'BS &amp; FCF'!BN7)</f>
        <v>-142177</v>
      </c>
      <c r="BP83" s="422">
        <f>('BS &amp; FCF'!BP28-'BS &amp; FCF'!BO28)+('BS &amp; FCF'!BP31-'BS &amp; FCF'!BO31)+('BS &amp; FCF'!BP32-'BS &amp; FCF'!BO32)-('BS &amp; FCF'!BP7-'BS &amp; FCF'!BO7)</f>
        <v>144385</v>
      </c>
      <c r="BQ83" s="422">
        <f>('BS &amp; FCF'!BQ28-'BS &amp; FCF'!BP28)+('BS &amp; FCF'!BQ31-'BS &amp; FCF'!BP31)+('BS &amp; FCF'!BQ32-'BS &amp; FCF'!BP32)-('BS &amp; FCF'!BQ7-'BS &amp; FCF'!BP7)</f>
        <v>-31652</v>
      </c>
      <c r="BR83" s="422">
        <f>('BS &amp; FCF'!BR28-'BS &amp; FCF'!BQ28)+('BS &amp; FCF'!BR31-'BS &amp; FCF'!BQ31)+('BS &amp; FCF'!BR32-'BS &amp; FCF'!BQ32)-('BS &amp; FCF'!BR7-'BS &amp; FCF'!BQ7)</f>
        <v>257460</v>
      </c>
      <c r="BS83" s="423">
        <f>('BS &amp; FCF'!BS28-'BS &amp; FCF'!BN28)+('BS &amp; FCF'!BS31-'BS &amp; FCF'!BN31)+('BS &amp; FCF'!BS32-'BS &amp; FCF'!BN32)-('BS &amp; FCF'!BS7-'BS &amp; FCF'!BN7)</f>
        <v>228016</v>
      </c>
      <c r="BT83" s="422">
        <f>('BS &amp; FCF'!BT28-'BS &amp; FCF'!BS28)+('BS &amp; FCF'!BT31-'BS &amp; FCF'!BS31)+('BS &amp; FCF'!BT32-'BS &amp; FCF'!BS32)-('BS &amp; FCF'!BT7-'BS &amp; FCF'!BS7)</f>
        <v>-56210</v>
      </c>
      <c r="BU83" s="422">
        <f>('BS &amp; FCF'!BU28-'BS &amp; FCF'!BT28)+('BS &amp; FCF'!BU31-'BS &amp; FCF'!BT31)+('BS &amp; FCF'!BU32-'BS &amp; FCF'!BT32)-('BS &amp; FCF'!BU7-'BS &amp; FCF'!BT7)</f>
        <v>329625</v>
      </c>
      <c r="BV83" s="422">
        <f>('BS &amp; FCF'!BV28-'BS &amp; FCF'!BU28)+('BS &amp; FCF'!BV31-'BS &amp; FCF'!BU31)+('BS &amp; FCF'!BV32-'BS &amp; FCF'!BU32)-('BS &amp; FCF'!BV7-'BS &amp; FCF'!BU7)</f>
        <v>258621</v>
      </c>
      <c r="BW83" s="422">
        <f>('BS &amp; FCF'!BW28-'BS &amp; FCF'!BV28)+('BS &amp; FCF'!BW31-'BS &amp; FCF'!BV31)+('BS &amp; FCF'!BW32-'BS &amp; FCF'!BV32)-('BS &amp; FCF'!BW7-'BS &amp; FCF'!BV7)</f>
        <v>564489</v>
      </c>
      <c r="BX83" s="423">
        <f>('BS &amp; FCF'!BX28-'BS &amp; FCF'!BS28)+('BS &amp; FCF'!BX31-'BS &amp; FCF'!BS31)+('BS &amp; FCF'!BX32-'BS &amp; FCF'!BS32)-('BS &amp; FCF'!BX7-'BS &amp; FCF'!BS7)</f>
        <v>1096525</v>
      </c>
      <c r="BY83" s="422">
        <f>('BS &amp; FCF'!BY28-'BS &amp; FCF'!BX28)+('BS &amp; FCF'!BY31-'BS &amp; FCF'!BX31)+('BS &amp; FCF'!BY32-'BS &amp; FCF'!BX32)-('BS &amp; FCF'!BY7-'BS &amp; FCF'!BX7)</f>
        <v>93440</v>
      </c>
      <c r="BZ83" s="422">
        <f>('BS &amp; FCF'!BZ28-'BS &amp; FCF'!BY28)+('BS &amp; FCF'!BZ31-'BS &amp; FCF'!BY31)+('BS &amp; FCF'!BZ32-'BS &amp; FCF'!BY32)-('BS &amp; FCF'!BZ7-'BS &amp; FCF'!BY7)</f>
        <v>940442</v>
      </c>
      <c r="CA83" s="422">
        <f>('BS &amp; FCF'!CA28-'BS &amp; FCF'!BZ28)+('BS &amp; FCF'!CA31-'BS &amp; FCF'!BZ31)+('BS &amp; FCF'!CA32-'BS &amp; FCF'!BZ32)-('BS &amp; FCF'!CA7-'BS &amp; FCF'!BZ7)</f>
        <v>586683</v>
      </c>
      <c r="CB83" s="422">
        <f>('BS &amp; FCF'!CB28-'BS &amp; FCF'!CA28)+('BS &amp; FCF'!CB31-'BS &amp; FCF'!CA31)+('BS &amp; FCF'!CB32-'BS &amp; FCF'!CA32)-('BS &amp; FCF'!CB7-'BS &amp; FCF'!CA7)</f>
        <v>1165404</v>
      </c>
      <c r="CC83" s="423">
        <f>('BS &amp; FCF'!CC28-'BS &amp; FCF'!BX28)+('BS &amp; FCF'!CC31-'BS &amp; FCF'!BX31)+('BS &amp; FCF'!CC32-'BS &amp; FCF'!BX32)-('BS &amp; FCF'!CC7-'BS &amp; FCF'!BX7)</f>
        <v>2785969</v>
      </c>
      <c r="CD83" s="422">
        <f>('BS &amp; FCF'!CD28-'BS &amp; FCF'!CC28)+('BS &amp; FCF'!CD31-'BS &amp; FCF'!CC31)+('BS &amp; FCF'!CD32-'BS &amp; FCF'!CC32)-('BS &amp; FCF'!CD7-'BS &amp; FCF'!CC7)</f>
        <v>34260</v>
      </c>
      <c r="CE83" s="422">
        <f>('BS &amp; FCF'!CE28-'BS &amp; FCF'!CD28)+('BS &amp; FCF'!CE31-'BS &amp; FCF'!CD31)+('BS &amp; FCF'!CE32-'BS &amp; FCF'!CD32)-('BS &amp; FCF'!CE7-'BS &amp; FCF'!CD7)</f>
        <v>102101</v>
      </c>
      <c r="CF83" s="422">
        <f>('BS &amp; FCF'!CF28-'BS &amp; FCF'!CE28)+('BS &amp; FCF'!CF31-'BS &amp; FCF'!CE31)+('BS &amp; FCF'!CF32-'BS &amp; FCF'!CE32)-('BS &amp; FCF'!CF7-'BS &amp; FCF'!CE7)</f>
        <v>161876.75363794714</v>
      </c>
      <c r="CG83" s="422">
        <f>('BS &amp; FCF'!CG28-'BS &amp; FCF'!CF28)+('BS &amp; FCF'!CG31-'BS &amp; FCF'!CF31)+('BS &amp; FCF'!CG32-'BS &amp; FCF'!CF32)-('BS &amp; FCF'!CG7-'BS &amp; FCF'!CF7)</f>
        <v>130945.8044135347</v>
      </c>
      <c r="CH83" s="423">
        <f>('BS &amp; FCF'!CH28-'BS &amp; FCF'!CC28)+('BS &amp; FCF'!CH31-'BS &amp; FCF'!CC31)+('BS &amp; FCF'!CH32-'BS &amp; FCF'!CC32)-('BS &amp; FCF'!CH7-'BS &amp; FCF'!CC7)</f>
        <v>429183.55805148184</v>
      </c>
      <c r="CI83" s="422">
        <f>('BS &amp; FCF'!CI28-'BS &amp; FCF'!CH28)+('BS &amp; FCF'!CI31-'BS &amp; FCF'!CH31)+('BS &amp; FCF'!CI32-'BS &amp; FCF'!CH32)-('BS &amp; FCF'!CI7-'BS &amp; FCF'!CH7)</f>
        <v>144291.61629444547</v>
      </c>
      <c r="CJ83" s="422">
        <f>('BS &amp; FCF'!CJ28-'BS &amp; FCF'!CI28)+('BS &amp; FCF'!CJ31-'BS &amp; FCF'!CI31)+('BS &amp; FCF'!CJ32-'BS &amp; FCF'!CI32)-('BS &amp; FCF'!CJ7-'BS &amp; FCF'!CI7)</f>
        <v>27679.489515298977</v>
      </c>
      <c r="CK83" s="422">
        <f>('BS &amp; FCF'!CK28-'BS &amp; FCF'!CJ28)+('BS &amp; FCF'!CK31-'BS &amp; FCF'!CJ31)+('BS &amp; FCF'!CK32-'BS &amp; FCF'!CJ32)-('BS &amp; FCF'!CK7-'BS &amp; FCF'!CJ7)</f>
        <v>93966.300237026066</v>
      </c>
      <c r="CL83" s="422">
        <f>('BS &amp; FCF'!CL28-'BS &amp; FCF'!CK28)+('BS &amp; FCF'!CL31-'BS &amp; FCF'!CK31)+('BS &amp; FCF'!CL32-'BS &amp; FCF'!CK32)-('BS &amp; FCF'!CL7-'BS &amp; FCF'!CK7)</f>
        <v>93381.837723670527</v>
      </c>
      <c r="CM83" s="423">
        <f>('BS &amp; FCF'!CM28-'BS &amp; FCF'!CH28)+('BS &amp; FCF'!CM31-'BS &amp; FCF'!CH31)+('BS &amp; FCF'!CM32-'BS &amp; FCF'!CH32)-('BS &amp; FCF'!CM7-'BS &amp; FCF'!CH7)</f>
        <v>359319.24377044104</v>
      </c>
      <c r="CN83" s="422">
        <f>('BS &amp; FCF'!CN28-'BS &amp; FCF'!CM28)+('BS &amp; FCF'!CN31-'BS &amp; FCF'!CM31)+('BS &amp; FCF'!CN32-'BS &amp; FCF'!CM32)-('BS &amp; FCF'!CN7-'BS &amp; FCF'!CM7)</f>
        <v>30103.574237106368</v>
      </c>
      <c r="CO83" s="422">
        <f>('BS &amp; FCF'!CO28-'BS &amp; FCF'!CN28)+('BS &amp; FCF'!CO31-'BS &amp; FCF'!CN31)+('BS &amp; FCF'!CO32-'BS &amp; FCF'!CN32)-('BS &amp; FCF'!CO7-'BS &amp; FCF'!CN7)</f>
        <v>51200.279681269079</v>
      </c>
      <c r="CP83" s="422">
        <f>('BS &amp; FCF'!CP28-'BS &amp; FCF'!CO28)+('BS &amp; FCF'!CP31-'BS &amp; FCF'!CO31)+('BS &amp; FCF'!CP32-'BS &amp; FCF'!CO32)-('BS &amp; FCF'!CP7-'BS &amp; FCF'!CO7)</f>
        <v>117092.60842208937</v>
      </c>
      <c r="CQ83" s="422">
        <f>('BS &amp; FCF'!CQ28-'BS &amp; FCF'!CP28)+('BS &amp; FCF'!CQ31-'BS &amp; FCF'!CP31)+('BS &amp; FCF'!CQ32-'BS &amp; FCF'!CP32)-('BS &amp; FCF'!CQ7-'BS &amp; FCF'!CP7)</f>
        <v>129861.72199835256</v>
      </c>
      <c r="CR83" s="423">
        <f>('BS &amp; FCF'!CR28-'BS &amp; FCF'!CM28)+('BS &amp; FCF'!CR31-'BS &amp; FCF'!CM31)+('BS &amp; FCF'!CR32-'BS &amp; FCF'!CM32)-('BS &amp; FCF'!CR7-'BS &amp; FCF'!CM7)</f>
        <v>328258.18433881737</v>
      </c>
      <c r="CS83" s="422">
        <f>('BS &amp; FCF'!CS28-'BS &amp; FCF'!CR28)+('BS &amp; FCF'!CS31-'BS &amp; FCF'!CR31)+('BS &amp; FCF'!CS32-'BS &amp; FCF'!CR32)-('BS &amp; FCF'!CS7-'BS &amp; FCF'!CR7)</f>
        <v>-39135.601857181638</v>
      </c>
      <c r="CT83" s="422">
        <f>('BS &amp; FCF'!CT28-'BS &amp; FCF'!CS28)+('BS &amp; FCF'!CT31-'BS &amp; FCF'!CS31)+('BS &amp; FCF'!CT32-'BS &amp; FCF'!CS32)-('BS &amp; FCF'!CT7-'BS &amp; FCF'!CS7)</f>
        <v>16568.00530462712</v>
      </c>
      <c r="CU83" s="422">
        <f>('BS &amp; FCF'!CU28-'BS &amp; FCF'!CT28)+('BS &amp; FCF'!CU31-'BS &amp; FCF'!CT31)+('BS &amp; FCF'!CU32-'BS &amp; FCF'!CT32)-('BS &amp; FCF'!CU7-'BS &amp; FCF'!CT7)</f>
        <v>76058.549355160445</v>
      </c>
      <c r="CV83" s="422">
        <f>('BS &amp; FCF'!CV28-'BS &amp; FCF'!CU28)+('BS &amp; FCF'!CV31-'BS &amp; FCF'!CU31)+('BS &amp; FCF'!CV32-'BS &amp; FCF'!CU32)-('BS &amp; FCF'!CV7-'BS &amp; FCF'!CU7)</f>
        <v>143737.32437240705</v>
      </c>
      <c r="CW83" s="423">
        <f>('BS &amp; FCF'!CW28-'BS &amp; FCF'!CR28)+('BS &amp; FCF'!CW31-'BS &amp; FCF'!CR31)+('BS &amp; FCF'!CW32-'BS &amp; FCF'!CR32)-('BS &amp; FCF'!CW7-'BS &amp; FCF'!CR7)</f>
        <v>197228.27717501298</v>
      </c>
      <c r="CX83" s="422">
        <f>('BS &amp; FCF'!CX28-'BS &amp; FCF'!CW28)+('BS &amp; FCF'!CX31-'BS &amp; FCF'!CW31)+('BS &amp; FCF'!CX32-'BS &amp; FCF'!CW32)-('BS &amp; FCF'!CX7-'BS &amp; FCF'!CW7)</f>
        <v>18378.237375818193</v>
      </c>
      <c r="CY83" s="422">
        <f>('BS &amp; FCF'!CY28-'BS &amp; FCF'!CX28)+('BS &amp; FCF'!CY31-'BS &amp; FCF'!CX31)+('BS &amp; FCF'!CY32-'BS &amp; FCF'!CX32)-('BS &amp; FCF'!CY7-'BS &amp; FCF'!CX7)</f>
        <v>22370.364884275943</v>
      </c>
      <c r="CZ83" s="422">
        <f>('BS &amp; FCF'!CZ28-'BS &amp; FCF'!CY28)+('BS &amp; FCF'!CZ31-'BS &amp; FCF'!CY31)+('BS &amp; FCF'!CZ32-'BS &amp; FCF'!CY32)-('BS &amp; FCF'!CZ7-'BS &amp; FCF'!CY7)</f>
        <v>93451.029278624803</v>
      </c>
      <c r="DA83" s="422">
        <f>('BS &amp; FCF'!DA28-'BS &amp; FCF'!CZ28)+('BS &amp; FCF'!DA31-'BS &amp; FCF'!CZ31)+('BS &amp; FCF'!DA32-'BS &amp; FCF'!CZ32)-('BS &amp; FCF'!DA7-'BS &amp; FCF'!CZ7)</f>
        <v>173590.2962718755</v>
      </c>
      <c r="DB83" s="423">
        <f>('BS &amp; FCF'!DB28-'BS &amp; FCF'!CW28)+('BS &amp; FCF'!DB31-'BS &amp; FCF'!CW31)+('BS &amp; FCF'!DB32-'BS &amp; FCF'!CW32)-('BS &amp; FCF'!DB7-'BS &amp; FCF'!CW7)</f>
        <v>307789.92781059444</v>
      </c>
    </row>
    <row r="84" spans="1:106" s="7" customFormat="1" ht="11.5" customHeight="1" outlineLevel="1" x14ac:dyDescent="0.35">
      <c r="A84" s="7" t="s">
        <v>145</v>
      </c>
      <c r="B84" s="70"/>
      <c r="C84" s="422">
        <f>('BS &amp; FCF'!C42-'BS &amp; FCF'!B42)+('BS &amp; FCF'!C43-'BS &amp; FCF'!B43)+('BS &amp; FCF'!C39-'BS &amp; FCF'!B39)+C73-C77</f>
        <v>-183462</v>
      </c>
      <c r="D84" s="422">
        <f>('BS &amp; FCF'!D42-'BS &amp; FCF'!C42)+('BS &amp; FCF'!D43-'BS &amp; FCF'!C43)+('BS &amp; FCF'!D39-'BS &amp; FCF'!C39)+D73-D77</f>
        <v>47736</v>
      </c>
      <c r="E84" s="422">
        <f>('BS &amp; FCF'!E42-'BS &amp; FCF'!D42)+('BS &amp; FCF'!E43-'BS &amp; FCF'!D43)+('BS &amp; FCF'!E39-'BS &amp; FCF'!D39)+E73-E77</f>
        <v>40642</v>
      </c>
      <c r="F84" s="423"/>
      <c r="G84" s="422">
        <f>('BS &amp; FCF'!G42-'BS &amp; FCF'!F42)+('BS &amp; FCF'!G43-'BS &amp; FCF'!F43)+('BS &amp; FCF'!G39-'BS &amp; FCF'!F39)+G73-G77</f>
        <v>17692</v>
      </c>
      <c r="H84" s="422">
        <f>('BS &amp; FCF'!H42-'BS &amp; FCF'!G42)+('BS &amp; FCF'!H43-'BS &amp; FCF'!G43)+('BS &amp; FCF'!H39-'BS &amp; FCF'!G39)+H73-H77</f>
        <v>-180271</v>
      </c>
      <c r="I84" s="422">
        <f>('BS &amp; FCF'!I42-'BS &amp; FCF'!H42)+('BS &amp; FCF'!I43-'BS &amp; FCF'!H43)+('BS &amp; FCF'!I39-'BS &amp; FCF'!H39)+I73-I77</f>
        <v>-239531</v>
      </c>
      <c r="J84" s="422">
        <f>('BS &amp; FCF'!J42-'BS &amp; FCF'!I42)+('BS &amp; FCF'!J43-'BS &amp; FCF'!I43)+('BS &amp; FCF'!J39-'BS &amp; FCF'!I39)+J73-J77</f>
        <v>-41339</v>
      </c>
      <c r="K84" s="423">
        <f>('BS &amp; FCF'!K42-'BS &amp; FCF'!F42)+('BS &amp; FCF'!K43-'BS &amp; FCF'!F43)+('BS &amp; FCF'!K39-'BS &amp; FCF'!F39)+K73-K77</f>
        <v>-443449</v>
      </c>
      <c r="L84" s="422">
        <f>('BS &amp; FCF'!L42-'BS &amp; FCF'!K42)+('BS &amp; FCF'!L43-'BS &amp; FCF'!K43)+('BS &amp; FCF'!L39-'BS &amp; FCF'!K39)+L73-L77</f>
        <v>-134741</v>
      </c>
      <c r="M84" s="422">
        <f>('BS &amp; FCF'!M42-'BS &amp; FCF'!L42)+('BS &amp; FCF'!M43-'BS &amp; FCF'!L43)+('BS &amp; FCF'!M39-'BS &amp; FCF'!L39)+M73-M77</f>
        <v>3257</v>
      </c>
      <c r="N84" s="422">
        <f>('BS &amp; FCF'!N42-'BS &amp; FCF'!M42)+('BS &amp; FCF'!N43-'BS &amp; FCF'!M43)+('BS &amp; FCF'!N39-'BS &amp; FCF'!M39)+N73-N77</f>
        <v>38188</v>
      </c>
      <c r="O84" s="422">
        <f>('BS &amp; FCF'!O42-'BS &amp; FCF'!N42)+('BS &amp; FCF'!O43-'BS &amp; FCF'!N43)+('BS &amp; FCF'!O39-'BS &amp; FCF'!N39)+O73-O77</f>
        <v>177634</v>
      </c>
      <c r="P84" s="423">
        <f>('BS &amp; FCF'!P42-'BS &amp; FCF'!K42)+('BS &amp; FCF'!P43-'BS &amp; FCF'!K43)+('BS &amp; FCF'!P39-'BS &amp; FCF'!K39)+P73-P77</f>
        <v>84338</v>
      </c>
      <c r="Q84" s="422">
        <f>('BS &amp; FCF'!Q42-'BS &amp; FCF'!P42)+('BS &amp; FCF'!Q43-'BS &amp; FCF'!P43)+('BS &amp; FCF'!Q39-'BS &amp; FCF'!P39)+Q73-Q77</f>
        <v>395072</v>
      </c>
      <c r="R84" s="422">
        <f>('BS &amp; FCF'!R42-'BS &amp; FCF'!Q42)+('BS &amp; FCF'!R43-'BS &amp; FCF'!Q43)+('BS &amp; FCF'!R39-'BS &amp; FCF'!Q39)+R73-R77</f>
        <v>-422671</v>
      </c>
      <c r="S84" s="422">
        <f>('BS &amp; FCF'!S42-'BS &amp; FCF'!R42)+('BS &amp; FCF'!S43-'BS &amp; FCF'!R43)+('BS &amp; FCF'!S39-'BS &amp; FCF'!R39)+S73-S77</f>
        <v>34157</v>
      </c>
      <c r="T84" s="422">
        <f>('BS &amp; FCF'!T42-'BS &amp; FCF'!S42)+('BS &amp; FCF'!T43-'BS &amp; FCF'!S43)+('BS &amp; FCF'!T39-'BS &amp; FCF'!S39)+T73-T77</f>
        <v>-248947</v>
      </c>
      <c r="U84" s="423">
        <f>('BS &amp; FCF'!U42-'BS &amp; FCF'!P42)+('BS &amp; FCF'!U43-'BS &amp; FCF'!P43)+('BS &amp; FCF'!U39-'BS &amp; FCF'!P39)+U73-U77</f>
        <v>-242389</v>
      </c>
      <c r="V84" s="422">
        <f>('BS &amp; FCF'!V42-'BS &amp; FCF'!U42)+('BS &amp; FCF'!V43-'BS &amp; FCF'!U43)+('BS &amp; FCF'!V39-'BS &amp; FCF'!U39)+V73-V77</f>
        <v>-199483</v>
      </c>
      <c r="W84" s="422">
        <f>('BS &amp; FCF'!W42-'BS &amp; FCF'!V42)+('BS &amp; FCF'!W43-'BS &amp; FCF'!V43)+('BS &amp; FCF'!W39-'BS &amp; FCF'!V39)+W73-W77</f>
        <v>-332402</v>
      </c>
      <c r="X84" s="422">
        <f>('BS &amp; FCF'!X42-'BS &amp; FCF'!W42)+('BS &amp; FCF'!X43-'BS &amp; FCF'!W43)+('BS &amp; FCF'!X39-'BS &amp; FCF'!W39)+X73-X77</f>
        <v>-138954</v>
      </c>
      <c r="Y84" s="422">
        <f>('BS &amp; FCF'!Y42-'BS &amp; FCF'!X42)+('BS &amp; FCF'!Y43-'BS &amp; FCF'!X43)+('BS &amp; FCF'!Y39-'BS &amp; FCF'!X39)+Y73-Y77</f>
        <v>-132839</v>
      </c>
      <c r="Z84" s="423">
        <f>('BS &amp; FCF'!Z42-'BS &amp; FCF'!U42)+('BS &amp; FCF'!Z43-'BS &amp; FCF'!U43)+('BS &amp; FCF'!Z39-'BS &amp; FCF'!U39)+Z73-Z77</f>
        <v>-803678</v>
      </c>
      <c r="AA84" s="422">
        <f>('BS &amp; FCF'!AA42-'BS &amp; FCF'!Z42)+('BS &amp; FCF'!AA43-'BS &amp; FCF'!Z43)+('BS &amp; FCF'!AA39-'BS &amp; FCF'!Z39)+AA73-AA77</f>
        <v>-98200</v>
      </c>
      <c r="AB84" s="422">
        <f>('BS &amp; FCF'!AB42-'BS &amp; FCF'!AA42)+('BS &amp; FCF'!AB43-'BS &amp; FCF'!AA43)+('BS &amp; FCF'!AB39-'BS &amp; FCF'!AA39)+AB73-AB77</f>
        <v>-275775</v>
      </c>
      <c r="AC84" s="422">
        <f>('BS &amp; FCF'!AC42-'BS &amp; FCF'!AB42)+('BS &amp; FCF'!AC43-'BS &amp; FCF'!AB43)+('BS &amp; FCF'!AC39-'BS &amp; FCF'!AB39)+AC73-AC77</f>
        <v>255404</v>
      </c>
      <c r="AD84" s="422">
        <f>('BS &amp; FCF'!AD42-'BS &amp; FCF'!AC42)+('BS &amp; FCF'!AD43-'BS &amp; FCF'!AC43)+('BS &amp; FCF'!AD39-'BS &amp; FCF'!AC39)+AD73-AD77</f>
        <v>-115231</v>
      </c>
      <c r="AE84" s="423">
        <f>('BS &amp; FCF'!AE42-'BS &amp; FCF'!Z42)+('BS &amp; FCF'!AE43-'BS &amp; FCF'!Z43)+('BS &amp; FCF'!AE39-'BS &amp; FCF'!Z39)+AE73-AE77</f>
        <v>-233802</v>
      </c>
      <c r="AF84" s="422">
        <f>('BS &amp; FCF'!AF42-'BS &amp; FCF'!AE42)+('BS &amp; FCF'!AF43-'BS &amp; FCF'!AE43)+('BS &amp; FCF'!AF39-'BS &amp; FCF'!AE39)+AF73-AF77</f>
        <v>-6054</v>
      </c>
      <c r="AG84" s="422">
        <f>('BS &amp; FCF'!AG42-'BS &amp; FCF'!AF42)+('BS &amp; FCF'!AG43-'BS &amp; FCF'!AF43)+('BS &amp; FCF'!AG39-'BS &amp; FCF'!AF39)+AG73-AG77</f>
        <v>-125768</v>
      </c>
      <c r="AH84" s="422">
        <f>('BS &amp; FCF'!AH42-'BS &amp; FCF'!AG42)+('BS &amp; FCF'!AH43-'BS &amp; FCF'!AG43)+('BS &amp; FCF'!AH39-'BS &amp; FCF'!AG39)+AH73-AH77</f>
        <v>-17610</v>
      </c>
      <c r="AI84" s="422">
        <f>('BS &amp; FCF'!AI42-'BS &amp; FCF'!AH42)+('BS &amp; FCF'!AI43-'BS &amp; FCF'!AH43)+('BS &amp; FCF'!AI39-'BS &amp; FCF'!AH39)+AI73-AI77</f>
        <v>15224</v>
      </c>
      <c r="AJ84" s="423">
        <f>('BS &amp; FCF'!AJ42-'BS &amp; FCF'!AE42)+('BS &amp; FCF'!AJ43-'BS &amp; FCF'!AE43)+('BS &amp; FCF'!AJ39-'BS &amp; FCF'!AE39)+AJ73-AJ77</f>
        <v>-134208</v>
      </c>
      <c r="AK84" s="422">
        <f>('BS &amp; FCF'!AK42-'BS &amp; FCF'!AJ42)+('BS &amp; FCF'!AK43-'BS &amp; FCF'!AJ43)+('BS &amp; FCF'!AK39-'BS &amp; FCF'!AJ39)+AK73-AK77</f>
        <v>8868</v>
      </c>
      <c r="AL84" s="422">
        <f>('BS &amp; FCF'!AL42-'BS &amp; FCF'!AK42)+('BS &amp; FCF'!AL43-'BS &amp; FCF'!AK43)+('BS &amp; FCF'!AL39-'BS &amp; FCF'!AK39)+AL73-AL77</f>
        <v>-359652</v>
      </c>
      <c r="AM84" s="422">
        <f>('BS &amp; FCF'!AM42-'BS &amp; FCF'!AL42)+('BS &amp; FCF'!AM43-'BS &amp; FCF'!AL43)+('BS &amp; FCF'!AM39-'BS &amp; FCF'!AL39)+AM73-AM77</f>
        <v>11641</v>
      </c>
      <c r="AN84" s="422">
        <f>('BS &amp; FCF'!AN42-'BS &amp; FCF'!AM42)+('BS &amp; FCF'!AN43-'BS &amp; FCF'!AM43)+('BS &amp; FCF'!AN39-'BS &amp; FCF'!AM39)+AN73-AN77</f>
        <v>-3043</v>
      </c>
      <c r="AO84" s="423">
        <f>('BS &amp; FCF'!AO42-'BS &amp; FCF'!AJ42)+('BS &amp; FCF'!AO43-'BS &amp; FCF'!AJ43)+('BS &amp; FCF'!AO39-'BS &amp; FCF'!AJ39)+AO73-AO77</f>
        <v>-342186</v>
      </c>
      <c r="AP84" s="422">
        <f>('BS &amp; FCF'!AP42-'BS &amp; FCF'!AO42)+('BS &amp; FCF'!AP43-'BS &amp; FCF'!AO43)+('BS &amp; FCF'!AP39-'BS &amp; FCF'!AO39)+AP73-AP77</f>
        <v>-279071</v>
      </c>
      <c r="AQ84" s="422">
        <f>('BS &amp; FCF'!AQ42-'BS &amp; FCF'!AP42)+('BS &amp; FCF'!AQ43-'BS &amp; FCF'!AP43)+('BS &amp; FCF'!AQ39-'BS &amp; FCF'!AP39)+AQ73-AQ77</f>
        <v>-25105</v>
      </c>
      <c r="AR84" s="422">
        <f>('BS &amp; FCF'!AR42-'BS &amp; FCF'!AQ42)+('BS &amp; FCF'!AR43-'BS &amp; FCF'!AQ43)+('BS &amp; FCF'!AR39-'BS &amp; FCF'!AQ39)+AR73-AR77</f>
        <v>-212203</v>
      </c>
      <c r="AS84" s="422">
        <f>('BS &amp; FCF'!AS42-'BS &amp; FCF'!AR42)+('BS &amp; FCF'!AS43-'BS &amp; FCF'!AR43)+('BS &amp; FCF'!AS39-'BS &amp; FCF'!AR39)+AS73-AS77</f>
        <v>-226945</v>
      </c>
      <c r="AT84" s="423">
        <f>('BS &amp; FCF'!AT42-'BS &amp; FCF'!AO42)+('BS &amp; FCF'!AT43-'BS &amp; FCF'!AO43)+('BS &amp; FCF'!AT39-'BS &amp; FCF'!AO39)+AT73-AT77</f>
        <v>-743324</v>
      </c>
      <c r="AU84" s="422">
        <f>('BS &amp; FCF'!AU42-'BS &amp; FCF'!AT42)+('BS &amp; FCF'!AU43-'BS &amp; FCF'!AT43)+('BS &amp; FCF'!AU39-'BS &amp; FCF'!AT39)+AU73-AU77</f>
        <v>-18232</v>
      </c>
      <c r="AV84" s="422">
        <f>('BS &amp; FCF'!AV42-'BS &amp; FCF'!AU42)+('BS &amp; FCF'!AV43-'BS &amp; FCF'!AU43)+('BS &amp; FCF'!AV39-'BS &amp; FCF'!AU39)+AV73-AV77</f>
        <v>-163474</v>
      </c>
      <c r="AW84" s="422">
        <f>('BS &amp; FCF'!AW42-'BS &amp; FCF'!AV42)+('BS &amp; FCF'!AW43-'BS &amp; FCF'!AV43)+('BS &amp; FCF'!AW39-'BS &amp; FCF'!AV39)+AW73-AW77</f>
        <v>-142193</v>
      </c>
      <c r="AX84" s="422">
        <f>('BS &amp; FCF'!AX42-'BS &amp; FCF'!AW42)+('BS &amp; FCF'!AX43-'BS &amp; FCF'!AW43)+('BS &amp; FCF'!AX39-'BS &amp; FCF'!AW39)+AX73-AX77</f>
        <v>-454312</v>
      </c>
      <c r="AY84" s="423">
        <f>('BS &amp; FCF'!AY42-'BS &amp; FCF'!AT42)+('BS &amp; FCF'!AY43-'BS &amp; FCF'!AT43)+('BS &amp; FCF'!AY39-'BS &amp; FCF'!AT39)+AY73-AY77</f>
        <v>-778211</v>
      </c>
      <c r="AZ84" s="422">
        <f>('BS &amp; FCF'!AZ42-'BS &amp; FCF'!AY42)+('BS &amp; FCF'!AZ43-'BS &amp; FCF'!AY43)+('BS &amp; FCF'!AZ39-'BS &amp; FCF'!AY39)+AZ73-AZ77</f>
        <v>7322</v>
      </c>
      <c r="BA84" s="422">
        <f>('BS &amp; FCF'!BA42-'BS &amp; FCF'!AZ42)+('BS &amp; FCF'!BA43-'BS &amp; FCF'!AZ43)+('BS &amp; FCF'!BA39-'BS &amp; FCF'!AZ39)+BA73-BA77</f>
        <v>23265</v>
      </c>
      <c r="BB84" s="422">
        <f>('BS &amp; FCF'!BB42-'BS &amp; FCF'!BA42)+('BS &amp; FCF'!BB43-'BS &amp; FCF'!BA43)+('BS &amp; FCF'!BB39-'BS &amp; FCF'!BA39)+BB73-BB77</f>
        <v>-158400</v>
      </c>
      <c r="BC84" s="422">
        <f>('BS &amp; FCF'!BC42-'BS &amp; FCF'!BB42)+('BS &amp; FCF'!BC43-'BS &amp; FCF'!BB43)+('BS &amp; FCF'!BC39-'BS &amp; FCF'!BB39)+BC73-BC77</f>
        <v>-593198</v>
      </c>
      <c r="BD84" s="423">
        <f>('BS &amp; FCF'!BD42-'BS &amp; FCF'!AY42)+('BS &amp; FCF'!BD43-'BS &amp; FCF'!AY43)+('BS &amp; FCF'!BD39-'BS &amp; FCF'!AY39)+BD73-BD77</f>
        <v>-721011</v>
      </c>
      <c r="BE84" s="422">
        <f>('BS &amp; FCF'!BE42-'BS &amp; FCF'!BD42)+('BS &amp; FCF'!BE43-'BS &amp; FCF'!BD43)+('BS &amp; FCF'!BE39-'BS &amp; FCF'!BD39)+BE73-BE77</f>
        <v>12135</v>
      </c>
      <c r="BF84" s="422">
        <f>('BS &amp; FCF'!BF42-'BS &amp; FCF'!BE42)+('BS &amp; FCF'!BF43-'BS &amp; FCF'!BE43)+('BS &amp; FCF'!BF39-'BS &amp; FCF'!BE39)+BF73-BF77</f>
        <v>-393046</v>
      </c>
      <c r="BG84" s="422">
        <f>('BS &amp; FCF'!BG42-'BS &amp; FCF'!BF42)+('BS &amp; FCF'!BG43-'BS &amp; FCF'!BF43)+('BS &amp; FCF'!BG39-'BS &amp; FCF'!BF39)+BG73-BG77</f>
        <v>73950</v>
      </c>
      <c r="BH84" s="422">
        <f>('BS &amp; FCF'!BH42-'BS &amp; FCF'!BG42)+('BS &amp; FCF'!BH43-'BS &amp; FCF'!BG43)+('BS &amp; FCF'!BH39-'BS &amp; FCF'!BG39)+BH73-BH77</f>
        <v>197000</v>
      </c>
      <c r="BI84" s="423">
        <f>('BS &amp; FCF'!BI42-'BS &amp; FCF'!BD42)+('BS &amp; FCF'!BI43-'BS &amp; FCF'!BD43)+('BS &amp; FCF'!BI39-'BS &amp; FCF'!BD39)+BI73-BI77</f>
        <v>-109961</v>
      </c>
      <c r="BJ84" s="422">
        <f>('BS &amp; FCF'!BJ42-'BS &amp; FCF'!BI42)+('BS &amp; FCF'!BJ43-'BS &amp; FCF'!BI43)+('BS &amp; FCF'!BJ39-'BS &amp; FCF'!BI39)+BJ73-BJ77</f>
        <v>21836</v>
      </c>
      <c r="BK84" s="422">
        <f>('BS &amp; FCF'!BK42-'BS &amp; FCF'!BJ42)+('BS &amp; FCF'!BK43-'BS &amp; FCF'!BJ43)+('BS &amp; FCF'!BK39-'BS &amp; FCF'!BJ39)+BK73-BK77</f>
        <v>-61821</v>
      </c>
      <c r="BL84" s="422">
        <f>('BS &amp; FCF'!BL42-'BS &amp; FCF'!BK42)+('BS &amp; FCF'!BL43-'BS &amp; FCF'!BK43)+('BS &amp; FCF'!BL39-'BS &amp; FCF'!BK39)+BL73-BL77</f>
        <v>-664937</v>
      </c>
      <c r="BM84" s="422">
        <f>('BS &amp; FCF'!BM42-'BS &amp; FCF'!BL42)+('BS &amp; FCF'!BM43-'BS &amp; FCF'!BL43)+('BS &amp; FCF'!BM39-'BS &amp; FCF'!BL39)+BM73-BM77</f>
        <v>662415</v>
      </c>
      <c r="BN84" s="423">
        <f>('BS &amp; FCF'!BN42-'BS &amp; FCF'!BI42)+('BS &amp; FCF'!BN43-'BS &amp; FCF'!BI43)+('BS &amp; FCF'!BN39-'BS &amp; FCF'!BI39)+BN73-BN77</f>
        <v>-42507</v>
      </c>
      <c r="BO84" s="422">
        <f>('BS &amp; FCF'!BO42-'BS &amp; FCF'!BN42)+('BS &amp; FCF'!BO43-'BS &amp; FCF'!BN43)+('BS &amp; FCF'!BO39-'BS &amp; FCF'!BN39)+BO73-BO77</f>
        <v>7981</v>
      </c>
      <c r="BP84" s="422">
        <f>('BS &amp; FCF'!BP42-'BS &amp; FCF'!BO42)+('BS &amp; FCF'!BP43-'BS &amp; FCF'!BO43)+('BS &amp; FCF'!BP39-'BS &amp; FCF'!BO39)+BP73-BP77</f>
        <v>93415</v>
      </c>
      <c r="BQ84" s="422">
        <f>('BS &amp; FCF'!BQ42-'BS &amp; FCF'!BP42)+('BS &amp; FCF'!BQ43-'BS &amp; FCF'!BP43)+('BS &amp; FCF'!BQ39-'BS &amp; FCF'!BP39)+BQ73-BQ77</f>
        <v>-147189</v>
      </c>
      <c r="BR84" s="422">
        <f>('BS &amp; FCF'!BR42-'BS &amp; FCF'!BQ42)+('BS &amp; FCF'!BR43-'BS &amp; FCF'!BQ43)+('BS &amp; FCF'!BR39-'BS &amp; FCF'!BQ39)+BR73-BR77</f>
        <v>-74834</v>
      </c>
      <c r="BS84" s="423">
        <f>('BS &amp; FCF'!BS42-'BS &amp; FCF'!BN42)+('BS &amp; FCF'!BS43-'BS &amp; FCF'!BN43)+('BS &amp; FCF'!BS39-'BS &amp; FCF'!BN39)+BS73-BS77</f>
        <v>-120627</v>
      </c>
      <c r="BT84" s="422">
        <f>('BS &amp; FCF'!BT42-'BS &amp; FCF'!BS42)+('BS &amp; FCF'!BT43-'BS &amp; FCF'!BS43)+('BS &amp; FCF'!BT39-'BS &amp; FCF'!BS39)+BT73-BT77</f>
        <v>-227201</v>
      </c>
      <c r="BU84" s="422">
        <f>('BS &amp; FCF'!BU42-'BS &amp; FCF'!BT42)+('BS &amp; FCF'!BU43-'BS &amp; FCF'!BT43)+('BS &amp; FCF'!BU39-'BS &amp; FCF'!BT39)+BU73-BU77</f>
        <v>281991</v>
      </c>
      <c r="BV84" s="422">
        <f>('BS &amp; FCF'!BV42-'BS &amp; FCF'!BU42)+('BS &amp; FCF'!BV43-'BS &amp; FCF'!BU43)+('BS &amp; FCF'!BV39-'BS &amp; FCF'!BU39)+BV73-BV77</f>
        <v>144486</v>
      </c>
      <c r="BW84" s="422">
        <f>('BS &amp; FCF'!BW42-'BS &amp; FCF'!BV42)+('BS &amp; FCF'!BW43-'BS &amp; FCF'!BV43)+('BS &amp; FCF'!BW39-'BS &amp; FCF'!BV39)+BW73-BW77</f>
        <v>-475312</v>
      </c>
      <c r="BX84" s="423">
        <f>('BS &amp; FCF'!BX42-'BS &amp; FCF'!BS42)+('BS &amp; FCF'!BX43-'BS &amp; FCF'!BS43)+('BS &amp; FCF'!BX39-'BS &amp; FCF'!BS39)+BX73-BX77</f>
        <v>-276036</v>
      </c>
      <c r="BY84" s="422">
        <f>('BS &amp; FCF'!BY42-'BS &amp; FCF'!BX42)+('BS &amp; FCF'!BY43-'BS &amp; FCF'!BX43)+('BS &amp; FCF'!BY39-'BS &amp; FCF'!BX39)+BY73-BY77</f>
        <v>-190648</v>
      </c>
      <c r="BZ84" s="422">
        <f>('BS &amp; FCF'!BZ42-'BS &amp; FCF'!BY42)+('BS &amp; FCF'!BZ43-'BS &amp; FCF'!BY43)+('BS &amp; FCF'!BZ39-'BS &amp; FCF'!BY39)+BZ73-BZ77</f>
        <v>397207</v>
      </c>
      <c r="CA84" s="422">
        <f>('BS &amp; FCF'!CA42-'BS &amp; FCF'!BZ42)+('BS &amp; FCF'!CA43-'BS &amp; FCF'!BZ43)+('BS &amp; FCF'!CA39-'BS &amp; FCF'!BZ39)+CA73-CA77</f>
        <v>4966</v>
      </c>
      <c r="CB84" s="422">
        <f>('BS &amp; FCF'!CB42-'BS &amp; FCF'!CA42)+('BS &amp; FCF'!CB43-'BS &amp; FCF'!CA43)+('BS &amp; FCF'!CB39-'BS &amp; FCF'!CA39)+CB73-CB77</f>
        <v>-1099600</v>
      </c>
      <c r="CC84" s="423">
        <f>('BS &amp; FCF'!CC42-'BS &amp; FCF'!BX42)+('BS &amp; FCF'!CC43-'BS &amp; FCF'!BX43)+('BS &amp; FCF'!CC39-'BS &amp; FCF'!BX39)+CC73-CC77</f>
        <v>-888075</v>
      </c>
      <c r="CD84" s="422">
        <f>('BS &amp; FCF'!CD42-'BS &amp; FCF'!CC42)+('BS &amp; FCF'!CD43-'BS &amp; FCF'!CC43)+('BS &amp; FCF'!CD39-'BS &amp; FCF'!CC39)+CD73-CD77</f>
        <v>164439</v>
      </c>
      <c r="CE84" s="422">
        <f>('BS &amp; FCF'!CE42-'BS &amp; FCF'!CD42)+('BS &amp; FCF'!CE43-'BS &amp; FCF'!CD43)+('BS &amp; FCF'!CE39-'BS &amp; FCF'!CD39)+CE73-CE77</f>
        <v>71901</v>
      </c>
      <c r="CF84" s="422">
        <f ca="1">('BS &amp; FCF'!CF42-'BS &amp; FCF'!CE42)+('BS &amp; FCF'!CF43-'BS &amp; FCF'!CE43)+('BS &amp; FCF'!CF39-'BS &amp; FCF'!CE39)+CF73-CF77</f>
        <v>34922.276279211394</v>
      </c>
      <c r="CG84" s="422">
        <f ca="1">('BS &amp; FCF'!CG42-'BS &amp; FCF'!CF42)+('BS &amp; FCF'!CG43-'BS &amp; FCF'!CF43)+('BS &amp; FCF'!CG39-'BS &amp; FCF'!CF39)+CG73-CG77</f>
        <v>30850.489224868477</v>
      </c>
      <c r="CH84" s="423">
        <f ca="1">('BS &amp; FCF'!CH42-'BS &amp; FCF'!CC42)+('BS &amp; FCF'!CH43-'BS &amp; FCF'!CC43)+('BS &amp; FCF'!CH39-'BS &amp; FCF'!CC39)+CH73-CH77</f>
        <v>302112.76550407987</v>
      </c>
      <c r="CI84" s="422">
        <f ca="1">('BS &amp; FCF'!CI42-'BS &amp; FCF'!CH42)+('BS &amp; FCF'!CI43-'BS &amp; FCF'!CH43)+('BS &amp; FCF'!CI39-'BS &amp; FCF'!CH39)+CI73-CI77</f>
        <v>50872.445041585946</v>
      </c>
      <c r="CJ84" s="422">
        <f ca="1">('BS &amp; FCF'!CJ42-'BS &amp; FCF'!CI42)+('BS &amp; FCF'!CJ43-'BS &amp; FCF'!CI43)+('BS &amp; FCF'!CJ39-'BS &amp; FCF'!CI39)+CJ73-CJ77</f>
        <v>-931241.02740336652</v>
      </c>
      <c r="CK84" s="422">
        <f ca="1">('BS &amp; FCF'!CK42-'BS &amp; FCF'!CJ42)+('BS &amp; FCF'!CK43-'BS &amp; FCF'!CJ43)+('BS &amp; FCF'!CK39-'BS &amp; FCF'!CJ39)+CK73-CK77</f>
        <v>14075.661885449314</v>
      </c>
      <c r="CL84" s="422">
        <f ca="1">('BS &amp; FCF'!CL42-'BS &amp; FCF'!CK42)+('BS &amp; FCF'!CL43-'BS &amp; FCF'!CK43)+('BS &amp; FCF'!CL39-'BS &amp; FCF'!CK39)+CL73-CL77</f>
        <v>9267.5803875566926</v>
      </c>
      <c r="CM84" s="423">
        <f ca="1">('BS &amp; FCF'!CM42-'BS &amp; FCF'!CH42)+('BS &amp; FCF'!CM43-'BS &amp; FCF'!CH43)+('BS &amp; FCF'!CM39-'BS &amp; FCF'!CH39)+CM73-CM77</f>
        <v>-857025.34008877422</v>
      </c>
      <c r="CN84" s="422">
        <f ca="1">('BS &amp; FCF'!CN42-'BS &amp; FCF'!CM42)+('BS &amp; FCF'!CN43-'BS &amp; FCF'!CM43)+('BS &amp; FCF'!CN39-'BS &amp; FCF'!CM39)+CN73-CN77</f>
        <v>35303.173881490133</v>
      </c>
      <c r="CO84" s="422">
        <f ca="1">('BS &amp; FCF'!CO42-'BS &amp; FCF'!CN42)+('BS &amp; FCF'!CO43-'BS &amp; FCF'!CN43)+('BS &amp; FCF'!CO39-'BS &amp; FCF'!CN39)+CO73-CO77</f>
        <v>-1867390.5894505053</v>
      </c>
      <c r="CP84" s="422">
        <f ca="1">('BS &amp; FCF'!CP42-'BS &amp; FCF'!CO42)+('BS &amp; FCF'!CP43-'BS &amp; FCF'!CO43)+('BS &amp; FCF'!CP39-'BS &amp; FCF'!CO39)+CP73-CP77</f>
        <v>23170.879765684833</v>
      </c>
      <c r="CQ84" s="422">
        <f ca="1">('BS &amp; FCF'!CQ42-'BS &amp; FCF'!CP42)+('BS &amp; FCF'!CQ43-'BS &amp; FCF'!CP43)+('BS &amp; FCF'!CQ39-'BS &amp; FCF'!CP39)+CQ73-CQ77</f>
        <v>7951.8422466281336</v>
      </c>
      <c r="CR84" s="423">
        <f ca="1">('BS &amp; FCF'!CR42-'BS &amp; FCF'!CM42)+('BS &amp; FCF'!CR43-'BS &amp; FCF'!CM43)+('BS &amp; FCF'!CR39-'BS &amp; FCF'!CM39)+CR73-CR77</f>
        <v>-1800964.693556702</v>
      </c>
      <c r="CS84" s="422">
        <f ca="1">('BS &amp; FCF'!CS42-'BS &amp; FCF'!CR42)+('BS &amp; FCF'!CS43-'BS &amp; FCF'!CR43)+('BS &amp; FCF'!CS39-'BS &amp; FCF'!CR39)+CS73-CS77</f>
        <v>18217.648975750315</v>
      </c>
      <c r="CT84" s="422">
        <f ca="1">('BS &amp; FCF'!CT42-'BS &amp; FCF'!CS42)+('BS &amp; FCF'!CT43-'BS &amp; FCF'!CS43)+('BS &amp; FCF'!CT39-'BS &amp; FCF'!CS39)+CT73-CT77</f>
        <v>-2083868.0510907429</v>
      </c>
      <c r="CU84" s="422">
        <f ca="1">('BS &amp; FCF'!CU42-'BS &amp; FCF'!CT42)+('BS &amp; FCF'!CU43-'BS &amp; FCF'!CT43)+('BS &amp; FCF'!CU39-'BS &amp; FCF'!CT39)+CU73-CU77</f>
        <v>12218.564764578943</v>
      </c>
      <c r="CV84" s="422">
        <f ca="1">('BS &amp; FCF'!CV42-'BS &amp; FCF'!CU42)+('BS &amp; FCF'!CV43-'BS &amp; FCF'!CU43)+('BS &amp; FCF'!CV39-'BS &amp; FCF'!CU39)+CV73-CV77</f>
        <v>10662.045848341892</v>
      </c>
      <c r="CW84" s="423">
        <f ca="1">('BS &amp; FCF'!CW42-'BS &amp; FCF'!CR42)+('BS &amp; FCF'!CW43-'BS &amp; FCF'!CR43)+('BS &amp; FCF'!CW39-'BS &amp; FCF'!CR39)+CW73-CW77</f>
        <v>-2042769.7915020715</v>
      </c>
      <c r="CX84" s="422">
        <f ca="1">('BS &amp; FCF'!CX42-'BS &amp; FCF'!CW42)+('BS &amp; FCF'!CX43-'BS &amp; FCF'!CW43)+('BS &amp; FCF'!CX39-'BS &amp; FCF'!CW39)+CX73-CX77</f>
        <v>34202.701357663376</v>
      </c>
      <c r="CY84" s="422">
        <f ca="1">('BS &amp; FCF'!CY42-'BS &amp; FCF'!CX42)+('BS &amp; FCF'!CY43-'BS &amp; FCF'!CX43)+('BS &amp; FCF'!CY39-'BS &amp; FCF'!CX39)+CY73-CY77</f>
        <v>-2254351.5146297566</v>
      </c>
      <c r="CZ84" s="422">
        <f ca="1">('BS &amp; FCF'!CZ42-'BS &amp; FCF'!CY42)+('BS &amp; FCF'!CZ43-'BS &amp; FCF'!CY43)+('BS &amp; FCF'!CZ39-'BS &amp; FCF'!CY39)+CZ73-CZ77</f>
        <v>-11673.322278622305</v>
      </c>
      <c r="DA84" s="422">
        <f ca="1">('BS &amp; FCF'!DA42-'BS &amp; FCF'!CZ42)+('BS &amp; FCF'!DA43-'BS &amp; FCF'!CZ43)+('BS &amp; FCF'!DA39-'BS &amp; FCF'!CZ39)+DA73-DA77</f>
        <v>-31963.429767616792</v>
      </c>
      <c r="DB84" s="423">
        <f ca="1">('BS &amp; FCF'!DB42-'BS &amp; FCF'!CW42)+('BS &amp; FCF'!DB43-'BS &amp; FCF'!CW43)+('BS &amp; FCF'!DB39-'BS &amp; FCF'!CW39)+DB73-DB77</f>
        <v>-2263785.5653183321</v>
      </c>
    </row>
    <row r="85" spans="1:106" s="7" customFormat="1" ht="11.5" customHeight="1" x14ac:dyDescent="0.35">
      <c r="A85" s="11" t="s">
        <v>146</v>
      </c>
      <c r="B85" s="120"/>
      <c r="C85" s="120">
        <f>SUM(C83:C84)</f>
        <v>-43035</v>
      </c>
      <c r="D85" s="120">
        <f>SUM(D83:D84)</f>
        <v>256644</v>
      </c>
      <c r="E85" s="120">
        <f>SUM(E83:E84)</f>
        <v>564368</v>
      </c>
      <c r="F85" s="39"/>
      <c r="G85" s="120">
        <f t="shared" ref="G85:AL85" si="175">SUM(G83:G84)</f>
        <v>200593</v>
      </c>
      <c r="H85" s="120">
        <f t="shared" si="175"/>
        <v>364844</v>
      </c>
      <c r="I85" s="120">
        <f t="shared" si="175"/>
        <v>237307</v>
      </c>
      <c r="J85" s="120">
        <f t="shared" si="175"/>
        <v>-155973</v>
      </c>
      <c r="K85" s="39">
        <f t="shared" si="175"/>
        <v>646771</v>
      </c>
      <c r="L85" s="120">
        <f t="shared" si="175"/>
        <v>-36128</v>
      </c>
      <c r="M85" s="120">
        <f t="shared" si="175"/>
        <v>-247513</v>
      </c>
      <c r="N85" s="120">
        <f t="shared" si="175"/>
        <v>-82305</v>
      </c>
      <c r="O85" s="120">
        <f t="shared" si="175"/>
        <v>148539</v>
      </c>
      <c r="P85" s="39">
        <f t="shared" si="175"/>
        <v>-217407</v>
      </c>
      <c r="Q85" s="120">
        <f t="shared" si="175"/>
        <v>87377</v>
      </c>
      <c r="R85" s="120">
        <f t="shared" si="175"/>
        <v>-444894</v>
      </c>
      <c r="S85" s="120">
        <f t="shared" si="175"/>
        <v>155180</v>
      </c>
      <c r="T85" s="120">
        <f t="shared" si="175"/>
        <v>131122</v>
      </c>
      <c r="U85" s="39">
        <f t="shared" si="175"/>
        <v>-71215</v>
      </c>
      <c r="V85" s="120">
        <f t="shared" si="175"/>
        <v>200005</v>
      </c>
      <c r="W85" s="120">
        <f t="shared" si="175"/>
        <v>-635693</v>
      </c>
      <c r="X85" s="120">
        <f t="shared" si="175"/>
        <v>-175248</v>
      </c>
      <c r="Y85" s="120">
        <f t="shared" si="175"/>
        <v>-515376</v>
      </c>
      <c r="Z85" s="39">
        <f t="shared" si="175"/>
        <v>-1126312</v>
      </c>
      <c r="AA85" s="120">
        <f t="shared" si="175"/>
        <v>-180123</v>
      </c>
      <c r="AB85" s="120">
        <f t="shared" si="175"/>
        <v>-161437</v>
      </c>
      <c r="AC85" s="120">
        <f t="shared" si="175"/>
        <v>340793</v>
      </c>
      <c r="AD85" s="120">
        <f t="shared" si="175"/>
        <v>-408766</v>
      </c>
      <c r="AE85" s="39">
        <f t="shared" si="175"/>
        <v>-409533</v>
      </c>
      <c r="AF85" s="120">
        <f t="shared" si="175"/>
        <v>-136770</v>
      </c>
      <c r="AG85" s="120">
        <f t="shared" si="175"/>
        <v>-301004</v>
      </c>
      <c r="AH85" s="120">
        <f t="shared" si="175"/>
        <v>-84080</v>
      </c>
      <c r="AI85" s="120">
        <f t="shared" si="175"/>
        <v>-122381</v>
      </c>
      <c r="AJ85" s="39">
        <f t="shared" si="175"/>
        <v>-644235</v>
      </c>
      <c r="AK85" s="120">
        <f t="shared" si="175"/>
        <v>168115</v>
      </c>
      <c r="AL85" s="120">
        <f t="shared" si="175"/>
        <v>-518910</v>
      </c>
      <c r="AM85" s="120">
        <f t="shared" ref="AM85:BR85" si="176">SUM(AM83:AM84)</f>
        <v>-282348</v>
      </c>
      <c r="AN85" s="120">
        <f t="shared" si="176"/>
        <v>-582238</v>
      </c>
      <c r="AO85" s="39">
        <f t="shared" si="176"/>
        <v>-1215381</v>
      </c>
      <c r="AP85" s="120">
        <f t="shared" si="176"/>
        <v>-748486</v>
      </c>
      <c r="AQ85" s="120">
        <f t="shared" si="176"/>
        <v>224812</v>
      </c>
      <c r="AR85" s="120">
        <f t="shared" si="176"/>
        <v>424670</v>
      </c>
      <c r="AS85" s="120">
        <f t="shared" si="176"/>
        <v>-806757</v>
      </c>
      <c r="AT85" s="39">
        <f t="shared" si="176"/>
        <v>-905761</v>
      </c>
      <c r="AU85" s="120">
        <f t="shared" si="176"/>
        <v>-293389</v>
      </c>
      <c r="AV85" s="120">
        <f t="shared" si="176"/>
        <v>-264532</v>
      </c>
      <c r="AW85" s="120">
        <f t="shared" si="176"/>
        <v>274126</v>
      </c>
      <c r="AX85" s="120">
        <f t="shared" si="176"/>
        <v>-360360</v>
      </c>
      <c r="AY85" s="39">
        <f t="shared" si="176"/>
        <v>-644155</v>
      </c>
      <c r="AZ85" s="120">
        <f t="shared" si="176"/>
        <v>-62627</v>
      </c>
      <c r="BA85" s="120">
        <f t="shared" si="176"/>
        <v>383989</v>
      </c>
      <c r="BB85" s="120">
        <f t="shared" si="176"/>
        <v>-667952</v>
      </c>
      <c r="BC85" s="120">
        <f t="shared" si="176"/>
        <v>-211381</v>
      </c>
      <c r="BD85" s="39">
        <f t="shared" si="176"/>
        <v>-557971</v>
      </c>
      <c r="BE85" s="120">
        <f t="shared" si="176"/>
        <v>41996</v>
      </c>
      <c r="BF85" s="120">
        <f t="shared" si="176"/>
        <v>191279</v>
      </c>
      <c r="BG85" s="120">
        <f t="shared" si="176"/>
        <v>99283</v>
      </c>
      <c r="BH85" s="120">
        <f t="shared" si="176"/>
        <v>338732</v>
      </c>
      <c r="BI85" s="39">
        <f t="shared" si="176"/>
        <v>671290</v>
      </c>
      <c r="BJ85" s="120">
        <f t="shared" si="176"/>
        <v>89561</v>
      </c>
      <c r="BK85" s="120">
        <f t="shared" si="176"/>
        <v>224280</v>
      </c>
      <c r="BL85" s="120">
        <f t="shared" si="176"/>
        <v>-86515</v>
      </c>
      <c r="BM85" s="120">
        <f t="shared" si="176"/>
        <v>1088928</v>
      </c>
      <c r="BN85" s="39">
        <f t="shared" si="176"/>
        <v>1316254</v>
      </c>
      <c r="BO85" s="120">
        <f t="shared" si="176"/>
        <v>-134196</v>
      </c>
      <c r="BP85" s="120">
        <f t="shared" si="176"/>
        <v>237800</v>
      </c>
      <c r="BQ85" s="120">
        <f t="shared" si="176"/>
        <v>-178841</v>
      </c>
      <c r="BR85" s="120">
        <f t="shared" si="176"/>
        <v>182626</v>
      </c>
      <c r="BS85" s="39">
        <f t="shared" ref="BS85:CX85" si="177">SUM(BS83:BS84)</f>
        <v>107389</v>
      </c>
      <c r="BT85" s="120">
        <f t="shared" si="177"/>
        <v>-283411</v>
      </c>
      <c r="BU85" s="120">
        <f t="shared" si="177"/>
        <v>611616</v>
      </c>
      <c r="BV85" s="120">
        <f t="shared" si="177"/>
        <v>403107</v>
      </c>
      <c r="BW85" s="120">
        <f t="shared" si="177"/>
        <v>89177</v>
      </c>
      <c r="BX85" s="39">
        <f t="shared" si="177"/>
        <v>820489</v>
      </c>
      <c r="BY85" s="120">
        <f t="shared" si="177"/>
        <v>-97208</v>
      </c>
      <c r="BZ85" s="120">
        <f>SUM(BZ83:BZ84)</f>
        <v>1337649</v>
      </c>
      <c r="CA85" s="120">
        <f>SUM(CA83:CA84)</f>
        <v>591649</v>
      </c>
      <c r="CB85" s="120">
        <f t="shared" ref="CB85" si="178">SUM(CB83:CB84)</f>
        <v>65804</v>
      </c>
      <c r="CC85" s="39">
        <f t="shared" si="177"/>
        <v>1897894</v>
      </c>
      <c r="CD85" s="120">
        <f t="shared" ref="CD85" si="179">SUM(CD83:CD84)</f>
        <v>198699</v>
      </c>
      <c r="CE85" s="120">
        <f>SUM(CE83:CE84)</f>
        <v>174002</v>
      </c>
      <c r="CF85" s="120">
        <f t="shared" ca="1" si="177"/>
        <v>196799.02991715854</v>
      </c>
      <c r="CG85" s="120">
        <f t="shared" ca="1" si="177"/>
        <v>161796.29363840318</v>
      </c>
      <c r="CH85" s="39">
        <f t="shared" ca="1" si="177"/>
        <v>731296.32355556171</v>
      </c>
      <c r="CI85" s="120">
        <f t="shared" ca="1" si="177"/>
        <v>195164.06133603142</v>
      </c>
      <c r="CJ85" s="120">
        <f t="shared" ca="1" si="177"/>
        <v>-903561.53788806754</v>
      </c>
      <c r="CK85" s="120">
        <f t="shared" ca="1" si="177"/>
        <v>108041.96212247538</v>
      </c>
      <c r="CL85" s="120">
        <f t="shared" ca="1" si="177"/>
        <v>102649.41811122722</v>
      </c>
      <c r="CM85" s="39">
        <f t="shared" ca="1" si="177"/>
        <v>-497706.09631833318</v>
      </c>
      <c r="CN85" s="120">
        <f t="shared" ca="1" si="177"/>
        <v>65406.748118596501</v>
      </c>
      <c r="CO85" s="120">
        <f t="shared" ca="1" si="177"/>
        <v>-1816190.3097692362</v>
      </c>
      <c r="CP85" s="120">
        <f t="shared" ca="1" si="177"/>
        <v>140263.4881877742</v>
      </c>
      <c r="CQ85" s="120">
        <f t="shared" ca="1" si="177"/>
        <v>137813.56424498069</v>
      </c>
      <c r="CR85" s="39">
        <f t="shared" ca="1" si="177"/>
        <v>-1472706.5092178846</v>
      </c>
      <c r="CS85" s="120">
        <f t="shared" ca="1" si="177"/>
        <v>-20917.952881431323</v>
      </c>
      <c r="CT85" s="120">
        <f t="shared" ca="1" si="177"/>
        <v>-2067300.0457861158</v>
      </c>
      <c r="CU85" s="120">
        <f t="shared" ca="1" si="177"/>
        <v>88277.114119739388</v>
      </c>
      <c r="CV85" s="120">
        <f t="shared" ca="1" si="177"/>
        <v>154399.37022074894</v>
      </c>
      <c r="CW85" s="39">
        <f t="shared" ca="1" si="177"/>
        <v>-1845541.5143270586</v>
      </c>
      <c r="CX85" s="120">
        <f t="shared" ca="1" si="177"/>
        <v>52580.938733481569</v>
      </c>
      <c r="CY85" s="120">
        <f ca="1">SUM(CY83:CY84)</f>
        <v>-2231981.1497454806</v>
      </c>
      <c r="CZ85" s="120">
        <f ca="1">SUM(CZ83:CZ84)</f>
        <v>81777.707000002498</v>
      </c>
      <c r="DA85" s="120">
        <f ca="1">SUM(DA83:DA84)</f>
        <v>141626.86650425871</v>
      </c>
      <c r="DB85" s="39">
        <f ca="1">SUM(DB83:DB84)</f>
        <v>-1955995.6375077376</v>
      </c>
    </row>
    <row r="86" spans="1:106" s="7" customFormat="1" ht="11.5" customHeight="1" x14ac:dyDescent="0.35">
      <c r="A86" s="11" t="s">
        <v>149</v>
      </c>
      <c r="B86" s="120"/>
      <c r="C86" s="120">
        <f>C80+C82+C85</f>
        <v>-288998</v>
      </c>
      <c r="D86" s="120">
        <f>D80+D82+D85</f>
        <v>-10908</v>
      </c>
      <c r="E86" s="120">
        <f>E80+E82+E85</f>
        <v>168386</v>
      </c>
      <c r="F86" s="39"/>
      <c r="G86" s="120">
        <f t="shared" ref="G86:AL86" si="180">G80+G82+G85</f>
        <v>59012</v>
      </c>
      <c r="H86" s="120">
        <f t="shared" si="180"/>
        <v>354735</v>
      </c>
      <c r="I86" s="120">
        <f t="shared" si="180"/>
        <v>100020</v>
      </c>
      <c r="J86" s="120">
        <f t="shared" si="180"/>
        <v>-2561</v>
      </c>
      <c r="K86" s="39">
        <f t="shared" si="180"/>
        <v>511206</v>
      </c>
      <c r="L86" s="120">
        <f t="shared" si="180"/>
        <v>29084</v>
      </c>
      <c r="M86" s="120">
        <f t="shared" si="180"/>
        <v>-223167</v>
      </c>
      <c r="N86" s="120">
        <f t="shared" si="180"/>
        <v>17919</v>
      </c>
      <c r="O86" s="120">
        <f t="shared" si="180"/>
        <v>60816</v>
      </c>
      <c r="P86" s="39">
        <f t="shared" si="180"/>
        <v>-115348</v>
      </c>
      <c r="Q86" s="120">
        <f t="shared" si="180"/>
        <v>-71661</v>
      </c>
      <c r="R86" s="120">
        <f t="shared" si="180"/>
        <v>-116635</v>
      </c>
      <c r="S86" s="120">
        <f t="shared" si="180"/>
        <v>57384</v>
      </c>
      <c r="T86" s="120">
        <f t="shared" si="180"/>
        <v>37152</v>
      </c>
      <c r="U86" s="39">
        <f t="shared" si="180"/>
        <v>-93760</v>
      </c>
      <c r="V86" s="120">
        <f t="shared" si="180"/>
        <v>407294</v>
      </c>
      <c r="W86" s="120">
        <f t="shared" si="180"/>
        <v>-531266</v>
      </c>
      <c r="X86" s="120">
        <f t="shared" si="180"/>
        <v>-59056</v>
      </c>
      <c r="Y86" s="120">
        <f t="shared" si="180"/>
        <v>-92562</v>
      </c>
      <c r="Z86" s="39">
        <f t="shared" si="180"/>
        <v>-275590</v>
      </c>
      <c r="AA86" s="120">
        <f t="shared" si="180"/>
        <v>221060</v>
      </c>
      <c r="AB86" s="120">
        <f t="shared" si="180"/>
        <v>219185</v>
      </c>
      <c r="AC86" s="120">
        <f t="shared" si="180"/>
        <v>283217</v>
      </c>
      <c r="AD86" s="120">
        <f t="shared" si="180"/>
        <v>-290558</v>
      </c>
      <c r="AE86" s="39">
        <f t="shared" si="180"/>
        <v>432904</v>
      </c>
      <c r="AF86" s="120">
        <f t="shared" si="180"/>
        <v>-92748</v>
      </c>
      <c r="AG86" s="120">
        <f t="shared" si="180"/>
        <v>-260454</v>
      </c>
      <c r="AH86" s="120">
        <f t="shared" si="180"/>
        <v>-298309</v>
      </c>
      <c r="AI86" s="120">
        <f t="shared" si="180"/>
        <v>116217</v>
      </c>
      <c r="AJ86" s="39">
        <f t="shared" si="180"/>
        <v>-535294</v>
      </c>
      <c r="AK86" s="120">
        <f t="shared" si="180"/>
        <v>278656</v>
      </c>
      <c r="AL86" s="120">
        <f t="shared" si="180"/>
        <v>-345042</v>
      </c>
      <c r="AM86" s="120">
        <f t="shared" ref="AM86:BR86" si="181">AM80+AM82+AM85</f>
        <v>-17867</v>
      </c>
      <c r="AN86" s="120">
        <f t="shared" si="181"/>
        <v>-251277</v>
      </c>
      <c r="AO86" s="39">
        <f t="shared" si="181"/>
        <v>-335530</v>
      </c>
      <c r="AP86" s="120">
        <f t="shared" si="181"/>
        <v>-247221</v>
      </c>
      <c r="AQ86" s="120">
        <f t="shared" si="181"/>
        <v>411584</v>
      </c>
      <c r="AR86" s="120">
        <f t="shared" si="181"/>
        <v>612704</v>
      </c>
      <c r="AS86" s="120">
        <f t="shared" si="181"/>
        <v>-591171</v>
      </c>
      <c r="AT86" s="39">
        <f t="shared" si="181"/>
        <v>185896</v>
      </c>
      <c r="AU86" s="120">
        <f t="shared" si="181"/>
        <v>-112462</v>
      </c>
      <c r="AV86" s="120">
        <f t="shared" si="181"/>
        <v>91921</v>
      </c>
      <c r="AW86" s="120">
        <f t="shared" si="181"/>
        <v>233297</v>
      </c>
      <c r="AX86" s="120">
        <f t="shared" si="181"/>
        <v>-98245</v>
      </c>
      <c r="AY86" s="39">
        <f t="shared" si="181"/>
        <v>114511</v>
      </c>
      <c r="AZ86" s="120">
        <f t="shared" si="181"/>
        <v>9202</v>
      </c>
      <c r="BA86" s="120">
        <f t="shared" si="181"/>
        <v>321574</v>
      </c>
      <c r="BB86" s="120">
        <f t="shared" si="181"/>
        <v>402253</v>
      </c>
      <c r="BC86" s="120">
        <f t="shared" si="181"/>
        <v>5141</v>
      </c>
      <c r="BD86" s="39">
        <f t="shared" si="181"/>
        <v>738170</v>
      </c>
      <c r="BE86" s="120">
        <f t="shared" si="181"/>
        <v>42632</v>
      </c>
      <c r="BF86" s="120">
        <f t="shared" si="181"/>
        <v>336978</v>
      </c>
      <c r="BG86" s="120">
        <f t="shared" si="181"/>
        <v>213548</v>
      </c>
      <c r="BH86" s="120">
        <f t="shared" si="181"/>
        <v>304297</v>
      </c>
      <c r="BI86" s="39">
        <f t="shared" si="181"/>
        <v>897455</v>
      </c>
      <c r="BJ86" s="120">
        <f t="shared" si="181"/>
        <v>-57359</v>
      </c>
      <c r="BK86" s="120">
        <f t="shared" si="181"/>
        <v>322476</v>
      </c>
      <c r="BL86" s="120">
        <f t="shared" si="181"/>
        <v>349399</v>
      </c>
      <c r="BM86" s="120">
        <f t="shared" si="181"/>
        <v>596443</v>
      </c>
      <c r="BN86" s="39">
        <f t="shared" si="181"/>
        <v>1210959</v>
      </c>
      <c r="BO86" s="120">
        <f t="shared" si="181"/>
        <v>-197031</v>
      </c>
      <c r="BP86" s="120">
        <f t="shared" si="181"/>
        <v>227530</v>
      </c>
      <c r="BQ86" s="120">
        <f t="shared" si="181"/>
        <v>-92454</v>
      </c>
      <c r="BR86" s="120">
        <f t="shared" si="181"/>
        <v>38157</v>
      </c>
      <c r="BS86" s="39">
        <f t="shared" ref="BS86:CX86" si="182">BS80+BS82+BS85</f>
        <v>-23798</v>
      </c>
      <c r="BT86" s="120">
        <f t="shared" si="182"/>
        <v>-124623</v>
      </c>
      <c r="BU86" s="120">
        <f t="shared" si="182"/>
        <v>357232</v>
      </c>
      <c r="BV86" s="120">
        <f t="shared" si="182"/>
        <v>271508</v>
      </c>
      <c r="BW86" s="120">
        <f t="shared" si="182"/>
        <v>49954</v>
      </c>
      <c r="BX86" s="39">
        <f t="shared" si="182"/>
        <v>554071</v>
      </c>
      <c r="BY86" s="120">
        <f t="shared" si="182"/>
        <v>190052</v>
      </c>
      <c r="BZ86" s="120">
        <f>BZ80+BZ82+BZ85</f>
        <v>578644</v>
      </c>
      <c r="CA86" s="120">
        <f>CA80+CA82+CA85</f>
        <v>990143</v>
      </c>
      <c r="CB86" s="120">
        <f t="shared" ref="CB86" si="183">CB80+CB82+CB85</f>
        <v>-67683</v>
      </c>
      <c r="CC86" s="39">
        <f t="shared" si="182"/>
        <v>1691156</v>
      </c>
      <c r="CD86" s="120">
        <f t="shared" ref="CD86" si="184">CD80+CD82+CD85</f>
        <v>204642</v>
      </c>
      <c r="CE86" s="120">
        <f>CE80+CE82+CE85</f>
        <v>500248</v>
      </c>
      <c r="CF86" s="120">
        <f t="shared" ca="1" si="182"/>
        <v>323452.2091044421</v>
      </c>
      <c r="CG86" s="120">
        <f t="shared" ca="1" si="182"/>
        <v>359093.68166982936</v>
      </c>
      <c r="CH86" s="39">
        <f t="shared" ca="1" si="182"/>
        <v>1387435.8907742715</v>
      </c>
      <c r="CI86" s="120">
        <f t="shared" ca="1" si="182"/>
        <v>157583.42415842228</v>
      </c>
      <c r="CJ86" s="120">
        <f t="shared" ca="1" si="182"/>
        <v>-495136.11933386774</v>
      </c>
      <c r="CK86" s="120">
        <f t="shared" ca="1" si="182"/>
        <v>495685.14680962497</v>
      </c>
      <c r="CL86" s="120">
        <f t="shared" ca="1" si="182"/>
        <v>613117.6599591414</v>
      </c>
      <c r="CM86" s="39">
        <f t="shared" ca="1" si="182"/>
        <v>771250.1115933212</v>
      </c>
      <c r="CN86" s="120">
        <f t="shared" ca="1" si="182"/>
        <v>286304.03132947232</v>
      </c>
      <c r="CO86" s="120">
        <f t="shared" ca="1" si="182"/>
        <v>-1472900.7847709872</v>
      </c>
      <c r="CP86" s="120">
        <f t="shared" ca="1" si="182"/>
        <v>459265.08102040621</v>
      </c>
      <c r="CQ86" s="120">
        <f t="shared" ca="1" si="182"/>
        <v>712690.34586184914</v>
      </c>
      <c r="CR86" s="39">
        <f t="shared" ca="1" si="182"/>
        <v>-14641.326559259789</v>
      </c>
      <c r="CS86" s="120">
        <f t="shared" ca="1" si="182"/>
        <v>482360.35517013725</v>
      </c>
      <c r="CT86" s="120">
        <f t="shared" ca="1" si="182"/>
        <v>-1548796.4148789523</v>
      </c>
      <c r="CU86" s="120">
        <f t="shared" ca="1" si="182"/>
        <v>616962.93717344292</v>
      </c>
      <c r="CV86" s="120">
        <f t="shared" ca="1" si="182"/>
        <v>741620.25106041436</v>
      </c>
      <c r="CW86" s="39">
        <f t="shared" ca="1" si="182"/>
        <v>292147.12852504244</v>
      </c>
      <c r="CX86" s="120">
        <f t="shared" ca="1" si="182"/>
        <v>439080.95767444646</v>
      </c>
      <c r="CY86" s="120">
        <f ca="1">CY80+CY82+CY85</f>
        <v>-1573881.8015592224</v>
      </c>
      <c r="CZ86" s="120">
        <f ca="1">CZ80+CZ82+CZ85</f>
        <v>826500.32566229091</v>
      </c>
      <c r="DA86" s="120">
        <f ca="1">DA80+DA82+DA85</f>
        <v>1054702.8551570368</v>
      </c>
      <c r="DB86" s="39">
        <f ca="1">DB80+DB82+DB85</f>
        <v>746402.3369345516</v>
      </c>
    </row>
    <row r="87" spans="1:106" s="7" customFormat="1" ht="11.5" customHeight="1" x14ac:dyDescent="0.35">
      <c r="A87" s="7" t="s">
        <v>140</v>
      </c>
      <c r="B87" s="422"/>
      <c r="C87" s="422">
        <f>'BS &amp; FCF'!B6</f>
        <v>1286115</v>
      </c>
      <c r="D87" s="422">
        <f>'BS &amp; FCF'!C6</f>
        <v>997117</v>
      </c>
      <c r="E87" s="422">
        <f>'BS &amp; FCF'!D6</f>
        <v>986209</v>
      </c>
      <c r="F87" s="423"/>
      <c r="G87" s="422">
        <f>'BS &amp; FCF'!F6</f>
        <v>1154595</v>
      </c>
      <c r="H87" s="422">
        <f>'BS &amp; FCF'!G6</f>
        <v>1213607</v>
      </c>
      <c r="I87" s="422">
        <f>'BS &amp; FCF'!H6</f>
        <v>1568342</v>
      </c>
      <c r="J87" s="422">
        <f>'BS &amp; FCF'!I6</f>
        <v>1776518</v>
      </c>
      <c r="K87" s="423">
        <f>'BS &amp; FCF'!F6</f>
        <v>1154595</v>
      </c>
      <c r="L87" s="422">
        <f>'BS &amp; FCF'!K6</f>
        <v>1827664</v>
      </c>
      <c r="M87" s="422">
        <f>'BS &amp; FCF'!L6</f>
        <v>1856748</v>
      </c>
      <c r="N87" s="422">
        <f>'BS &amp; FCF'!M6</f>
        <v>1633589</v>
      </c>
      <c r="O87" s="422">
        <f>'BS &amp; FCF'!N6</f>
        <v>1651512</v>
      </c>
      <c r="P87" s="423">
        <f>'BS &amp; FCF'!K6</f>
        <v>1827664</v>
      </c>
      <c r="Q87" s="422">
        <f>'BS &amp; FCF'!P6</f>
        <v>1712329</v>
      </c>
      <c r="R87" s="422">
        <f>'BS &amp; FCF'!Q6</f>
        <v>1640668</v>
      </c>
      <c r="S87" s="422">
        <f>'BS &amp; FCF'!R6</f>
        <v>1524041</v>
      </c>
      <c r="T87" s="422">
        <f>'BS &amp; FCF'!S6</f>
        <v>1581381</v>
      </c>
      <c r="U87" s="423">
        <f>'BS &amp; FCF'!P6</f>
        <v>1712329</v>
      </c>
      <c r="V87" s="422">
        <f>'BS &amp; FCF'!U6</f>
        <v>1727420</v>
      </c>
      <c r="W87" s="422">
        <f>'BS &amp; FCF'!V6</f>
        <v>2188853</v>
      </c>
      <c r="X87" s="422">
        <f>'BS &amp; FCF'!W6</f>
        <v>1758589</v>
      </c>
      <c r="Y87" s="422">
        <f>'BS &amp; FCF'!X6</f>
        <v>1782930</v>
      </c>
      <c r="Z87" s="423">
        <f>'BS &amp; FCF'!U6</f>
        <v>1727420</v>
      </c>
      <c r="AA87" s="422">
        <f>'BS &amp; FCF'!Z6</f>
        <v>1754264</v>
      </c>
      <c r="AB87" s="422">
        <f>'BS &amp; FCF'!AA6</f>
        <v>2021742</v>
      </c>
      <c r="AC87" s="422">
        <f>'BS &amp; FCF'!AB6</f>
        <v>2241113</v>
      </c>
      <c r="AD87" s="422">
        <f>'BS &amp; FCF'!AC6</f>
        <v>2524156</v>
      </c>
      <c r="AE87" s="423">
        <f>'BS &amp; FCF'!Z6</f>
        <v>1754264</v>
      </c>
      <c r="AF87" s="422">
        <f>'BS &amp; FCF'!AE6</f>
        <v>2233585</v>
      </c>
      <c r="AG87" s="422">
        <f>'BS &amp; FCF'!AF6</f>
        <v>2140837</v>
      </c>
      <c r="AH87" s="422">
        <f>'BS &amp; FCF'!AG6</f>
        <v>1880383</v>
      </c>
      <c r="AI87" s="422">
        <f>'BS &amp; FCF'!AH6</f>
        <v>1582074</v>
      </c>
      <c r="AJ87" s="423">
        <f>'BS &amp; FCF'!AE6</f>
        <v>2233585</v>
      </c>
      <c r="AK87" s="422">
        <f>'BS &amp; FCF'!AJ6</f>
        <v>1698291</v>
      </c>
      <c r="AL87" s="422">
        <f>'BS &amp; FCF'!AK6</f>
        <v>1976947</v>
      </c>
      <c r="AM87" s="422">
        <f>'BS &amp; FCF'!AL6</f>
        <v>1631905</v>
      </c>
      <c r="AN87" s="422">
        <f>'BS &amp; FCF'!AM6</f>
        <v>1614038</v>
      </c>
      <c r="AO87" s="423">
        <f>'BS &amp; FCF'!AJ6</f>
        <v>1698291</v>
      </c>
      <c r="AP87" s="422">
        <f>'BS &amp; FCF'!AO6</f>
        <v>1362761</v>
      </c>
      <c r="AQ87" s="422">
        <f>'BS &amp; FCF'!AP6</f>
        <v>1115540</v>
      </c>
      <c r="AR87" s="422">
        <f>'BS &amp; FCF'!AQ6</f>
        <v>1527124</v>
      </c>
      <c r="AS87" s="422">
        <f>'BS &amp; FCF'!AR6</f>
        <v>2139828</v>
      </c>
      <c r="AT87" s="423">
        <f>'BS &amp; FCF'!AO6</f>
        <v>1362761</v>
      </c>
      <c r="AU87" s="422">
        <f>'BS &amp; FCF'!AT6</f>
        <v>1548657</v>
      </c>
      <c r="AV87" s="422">
        <f>'BS &amp; FCF'!AU6</f>
        <v>1436195</v>
      </c>
      <c r="AW87" s="422">
        <f>'BS &amp; FCF'!AV6</f>
        <v>1528116</v>
      </c>
      <c r="AX87" s="422">
        <f>'BS &amp; FCF'!AW6</f>
        <v>1761413</v>
      </c>
      <c r="AY87" s="423">
        <f>'BS &amp; FCF'!AT6</f>
        <v>1548657</v>
      </c>
      <c r="AZ87" s="422">
        <f>'BS &amp; FCF'!AY6</f>
        <v>1663168</v>
      </c>
      <c r="BA87" s="422">
        <f>'BS &amp; FCF'!AZ6</f>
        <v>1672370</v>
      </c>
      <c r="BB87" s="422">
        <f>'BS &amp; FCF'!BA6</f>
        <v>1993944</v>
      </c>
      <c r="BC87" s="422">
        <f>'BS &amp; FCF'!BB6</f>
        <v>2396197</v>
      </c>
      <c r="BD87" s="423">
        <f>'BS &amp; FCF'!AY6</f>
        <v>1663168</v>
      </c>
      <c r="BE87" s="422">
        <f>'BS &amp; FCF'!BD6</f>
        <v>2401338</v>
      </c>
      <c r="BF87" s="422">
        <f>'BS &amp; FCF'!BE6</f>
        <v>2443970</v>
      </c>
      <c r="BG87" s="422">
        <f>'BS &amp; FCF'!BF6</f>
        <v>2780948</v>
      </c>
      <c r="BH87" s="422">
        <f>'BS &amp; FCF'!BG6</f>
        <v>2994496</v>
      </c>
      <c r="BI87" s="423">
        <f>'BS &amp; FCF'!BD6</f>
        <v>2401338</v>
      </c>
      <c r="BJ87" s="422">
        <f>'BS &amp; FCF'!BI6</f>
        <v>3298793</v>
      </c>
      <c r="BK87" s="422">
        <f>'BS &amp; FCF'!BJ6</f>
        <v>3241434</v>
      </c>
      <c r="BL87" s="422">
        <f>'BS &amp; FCF'!BK6</f>
        <v>3563910</v>
      </c>
      <c r="BM87" s="422">
        <f>'BS &amp; FCF'!BL6</f>
        <v>3980309</v>
      </c>
      <c r="BN87" s="423">
        <f>'BS &amp; FCF'!BI6</f>
        <v>3298793</v>
      </c>
      <c r="BO87" s="422">
        <f>'BS &amp; FCF'!BN6</f>
        <v>4615752</v>
      </c>
      <c r="BP87" s="422">
        <f>'BS &amp; FCF'!BO6</f>
        <v>4418721</v>
      </c>
      <c r="BQ87" s="422">
        <f>'BS &amp; FCF'!BP6</f>
        <v>4646251</v>
      </c>
      <c r="BR87" s="422">
        <f>'BS &amp; FCF'!BQ6</f>
        <v>4553797</v>
      </c>
      <c r="BS87" s="423">
        <f>'BS &amp; FCF'!BN6</f>
        <v>4615752</v>
      </c>
      <c r="BT87" s="422">
        <f>'BS &amp; FCF'!BS6</f>
        <v>4602606</v>
      </c>
      <c r="BU87" s="422">
        <f>'BS &amp; FCF'!BT6</f>
        <v>4477983</v>
      </c>
      <c r="BV87" s="422">
        <f>'BS &amp; FCF'!BU6</f>
        <v>4835215</v>
      </c>
      <c r="BW87" s="422">
        <f>'BS &amp; FCF'!BV6</f>
        <v>5106723</v>
      </c>
      <c r="BX87" s="423">
        <f>'BS &amp; FCF'!BS6</f>
        <v>4602606</v>
      </c>
      <c r="BY87" s="422">
        <f>'BS &amp; FCF'!BX6</f>
        <v>5309056</v>
      </c>
      <c r="BZ87" s="422">
        <f>'BS &amp; FCF'!BY6</f>
        <v>5502704</v>
      </c>
      <c r="CA87" s="422">
        <f>'BS &amp; FCF'!BZ6</f>
        <v>6081348</v>
      </c>
      <c r="CB87" s="422">
        <f>'BS &amp; FCF'!CA6</f>
        <v>7071491</v>
      </c>
      <c r="CC87" s="423">
        <f>'BS &amp; FCF'!BX6</f>
        <v>5309056</v>
      </c>
      <c r="CD87" s="422">
        <f>'BS &amp; FCF'!CC6</f>
        <v>7007404</v>
      </c>
      <c r="CE87" s="422">
        <f>'BS &amp; FCF'!CD6</f>
        <v>7212046</v>
      </c>
      <c r="CF87" s="422">
        <f>'BS &amp; FCF'!CE6</f>
        <v>7712294</v>
      </c>
      <c r="CG87" s="422">
        <f ca="1">'BS &amp; FCF'!CF6</f>
        <v>8035746.209104442</v>
      </c>
      <c r="CH87" s="423">
        <f>'BS &amp; FCF'!CC6</f>
        <v>7007404</v>
      </c>
      <c r="CI87" s="422">
        <f ca="1">'BS &amp; FCF'!CH6</f>
        <v>8394839.8907742705</v>
      </c>
      <c r="CJ87" s="422">
        <f ca="1">'BS &amp; FCF'!CI6</f>
        <v>8552423.3149326928</v>
      </c>
      <c r="CK87" s="422">
        <f ca="1">'BS &amp; FCF'!CJ6</f>
        <v>8057287.1955988249</v>
      </c>
      <c r="CL87" s="422">
        <f ca="1">'BS &amp; FCF'!CK6</f>
        <v>8552972.3424084503</v>
      </c>
      <c r="CM87" s="423">
        <f ca="1">'BS &amp; FCF'!CH6</f>
        <v>8394839.8907742705</v>
      </c>
      <c r="CN87" s="422">
        <f ca="1">'BS &amp; FCF'!CM6</f>
        <v>9166090.0023675915</v>
      </c>
      <c r="CO87" s="422">
        <f ca="1">'BS &amp; FCF'!CN6</f>
        <v>9452394.0336970631</v>
      </c>
      <c r="CP87" s="422">
        <f ca="1">'BS &amp; FCF'!CO6</f>
        <v>7979493.2489260761</v>
      </c>
      <c r="CQ87" s="422">
        <f ca="1">'BS &amp; FCF'!CP6</f>
        <v>8438758.3299464826</v>
      </c>
      <c r="CR87" s="423">
        <f ca="1">'BS &amp; FCF'!CM6</f>
        <v>9166090.0023675915</v>
      </c>
      <c r="CS87" s="422">
        <f ca="1">'BS &amp; FCF'!CR6</f>
        <v>9151448.675808331</v>
      </c>
      <c r="CT87" s="422">
        <f ca="1">'BS &amp; FCF'!CS6</f>
        <v>9633809.0309784673</v>
      </c>
      <c r="CU87" s="422">
        <f ca="1">'BS &amp; FCF'!CT6</f>
        <v>8085012.616099515</v>
      </c>
      <c r="CV87" s="422">
        <f ca="1">'BS &amp; FCF'!CU6</f>
        <v>8701975.5532729588</v>
      </c>
      <c r="CW87" s="423">
        <f ca="1">'BS &amp; FCF'!CR6</f>
        <v>9151448.675808331</v>
      </c>
      <c r="CX87" s="422">
        <f ca="1">'BS &amp; FCF'!CW6</f>
        <v>9443595.8043333739</v>
      </c>
      <c r="CY87" s="422">
        <f ca="1">'BS &amp; FCF'!CX6</f>
        <v>9882676.7620078195</v>
      </c>
      <c r="CZ87" s="422">
        <f ca="1">'BS &amp; FCF'!CY6</f>
        <v>8308794.9604485966</v>
      </c>
      <c r="DA87" s="422">
        <f ca="1">'BS &amp; FCF'!CZ6</f>
        <v>9135295.2861108873</v>
      </c>
      <c r="DB87" s="423">
        <f ca="1">'BS &amp; FCF'!CW6</f>
        <v>9443595.8043333739</v>
      </c>
    </row>
    <row r="88" spans="1:106" s="7" customFormat="1" ht="11.5" customHeight="1" x14ac:dyDescent="0.35">
      <c r="A88" s="78" t="s">
        <v>141</v>
      </c>
      <c r="B88" s="424">
        <f>'BS &amp; FCF'!B6</f>
        <v>1286115</v>
      </c>
      <c r="C88" s="424">
        <f>'BS &amp; FCF'!C6</f>
        <v>997117</v>
      </c>
      <c r="D88" s="424">
        <f>'BS &amp; FCF'!D6</f>
        <v>986209</v>
      </c>
      <c r="E88" s="424">
        <f>'BS &amp; FCF'!E6</f>
        <v>1154595</v>
      </c>
      <c r="F88" s="425">
        <f>'BS &amp; FCF'!F6</f>
        <v>1154595</v>
      </c>
      <c r="G88" s="424">
        <f>'BS &amp; FCF'!G6</f>
        <v>1213607</v>
      </c>
      <c r="H88" s="424">
        <f>'BS &amp; FCF'!H6</f>
        <v>1568342</v>
      </c>
      <c r="I88" s="424">
        <f>'BS &amp; FCF'!I6</f>
        <v>1776518</v>
      </c>
      <c r="J88" s="424">
        <f>J86+J87</f>
        <v>1773957</v>
      </c>
      <c r="K88" s="425">
        <f>'BS &amp; FCF'!K6</f>
        <v>1827664</v>
      </c>
      <c r="L88" s="424">
        <f>L86+L87</f>
        <v>1856748</v>
      </c>
      <c r="M88" s="424">
        <f>M86+M87</f>
        <v>1633581</v>
      </c>
      <c r="N88" s="424">
        <f>N86+N87</f>
        <v>1651508</v>
      </c>
      <c r="O88" s="424">
        <f>O86+O87</f>
        <v>1712328</v>
      </c>
      <c r="P88" s="425">
        <f>'BS &amp; FCF'!P6</f>
        <v>1712329</v>
      </c>
      <c r="Q88" s="424">
        <f>Q86+Q87</f>
        <v>1640668</v>
      </c>
      <c r="R88" s="424">
        <f>R86+R87</f>
        <v>1524033</v>
      </c>
      <c r="S88" s="424">
        <f>S86+S87</f>
        <v>1581425</v>
      </c>
      <c r="T88" s="424">
        <f>T86+T87</f>
        <v>1618533</v>
      </c>
      <c r="U88" s="425">
        <f>'BS &amp; FCF'!U6</f>
        <v>1727420</v>
      </c>
      <c r="V88" s="424">
        <f>V86+V87</f>
        <v>2134714</v>
      </c>
      <c r="W88" s="424">
        <f>W86+W87</f>
        <v>1657587</v>
      </c>
      <c r="X88" s="424">
        <f>X86+X87</f>
        <v>1699533</v>
      </c>
      <c r="Y88" s="424">
        <f>Y86+Y87</f>
        <v>1690368</v>
      </c>
      <c r="Z88" s="425">
        <f>'BS &amp; FCF'!Z6</f>
        <v>1754264</v>
      </c>
      <c r="AA88" s="424">
        <f>AA86+AA87</f>
        <v>1975324</v>
      </c>
      <c r="AB88" s="424">
        <f>AB86+AB87</f>
        <v>2240927</v>
      </c>
      <c r="AC88" s="424">
        <f>AC86+AC87</f>
        <v>2524330</v>
      </c>
      <c r="AD88" s="424">
        <f>AD86+AD87</f>
        <v>2233598</v>
      </c>
      <c r="AE88" s="425">
        <f>'BS &amp; FCF'!AE6</f>
        <v>2233585</v>
      </c>
      <c r="AF88" s="424">
        <f>AF86+AF87</f>
        <v>2140837</v>
      </c>
      <c r="AG88" s="424">
        <f>AG86+AG87</f>
        <v>1880383</v>
      </c>
      <c r="AH88" s="424">
        <f>AH86+AH87</f>
        <v>1582074</v>
      </c>
      <c r="AI88" s="424">
        <f>AI86+AI87</f>
        <v>1698291</v>
      </c>
      <c r="AJ88" s="425">
        <f>'BS &amp; FCF'!AJ6</f>
        <v>1698291</v>
      </c>
      <c r="AK88" s="424">
        <f>AK86+AK87</f>
        <v>1976947</v>
      </c>
      <c r="AL88" s="424">
        <f>AL86+AL87</f>
        <v>1631905</v>
      </c>
      <c r="AM88" s="424">
        <f>AM86+AM87</f>
        <v>1614038</v>
      </c>
      <c r="AN88" s="424">
        <f>AN86+AN87</f>
        <v>1362761</v>
      </c>
      <c r="AO88" s="425">
        <f>'BS &amp; FCF'!AO6</f>
        <v>1362761</v>
      </c>
      <c r="AP88" s="424">
        <f>AP86+AP87</f>
        <v>1115540</v>
      </c>
      <c r="AQ88" s="424">
        <f>AQ86+AQ87</f>
        <v>1527124</v>
      </c>
      <c r="AR88" s="424">
        <f>AR86+AR87</f>
        <v>2139828</v>
      </c>
      <c r="AS88" s="424">
        <f>AS86+AS87</f>
        <v>1548657</v>
      </c>
      <c r="AT88" s="425">
        <f>'BS &amp; FCF'!AT6</f>
        <v>1548657</v>
      </c>
      <c r="AU88" s="424">
        <f>AU86+AU87</f>
        <v>1436195</v>
      </c>
      <c r="AV88" s="424">
        <f>AV86+AV87</f>
        <v>1528116</v>
      </c>
      <c r="AW88" s="424">
        <f>AW86+AW87</f>
        <v>1761413</v>
      </c>
      <c r="AX88" s="424">
        <f>AX86+AX87</f>
        <v>1663168</v>
      </c>
      <c r="AY88" s="425">
        <f>'BS &amp; FCF'!AY6</f>
        <v>1663168</v>
      </c>
      <c r="AZ88" s="424">
        <f>AZ86+AZ87</f>
        <v>1672370</v>
      </c>
      <c r="BA88" s="424">
        <f>BA86+BA87</f>
        <v>1993944</v>
      </c>
      <c r="BB88" s="424">
        <f>BB86+BB87</f>
        <v>2396197</v>
      </c>
      <c r="BC88" s="424">
        <f>BC86+BC87</f>
        <v>2401338</v>
      </c>
      <c r="BD88" s="425">
        <f>'BS &amp; FCF'!BD6</f>
        <v>2401338</v>
      </c>
      <c r="BE88" s="424">
        <f>BE86+BE87</f>
        <v>2443970</v>
      </c>
      <c r="BF88" s="424">
        <f>BF86+BF87</f>
        <v>2780948</v>
      </c>
      <c r="BG88" s="424">
        <f>BG86+BG87</f>
        <v>2994496</v>
      </c>
      <c r="BH88" s="424">
        <f>BH86+BH87</f>
        <v>3298793</v>
      </c>
      <c r="BI88" s="425">
        <f>'BS &amp; FCF'!BI6</f>
        <v>3298793</v>
      </c>
      <c r="BJ88" s="424">
        <f>BJ86+BJ87</f>
        <v>3241434</v>
      </c>
      <c r="BK88" s="424">
        <f>BK86+BK87</f>
        <v>3563910</v>
      </c>
      <c r="BL88" s="424">
        <f>BL86+BL87</f>
        <v>3913309</v>
      </c>
      <c r="BM88" s="424">
        <f>BM86+BM87</f>
        <v>4576752</v>
      </c>
      <c r="BN88" s="425">
        <f>'BS &amp; FCF'!BN6</f>
        <v>4615752</v>
      </c>
      <c r="BO88" s="424">
        <f>BO86+BO87</f>
        <v>4418721</v>
      </c>
      <c r="BP88" s="424">
        <f>BP86+BP87</f>
        <v>4646251</v>
      </c>
      <c r="BQ88" s="424">
        <f>BQ86+BQ87</f>
        <v>4553797</v>
      </c>
      <c r="BR88" s="424">
        <f>BR86+BR87</f>
        <v>4591954</v>
      </c>
      <c r="BS88" s="425">
        <f>'BS &amp; FCF'!BS6</f>
        <v>4602606</v>
      </c>
      <c r="BT88" s="424">
        <f>BT86+BT87</f>
        <v>4477983</v>
      </c>
      <c r="BU88" s="424">
        <f>BU86+BU87</f>
        <v>4835215</v>
      </c>
      <c r="BV88" s="424">
        <f>BV86+BV87</f>
        <v>5106723</v>
      </c>
      <c r="BW88" s="424">
        <f>BW86+BW87</f>
        <v>5156677</v>
      </c>
      <c r="BX88" s="425">
        <f>'BS &amp; FCF'!BX6</f>
        <v>5309056</v>
      </c>
      <c r="BY88" s="424">
        <f>BY86+BY87</f>
        <v>5499108</v>
      </c>
      <c r="BZ88" s="424">
        <f>BZ86+BZ87</f>
        <v>6081348</v>
      </c>
      <c r="CA88" s="424">
        <f>CA86+CA87</f>
        <v>7071491</v>
      </c>
      <c r="CB88" s="424">
        <f>CB86+CB87</f>
        <v>7003808</v>
      </c>
      <c r="CC88" s="425">
        <f>'BS &amp; FCF'!CC6</f>
        <v>7007404</v>
      </c>
      <c r="CD88" s="424">
        <f>CD86+CD87</f>
        <v>7212046</v>
      </c>
      <c r="CE88" s="424">
        <f>CE86+CE87</f>
        <v>7712294</v>
      </c>
      <c r="CF88" s="424">
        <f ca="1">CF86+CF87</f>
        <v>8035746.209104442</v>
      </c>
      <c r="CG88" s="424">
        <f ca="1">CG86+CG87</f>
        <v>8394839.8907742705</v>
      </c>
      <c r="CH88" s="425">
        <f ca="1">'BS &amp; FCF'!CH6</f>
        <v>8394839.8907742705</v>
      </c>
      <c r="CI88" s="424">
        <f ca="1">CI86+CI87</f>
        <v>8552423.3149326928</v>
      </c>
      <c r="CJ88" s="424">
        <f ca="1">CJ86+CJ87</f>
        <v>8057287.1955988249</v>
      </c>
      <c r="CK88" s="424">
        <f ca="1">CK86+CK87</f>
        <v>8552972.3424084503</v>
      </c>
      <c r="CL88" s="424">
        <f ca="1">CL86+CL87</f>
        <v>9166090.0023675915</v>
      </c>
      <c r="CM88" s="425">
        <f ca="1">'BS &amp; FCF'!CM6</f>
        <v>9166090.0023675915</v>
      </c>
      <c r="CN88" s="424">
        <f ca="1">CN86+CN87</f>
        <v>9452394.0336970631</v>
      </c>
      <c r="CO88" s="424">
        <f ca="1">CO86+CO87</f>
        <v>7979493.2489260761</v>
      </c>
      <c r="CP88" s="424">
        <f ca="1">CP86+CP87</f>
        <v>8438758.3299464826</v>
      </c>
      <c r="CQ88" s="424">
        <f ca="1">CQ86+CQ87</f>
        <v>9151448.675808331</v>
      </c>
      <c r="CR88" s="425">
        <f ca="1">'BS &amp; FCF'!CR6</f>
        <v>9151448.675808331</v>
      </c>
      <c r="CS88" s="424">
        <f ca="1">CS86+CS87</f>
        <v>9633809.0309784673</v>
      </c>
      <c r="CT88" s="424">
        <f ca="1">CT86+CT87</f>
        <v>8085012.616099515</v>
      </c>
      <c r="CU88" s="424">
        <f ca="1">CU86+CU87</f>
        <v>8701975.5532729588</v>
      </c>
      <c r="CV88" s="424">
        <f ca="1">CV86+CV87</f>
        <v>9443595.8043333739</v>
      </c>
      <c r="CW88" s="425">
        <f ca="1">'BS &amp; FCF'!CW6</f>
        <v>9443595.8043333739</v>
      </c>
      <c r="CX88" s="424">
        <f ca="1">CX86+CX87</f>
        <v>9882676.7620078195</v>
      </c>
      <c r="CY88" s="424">
        <f ca="1">CY86+CY87</f>
        <v>8308794.9604485966</v>
      </c>
      <c r="CZ88" s="424">
        <f ca="1">CZ86+CZ87</f>
        <v>9135295.2861108873</v>
      </c>
      <c r="DA88" s="424">
        <f ca="1">DA86+DA87</f>
        <v>10189998.141267924</v>
      </c>
      <c r="DB88" s="425">
        <f ca="1">'BS &amp; FCF'!DB6</f>
        <v>10189998.141267924</v>
      </c>
    </row>
    <row r="89" spans="1:106" s="11" customFormat="1" ht="11.5" customHeight="1" x14ac:dyDescent="0.35">
      <c r="A89" s="177" t="s">
        <v>35</v>
      </c>
      <c r="B89" s="178"/>
      <c r="C89" s="426">
        <f>C86-C84-C83-IS!C66</f>
        <v>-247148</v>
      </c>
      <c r="D89" s="426">
        <f>D86-D84-D83-IS!D66</f>
        <v>-272559</v>
      </c>
      <c r="E89" s="426">
        <f>E86-E84-E83-IS!E66</f>
        <v>-362989</v>
      </c>
      <c r="F89" s="429"/>
      <c r="G89" s="426">
        <f>G86-G84-G83-IS!G66</f>
        <v>-105704</v>
      </c>
      <c r="H89" s="426">
        <f>H86-H84-H83-IS!H66</f>
        <v>12681</v>
      </c>
      <c r="I89" s="426">
        <f>I86-I84-I83-IS!I66</f>
        <v>-83746</v>
      </c>
      <c r="J89" s="426">
        <f>J86-J84-J83-IS!J66</f>
        <v>183781</v>
      </c>
      <c r="K89" s="427">
        <f>K86-K84-K83-IS!K66</f>
        <v>7012</v>
      </c>
      <c r="L89" s="426">
        <f>L86-L84-L83-IS!L66</f>
        <v>98640</v>
      </c>
      <c r="M89" s="426">
        <f>M86-M84-M83-IS!M66</f>
        <v>56348</v>
      </c>
      <c r="N89" s="426">
        <f>N86-N84-N83-IS!N66</f>
        <v>140683</v>
      </c>
      <c r="O89" s="426">
        <f>O86-O84-O83-IS!O66</f>
        <v>-25896</v>
      </c>
      <c r="P89" s="427">
        <f>P86-P84-P83-IS!P66</f>
        <v>269775</v>
      </c>
      <c r="Q89" s="426">
        <f>Q86-Q84-Q83-IS!Q66</f>
        <v>-138861</v>
      </c>
      <c r="R89" s="426">
        <f>R86-R84-R83-IS!R66</f>
        <v>351737</v>
      </c>
      <c r="S89" s="426">
        <f>S86-S84-S83-IS!S66</f>
        <v>-52980</v>
      </c>
      <c r="T89" s="426">
        <f>T86-T84-T83-IS!T66</f>
        <v>-23943</v>
      </c>
      <c r="U89" s="427">
        <f>U86-U84-U83-IS!U66</f>
        <v>135953</v>
      </c>
      <c r="V89" s="426">
        <f>V86-V84-V83-IS!V66</f>
        <v>246401</v>
      </c>
      <c r="W89" s="426">
        <f>W86-W84-W83-IS!W66</f>
        <v>153962</v>
      </c>
      <c r="X89" s="426">
        <f>X86-X84-X83-IS!X66</f>
        <v>165845</v>
      </c>
      <c r="Y89" s="426">
        <f>Y86-Y84-Y83-IS!Y66</f>
        <v>476098</v>
      </c>
      <c r="Z89" s="427">
        <f>Z86-Z84-Z83-IS!Z66</f>
        <v>1042306</v>
      </c>
      <c r="AA89" s="426">
        <f>AA86-AA84-AA83-IS!AA66</f>
        <v>439066</v>
      </c>
      <c r="AB89" s="426">
        <f>AB86-AB84-AB83-IS!AB66</f>
        <v>431461</v>
      </c>
      <c r="AC89" s="426">
        <f>AC86-AC84-AC83-IS!AC66</f>
        <v>-19659</v>
      </c>
      <c r="AD89" s="426">
        <f>AD86-AD84-AD83-IS!AD66</f>
        <v>144973</v>
      </c>
      <c r="AE89" s="427">
        <f>AE86-AE84-AE83-IS!AE66</f>
        <v>995841</v>
      </c>
      <c r="AF89" s="426">
        <f>AF86-AF84-AF83-IS!AF66</f>
        <v>74122</v>
      </c>
      <c r="AG89" s="426">
        <f>AG86-AG84-AG83-IS!AG66</f>
        <v>62666</v>
      </c>
      <c r="AH89" s="426">
        <f>AH86-AH84-AH83-IS!AH66</f>
        <v>-177269</v>
      </c>
      <c r="AI89" s="426">
        <f>AI86-AI84-AI83-IS!AI66</f>
        <v>273031</v>
      </c>
      <c r="AJ89" s="427">
        <f>AJ86-AJ84-AJ83-IS!AJ66</f>
        <v>232550</v>
      </c>
      <c r="AK89" s="426">
        <f>AK86-AK84-AK83-IS!AK66</f>
        <v>142455</v>
      </c>
      <c r="AL89" s="426">
        <f>AL86-AL84-AL83-IS!AL66</f>
        <v>216759</v>
      </c>
      <c r="AM89" s="426">
        <f>AM86-AM84-AM83-IS!AM66</f>
        <v>292174</v>
      </c>
      <c r="AN89" s="426">
        <f>AN86-AN84-AN83-IS!AN66</f>
        <v>364617</v>
      </c>
      <c r="AO89" s="427">
        <f>AO86-AO84-AO83-IS!AO66</f>
        <v>1016005</v>
      </c>
      <c r="AP89" s="426">
        <f>AP86-AP84-AP83-IS!AP66</f>
        <v>524110</v>
      </c>
      <c r="AQ89" s="426">
        <f>AQ86-AQ84-AQ83-IS!AQ66</f>
        <v>211279</v>
      </c>
      <c r="AR89" s="426">
        <f>AR86-AR84-AR83-IS!AR66</f>
        <v>221685</v>
      </c>
      <c r="AS89" s="426">
        <f>AS86-AS84-AS83-IS!AS66</f>
        <v>222182</v>
      </c>
      <c r="AT89" s="427">
        <f>AT86-AT84-AT83-IS!AT66</f>
        <v>1179256</v>
      </c>
      <c r="AU89" s="426">
        <f>AU86-AU84-AU83-IS!AU66</f>
        <v>202898</v>
      </c>
      <c r="AV89" s="426">
        <f>AV86-AV84-AV83-IS!AV66</f>
        <v>356840</v>
      </c>
      <c r="AW89" s="426">
        <f>AW86-AW84-AW83-IS!AW66</f>
        <v>-29722</v>
      </c>
      <c r="AX89" s="426">
        <f>AX86-AX84-AX83-IS!AX66</f>
        <v>279451</v>
      </c>
      <c r="AY89" s="427">
        <f>AY86-AY84-AY83-IS!AY66</f>
        <v>809467</v>
      </c>
      <c r="AZ89" s="426">
        <f>AZ86-AZ84-AZ83-IS!AZ66</f>
        <v>80221</v>
      </c>
      <c r="BA89" s="426">
        <f>BA86-BA84-BA83-IS!BA66</f>
        <v>-52090</v>
      </c>
      <c r="BB89" s="426">
        <f>BB86-BB84-BB83-IS!BB66</f>
        <v>1063991</v>
      </c>
      <c r="BC89" s="426">
        <f>BC86-BC84-BC83-IS!BC66</f>
        <v>186871</v>
      </c>
      <c r="BD89" s="427">
        <f>BD86-BD84-BD83-IS!BD66</f>
        <v>1278993</v>
      </c>
      <c r="BE89" s="426">
        <f>BE86-BE84-BE83-IS!BE66</f>
        <v>-1240</v>
      </c>
      <c r="BF89" s="426">
        <f>BF86-BF84-BF83-IS!BF66</f>
        <v>146782</v>
      </c>
      <c r="BG89" s="426">
        <f>BG86-BG84-BG83-IS!BG66</f>
        <v>117001</v>
      </c>
      <c r="BH89" s="426">
        <f>BH86-BH84-BH83-IS!BH66</f>
        <v>-33126</v>
      </c>
      <c r="BI89" s="427">
        <f>BI86-BI84-BI83-IS!BI66</f>
        <v>229417</v>
      </c>
      <c r="BJ89" s="426">
        <f>BJ86-BJ84-BJ83-IS!BJ66</f>
        <v>-139986</v>
      </c>
      <c r="BK89" s="426">
        <f>BK86-BK84-BK83-IS!BK66</f>
        <v>92206</v>
      </c>
      <c r="BL89" s="426">
        <f>BL86-BL84-BL83-IS!BL66</f>
        <v>451678</v>
      </c>
      <c r="BM89" s="426">
        <f>BM86-BM84-BM83-IS!BM66</f>
        <v>-495506</v>
      </c>
      <c r="BN89" s="427">
        <f>BN86-BN84-BN83-IS!BN66</f>
        <v>-91608</v>
      </c>
      <c r="BO89" s="426">
        <f>BO86-BO84-BO83-IS!BO66</f>
        <v>-83747</v>
      </c>
      <c r="BP89" s="426">
        <f>BP86-BP84-BP83-IS!BP66</f>
        <v>-9072</v>
      </c>
      <c r="BQ89" s="426">
        <f>BQ86-BQ84-BQ83-IS!BQ66</f>
        <v>88307</v>
      </c>
      <c r="BR89" s="426">
        <f>BR86-BR84-BR83-IS!BR66</f>
        <v>-148760</v>
      </c>
      <c r="BS89" s="427">
        <f>BS86-BS84-BS83-IS!BS66</f>
        <v>-153272</v>
      </c>
      <c r="BT89" s="426">
        <f>BT86-BT84-BT83-IS!BT66</f>
        <v>172772</v>
      </c>
      <c r="BU89" s="426">
        <f>BU86-BU84-BU83-IS!BU66</f>
        <v>-263881</v>
      </c>
      <c r="BV89" s="426">
        <f>BV86-BV84-BV83-IS!BV66</f>
        <v>-134955</v>
      </c>
      <c r="BW89" s="426">
        <f>BW86-BW84-BW83-IS!BW66</f>
        <v>-20050</v>
      </c>
      <c r="BX89" s="427">
        <f>BX86-BX84-BX83-IS!BX66</f>
        <v>-246114</v>
      </c>
      <c r="BY89" s="426">
        <f>BY86-BY84-BY83-IS!BY66</f>
        <v>264754</v>
      </c>
      <c r="BZ89" s="426">
        <f>BZ86-BZ84-BZ83-IS!BZ66</f>
        <v>-779870</v>
      </c>
      <c r="CA89" s="426">
        <f>CA86-CA84-CA83-IS!CA66</f>
        <v>390614</v>
      </c>
      <c r="CB89" s="426">
        <f>CB86-CB84-CB83-IS!CB66</f>
        <v>-151685</v>
      </c>
      <c r="CC89" s="427">
        <f>CC86-CC84-CC83-IS!CC66</f>
        <v>-276187</v>
      </c>
      <c r="CD89" s="426">
        <f>CD86-CD84-CD83-IS!CD66</f>
        <v>33484</v>
      </c>
      <c r="CE89" s="426">
        <f>CE86-CE84-CE83-IS!CE66</f>
        <v>329690</v>
      </c>
      <c r="CF89" s="426">
        <f ca="1">CF86-CF84-CF83-IS!CF66</f>
        <v>101793.70802314585</v>
      </c>
      <c r="CG89" s="426">
        <f ca="1">CG86-CG84-CG83-IS!CG66</f>
        <v>183167.50049458945</v>
      </c>
      <c r="CH89" s="427">
        <f ca="1">CH86-CH84-CH83-IS!CH66</f>
        <v>648135.20851773513</v>
      </c>
      <c r="CI89" s="426">
        <f ca="1">CI86-CI84-CI83-IS!CI66</f>
        <v>-96568.434470288455</v>
      </c>
      <c r="CJ89" s="426">
        <f ca="1">CJ86-CJ84-CJ83-IS!CJ66</f>
        <v>380327.51748027519</v>
      </c>
      <c r="CK89" s="426">
        <f ca="1">CK86-CK84-CK83-IS!CK66</f>
        <v>370650.23369431781</v>
      </c>
      <c r="CL89" s="426">
        <f ca="1">CL86-CL84-CL83-IS!CL66</f>
        <v>485283.35240091314</v>
      </c>
      <c r="CM89" s="427">
        <f ca="1">CM86-CM84-CM83-IS!CM66</f>
        <v>1139692.6691052176</v>
      </c>
      <c r="CN89" s="426">
        <f ca="1">CN86-CN84-CN83-IS!CN66</f>
        <v>172894.79090814019</v>
      </c>
      <c r="CO89" s="426">
        <f ca="1">CO86-CO84-CO83-IS!CO66</f>
        <v>317947.23327731085</v>
      </c>
      <c r="CP89" s="426">
        <f ca="1">CP86-CP84-CP83-IS!CP66</f>
        <v>316574.26510235056</v>
      </c>
      <c r="CQ89" s="426">
        <f ca="1">CQ86-CQ84-CQ83-IS!CQ66</f>
        <v>562074.21002887224</v>
      </c>
      <c r="CR89" s="427">
        <f ca="1">CR86-CR84-CR83-IS!CR66</f>
        <v>1369490.4993166733</v>
      </c>
      <c r="CS89" s="426">
        <f ca="1">CS86-CS84-CS83-IS!CS66</f>
        <v>483034.64356000209</v>
      </c>
      <c r="CT89" s="426">
        <f ca="1">CT86-CT84-CT83-IS!CT66</f>
        <v>513000.66607788985</v>
      </c>
      <c r="CU89" s="426">
        <f ca="1">CU86-CU84-CU83-IS!CU66</f>
        <v>539805.82976093213</v>
      </c>
      <c r="CV89" s="426">
        <f ca="1">CV86-CV84-CV83-IS!CV66</f>
        <v>586770.25949129229</v>
      </c>
      <c r="CW89" s="427">
        <f ca="1">CW86-CW84-CW83-IS!CW66</f>
        <v>2122611.3988901163</v>
      </c>
      <c r="CX89" s="426">
        <f ca="1">CX86-CX84-CX83-IS!CX66</f>
        <v>365475.7088754283</v>
      </c>
      <c r="CY89" s="426">
        <f ca="1">CY86-CY84-CY83-IS!CY66</f>
        <v>653238.53036536661</v>
      </c>
      <c r="CZ89" s="426">
        <f ca="1">CZ86-CZ84-CZ83-IS!CZ66</f>
        <v>754082.76363797509</v>
      </c>
      <c r="DA89" s="426">
        <f ca="1">DA86-DA84-DA83-IS!DA66</f>
        <v>903820.70372145926</v>
      </c>
      <c r="DB89" s="427">
        <f ca="1">DB86-DB84-DB83-IS!DB66</f>
        <v>2676617.7066002288</v>
      </c>
    </row>
    <row r="90" spans="1:106" s="11" customFormat="1" ht="11.5" customHeight="1" x14ac:dyDescent="0.35">
      <c r="A90" s="77" t="s">
        <v>36</v>
      </c>
      <c r="B90" s="121"/>
      <c r="C90" s="121">
        <f>C86-C84</f>
        <v>-105536</v>
      </c>
      <c r="D90" s="121">
        <f>D86-D84</f>
        <v>-58644</v>
      </c>
      <c r="E90" s="121">
        <f>E86-E84</f>
        <v>127744</v>
      </c>
      <c r="F90" s="87"/>
      <c r="G90" s="121">
        <f t="shared" ref="G90:AL90" si="185">G86-G84</f>
        <v>41320</v>
      </c>
      <c r="H90" s="121">
        <f t="shared" si="185"/>
        <v>535006</v>
      </c>
      <c r="I90" s="121">
        <f t="shared" si="185"/>
        <v>339551</v>
      </c>
      <c r="J90" s="121">
        <f t="shared" si="185"/>
        <v>38778</v>
      </c>
      <c r="K90" s="122">
        <f t="shared" si="185"/>
        <v>954655</v>
      </c>
      <c r="L90" s="121">
        <f t="shared" si="185"/>
        <v>163825</v>
      </c>
      <c r="M90" s="121">
        <f t="shared" si="185"/>
        <v>-226424</v>
      </c>
      <c r="N90" s="121">
        <f t="shared" si="185"/>
        <v>-20269</v>
      </c>
      <c r="O90" s="121">
        <f t="shared" si="185"/>
        <v>-116818</v>
      </c>
      <c r="P90" s="122">
        <f t="shared" si="185"/>
        <v>-199686</v>
      </c>
      <c r="Q90" s="121">
        <f t="shared" si="185"/>
        <v>-466733</v>
      </c>
      <c r="R90" s="121">
        <f t="shared" si="185"/>
        <v>306036</v>
      </c>
      <c r="S90" s="121">
        <f t="shared" si="185"/>
        <v>23227</v>
      </c>
      <c r="T90" s="121">
        <f t="shared" si="185"/>
        <v>286099</v>
      </c>
      <c r="U90" s="122">
        <f t="shared" si="185"/>
        <v>148629</v>
      </c>
      <c r="V90" s="121">
        <f t="shared" si="185"/>
        <v>606777</v>
      </c>
      <c r="W90" s="121">
        <f t="shared" si="185"/>
        <v>-198864</v>
      </c>
      <c r="X90" s="121">
        <f t="shared" si="185"/>
        <v>79898</v>
      </c>
      <c r="Y90" s="121">
        <f t="shared" si="185"/>
        <v>40277</v>
      </c>
      <c r="Z90" s="122">
        <f t="shared" si="185"/>
        <v>528088</v>
      </c>
      <c r="AA90" s="121">
        <f t="shared" si="185"/>
        <v>319260</v>
      </c>
      <c r="AB90" s="121">
        <f t="shared" si="185"/>
        <v>494960</v>
      </c>
      <c r="AC90" s="121">
        <f t="shared" si="185"/>
        <v>27813</v>
      </c>
      <c r="AD90" s="121">
        <f t="shared" si="185"/>
        <v>-175327</v>
      </c>
      <c r="AE90" s="122">
        <f t="shared" si="185"/>
        <v>666706</v>
      </c>
      <c r="AF90" s="121">
        <f t="shared" si="185"/>
        <v>-86694</v>
      </c>
      <c r="AG90" s="121">
        <f t="shared" si="185"/>
        <v>-134686</v>
      </c>
      <c r="AH90" s="121">
        <f t="shared" si="185"/>
        <v>-280699</v>
      </c>
      <c r="AI90" s="121">
        <f t="shared" si="185"/>
        <v>100993</v>
      </c>
      <c r="AJ90" s="122">
        <f t="shared" si="185"/>
        <v>-401086</v>
      </c>
      <c r="AK90" s="121">
        <f t="shared" si="185"/>
        <v>269788</v>
      </c>
      <c r="AL90" s="121">
        <f t="shared" si="185"/>
        <v>14610</v>
      </c>
      <c r="AM90" s="121">
        <f t="shared" ref="AM90:BR90" si="186">AM86-AM84</f>
        <v>-29508</v>
      </c>
      <c r="AN90" s="121">
        <f t="shared" si="186"/>
        <v>-248234</v>
      </c>
      <c r="AO90" s="122">
        <f t="shared" si="186"/>
        <v>6656</v>
      </c>
      <c r="AP90" s="121">
        <f t="shared" si="186"/>
        <v>31850</v>
      </c>
      <c r="AQ90" s="121">
        <f t="shared" si="186"/>
        <v>436689</v>
      </c>
      <c r="AR90" s="121">
        <f t="shared" si="186"/>
        <v>824907</v>
      </c>
      <c r="AS90" s="121">
        <f t="shared" si="186"/>
        <v>-364226</v>
      </c>
      <c r="AT90" s="122">
        <f t="shared" si="186"/>
        <v>929220</v>
      </c>
      <c r="AU90" s="121">
        <f t="shared" si="186"/>
        <v>-94230</v>
      </c>
      <c r="AV90" s="121">
        <f t="shared" si="186"/>
        <v>255395</v>
      </c>
      <c r="AW90" s="121">
        <f t="shared" si="186"/>
        <v>375490</v>
      </c>
      <c r="AX90" s="121">
        <f t="shared" si="186"/>
        <v>356067</v>
      </c>
      <c r="AY90" s="122">
        <f t="shared" si="186"/>
        <v>892722</v>
      </c>
      <c r="AZ90" s="121">
        <f t="shared" si="186"/>
        <v>1880</v>
      </c>
      <c r="BA90" s="121">
        <f t="shared" si="186"/>
        <v>298309</v>
      </c>
      <c r="BB90" s="121">
        <f t="shared" si="186"/>
        <v>560653</v>
      </c>
      <c r="BC90" s="121">
        <f t="shared" si="186"/>
        <v>598339</v>
      </c>
      <c r="BD90" s="122">
        <f t="shared" si="186"/>
        <v>1459181</v>
      </c>
      <c r="BE90" s="121">
        <f t="shared" si="186"/>
        <v>30497</v>
      </c>
      <c r="BF90" s="121">
        <f t="shared" si="186"/>
        <v>730024</v>
      </c>
      <c r="BG90" s="121">
        <f t="shared" si="186"/>
        <v>139598</v>
      </c>
      <c r="BH90" s="121">
        <f t="shared" si="186"/>
        <v>107297</v>
      </c>
      <c r="BI90" s="122">
        <f t="shared" si="186"/>
        <v>1007416</v>
      </c>
      <c r="BJ90" s="121">
        <f t="shared" si="186"/>
        <v>-79195</v>
      </c>
      <c r="BK90" s="121">
        <f t="shared" si="186"/>
        <v>384297</v>
      </c>
      <c r="BL90" s="121">
        <f t="shared" si="186"/>
        <v>1014336</v>
      </c>
      <c r="BM90" s="121">
        <f t="shared" si="186"/>
        <v>-65972</v>
      </c>
      <c r="BN90" s="122">
        <f t="shared" si="186"/>
        <v>1253466</v>
      </c>
      <c r="BO90" s="121">
        <f t="shared" si="186"/>
        <v>-205012</v>
      </c>
      <c r="BP90" s="121">
        <f t="shared" si="186"/>
        <v>134115</v>
      </c>
      <c r="BQ90" s="121">
        <f t="shared" si="186"/>
        <v>54735</v>
      </c>
      <c r="BR90" s="121">
        <f t="shared" si="186"/>
        <v>112991</v>
      </c>
      <c r="BS90" s="122">
        <f t="shared" ref="BS90:DB90" si="187">BS86-BS84</f>
        <v>96829</v>
      </c>
      <c r="BT90" s="121">
        <f t="shared" si="187"/>
        <v>102578</v>
      </c>
      <c r="BU90" s="121">
        <f t="shared" si="187"/>
        <v>75241</v>
      </c>
      <c r="BV90" s="121">
        <f t="shared" si="187"/>
        <v>127022</v>
      </c>
      <c r="BW90" s="121">
        <f t="shared" si="187"/>
        <v>525266</v>
      </c>
      <c r="BX90" s="122">
        <f t="shared" si="187"/>
        <v>830107</v>
      </c>
      <c r="BY90" s="121">
        <f t="shared" si="187"/>
        <v>380700</v>
      </c>
      <c r="BZ90" s="121">
        <f>BZ86-BZ84</f>
        <v>181437</v>
      </c>
      <c r="CA90" s="121">
        <f>CA86-CA84</f>
        <v>985177</v>
      </c>
      <c r="CB90" s="121">
        <f t="shared" ref="CB90" si="188">CB86-CB84</f>
        <v>1031917</v>
      </c>
      <c r="CC90" s="122">
        <f t="shared" si="187"/>
        <v>2579231</v>
      </c>
      <c r="CD90" s="121">
        <f t="shared" ref="CD90" si="189">CD86-CD84</f>
        <v>40203</v>
      </c>
      <c r="CE90" s="121">
        <f>CE86-CE84</f>
        <v>428347</v>
      </c>
      <c r="CF90" s="121">
        <f t="shared" ca="1" si="187"/>
        <v>288529.9328252307</v>
      </c>
      <c r="CG90" s="121">
        <f t="shared" ca="1" si="187"/>
        <v>328243.19244496088</v>
      </c>
      <c r="CH90" s="122">
        <f t="shared" ca="1" si="187"/>
        <v>1085323.1252701916</v>
      </c>
      <c r="CI90" s="121">
        <f t="shared" ca="1" si="187"/>
        <v>106710.97911683633</v>
      </c>
      <c r="CJ90" s="121">
        <f t="shared" ca="1" si="187"/>
        <v>436104.90806949878</v>
      </c>
      <c r="CK90" s="121">
        <f t="shared" ca="1" si="187"/>
        <v>481609.48492417566</v>
      </c>
      <c r="CL90" s="121">
        <f t="shared" ca="1" si="187"/>
        <v>603850.07957158471</v>
      </c>
      <c r="CM90" s="122">
        <f t="shared" ca="1" si="187"/>
        <v>1628275.4516820954</v>
      </c>
      <c r="CN90" s="121">
        <f t="shared" ca="1" si="187"/>
        <v>251000.85744798218</v>
      </c>
      <c r="CO90" s="121">
        <f t="shared" ca="1" si="187"/>
        <v>394489.8046795181</v>
      </c>
      <c r="CP90" s="121">
        <f t="shared" ca="1" si="187"/>
        <v>436094.20125472138</v>
      </c>
      <c r="CQ90" s="121">
        <f t="shared" ca="1" si="187"/>
        <v>704738.50361522101</v>
      </c>
      <c r="CR90" s="122">
        <f t="shared" ca="1" si="187"/>
        <v>1786323.3669974422</v>
      </c>
      <c r="CS90" s="121">
        <f t="shared" ca="1" si="187"/>
        <v>464142.70619438693</v>
      </c>
      <c r="CT90" s="121">
        <f t="shared" ca="1" si="187"/>
        <v>535071.63621179061</v>
      </c>
      <c r="CU90" s="121">
        <f t="shared" ca="1" si="187"/>
        <v>604744.37240886397</v>
      </c>
      <c r="CV90" s="121">
        <f t="shared" ca="1" si="187"/>
        <v>730958.20521207247</v>
      </c>
      <c r="CW90" s="122">
        <f t="shared" ca="1" si="187"/>
        <v>2334916.920027114</v>
      </c>
      <c r="CX90" s="121">
        <f t="shared" ca="1" si="187"/>
        <v>404878.25631678308</v>
      </c>
      <c r="CY90" s="121">
        <f t="shared" ca="1" si="187"/>
        <v>680469.71307053417</v>
      </c>
      <c r="CZ90" s="121">
        <f t="shared" ca="1" si="187"/>
        <v>838173.64794091322</v>
      </c>
      <c r="DA90" s="121">
        <f t="shared" ca="1" si="187"/>
        <v>1086666.2849246536</v>
      </c>
      <c r="DB90" s="122">
        <f t="shared" ca="1" si="187"/>
        <v>3010187.9022528837</v>
      </c>
    </row>
    <row r="91" spans="1:106" s="7" customFormat="1" ht="11.5" customHeight="1" x14ac:dyDescent="0.35">
      <c r="B91" s="123"/>
      <c r="C91" s="123"/>
      <c r="D91" s="123"/>
      <c r="E91" s="123"/>
      <c r="F91" s="57"/>
      <c r="G91" s="123"/>
      <c r="H91" s="123"/>
      <c r="I91" s="123"/>
      <c r="J91" s="123"/>
      <c r="K91" s="57"/>
      <c r="L91" s="123"/>
      <c r="M91" s="123"/>
      <c r="N91" s="123"/>
      <c r="O91" s="123"/>
      <c r="P91" s="57"/>
      <c r="Q91" s="123"/>
      <c r="R91" s="123"/>
      <c r="S91" s="123"/>
      <c r="T91" s="123"/>
      <c r="U91" s="57"/>
      <c r="V91" s="123"/>
      <c r="W91" s="123"/>
      <c r="X91" s="123"/>
      <c r="Y91" s="123"/>
      <c r="Z91" s="57"/>
      <c r="AA91" s="123"/>
      <c r="AB91" s="123"/>
      <c r="AC91" s="123"/>
      <c r="AD91" s="123"/>
      <c r="AE91" s="57"/>
      <c r="AF91" s="123"/>
      <c r="AG91" s="123"/>
      <c r="AH91" s="123"/>
      <c r="AI91" s="123"/>
      <c r="AJ91" s="57"/>
      <c r="AK91" s="123"/>
      <c r="AL91" s="123"/>
      <c r="AM91" s="123"/>
      <c r="AN91" s="123"/>
      <c r="AO91" s="57"/>
      <c r="AP91" s="123"/>
      <c r="AQ91" s="123"/>
      <c r="AR91" s="123"/>
      <c r="AS91" s="123"/>
      <c r="AT91" s="57"/>
      <c r="AU91" s="123"/>
      <c r="AV91" s="123"/>
      <c r="AW91" s="123"/>
      <c r="AX91" s="123"/>
      <c r="AY91" s="57"/>
      <c r="AZ91" s="123"/>
      <c r="BA91" s="123"/>
      <c r="BB91" s="123"/>
      <c r="BC91" s="123"/>
      <c r="BD91" s="57"/>
      <c r="BE91" s="123"/>
      <c r="BF91" s="123"/>
      <c r="BG91" s="123"/>
      <c r="BH91" s="123"/>
      <c r="BI91" s="57"/>
      <c r="BJ91" s="123"/>
      <c r="BK91" s="123"/>
      <c r="BL91" s="123"/>
      <c r="BM91" s="123"/>
      <c r="BN91" s="57"/>
      <c r="BO91" s="123"/>
      <c r="BP91" s="123"/>
      <c r="BQ91" s="123"/>
      <c r="BR91" s="123"/>
      <c r="BS91" s="57"/>
      <c r="BT91" s="123"/>
      <c r="BU91" s="123"/>
      <c r="BV91" s="123"/>
      <c r="BW91" s="123"/>
      <c r="BX91" s="57"/>
      <c r="BY91" s="123"/>
      <c r="BZ91" s="123"/>
      <c r="CA91" s="123"/>
      <c r="CB91" s="123"/>
      <c r="CC91" s="57"/>
      <c r="CD91" s="123"/>
      <c r="CE91" s="123"/>
      <c r="CF91" s="123"/>
      <c r="CG91" s="123"/>
      <c r="CH91" s="57"/>
      <c r="CI91" s="123"/>
      <c r="CJ91" s="123"/>
      <c r="CK91" s="123"/>
      <c r="CL91" s="123"/>
      <c r="CM91" s="57"/>
      <c r="CN91" s="123"/>
      <c r="CO91" s="123"/>
      <c r="CP91" s="123"/>
      <c r="CQ91" s="123"/>
      <c r="CR91" s="57"/>
      <c r="CS91" s="123"/>
      <c r="CT91" s="123"/>
      <c r="CU91" s="123"/>
      <c r="CV91" s="123"/>
      <c r="CW91" s="57"/>
      <c r="CX91" s="123"/>
      <c r="CY91" s="123"/>
      <c r="CZ91" s="123"/>
      <c r="DA91" s="123"/>
      <c r="DB91" s="57"/>
    </row>
    <row r="92" spans="1:106" s="85" customFormat="1" ht="11.5" customHeight="1" thickBot="1" x14ac:dyDescent="0.4">
      <c r="A92" s="124" t="s">
        <v>198</v>
      </c>
      <c r="B92" s="129" t="str">
        <f>Macro!B$3</f>
        <v>1Q10</v>
      </c>
      <c r="C92" s="129" t="str">
        <f>Macro!C$3</f>
        <v>2Q10</v>
      </c>
      <c r="D92" s="129" t="str">
        <f>Macro!D$3</f>
        <v>3Q10</v>
      </c>
      <c r="E92" s="130" t="str">
        <f>Macro!E$3</f>
        <v>4Q10</v>
      </c>
      <c r="F92" s="131" t="str">
        <f>Macro!F$3</f>
        <v>2010</v>
      </c>
      <c r="G92" s="129" t="str">
        <f>Macro!G$3</f>
        <v>1Q11</v>
      </c>
      <c r="H92" s="129" t="str">
        <f>Macro!H$3</f>
        <v>2Q11</v>
      </c>
      <c r="I92" s="129" t="str">
        <f>Macro!I$3</f>
        <v>3Q11</v>
      </c>
      <c r="J92" s="130" t="str">
        <f>Macro!J$3</f>
        <v>4Q11</v>
      </c>
      <c r="K92" s="131" t="str">
        <f>Macro!K$3</f>
        <v>2011</v>
      </c>
      <c r="L92" s="129" t="str">
        <f>Macro!L$3</f>
        <v>1Q12</v>
      </c>
      <c r="M92" s="129" t="str">
        <f>Macro!M$3</f>
        <v>2Q12</v>
      </c>
      <c r="N92" s="129" t="str">
        <f>Macro!N$3</f>
        <v>3Q12</v>
      </c>
      <c r="O92" s="130" t="str">
        <f>Macro!O$3</f>
        <v>4Q12</v>
      </c>
      <c r="P92" s="131" t="str">
        <f>Macro!P$3</f>
        <v>2012</v>
      </c>
      <c r="Q92" s="129" t="str">
        <f>Macro!Q$3</f>
        <v>1Q13</v>
      </c>
      <c r="R92" s="129" t="str">
        <f>Macro!R$3</f>
        <v>2Q13</v>
      </c>
      <c r="S92" s="129" t="str">
        <f>Macro!S$3</f>
        <v>3Q13</v>
      </c>
      <c r="T92" s="130" t="str">
        <f>Macro!T$3</f>
        <v>4Q13</v>
      </c>
      <c r="U92" s="131" t="str">
        <f>Macro!U$3</f>
        <v>2013</v>
      </c>
      <c r="V92" s="129" t="str">
        <f>Macro!V$3</f>
        <v>1Q14</v>
      </c>
      <c r="W92" s="129" t="str">
        <f>Macro!W$3</f>
        <v>2Q14</v>
      </c>
      <c r="X92" s="129" t="str">
        <f>Macro!X$3</f>
        <v>3Q14</v>
      </c>
      <c r="Y92" s="130" t="str">
        <f>Macro!Y$3</f>
        <v>4Q14</v>
      </c>
      <c r="Z92" s="131" t="str">
        <f>Macro!Z$3</f>
        <v>2014</v>
      </c>
      <c r="AA92" s="129" t="str">
        <f>Macro!AA$3</f>
        <v>1Q15</v>
      </c>
      <c r="AB92" s="129" t="str">
        <f>Macro!AB$3</f>
        <v>2Q15</v>
      </c>
      <c r="AC92" s="129" t="str">
        <f>Macro!AC$3</f>
        <v>3Q15</v>
      </c>
      <c r="AD92" s="130" t="str">
        <f>Macro!AD$3</f>
        <v>4Q15</v>
      </c>
      <c r="AE92" s="131" t="str">
        <f>Macro!AE$3</f>
        <v>2015</v>
      </c>
      <c r="AF92" s="129" t="str">
        <f>Macro!AF$3</f>
        <v>1Q16</v>
      </c>
      <c r="AG92" s="129" t="str">
        <f>Macro!AG$3</f>
        <v>2Q16</v>
      </c>
      <c r="AH92" s="129" t="str">
        <f>Macro!AH$3</f>
        <v>3Q16</v>
      </c>
      <c r="AI92" s="130" t="str">
        <f>Macro!AI$3</f>
        <v>4Q16</v>
      </c>
      <c r="AJ92" s="131" t="str">
        <f>Macro!AJ$3</f>
        <v>2016</v>
      </c>
      <c r="AK92" s="129" t="str">
        <f>Macro!AK$3</f>
        <v>1Q17</v>
      </c>
      <c r="AL92" s="129" t="str">
        <f>Macro!AL$3</f>
        <v>2Q17</v>
      </c>
      <c r="AM92" s="129" t="str">
        <f>Macro!AM$3</f>
        <v>3Q17</v>
      </c>
      <c r="AN92" s="130" t="str">
        <f>Macro!AN$3</f>
        <v>4Q17</v>
      </c>
      <c r="AO92" s="131" t="str">
        <f>Macro!AO$3</f>
        <v>2017</v>
      </c>
      <c r="AP92" s="129" t="str">
        <f>Macro!AP$3</f>
        <v>1Q18</v>
      </c>
      <c r="AQ92" s="129" t="str">
        <f>Macro!AQ$3</f>
        <v>2Q18</v>
      </c>
      <c r="AR92" s="129" t="str">
        <f>Macro!AR$3</f>
        <v>3Q18</v>
      </c>
      <c r="AS92" s="130" t="str">
        <f>Macro!AS$3</f>
        <v>4Q18</v>
      </c>
      <c r="AT92" s="131" t="str">
        <f>Macro!AT$3</f>
        <v>2018</v>
      </c>
      <c r="AU92" s="129" t="str">
        <f>Macro!AU$3</f>
        <v>1Q19</v>
      </c>
      <c r="AV92" s="129" t="str">
        <f>Macro!AV$3</f>
        <v>2Q19</v>
      </c>
      <c r="AW92" s="129" t="str">
        <f>Macro!AW$3</f>
        <v>3Q19</v>
      </c>
      <c r="AX92" s="130" t="str">
        <f>Macro!AX$3</f>
        <v>4Q19</v>
      </c>
      <c r="AY92" s="131" t="str">
        <f>Macro!AY$3</f>
        <v>2019</v>
      </c>
      <c r="AZ92" s="129" t="str">
        <f>Macro!AZ$3</f>
        <v>1Q20</v>
      </c>
      <c r="BA92" s="129" t="str">
        <f>Macro!BA$3</f>
        <v>2Q20</v>
      </c>
      <c r="BB92" s="129" t="str">
        <f>Macro!BB$3</f>
        <v>3Q20</v>
      </c>
      <c r="BC92" s="130" t="str">
        <f>Macro!BC$3</f>
        <v>4Q20</v>
      </c>
      <c r="BD92" s="131" t="str">
        <f>Macro!BD$3</f>
        <v>2020</v>
      </c>
      <c r="BE92" s="129" t="str">
        <f>Macro!BE$3</f>
        <v>1Q21</v>
      </c>
      <c r="BF92" s="129" t="str">
        <f>Macro!BF$3</f>
        <v>2Q21</v>
      </c>
      <c r="BG92" s="129" t="str">
        <f>Macro!BG$3</f>
        <v>3Q21</v>
      </c>
      <c r="BH92" s="130" t="str">
        <f>Macro!BH$3</f>
        <v>4Q21</v>
      </c>
      <c r="BI92" s="131" t="str">
        <f>Macro!BI$3</f>
        <v>2021</v>
      </c>
      <c r="BJ92" s="129" t="str">
        <f>Macro!BJ$3</f>
        <v>1Q22</v>
      </c>
      <c r="BK92" s="129" t="str">
        <f>Macro!BK$3</f>
        <v>2Q22</v>
      </c>
      <c r="BL92" s="129" t="str">
        <f>Macro!BL$3</f>
        <v>3Q22</v>
      </c>
      <c r="BM92" s="130" t="str">
        <f>Macro!BM$3</f>
        <v>4Q22</v>
      </c>
      <c r="BN92" s="131" t="str">
        <f>Macro!BN$3</f>
        <v>2022</v>
      </c>
      <c r="BO92" s="129" t="str">
        <f>Macro!BO$3</f>
        <v>1Q23</v>
      </c>
      <c r="BP92" s="129" t="str">
        <f>Macro!BP$3</f>
        <v>2Q23</v>
      </c>
      <c r="BQ92" s="129" t="str">
        <f>Macro!BQ$3</f>
        <v>3Q23</v>
      </c>
      <c r="BR92" s="130" t="str">
        <f>Macro!BR$3</f>
        <v>4Q23</v>
      </c>
      <c r="BS92" s="131" t="str">
        <f>Macro!BS$3</f>
        <v>2023</v>
      </c>
      <c r="BT92" s="129" t="str">
        <f>Macro!BT$3</f>
        <v>1Q24</v>
      </c>
      <c r="BU92" s="129" t="str">
        <f>Macro!BU$3</f>
        <v>2Q24</v>
      </c>
      <c r="BV92" s="129" t="str">
        <f>Macro!BV$3</f>
        <v>3Q24</v>
      </c>
      <c r="BW92" s="130" t="str">
        <f>Macro!BW$3</f>
        <v>4Q24</v>
      </c>
      <c r="BX92" s="131" t="str">
        <f>Macro!BX$3</f>
        <v>2024</v>
      </c>
      <c r="BY92" s="129" t="str">
        <f>Macro!BY$3</f>
        <v>1Q25</v>
      </c>
      <c r="BZ92" s="129" t="str">
        <f>Macro!BZ$3</f>
        <v>2Q25</v>
      </c>
      <c r="CA92" s="125" t="str">
        <f>Macro!CA$3</f>
        <v>3Q25</v>
      </c>
      <c r="CB92" s="125" t="str">
        <f>Macro!CB$3</f>
        <v>4Q25</v>
      </c>
      <c r="CC92" s="126" t="str">
        <f>Macro!CC$3</f>
        <v>2025</v>
      </c>
      <c r="CD92" s="125" t="str">
        <f>Macro!CD$3</f>
        <v>1Q26</v>
      </c>
      <c r="CE92" s="125" t="str">
        <f>Macro!CE$3</f>
        <v>2Q26</v>
      </c>
      <c r="CF92" s="125" t="str">
        <f>Macro!CF$3</f>
        <v>3Q26E</v>
      </c>
      <c r="CG92" s="125" t="str">
        <f>Macro!CG$3</f>
        <v>4Q26E</v>
      </c>
      <c r="CH92" s="126" t="str">
        <f>Macro!CH$3</f>
        <v>2026E</v>
      </c>
      <c r="CI92" s="125" t="str">
        <f>Macro!CI$3</f>
        <v>1Q27E</v>
      </c>
      <c r="CJ92" s="125" t="str">
        <f>Macro!CJ$3</f>
        <v>2Q27E</v>
      </c>
      <c r="CK92" s="125" t="str">
        <f>Macro!CK$3</f>
        <v>3Q27E</v>
      </c>
      <c r="CL92" s="125" t="str">
        <f>Macro!CL$3</f>
        <v>4Q27E</v>
      </c>
      <c r="CM92" s="126" t="str">
        <f>Macro!CM$3</f>
        <v>2027E</v>
      </c>
      <c r="CN92" s="125" t="str">
        <f>Macro!CN$3</f>
        <v>1Q28E</v>
      </c>
      <c r="CO92" s="125" t="str">
        <f>Macro!CO$3</f>
        <v>2Q28E</v>
      </c>
      <c r="CP92" s="125" t="str">
        <f>Macro!CP$3</f>
        <v>3Q28E</v>
      </c>
      <c r="CQ92" s="125" t="str">
        <f>Macro!CQ$3</f>
        <v>4Q28E</v>
      </c>
      <c r="CR92" s="126" t="str">
        <f>Macro!CR$3</f>
        <v>2028E</v>
      </c>
      <c r="CS92" s="125" t="str">
        <f>Macro!CS$3</f>
        <v>1Q29E</v>
      </c>
      <c r="CT92" s="125" t="str">
        <f>Macro!CT$3</f>
        <v>2Q29E</v>
      </c>
      <c r="CU92" s="125" t="str">
        <f>Macro!CU$3</f>
        <v>3Q29E</v>
      </c>
      <c r="CV92" s="125" t="str">
        <f>Macro!CV$3</f>
        <v>4Q29E</v>
      </c>
      <c r="CW92" s="126" t="str">
        <f>Macro!CW$3</f>
        <v>2029E</v>
      </c>
      <c r="CX92" s="125" t="str">
        <f>Macro!CX$3</f>
        <v>1Q30E</v>
      </c>
      <c r="CY92" s="125" t="str">
        <f>Macro!CY$3</f>
        <v>2Q30E</v>
      </c>
      <c r="CZ92" s="125" t="str">
        <f>Macro!CZ$3</f>
        <v>3Q30E</v>
      </c>
      <c r="DA92" s="125" t="str">
        <f>Macro!DA$3</f>
        <v>4Q30E</v>
      </c>
      <c r="DB92" s="126" t="str">
        <f>Macro!DB$3</f>
        <v>2030E</v>
      </c>
    </row>
    <row r="93" spans="1:106" ht="11.5" customHeight="1" thickTop="1" x14ac:dyDescent="0.35">
      <c r="A93" s="132" t="s">
        <v>232</v>
      </c>
      <c r="B93" s="237">
        <f t="shared" ref="B93:AG93" si="190">B8</f>
        <v>5226703</v>
      </c>
      <c r="C93" s="237">
        <f t="shared" si="190"/>
        <v>5535211</v>
      </c>
      <c r="D93" s="237">
        <f t="shared" si="190"/>
        <v>5835349</v>
      </c>
      <c r="E93" s="237">
        <f t="shared" si="190"/>
        <v>6005084</v>
      </c>
      <c r="F93" s="225">
        <f t="shared" si="190"/>
        <v>6005084</v>
      </c>
      <c r="G93" s="237">
        <f t="shared" si="190"/>
        <v>6134788</v>
      </c>
      <c r="H93" s="237">
        <f t="shared" si="190"/>
        <v>6208435</v>
      </c>
      <c r="I93" s="237">
        <f t="shared" si="190"/>
        <v>6235639</v>
      </c>
      <c r="J93" s="237">
        <f t="shared" si="190"/>
        <v>6409068</v>
      </c>
      <c r="K93" s="225">
        <f t="shared" si="190"/>
        <v>6409068</v>
      </c>
      <c r="L93" s="237">
        <f t="shared" si="190"/>
        <v>6566617</v>
      </c>
      <c r="M93" s="237">
        <f t="shared" si="190"/>
        <v>6502734</v>
      </c>
      <c r="N93" s="237">
        <f t="shared" si="190"/>
        <v>6433064</v>
      </c>
      <c r="O93" s="237">
        <f t="shared" si="190"/>
        <v>5900650</v>
      </c>
      <c r="P93" s="225">
        <f t="shared" si="190"/>
        <v>5900650</v>
      </c>
      <c r="Q93" s="237">
        <f t="shared" si="190"/>
        <v>5708739</v>
      </c>
      <c r="R93" s="237">
        <f t="shared" si="190"/>
        <v>5746013</v>
      </c>
      <c r="S93" s="237">
        <f t="shared" si="190"/>
        <v>5818501</v>
      </c>
      <c r="T93" s="237">
        <f t="shared" si="190"/>
        <v>5622358</v>
      </c>
      <c r="U93" s="225">
        <f t="shared" si="190"/>
        <v>5622358</v>
      </c>
      <c r="V93" s="237">
        <f t="shared" si="190"/>
        <v>5382715</v>
      </c>
      <c r="W93" s="237">
        <f t="shared" si="190"/>
        <v>5352790</v>
      </c>
      <c r="X93" s="237">
        <f t="shared" si="190"/>
        <v>5075277</v>
      </c>
      <c r="Y93" s="237">
        <f t="shared" si="190"/>
        <v>4929986</v>
      </c>
      <c r="Z93" s="225">
        <f t="shared" si="190"/>
        <v>4929986</v>
      </c>
      <c r="AA93" s="237">
        <f t="shared" si="190"/>
        <v>4496726</v>
      </c>
      <c r="AB93" s="237">
        <f t="shared" si="190"/>
        <v>4157027</v>
      </c>
      <c r="AC93" s="237">
        <f t="shared" si="190"/>
        <v>4025882</v>
      </c>
      <c r="AD93" s="237">
        <f t="shared" si="190"/>
        <v>3846292</v>
      </c>
      <c r="AE93" s="225">
        <f t="shared" si="190"/>
        <v>3846292</v>
      </c>
      <c r="AF93" s="237">
        <f t="shared" si="190"/>
        <v>3933676</v>
      </c>
      <c r="AG93" s="237">
        <f t="shared" si="190"/>
        <v>3580176</v>
      </c>
      <c r="AH93" s="237">
        <f t="shared" ref="AH93:BM93" si="191">AH8</f>
        <v>3566502</v>
      </c>
      <c r="AI93" s="237">
        <f t="shared" si="191"/>
        <v>3379792</v>
      </c>
      <c r="AJ93" s="225">
        <f t="shared" si="191"/>
        <v>3379792</v>
      </c>
      <c r="AK93" s="237">
        <f t="shared" si="191"/>
        <v>3261831</v>
      </c>
      <c r="AL93" s="237">
        <f t="shared" si="191"/>
        <v>2939202</v>
      </c>
      <c r="AM93" s="237">
        <f t="shared" si="191"/>
        <v>2699093</v>
      </c>
      <c r="AN93" s="237">
        <f t="shared" si="191"/>
        <v>2667234</v>
      </c>
      <c r="AO93" s="225">
        <f t="shared" si="191"/>
        <v>2667234</v>
      </c>
      <c r="AP93" s="237">
        <f t="shared" si="191"/>
        <v>2270779</v>
      </c>
      <c r="AQ93" s="237">
        <f t="shared" si="191"/>
        <v>2141537</v>
      </c>
      <c r="AR93" s="237">
        <f t="shared" si="191"/>
        <v>2125099</v>
      </c>
      <c r="AS93" s="237">
        <f t="shared" si="191"/>
        <v>1948816</v>
      </c>
      <c r="AT93" s="225">
        <f t="shared" si="191"/>
        <v>1948816</v>
      </c>
      <c r="AU93" s="237">
        <f t="shared" si="191"/>
        <v>1969463</v>
      </c>
      <c r="AV93" s="237">
        <f t="shared" si="191"/>
        <v>1951187</v>
      </c>
      <c r="AW93" s="237">
        <f t="shared" si="191"/>
        <v>1949967</v>
      </c>
      <c r="AX93" s="237">
        <f t="shared" si="191"/>
        <v>2069474</v>
      </c>
      <c r="AY93" s="225">
        <f t="shared" si="191"/>
        <v>2069474</v>
      </c>
      <c r="AZ93" s="237">
        <f t="shared" si="191"/>
        <v>2064344</v>
      </c>
      <c r="BA93" s="237">
        <f t="shared" si="191"/>
        <v>2184470</v>
      </c>
      <c r="BB93" s="237">
        <f t="shared" si="191"/>
        <v>2066837</v>
      </c>
      <c r="BC93" s="237">
        <f t="shared" si="191"/>
        <v>2063554</v>
      </c>
      <c r="BD93" s="225">
        <f t="shared" si="191"/>
        <v>2063554</v>
      </c>
      <c r="BE93" s="237">
        <f t="shared" si="191"/>
        <v>2129231</v>
      </c>
      <c r="BF93" s="237">
        <f t="shared" si="191"/>
        <v>2161399</v>
      </c>
      <c r="BG93" s="237">
        <f t="shared" si="191"/>
        <v>2261540</v>
      </c>
      <c r="BH93" s="237">
        <f t="shared" si="191"/>
        <v>2333644</v>
      </c>
      <c r="BI93" s="225">
        <f t="shared" si="191"/>
        <v>2333644</v>
      </c>
      <c r="BJ93" s="237">
        <f t="shared" si="191"/>
        <v>2402290</v>
      </c>
      <c r="BK93" s="237">
        <f t="shared" si="191"/>
        <v>2499984</v>
      </c>
      <c r="BL93" s="237">
        <f t="shared" si="191"/>
        <v>2711354</v>
      </c>
      <c r="BM93" s="237">
        <f t="shared" si="191"/>
        <v>2709008</v>
      </c>
      <c r="BN93" s="225">
        <f t="shared" ref="BN93:CS93" si="192">BN8</f>
        <v>2709008</v>
      </c>
      <c r="BO93" s="237">
        <f t="shared" si="192"/>
        <v>2666053</v>
      </c>
      <c r="BP93" s="237">
        <f t="shared" si="192"/>
        <v>2960288</v>
      </c>
      <c r="BQ93" s="237">
        <f t="shared" si="192"/>
        <v>3198894</v>
      </c>
      <c r="BR93" s="237">
        <f t="shared" si="192"/>
        <v>3454712</v>
      </c>
      <c r="BS93" s="225">
        <f t="shared" si="192"/>
        <v>3454712</v>
      </c>
      <c r="BT93" s="237">
        <f t="shared" si="192"/>
        <v>3635115</v>
      </c>
      <c r="BU93" s="237">
        <f t="shared" si="192"/>
        <v>3993057</v>
      </c>
      <c r="BV93" s="237">
        <f t="shared" si="192"/>
        <v>4314766</v>
      </c>
      <c r="BW93" s="237">
        <f t="shared" si="192"/>
        <v>4776699</v>
      </c>
      <c r="BX93" s="225">
        <f t="shared" si="192"/>
        <v>4776699</v>
      </c>
      <c r="BY93" s="237">
        <f t="shared" si="192"/>
        <v>4892181</v>
      </c>
      <c r="BZ93" s="237">
        <f>BZ8</f>
        <v>5289499</v>
      </c>
      <c r="CA93" s="237">
        <f>CA8</f>
        <v>5369048</v>
      </c>
      <c r="CB93" s="237">
        <f t="shared" ref="CB93" si="193">CB8</f>
        <v>6114370</v>
      </c>
      <c r="CC93" s="225">
        <f t="shared" si="192"/>
        <v>6114370</v>
      </c>
      <c r="CD93" s="237">
        <f t="shared" ref="CD93" si="194">CD8</f>
        <v>6311433</v>
      </c>
      <c r="CE93" s="237">
        <f>CE8</f>
        <v>6524467</v>
      </c>
      <c r="CF93" s="237">
        <f t="shared" si="192"/>
        <v>6855342.9663740303</v>
      </c>
      <c r="CG93" s="237">
        <f t="shared" si="192"/>
        <v>7164546.0319175124</v>
      </c>
      <c r="CH93" s="225">
        <f t="shared" si="192"/>
        <v>7164546.0319175124</v>
      </c>
      <c r="CI93" s="237">
        <f t="shared" si="192"/>
        <v>7673030.5358450394</v>
      </c>
      <c r="CJ93" s="237">
        <f t="shared" si="192"/>
        <v>7756884.4040543362</v>
      </c>
      <c r="CK93" s="237">
        <f t="shared" si="192"/>
        <v>7863216.9007081725</v>
      </c>
      <c r="CL93" s="237">
        <f t="shared" si="192"/>
        <v>7929689.6958350539</v>
      </c>
      <c r="CM93" s="225">
        <f t="shared" si="192"/>
        <v>7929689.6958350539</v>
      </c>
      <c r="CN93" s="237">
        <f t="shared" si="192"/>
        <v>8271749.549285654</v>
      </c>
      <c r="CO93" s="237">
        <f t="shared" si="192"/>
        <v>8429040.8104177862</v>
      </c>
      <c r="CP93" s="237">
        <f t="shared" si="192"/>
        <v>8613719.942858981</v>
      </c>
      <c r="CQ93" s="237">
        <f t="shared" si="192"/>
        <v>8685104.1813184712</v>
      </c>
      <c r="CR93" s="225">
        <f t="shared" si="192"/>
        <v>8685104.1813184712</v>
      </c>
      <c r="CS93" s="237">
        <f t="shared" si="192"/>
        <v>8859366.9945954978</v>
      </c>
      <c r="CT93" s="237">
        <f t="shared" ref="CT93:DB93" si="195">CT8</f>
        <v>8953185.8634207323</v>
      </c>
      <c r="CU93" s="237">
        <f t="shared" si="195"/>
        <v>9050397.8108699173</v>
      </c>
      <c r="CV93" s="237">
        <f t="shared" si="195"/>
        <v>9176737.6351424791</v>
      </c>
      <c r="CW93" s="225">
        <f t="shared" si="195"/>
        <v>9176737.6351424791</v>
      </c>
      <c r="CX93" s="237">
        <f t="shared" si="195"/>
        <v>9499064.8657890223</v>
      </c>
      <c r="CY93" s="237">
        <f t="shared" si="195"/>
        <v>9589012.2989135291</v>
      </c>
      <c r="CZ93" s="237">
        <f t="shared" si="195"/>
        <v>9713388.2398681454</v>
      </c>
      <c r="DA93" s="237">
        <f t="shared" si="195"/>
        <v>9897598.7857780457</v>
      </c>
      <c r="DB93" s="225">
        <f t="shared" si="195"/>
        <v>9897598.7857780457</v>
      </c>
    </row>
    <row r="94" spans="1:106" ht="11.5" customHeight="1" outlineLevel="1" x14ac:dyDescent="0.35">
      <c r="A94" s="19" t="s">
        <v>233</v>
      </c>
      <c r="B94" s="430">
        <f>IS!B9*4</f>
        <v>4529792</v>
      </c>
      <c r="C94" s="430">
        <f>IS!C9*4</f>
        <v>4823340</v>
      </c>
      <c r="D94" s="430">
        <f>IS!D9*4</f>
        <v>4650196</v>
      </c>
      <c r="E94" s="431">
        <f>IS!B9+IS!C9+IS!D9+IS!E9</f>
        <v>4890105</v>
      </c>
      <c r="F94" s="432">
        <f>IS!F9</f>
        <v>4890105</v>
      </c>
      <c r="G94" s="431">
        <f>IS!G9+IS!E9+IS!D9+IS!C9</f>
        <v>4958399</v>
      </c>
      <c r="H94" s="431">
        <f>IS!H9+IS!G9+IS!E9+IS!D9</f>
        <v>5135448</v>
      </c>
      <c r="I94" s="431">
        <f>IS!I9+IS!H9+IS!G9+IS!E9</f>
        <v>5532501</v>
      </c>
      <c r="J94" s="431">
        <f>IS!G9+IS!H9+IS!I9+IS!J9</f>
        <v>6126781</v>
      </c>
      <c r="K94" s="432">
        <f>IS!K9</f>
        <v>6126781</v>
      </c>
      <c r="L94" s="431">
        <f>IS!L9+IS!J9+IS!I9+IS!H9</f>
        <v>6392382</v>
      </c>
      <c r="M94" s="431">
        <f>IS!M9+IS!L9+IS!J9+IS!I9</f>
        <v>6394761</v>
      </c>
      <c r="N94" s="431">
        <f>IS!N9+IS!M9+IS!L9+IS!J9</f>
        <v>6185111</v>
      </c>
      <c r="O94" s="431">
        <f>IS!L9+IS!M9+IS!N9+IS!O9</f>
        <v>5632679</v>
      </c>
      <c r="P94" s="432">
        <f>IS!P9</f>
        <v>5632679</v>
      </c>
      <c r="Q94" s="431">
        <f>IS!Q9+IS!O9+IS!N9+IS!M9</f>
        <v>5381706</v>
      </c>
      <c r="R94" s="431">
        <f>IS!R9+IS!Q9+IS!O9+IS!N9</f>
        <v>5368862</v>
      </c>
      <c r="S94" s="431">
        <f>IS!S9+IS!R9+IS!Q9+IS!O9</f>
        <v>5413358</v>
      </c>
      <c r="T94" s="431">
        <f>IS!Q9+IS!R9+IS!S9+IS!T9</f>
        <v>5371882</v>
      </c>
      <c r="U94" s="432">
        <f>IS!U9</f>
        <v>5371882</v>
      </c>
      <c r="V94" s="431">
        <f>IS!V9+IS!T9+IS!S9+IS!R9</f>
        <v>5471874</v>
      </c>
      <c r="W94" s="431">
        <f>IS!W9+IS!V9+IS!T9+IS!S9</f>
        <v>5457786</v>
      </c>
      <c r="X94" s="431">
        <f>IS!X9+IS!W9+IS!V9+IS!T9</f>
        <v>5677034</v>
      </c>
      <c r="Y94" s="431">
        <f>IS!V9+IS!W9+IS!X9+IS!Y9</f>
        <v>5817927</v>
      </c>
      <c r="Z94" s="432">
        <f>IS!Z9</f>
        <v>5817927</v>
      </c>
      <c r="AA94" s="431">
        <f>IS!AA9+IS!Y9+IS!X9+IS!W9</f>
        <v>5537779</v>
      </c>
      <c r="AB94" s="431">
        <f>IS!AB9+IS!AA9+IS!Y9+IS!X9</f>
        <v>5317131</v>
      </c>
      <c r="AC94" s="431">
        <f>IS!AC9+IS!AB9+IS!AA9+IS!Y9</f>
        <v>4841168</v>
      </c>
      <c r="AD94" s="431">
        <f>IS!AA9+IS!AB9+IS!AC9+IS!AD9</f>
        <v>4341184</v>
      </c>
      <c r="AE94" s="432">
        <f>IS!AE9</f>
        <v>4341184</v>
      </c>
      <c r="AF94" s="431">
        <f>IS!AF9+IS!AD9+IS!AC9+IS!AB9</f>
        <v>4116676</v>
      </c>
      <c r="AG94" s="431">
        <f>IS!AG9+IS!AF9+IS!AD9+IS!AC9</f>
        <v>3620026</v>
      </c>
      <c r="AH94" s="431">
        <f>IS!AH9+IS!AG9+IS!AF9+IS!AD9</f>
        <v>3307100</v>
      </c>
      <c r="AI94" s="431">
        <f>IS!AF9+IS!AG9+IS!AH9+IS!AI9</f>
        <v>3195310</v>
      </c>
      <c r="AJ94" s="432">
        <f>IS!AJ9</f>
        <v>3195310</v>
      </c>
      <c r="AK94" s="431">
        <f>IS!AK9+IS!AI9+IS!AH9+IS!AG9</f>
        <v>3076991</v>
      </c>
      <c r="AL94" s="431">
        <f>IS!AL9+IS!AK9+IS!AI9+IS!AH9</f>
        <v>3010714</v>
      </c>
      <c r="AM94" s="431">
        <f>IS!AM9+IS!AL9+IS!AK9+IS!AI9</f>
        <v>2783734</v>
      </c>
      <c r="AN94" s="431">
        <f>IS!AK9+IS!AL9+IS!AM9+IS!AN9</f>
        <v>2673770</v>
      </c>
      <c r="AO94" s="432">
        <f>IS!AO9</f>
        <v>2673770</v>
      </c>
      <c r="AP94" s="431">
        <f>IS!AP9+IS!AN9+IS!AM9+IS!AL9</f>
        <v>2432005</v>
      </c>
      <c r="AQ94" s="431">
        <f>IS!AQ9+IS!AP9+IS!AN9+IS!AM9</f>
        <v>2496788</v>
      </c>
      <c r="AR94" s="431">
        <f>IS!AR9+IS!AQ9+IS!AP9+IS!AN9</f>
        <v>2623786</v>
      </c>
      <c r="AS94" s="431">
        <f>IS!AP9+IS!AQ9+IS!AR9+IS!AS9</f>
        <v>2892157</v>
      </c>
      <c r="AT94" s="432">
        <f>IS!AT9</f>
        <v>2892157</v>
      </c>
      <c r="AU94" s="431">
        <f>IS!AU9+IS!AS9+IS!AR9+IS!AQ9</f>
        <v>3267771</v>
      </c>
      <c r="AV94" s="431">
        <f>IS!AV9+IS!AU9+IS!AS9+IS!AR9</f>
        <v>3564854</v>
      </c>
      <c r="AW94" s="431">
        <f>IS!AW9+IS!AV9+IS!AU9+IS!AS9</f>
        <v>3774788</v>
      </c>
      <c r="AX94" s="431">
        <f>IS!AU9+IS!AV9+IS!AW9+IS!AX9</f>
        <v>3930823</v>
      </c>
      <c r="AY94" s="432">
        <f>IS!AY9</f>
        <v>3930823</v>
      </c>
      <c r="AZ94" s="431">
        <f>IS!AZ9+IS!AX9+IS!AW9+IS!AV9</f>
        <v>3869342</v>
      </c>
      <c r="BA94" s="431">
        <f>IS!BA9+IS!AZ9+IS!AX9+IS!AW9</f>
        <v>3771528</v>
      </c>
      <c r="BB94" s="431">
        <f>IS!BB9+IS!BA9+IS!AZ9+IS!AX9</f>
        <v>4000272</v>
      </c>
      <c r="BC94" s="431">
        <f>IS!AZ9+IS!BA9+IS!BB9+IS!BC9</f>
        <v>3823696</v>
      </c>
      <c r="BD94" s="432">
        <f>IS!BD9</f>
        <v>3823696</v>
      </c>
      <c r="BE94" s="431">
        <f>IS!BE9+IS!BC9+IS!BB9+IS!BA9</f>
        <v>4062673</v>
      </c>
      <c r="BF94" s="431">
        <f>IS!BF9+IS!BE9+IS!BC9+IS!BB9</f>
        <v>4405884</v>
      </c>
      <c r="BG94" s="431">
        <f>IS!BG9+IS!BF9+IS!BE9+IS!BC9</f>
        <v>4530720</v>
      </c>
      <c r="BH94" s="431">
        <f>IS!BE9+IS!BF9+IS!BG9+IS!BH9</f>
        <v>4790833</v>
      </c>
      <c r="BI94" s="432">
        <f>IS!BI9</f>
        <v>4790833</v>
      </c>
      <c r="BJ94" s="431">
        <f>IS!BJ9+IS!BH9+IS!BG9+IS!BF9</f>
        <v>5018753</v>
      </c>
      <c r="BK94" s="431">
        <f>IS!BK9+IS!BJ9+IS!BH9+IS!BG9</f>
        <v>5086817</v>
      </c>
      <c r="BL94" s="431">
        <f>IS!BL9+IS!BK9+IS!BJ9+IS!BH9</f>
        <v>5358122</v>
      </c>
      <c r="BM94" s="431">
        <f>IS!BJ9+IS!BK9+IS!BL9+IS!BM9</f>
        <v>5412295</v>
      </c>
      <c r="BN94" s="432">
        <f>IS!BN9</f>
        <v>5412295</v>
      </c>
      <c r="BO94" s="431">
        <f>IS!BO9+IS!BM9+IS!BL9+IS!BK9</f>
        <v>5464069</v>
      </c>
      <c r="BP94" s="431">
        <f>IS!BP9+IS!BO9+IS!BM9+IS!BL9</f>
        <v>5847041</v>
      </c>
      <c r="BQ94" s="431">
        <f>IS!BQ9+IS!BP9+IS!BO9+IS!BM9</f>
        <v>5913384</v>
      </c>
      <c r="BR94" s="431">
        <f>IS!BO9+IS!BP9+IS!BQ9+IS!BR9</f>
        <v>6252699</v>
      </c>
      <c r="BS94" s="432">
        <f>IS!BS9</f>
        <v>6252699</v>
      </c>
      <c r="BT94" s="431">
        <f>IS!BT9+IS!BR9+IS!BQ9+IS!BP9</f>
        <v>6542184</v>
      </c>
      <c r="BU94" s="431">
        <f>IS!BU9+IS!BT9+IS!BR9+IS!BQ9</f>
        <v>6765986</v>
      </c>
      <c r="BV94" s="431">
        <f>IS!BV9+IS!BU9+IS!BT9+IS!BR9</f>
        <v>7169650</v>
      </c>
      <c r="BW94" s="431">
        <f>IS!BT9+IS!BU9+IS!BV9+IS!BW9</f>
        <v>7965688</v>
      </c>
      <c r="BX94" s="432">
        <f>IS!BX9</f>
        <v>7965688</v>
      </c>
      <c r="BY94" s="431">
        <f>IS!BY9+IS!BW9+IS!BV9+IS!BU9</f>
        <v>8345521</v>
      </c>
      <c r="BZ94" s="431">
        <f>IS!BZ9+IS!BY9+IS!BW9+IS!BV9</f>
        <v>8595794</v>
      </c>
      <c r="CA94" s="431">
        <f>IS!CA9+IS!BZ9+IS!BX9+IS!BW9</f>
        <v>14707533</v>
      </c>
      <c r="CB94" s="431">
        <f>IS!BY9+IS!BZ9+IS!CA9+IS!CB9</f>
        <v>9423494</v>
      </c>
      <c r="CC94" s="432">
        <f>IS!CC9</f>
        <v>9423494</v>
      </c>
      <c r="CD94" s="431">
        <f>IS!CD9+IS!CB9+IS!CA9+IS!BZ9</f>
        <v>9495783</v>
      </c>
      <c r="CE94" s="431">
        <f>IS!CE9+IS!CD9+IS!CB9+IS!CA9</f>
        <v>9869524</v>
      </c>
      <c r="CF94" s="431">
        <f>IS!CF9+IS!CE9+IS!CD9+IS!CB9</f>
        <v>10398130.940978296</v>
      </c>
      <c r="CG94" s="431">
        <f>IS!CD9+IS!CE9+IS!CF9+IS!CG9</f>
        <v>10023093.943465855</v>
      </c>
      <c r="CH94" s="432">
        <f>IS!CH9</f>
        <v>10023093.943465855</v>
      </c>
      <c r="CI94" s="431">
        <f>IS!CI9+IS!CG9+IS!CF9+IS!CE9</f>
        <v>10692859.640590373</v>
      </c>
      <c r="CJ94" s="431">
        <f>IS!CJ9+IS!CI9+IS!CG9+IS!CF9</f>
        <v>10959286.724497043</v>
      </c>
      <c r="CK94" s="431">
        <f>IS!CK9+IS!CJ9+IS!CI9+IS!CG9</f>
        <v>11189133.591362935</v>
      </c>
      <c r="CL94" s="431">
        <f>IS!CI9+IS!CJ9+IS!CK9+IS!CL9</f>
        <v>11373758.445042023</v>
      </c>
      <c r="CM94" s="432">
        <f>IS!CM9</f>
        <v>11373758.445042023</v>
      </c>
      <c r="CN94" s="431">
        <f>IS!CN9+IS!CL9+IS!CK9+IS!CJ9</f>
        <v>11707985.753308147</v>
      </c>
      <c r="CO94" s="431">
        <f>IS!CO9+IS!CN9+IS!CL9+IS!CK9</f>
        <v>12023634.601002481</v>
      </c>
      <c r="CP94" s="431">
        <f>IS!CP9+IS!CO9+IS!CN9+IS!CL9</f>
        <v>12324991.523716487</v>
      </c>
      <c r="CQ94" s="431">
        <f>IS!CN9+IS!CO9+IS!CP9+IS!CQ9</f>
        <v>12683550.090385415</v>
      </c>
      <c r="CR94" s="432">
        <f>IS!CR9</f>
        <v>12683550.090385415</v>
      </c>
      <c r="CS94" s="431">
        <f>IS!CS9+IS!CQ9+IS!CP9+IS!CO9</f>
        <v>12975176.24902788</v>
      </c>
      <c r="CT94" s="431">
        <f>IS!CT9+IS!CS9+IS!CQ9+IS!CP9</f>
        <v>13250047.919444105</v>
      </c>
      <c r="CU94" s="431">
        <f>IS!CU9+IS!CT9+IS!CS9+IS!CQ9</f>
        <v>13513702.32576967</v>
      </c>
      <c r="CV94" s="431">
        <f>IS!CS9+IS!CT9+IS!CU9+IS!CV9</f>
        <v>13773747.610623904</v>
      </c>
      <c r="CW94" s="432">
        <f>IS!CW9</f>
        <v>13773747.610623904</v>
      </c>
      <c r="CX94" s="431">
        <f>IS!CX9+IS!CV9+IS!CU9+IS!CT9</f>
        <v>14026574.07728075</v>
      </c>
      <c r="CY94" s="431">
        <f>IS!CY9+IS!CX9+IS!CV9+IS!CU9</f>
        <v>14270034.56197804</v>
      </c>
      <c r="CZ94" s="431">
        <f>IS!CZ9+IS!CY9+IS!CX9+IS!CV9</f>
        <v>14511836.192665964</v>
      </c>
      <c r="DA94" s="431">
        <f>IS!CX9+IS!CY9+IS!CZ9+IS!DA9</f>
        <v>14754097.988621809</v>
      </c>
      <c r="DB94" s="432">
        <f>IS!DB9</f>
        <v>14754097.988621809</v>
      </c>
    </row>
    <row r="95" spans="1:106" s="91" customFormat="1" ht="11.5" customHeight="1" outlineLevel="1" x14ac:dyDescent="0.35">
      <c r="A95" s="163" t="s">
        <v>234</v>
      </c>
      <c r="B95" s="148">
        <f t="shared" ref="B95:AG95" si="196">365/(B94/B93)</f>
        <v>421.15545150859026</v>
      </c>
      <c r="C95" s="148">
        <f t="shared" si="196"/>
        <v>418.86991483080186</v>
      </c>
      <c r="D95" s="148">
        <f t="shared" si="196"/>
        <v>458.02421768888883</v>
      </c>
      <c r="E95" s="148">
        <f t="shared" si="196"/>
        <v>448.22261689677424</v>
      </c>
      <c r="F95" s="435">
        <f t="shared" si="196"/>
        <v>448.22261689677424</v>
      </c>
      <c r="G95" s="148">
        <f t="shared" si="196"/>
        <v>451.59690053180469</v>
      </c>
      <c r="H95" s="148">
        <f t="shared" si="196"/>
        <v>441.26214012876773</v>
      </c>
      <c r="I95" s="148">
        <f t="shared" si="196"/>
        <v>411.38867123566718</v>
      </c>
      <c r="J95" s="148">
        <f t="shared" si="196"/>
        <v>381.81711081234994</v>
      </c>
      <c r="K95" s="435">
        <f t="shared" si="196"/>
        <v>381.81711081234994</v>
      </c>
      <c r="L95" s="148">
        <f t="shared" si="196"/>
        <v>374.94868188415523</v>
      </c>
      <c r="M95" s="148">
        <f t="shared" si="196"/>
        <v>371.16288005134203</v>
      </c>
      <c r="N95" s="148">
        <f t="shared" si="196"/>
        <v>379.63237199785095</v>
      </c>
      <c r="O95" s="148">
        <f t="shared" si="196"/>
        <v>382.36463501648149</v>
      </c>
      <c r="P95" s="435">
        <f t="shared" si="196"/>
        <v>382.36463501648149</v>
      </c>
      <c r="Q95" s="148">
        <f t="shared" si="196"/>
        <v>387.18014975177016</v>
      </c>
      <c r="R95" s="148">
        <f t="shared" si="196"/>
        <v>390.64046440381594</v>
      </c>
      <c r="S95" s="148">
        <f t="shared" si="196"/>
        <v>392.31709135069212</v>
      </c>
      <c r="T95" s="148">
        <f t="shared" si="196"/>
        <v>382.0189404756099</v>
      </c>
      <c r="U95" s="435">
        <f t="shared" si="196"/>
        <v>382.0189404756099</v>
      </c>
      <c r="V95" s="148">
        <f t="shared" si="196"/>
        <v>359.05267098621056</v>
      </c>
      <c r="W95" s="148">
        <f t="shared" si="196"/>
        <v>357.97818932438906</v>
      </c>
      <c r="X95" s="148">
        <f t="shared" si="196"/>
        <v>326.31055318675209</v>
      </c>
      <c r="Y95" s="148">
        <f t="shared" si="196"/>
        <v>309.29313654158943</v>
      </c>
      <c r="Z95" s="435">
        <f t="shared" si="196"/>
        <v>309.29313654158943</v>
      </c>
      <c r="AA95" s="148">
        <f t="shared" si="196"/>
        <v>296.38325942584567</v>
      </c>
      <c r="AB95" s="148">
        <f t="shared" si="196"/>
        <v>285.36345164337683</v>
      </c>
      <c r="AC95" s="148">
        <f t="shared" si="196"/>
        <v>303.53148868207012</v>
      </c>
      <c r="AD95" s="148">
        <f t="shared" si="196"/>
        <v>323.39025021745221</v>
      </c>
      <c r="AE95" s="435">
        <f t="shared" si="196"/>
        <v>323.39025021745221</v>
      </c>
      <c r="AF95" s="148">
        <f t="shared" si="196"/>
        <v>348.77453071361458</v>
      </c>
      <c r="AG95" s="148">
        <f t="shared" si="196"/>
        <v>360.98200399665637</v>
      </c>
      <c r="AH95" s="148">
        <f t="shared" ref="AH95:BM95" si="197">365/(AH94/AH93)</f>
        <v>393.62983580780747</v>
      </c>
      <c r="AI95" s="148">
        <f t="shared" si="197"/>
        <v>386.07336377378095</v>
      </c>
      <c r="AJ95" s="435">
        <f t="shared" si="197"/>
        <v>386.07336377378095</v>
      </c>
      <c r="AK95" s="148">
        <f t="shared" si="197"/>
        <v>386.92616097999638</v>
      </c>
      <c r="AL95" s="148">
        <f t="shared" si="197"/>
        <v>356.33033559481237</v>
      </c>
      <c r="AM95" s="148">
        <f t="shared" si="197"/>
        <v>353.90196944104576</v>
      </c>
      <c r="AN95" s="148">
        <f t="shared" si="197"/>
        <v>364.10776169977225</v>
      </c>
      <c r="AO95" s="435">
        <f t="shared" si="197"/>
        <v>364.10776169977225</v>
      </c>
      <c r="AP95" s="148">
        <f t="shared" si="197"/>
        <v>340.80289103024046</v>
      </c>
      <c r="AQ95" s="148">
        <f t="shared" si="197"/>
        <v>313.066630006232</v>
      </c>
      <c r="AR95" s="148">
        <f t="shared" si="197"/>
        <v>295.62667648962224</v>
      </c>
      <c r="AS95" s="148">
        <f t="shared" si="197"/>
        <v>245.94717368386296</v>
      </c>
      <c r="AT95" s="435">
        <f t="shared" si="197"/>
        <v>245.94717368386296</v>
      </c>
      <c r="AU95" s="148">
        <f t="shared" si="197"/>
        <v>219.98297769335733</v>
      </c>
      <c r="AV95" s="148">
        <f t="shared" si="197"/>
        <v>199.77908071410496</v>
      </c>
      <c r="AW95" s="148">
        <f t="shared" si="197"/>
        <v>188.55044442230928</v>
      </c>
      <c r="AX95" s="148">
        <f t="shared" si="197"/>
        <v>192.1628142503491</v>
      </c>
      <c r="AY95" s="435">
        <f t="shared" si="197"/>
        <v>192.1628142503491</v>
      </c>
      <c r="AZ95" s="148">
        <f t="shared" si="197"/>
        <v>194.7322206204569</v>
      </c>
      <c r="BA95" s="148">
        <f t="shared" si="197"/>
        <v>211.40809507446318</v>
      </c>
      <c r="BB95" s="148">
        <f t="shared" si="197"/>
        <v>188.58605239843689</v>
      </c>
      <c r="BC95" s="148">
        <f t="shared" si="197"/>
        <v>196.98145720789518</v>
      </c>
      <c r="BD95" s="435">
        <f t="shared" si="197"/>
        <v>196.98145720789518</v>
      </c>
      <c r="BE95" s="148">
        <f t="shared" si="197"/>
        <v>191.29506977302873</v>
      </c>
      <c r="BF95" s="148">
        <f t="shared" si="197"/>
        <v>179.058421647052</v>
      </c>
      <c r="BG95" s="148">
        <f t="shared" si="197"/>
        <v>182.19225641840589</v>
      </c>
      <c r="BH95" s="148">
        <f t="shared" si="197"/>
        <v>177.79372814706755</v>
      </c>
      <c r="BI95" s="435">
        <f t="shared" si="197"/>
        <v>177.79372814706755</v>
      </c>
      <c r="BJ95" s="148">
        <f t="shared" si="197"/>
        <v>174.71189556449579</v>
      </c>
      <c r="BK95" s="148">
        <f t="shared" si="197"/>
        <v>179.38411387710624</v>
      </c>
      <c r="BL95" s="148">
        <f t="shared" si="197"/>
        <v>184.69982766349852</v>
      </c>
      <c r="BM95" s="148">
        <f t="shared" si="197"/>
        <v>182.69290938502058</v>
      </c>
      <c r="BN95" s="435">
        <f t="shared" ref="BN95:CS95" si="198">365/(BN94/BN93)</f>
        <v>182.69290938502058</v>
      </c>
      <c r="BO95" s="148">
        <f t="shared" si="198"/>
        <v>178.09243349598992</v>
      </c>
      <c r="BP95" s="148">
        <f t="shared" si="198"/>
        <v>184.79520153869282</v>
      </c>
      <c r="BQ95" s="148">
        <f t="shared" si="198"/>
        <v>197.4497698779582</v>
      </c>
      <c r="BR95" s="148">
        <f t="shared" si="198"/>
        <v>201.66809245095598</v>
      </c>
      <c r="BS95" s="435">
        <f t="shared" si="198"/>
        <v>201.66809245095598</v>
      </c>
      <c r="BT95" s="148">
        <f t="shared" si="198"/>
        <v>202.80948609822039</v>
      </c>
      <c r="BU95" s="148">
        <f t="shared" si="198"/>
        <v>215.41070362841427</v>
      </c>
      <c r="BV95" s="148">
        <f t="shared" si="198"/>
        <v>219.66059570550863</v>
      </c>
      <c r="BW95" s="148">
        <f t="shared" si="198"/>
        <v>218.87564953585931</v>
      </c>
      <c r="BX95" s="435">
        <f t="shared" si="198"/>
        <v>218.87564953585931</v>
      </c>
      <c r="BY95" s="148">
        <f t="shared" si="198"/>
        <v>213.96460029277981</v>
      </c>
      <c r="BZ95" s="148">
        <f>365/(BZ94/BZ93)</f>
        <v>224.60602650552119</v>
      </c>
      <c r="CA95" s="148">
        <f>365/(CA94/CA93)</f>
        <v>133.24481542893699</v>
      </c>
      <c r="CB95" s="148">
        <f t="shared" ref="CB95" si="199">365/(CB94/CB93)</f>
        <v>236.82776791708042</v>
      </c>
      <c r="CC95" s="435">
        <f t="shared" si="198"/>
        <v>236.82776791708042</v>
      </c>
      <c r="CD95" s="148">
        <f t="shared" ref="CD95" si="200">365/(CD94/CD93)</f>
        <v>242.59958815402584</v>
      </c>
      <c r="CE95" s="148">
        <f>365/(CE94/CE93)</f>
        <v>241.29131810206854</v>
      </c>
      <c r="CF95" s="148">
        <f t="shared" si="198"/>
        <v>240.63941846178602</v>
      </c>
      <c r="CG95" s="148">
        <f t="shared" si="198"/>
        <v>260.90340132496436</v>
      </c>
      <c r="CH95" s="435">
        <f t="shared" si="198"/>
        <v>260.90340132496436</v>
      </c>
      <c r="CI95" s="148">
        <f t="shared" si="198"/>
        <v>261.91834922737377</v>
      </c>
      <c r="CJ95" s="148">
        <f t="shared" si="198"/>
        <v>258.34371147085477</v>
      </c>
      <c r="CK95" s="148">
        <f t="shared" si="198"/>
        <v>256.50548769691494</v>
      </c>
      <c r="CL95" s="148">
        <f t="shared" si="198"/>
        <v>254.47496119820232</v>
      </c>
      <c r="CM95" s="435">
        <f t="shared" si="198"/>
        <v>254.47496119820232</v>
      </c>
      <c r="CN95" s="148">
        <f t="shared" si="198"/>
        <v>257.87429615176785</v>
      </c>
      <c r="CO95" s="148">
        <f t="shared" si="198"/>
        <v>255.87935744038478</v>
      </c>
      <c r="CP95" s="148">
        <f t="shared" si="198"/>
        <v>255.09208449301079</v>
      </c>
      <c r="CQ95" s="148">
        <f t="shared" si="198"/>
        <v>249.93499482327613</v>
      </c>
      <c r="CR95" s="435">
        <f t="shared" si="198"/>
        <v>249.93499482327613</v>
      </c>
      <c r="CS95" s="148">
        <f t="shared" si="198"/>
        <v>249.21965536072221</v>
      </c>
      <c r="CT95" s="148">
        <f t="shared" ref="CT95:DB95" si="201">365/(CT94/CT93)</f>
        <v>246.63403936471727</v>
      </c>
      <c r="CU95" s="148">
        <f t="shared" si="201"/>
        <v>244.44782942037875</v>
      </c>
      <c r="CV95" s="148">
        <f t="shared" si="201"/>
        <v>243.18067468025021</v>
      </c>
      <c r="CW95" s="435">
        <f t="shared" si="201"/>
        <v>243.18067468025021</v>
      </c>
      <c r="CX95" s="148">
        <f t="shared" si="201"/>
        <v>247.1849973422128</v>
      </c>
      <c r="CY95" s="148">
        <f t="shared" si="201"/>
        <v>245.26846616258561</v>
      </c>
      <c r="CZ95" s="148">
        <f t="shared" si="201"/>
        <v>244.31000050452965</v>
      </c>
      <c r="DA95" s="148">
        <f t="shared" si="201"/>
        <v>244.85560280235367</v>
      </c>
      <c r="DB95" s="435">
        <f t="shared" si="201"/>
        <v>244.85560280235367</v>
      </c>
    </row>
    <row r="96" spans="1:106" s="58" customFormat="1" ht="11.5" customHeight="1" outlineLevel="1" x14ac:dyDescent="0.35">
      <c r="A96" s="16" t="s">
        <v>235</v>
      </c>
      <c r="B96" s="99"/>
      <c r="C96" s="99">
        <f>-(C93-B93)</f>
        <v>-308508</v>
      </c>
      <c r="D96" s="99">
        <f>-(D93-C93)</f>
        <v>-300138</v>
      </c>
      <c r="E96" s="99">
        <f>-(E93-D93)</f>
        <v>-169735</v>
      </c>
      <c r="F96" s="100"/>
      <c r="G96" s="99">
        <f>-(G93-F93)</f>
        <v>-129704</v>
      </c>
      <c r="H96" s="99">
        <f>-(H93-G93)</f>
        <v>-73647</v>
      </c>
      <c r="I96" s="99">
        <f>-(I93-H93)</f>
        <v>-27204</v>
      </c>
      <c r="J96" s="99">
        <f>-(J93-I93)</f>
        <v>-173429</v>
      </c>
      <c r="K96" s="100">
        <f>-(+K93-F93)</f>
        <v>-403984</v>
      </c>
      <c r="L96" s="99">
        <f>-(L93-K93)</f>
        <v>-157549</v>
      </c>
      <c r="M96" s="99">
        <f>-(M93-L93)</f>
        <v>63883</v>
      </c>
      <c r="N96" s="99">
        <f>-(N93-M93)</f>
        <v>69670</v>
      </c>
      <c r="O96" s="99">
        <f>-(O93-N93)</f>
        <v>532414</v>
      </c>
      <c r="P96" s="100">
        <f>-(+P93-K93)</f>
        <v>508418</v>
      </c>
      <c r="Q96" s="99">
        <f>-(Q93-P93)</f>
        <v>191911</v>
      </c>
      <c r="R96" s="99">
        <f>-(R93-Q93)</f>
        <v>-37274</v>
      </c>
      <c r="S96" s="99">
        <f>-(S93-R93)</f>
        <v>-72488</v>
      </c>
      <c r="T96" s="99">
        <f>-(T93-S93)</f>
        <v>196143</v>
      </c>
      <c r="U96" s="100">
        <f>-(+U93-P93)</f>
        <v>278292</v>
      </c>
      <c r="V96" s="99">
        <f>-(V93-U93)</f>
        <v>239643</v>
      </c>
      <c r="W96" s="99">
        <f>-(W93-V93)</f>
        <v>29925</v>
      </c>
      <c r="X96" s="99">
        <f>-(X93-W93)</f>
        <v>277513</v>
      </c>
      <c r="Y96" s="99">
        <f>-(Y93-X93)</f>
        <v>145291</v>
      </c>
      <c r="Z96" s="100">
        <f>-(+Z93-U93)</f>
        <v>692372</v>
      </c>
      <c r="AA96" s="99">
        <f>-(AA93-Z93)</f>
        <v>433260</v>
      </c>
      <c r="AB96" s="99">
        <f>-(AB93-AA93)</f>
        <v>339699</v>
      </c>
      <c r="AC96" s="99">
        <f>-(AC93-AB93)</f>
        <v>131145</v>
      </c>
      <c r="AD96" s="99">
        <f>-(AD93-AC93)</f>
        <v>179590</v>
      </c>
      <c r="AE96" s="100">
        <f>-(+AE93-Z93)</f>
        <v>1083694</v>
      </c>
      <c r="AF96" s="99">
        <f>-(AF93-AE93)</f>
        <v>-87384</v>
      </c>
      <c r="AG96" s="99">
        <f>-(AG93-AF93)</f>
        <v>353500</v>
      </c>
      <c r="AH96" s="99">
        <f>-(AH93-AG93)</f>
        <v>13674</v>
      </c>
      <c r="AI96" s="99">
        <f>-(AI93-AH93)</f>
        <v>186710</v>
      </c>
      <c r="AJ96" s="100">
        <f>-(+AJ93-AE93)</f>
        <v>466500</v>
      </c>
      <c r="AK96" s="99">
        <f>-(AK93-AJ93)</f>
        <v>117961</v>
      </c>
      <c r="AL96" s="99">
        <f>-(AL93-AK93)</f>
        <v>322629</v>
      </c>
      <c r="AM96" s="99">
        <f>-(AM93-AL93)</f>
        <v>240109</v>
      </c>
      <c r="AN96" s="99">
        <f>-(AN93-AM93)</f>
        <v>31859</v>
      </c>
      <c r="AO96" s="100">
        <f>-(+AO93-AJ93)</f>
        <v>712558</v>
      </c>
      <c r="AP96" s="99">
        <f>-(AP93-AO93)</f>
        <v>396455</v>
      </c>
      <c r="AQ96" s="99">
        <f>-(AQ93-AP93)</f>
        <v>129242</v>
      </c>
      <c r="AR96" s="99">
        <f>-(AR93-AQ93)</f>
        <v>16438</v>
      </c>
      <c r="AS96" s="99">
        <f>-(AS93-AR93)</f>
        <v>176283</v>
      </c>
      <c r="AT96" s="100">
        <f>-(+AT93-AO93)</f>
        <v>718418</v>
      </c>
      <c r="AU96" s="99">
        <f>-(AU93-AT93)</f>
        <v>-20647</v>
      </c>
      <c r="AV96" s="99">
        <f>-(AV93-AU93)</f>
        <v>18276</v>
      </c>
      <c r="AW96" s="99">
        <f>-(AW93-AV93)</f>
        <v>1220</v>
      </c>
      <c r="AX96" s="99">
        <f>-(AX93-AW93)</f>
        <v>-119507</v>
      </c>
      <c r="AY96" s="100">
        <f>-(+AY93-AT93)</f>
        <v>-120658</v>
      </c>
      <c r="AZ96" s="99">
        <f>-(AZ93-AY93)</f>
        <v>5130</v>
      </c>
      <c r="BA96" s="99">
        <f>-(BA93-AZ93)</f>
        <v>-120126</v>
      </c>
      <c r="BB96" s="99">
        <f>-(BB93-BA93)</f>
        <v>117633</v>
      </c>
      <c r="BC96" s="99">
        <f>-(BC93-BB93)</f>
        <v>3283</v>
      </c>
      <c r="BD96" s="100">
        <f>-(+BD93-AY93)</f>
        <v>5920</v>
      </c>
      <c r="BE96" s="99">
        <f>-(BE93-BD93)</f>
        <v>-65677</v>
      </c>
      <c r="BF96" s="99">
        <f>-(BF93-BE93)</f>
        <v>-32168</v>
      </c>
      <c r="BG96" s="99">
        <f>-(BG93-BF93)</f>
        <v>-100141</v>
      </c>
      <c r="BH96" s="99">
        <f>-(BH93-BG93)</f>
        <v>-72104</v>
      </c>
      <c r="BI96" s="100">
        <f>-(+BI93-BD93)</f>
        <v>-270090</v>
      </c>
      <c r="BJ96" s="99">
        <f>-(BJ93-BI93)</f>
        <v>-68646</v>
      </c>
      <c r="BK96" s="99">
        <f>-(BK93-BJ93)</f>
        <v>-97694</v>
      </c>
      <c r="BL96" s="99">
        <f>-(BL93-BK93)</f>
        <v>-211370</v>
      </c>
      <c r="BM96" s="99">
        <f>-(BM93-BL93)</f>
        <v>2346</v>
      </c>
      <c r="BN96" s="100">
        <f>-(+BN93-BI93)</f>
        <v>-375364</v>
      </c>
      <c r="BO96" s="99">
        <f>-(BO93-BN93)</f>
        <v>42955</v>
      </c>
      <c r="BP96" s="99">
        <f>-(BP93-BO93)</f>
        <v>-294235</v>
      </c>
      <c r="BQ96" s="99">
        <f>-(BQ93-BP93)</f>
        <v>-238606</v>
      </c>
      <c r="BR96" s="99">
        <f>-(BR93-BQ93)</f>
        <v>-255818</v>
      </c>
      <c r="BS96" s="100">
        <f>-(+BS93-BN93)</f>
        <v>-745704</v>
      </c>
      <c r="BT96" s="99">
        <f>-(BT93-BS93)</f>
        <v>-180403</v>
      </c>
      <c r="BU96" s="99">
        <f>-(BU93-BT93)</f>
        <v>-357942</v>
      </c>
      <c r="BV96" s="99">
        <f>-(BV93-BU93)</f>
        <v>-321709</v>
      </c>
      <c r="BW96" s="99">
        <f>-(BW93-BV93)</f>
        <v>-461933</v>
      </c>
      <c r="BX96" s="100">
        <f>-(+BX93-BS93)</f>
        <v>-1321987</v>
      </c>
      <c r="BY96" s="99">
        <f>-(BY93-BX93)</f>
        <v>-115482</v>
      </c>
      <c r="BZ96" s="99">
        <f>-(BZ93-BY93)</f>
        <v>-397318</v>
      </c>
      <c r="CA96" s="99">
        <f>-(CA93-BZ93)</f>
        <v>-79549</v>
      </c>
      <c r="CB96" s="99">
        <f>-(CB93-CA93)</f>
        <v>-745322</v>
      </c>
      <c r="CC96" s="100">
        <f>-(+CC93-BX93)</f>
        <v>-1337671</v>
      </c>
      <c r="CD96" s="99">
        <f>-(CD93-CC93)</f>
        <v>-197063</v>
      </c>
      <c r="CE96" s="99">
        <f>-(CE93-CD93)</f>
        <v>-213034</v>
      </c>
      <c r="CF96" s="99">
        <f>-(CF93-CE93)</f>
        <v>-330875.96637403034</v>
      </c>
      <c r="CG96" s="99">
        <f>-(CG93-CF93)</f>
        <v>-309203.06554348208</v>
      </c>
      <c r="CH96" s="100">
        <f>-(+CH93-CC93)</f>
        <v>-1050176.0319175124</v>
      </c>
      <c r="CI96" s="99">
        <f>-(CI93-CH93)</f>
        <v>-508484.503927527</v>
      </c>
      <c r="CJ96" s="99">
        <f>-(CJ93-CI93)</f>
        <v>-83853.868209296837</v>
      </c>
      <c r="CK96" s="99">
        <f>-(CK93-CJ93)</f>
        <v>-106332.49665383622</v>
      </c>
      <c r="CL96" s="99">
        <f>-(CL93-CK93)</f>
        <v>-66472.79512688145</v>
      </c>
      <c r="CM96" s="100">
        <f>-(+CM93-CH93)</f>
        <v>-765143.6639175415</v>
      </c>
      <c r="CN96" s="99">
        <f>-(CN93-CM93)</f>
        <v>-342059.85345060006</v>
      </c>
      <c r="CO96" s="99">
        <f>-(CO93-CN93)</f>
        <v>-157291.26113213226</v>
      </c>
      <c r="CP96" s="99">
        <f>-(CP93-CO93)</f>
        <v>-184679.13244119473</v>
      </c>
      <c r="CQ96" s="99">
        <f>-(CQ93-CP93)</f>
        <v>-71384.23845949024</v>
      </c>
      <c r="CR96" s="100">
        <f>-(+CR93-CM93)</f>
        <v>-755414.48548341729</v>
      </c>
      <c r="CS96" s="99">
        <f>-(CS93-CR93)</f>
        <v>-174262.81327702664</v>
      </c>
      <c r="CT96" s="99">
        <f>-(CT93-CS93)</f>
        <v>-93818.868825234473</v>
      </c>
      <c r="CU96" s="99">
        <f>-(CU93-CT93)</f>
        <v>-97211.947449184954</v>
      </c>
      <c r="CV96" s="99">
        <f>-(CV93-CU93)</f>
        <v>-126339.82427256182</v>
      </c>
      <c r="CW96" s="100">
        <f>-(+CW93-CR93)</f>
        <v>-491633.45382400788</v>
      </c>
      <c r="CX96" s="99">
        <f>-(CX93-CW93)</f>
        <v>-322327.2306465432</v>
      </c>
      <c r="CY96" s="99">
        <f>-(CY93-CX93)</f>
        <v>-89947.433124506846</v>
      </c>
      <c r="CZ96" s="99">
        <f>-(CZ93-CY93)</f>
        <v>-124375.94095461629</v>
      </c>
      <c r="DA96" s="99">
        <f>-(DA93-CZ93)</f>
        <v>-184210.54590990022</v>
      </c>
      <c r="DB96" s="100">
        <f>-(+DB93-CW93)</f>
        <v>-720861.15063556656</v>
      </c>
    </row>
    <row r="97" spans="1:106" ht="11.5" customHeight="1" x14ac:dyDescent="0.35">
      <c r="A97" s="19" t="s">
        <v>238</v>
      </c>
      <c r="B97" s="97">
        <f t="shared" ref="B97:AG97" si="202">B9</f>
        <v>1439667</v>
      </c>
      <c r="C97" s="97">
        <f t="shared" si="202"/>
        <v>1428778</v>
      </c>
      <c r="D97" s="97">
        <f t="shared" si="202"/>
        <v>1426802</v>
      </c>
      <c r="E97" s="97">
        <f t="shared" si="202"/>
        <v>1846372</v>
      </c>
      <c r="F97" s="98">
        <f t="shared" si="202"/>
        <v>1846372</v>
      </c>
      <c r="G97" s="97">
        <f t="shared" si="202"/>
        <v>1741147</v>
      </c>
      <c r="H97" s="97">
        <f t="shared" si="202"/>
        <v>1551166</v>
      </c>
      <c r="I97" s="97">
        <f t="shared" si="202"/>
        <v>1604872</v>
      </c>
      <c r="J97" s="97">
        <f t="shared" si="202"/>
        <v>1663146</v>
      </c>
      <c r="K97" s="98">
        <f t="shared" si="202"/>
        <v>1663146</v>
      </c>
      <c r="L97" s="97">
        <f t="shared" si="202"/>
        <v>1748878</v>
      </c>
      <c r="M97" s="97">
        <f t="shared" si="202"/>
        <v>1931387</v>
      </c>
      <c r="N97" s="97">
        <f t="shared" si="202"/>
        <v>2075907</v>
      </c>
      <c r="O97" s="97">
        <f t="shared" si="202"/>
        <v>1911404</v>
      </c>
      <c r="P97" s="98">
        <f t="shared" si="202"/>
        <v>1911404</v>
      </c>
      <c r="Q97" s="97">
        <f t="shared" si="202"/>
        <v>1786248</v>
      </c>
      <c r="R97" s="97">
        <f t="shared" si="202"/>
        <v>1932176</v>
      </c>
      <c r="S97" s="97">
        <f t="shared" si="202"/>
        <v>1745546</v>
      </c>
      <c r="T97" s="97">
        <f t="shared" si="202"/>
        <v>1654683</v>
      </c>
      <c r="U97" s="98">
        <f t="shared" si="202"/>
        <v>1654683</v>
      </c>
      <c r="V97" s="97">
        <f t="shared" si="202"/>
        <v>1300719</v>
      </c>
      <c r="W97" s="97">
        <f t="shared" si="202"/>
        <v>1652546</v>
      </c>
      <c r="X97" s="97">
        <f t="shared" si="202"/>
        <v>1405542</v>
      </c>
      <c r="Y97" s="97">
        <f t="shared" si="202"/>
        <v>1636784</v>
      </c>
      <c r="Z97" s="98">
        <f t="shared" si="202"/>
        <v>1636784</v>
      </c>
      <c r="AA97" s="97">
        <f t="shared" si="202"/>
        <v>1381832</v>
      </c>
      <c r="AB97" s="97">
        <f t="shared" si="202"/>
        <v>1515432</v>
      </c>
      <c r="AC97" s="97">
        <f t="shared" si="202"/>
        <v>1341530</v>
      </c>
      <c r="AD97" s="97">
        <f t="shared" si="202"/>
        <v>1157511</v>
      </c>
      <c r="AE97" s="98">
        <f t="shared" si="202"/>
        <v>1157511</v>
      </c>
      <c r="AF97" s="97">
        <f t="shared" si="202"/>
        <v>1377289</v>
      </c>
      <c r="AG97" s="97">
        <f t="shared" si="202"/>
        <v>1139154</v>
      </c>
      <c r="AH97" s="97">
        <f t="shared" ref="AH97:BM97" si="203">AH9</f>
        <v>1098911</v>
      </c>
      <c r="AI97" s="97">
        <f t="shared" si="203"/>
        <v>1286697</v>
      </c>
      <c r="AJ97" s="98">
        <f t="shared" si="203"/>
        <v>1286697</v>
      </c>
      <c r="AK97" s="97">
        <f t="shared" si="203"/>
        <v>1319140</v>
      </c>
      <c r="AL97" s="97">
        <f t="shared" si="203"/>
        <v>946290</v>
      </c>
      <c r="AM97" s="97">
        <f t="shared" si="203"/>
        <v>947733</v>
      </c>
      <c r="AN97" s="97">
        <f t="shared" si="203"/>
        <v>1399075</v>
      </c>
      <c r="AO97" s="98">
        <f t="shared" si="203"/>
        <v>1399075</v>
      </c>
      <c r="AP97" s="97">
        <f t="shared" si="203"/>
        <v>1377969</v>
      </c>
      <c r="AQ97" s="97">
        <f t="shared" si="203"/>
        <v>1150196</v>
      </c>
      <c r="AR97" s="97">
        <f t="shared" si="203"/>
        <v>1159383</v>
      </c>
      <c r="AS97" s="97">
        <f t="shared" si="203"/>
        <v>1056548</v>
      </c>
      <c r="AT97" s="98">
        <f t="shared" si="203"/>
        <v>1056548</v>
      </c>
      <c r="AU97" s="97">
        <f t="shared" si="203"/>
        <v>1061417</v>
      </c>
      <c r="AV97" s="97">
        <f t="shared" si="203"/>
        <v>916544</v>
      </c>
      <c r="AW97" s="97">
        <f t="shared" si="203"/>
        <v>932038</v>
      </c>
      <c r="AX97" s="97">
        <f t="shared" si="203"/>
        <v>1102434</v>
      </c>
      <c r="AY97" s="98">
        <f t="shared" si="203"/>
        <v>1102434</v>
      </c>
      <c r="AZ97" s="97">
        <f t="shared" si="203"/>
        <v>933180</v>
      </c>
      <c r="BA97" s="97">
        <f t="shared" si="203"/>
        <v>933180</v>
      </c>
      <c r="BB97" s="97">
        <f t="shared" si="203"/>
        <v>845884</v>
      </c>
      <c r="BC97" s="97">
        <f t="shared" si="203"/>
        <v>829785</v>
      </c>
      <c r="BD97" s="98">
        <f t="shared" si="203"/>
        <v>829785</v>
      </c>
      <c r="BE97" s="97">
        <f t="shared" si="203"/>
        <v>705213</v>
      </c>
      <c r="BF97" s="97">
        <f t="shared" si="203"/>
        <v>815309</v>
      </c>
      <c r="BG97" s="97">
        <f t="shared" si="203"/>
        <v>824961</v>
      </c>
      <c r="BH97" s="97">
        <f t="shared" si="203"/>
        <v>906394</v>
      </c>
      <c r="BI97" s="98">
        <f t="shared" si="203"/>
        <v>906394</v>
      </c>
      <c r="BJ97" s="97">
        <f t="shared" si="203"/>
        <v>899144</v>
      </c>
      <c r="BK97" s="97">
        <f t="shared" si="203"/>
        <v>765406</v>
      </c>
      <c r="BL97" s="97">
        <f t="shared" si="203"/>
        <v>843303</v>
      </c>
      <c r="BM97" s="97">
        <f t="shared" si="203"/>
        <v>831133</v>
      </c>
      <c r="BN97" s="98">
        <f t="shared" ref="BN97:CS97" si="204">BN9</f>
        <v>831133</v>
      </c>
      <c r="BO97" s="97">
        <f t="shared" si="204"/>
        <v>811131</v>
      </c>
      <c r="BP97" s="97">
        <f t="shared" si="204"/>
        <v>790261</v>
      </c>
      <c r="BQ97" s="97">
        <f t="shared" si="204"/>
        <v>917701</v>
      </c>
      <c r="BR97" s="97">
        <f t="shared" si="204"/>
        <v>1146874</v>
      </c>
      <c r="BS97" s="98">
        <f t="shared" si="204"/>
        <v>1146874</v>
      </c>
      <c r="BT97" s="97">
        <f t="shared" si="204"/>
        <v>941999</v>
      </c>
      <c r="BU97" s="97">
        <f t="shared" si="204"/>
        <v>966961</v>
      </c>
      <c r="BV97" s="97">
        <f t="shared" si="204"/>
        <v>931511</v>
      </c>
      <c r="BW97" s="97">
        <f t="shared" si="204"/>
        <v>1190631</v>
      </c>
      <c r="BX97" s="98">
        <f t="shared" si="204"/>
        <v>1190631</v>
      </c>
      <c r="BY97" s="97">
        <f t="shared" si="204"/>
        <v>978133</v>
      </c>
      <c r="BZ97" s="97">
        <f>BZ9</f>
        <v>1018027</v>
      </c>
      <c r="CA97" s="97">
        <f>CA9</f>
        <v>1146549</v>
      </c>
      <c r="CB97" s="97">
        <f t="shared" ref="CB97" si="205">CB9</f>
        <v>1505006</v>
      </c>
      <c r="CC97" s="98">
        <f t="shared" si="204"/>
        <v>1505006</v>
      </c>
      <c r="CD97" s="97">
        <f t="shared" ref="CD97" si="206">CD9</f>
        <v>1349794</v>
      </c>
      <c r="CE97" s="97">
        <f>CE9</f>
        <v>1563246</v>
      </c>
      <c r="CF97" s="97">
        <f t="shared" si="204"/>
        <v>1371397.1961320513</v>
      </c>
      <c r="CG97" s="97">
        <f t="shared" si="204"/>
        <v>1397834.4480056507</v>
      </c>
      <c r="CH97" s="98">
        <f t="shared" si="204"/>
        <v>1397834.4480056507</v>
      </c>
      <c r="CI97" s="97">
        <f t="shared" si="204"/>
        <v>1520974.3042724961</v>
      </c>
      <c r="CJ97" s="97">
        <f t="shared" si="204"/>
        <v>1601668.5724875056</v>
      </c>
      <c r="CK97" s="97">
        <f t="shared" si="204"/>
        <v>1732184.7958517701</v>
      </c>
      <c r="CL97" s="97">
        <f t="shared" si="204"/>
        <v>1853298.197798904</v>
      </c>
      <c r="CM97" s="98">
        <f t="shared" si="204"/>
        <v>1853298.197798904</v>
      </c>
      <c r="CN97" s="97">
        <f t="shared" si="204"/>
        <v>1936606.5731805605</v>
      </c>
      <c r="CO97" s="97">
        <f t="shared" si="204"/>
        <v>2087808.863313739</v>
      </c>
      <c r="CP97" s="97">
        <f t="shared" si="204"/>
        <v>2197970.9305134118</v>
      </c>
      <c r="CQ97" s="97">
        <f t="shared" si="204"/>
        <v>2169581.8746136357</v>
      </c>
      <c r="CR97" s="98">
        <f t="shared" si="204"/>
        <v>2169581.8746136357</v>
      </c>
      <c r="CS97" s="97">
        <f t="shared" si="204"/>
        <v>2105165.6594850956</v>
      </c>
      <c r="CT97" s="97">
        <f t="shared" ref="CT97:DB97" si="207">CT9</f>
        <v>2055900.6450799648</v>
      </c>
      <c r="CU97" s="97">
        <f t="shared" si="207"/>
        <v>2015867.8330720072</v>
      </c>
      <c r="CV97" s="97">
        <f t="shared" si="207"/>
        <v>2006841.6186533244</v>
      </c>
      <c r="CW97" s="98">
        <f t="shared" si="207"/>
        <v>2006841.6186533244</v>
      </c>
      <c r="CX97" s="97">
        <f t="shared" si="207"/>
        <v>2005415.701214374</v>
      </c>
      <c r="CY97" s="97">
        <f t="shared" si="207"/>
        <v>1965295.2041581385</v>
      </c>
      <c r="CZ97" s="97">
        <f t="shared" si="207"/>
        <v>1960489.4520055084</v>
      </c>
      <c r="DA97" s="97">
        <f t="shared" si="207"/>
        <v>2015272.4630896803</v>
      </c>
      <c r="DB97" s="98">
        <f t="shared" si="207"/>
        <v>2015272.4630896803</v>
      </c>
    </row>
    <row r="98" spans="1:106" s="91" customFormat="1" ht="11.5" customHeight="1" x14ac:dyDescent="0.35">
      <c r="A98" s="163" t="s">
        <v>236</v>
      </c>
      <c r="B98" s="433">
        <f t="shared" ref="B98:AG98" si="208">365/(B$94/B97)</f>
        <v>116.004985438625</v>
      </c>
      <c r="C98" s="433">
        <f t="shared" si="208"/>
        <v>108.12092243134425</v>
      </c>
      <c r="D98" s="433">
        <f t="shared" si="208"/>
        <v>111.99156551680832</v>
      </c>
      <c r="E98" s="433">
        <f t="shared" si="208"/>
        <v>137.81417372428609</v>
      </c>
      <c r="F98" s="434">
        <f t="shared" si="208"/>
        <v>137.81417372428609</v>
      </c>
      <c r="G98" s="433">
        <f t="shared" si="208"/>
        <v>128.17013213337611</v>
      </c>
      <c r="H98" s="433">
        <f t="shared" si="208"/>
        <v>110.24852943696442</v>
      </c>
      <c r="I98" s="433">
        <f t="shared" si="208"/>
        <v>105.87947114695507</v>
      </c>
      <c r="J98" s="433">
        <f t="shared" si="208"/>
        <v>99.0811145363283</v>
      </c>
      <c r="K98" s="434">
        <f t="shared" si="208"/>
        <v>99.0811145363283</v>
      </c>
      <c r="L98" s="433">
        <f t="shared" si="208"/>
        <v>99.859562523015683</v>
      </c>
      <c r="M98" s="433">
        <f t="shared" si="208"/>
        <v>110.23965633742998</v>
      </c>
      <c r="N98" s="433">
        <f t="shared" si="208"/>
        <v>122.50484348623654</v>
      </c>
      <c r="O98" s="433">
        <f t="shared" si="208"/>
        <v>123.85979389203609</v>
      </c>
      <c r="P98" s="434">
        <f t="shared" si="208"/>
        <v>123.85979389203609</v>
      </c>
      <c r="Q98" s="433">
        <f t="shared" si="208"/>
        <v>121.1475543257101</v>
      </c>
      <c r="R98" s="433">
        <f t="shared" si="208"/>
        <v>131.35823569315062</v>
      </c>
      <c r="S98" s="433">
        <f t="shared" si="208"/>
        <v>117.69483747426274</v>
      </c>
      <c r="T98" s="433">
        <f t="shared" si="208"/>
        <v>112.42973970761085</v>
      </c>
      <c r="U98" s="434">
        <f t="shared" si="208"/>
        <v>112.42973970761085</v>
      </c>
      <c r="V98" s="433">
        <f t="shared" si="208"/>
        <v>86.764138757581037</v>
      </c>
      <c r="W98" s="433">
        <f t="shared" si="208"/>
        <v>110.51721155794675</v>
      </c>
      <c r="X98" s="433">
        <f t="shared" si="208"/>
        <v>90.368109474066927</v>
      </c>
      <c r="Y98" s="433">
        <f t="shared" si="208"/>
        <v>102.68711862489853</v>
      </c>
      <c r="Z98" s="434">
        <f t="shared" si="208"/>
        <v>102.68711862489853</v>
      </c>
      <c r="AA98" s="433">
        <f t="shared" si="208"/>
        <v>91.077791295030011</v>
      </c>
      <c r="AB98" s="433">
        <f t="shared" si="208"/>
        <v>104.02840930569512</v>
      </c>
      <c r="AC98" s="433">
        <f t="shared" si="208"/>
        <v>101.14469276835673</v>
      </c>
      <c r="AD98" s="433">
        <f t="shared" si="208"/>
        <v>97.321724902699358</v>
      </c>
      <c r="AE98" s="434">
        <f t="shared" si="208"/>
        <v>97.321724902699358</v>
      </c>
      <c r="AF98" s="433">
        <f t="shared" si="208"/>
        <v>122.11563042610105</v>
      </c>
      <c r="AG98" s="433">
        <f t="shared" si="208"/>
        <v>114.85862532479048</v>
      </c>
      <c r="AH98" s="433">
        <f t="shared" ref="AH98:BM98" si="209">365/(AH$94/AH97)</f>
        <v>121.28526957152792</v>
      </c>
      <c r="AI98" s="433">
        <f t="shared" si="209"/>
        <v>146.97929308893347</v>
      </c>
      <c r="AJ98" s="434">
        <f t="shared" si="209"/>
        <v>146.97929308893347</v>
      </c>
      <c r="AK98" s="433">
        <f t="shared" si="209"/>
        <v>156.47952821441464</v>
      </c>
      <c r="AL98" s="433">
        <f t="shared" si="209"/>
        <v>114.7222386450523</v>
      </c>
      <c r="AM98" s="433">
        <f t="shared" si="209"/>
        <v>124.26566079948732</v>
      </c>
      <c r="AN98" s="433">
        <f t="shared" si="209"/>
        <v>190.9896419662125</v>
      </c>
      <c r="AO98" s="434">
        <f t="shared" si="209"/>
        <v>190.9896419662125</v>
      </c>
      <c r="AP98" s="433">
        <f t="shared" si="209"/>
        <v>206.80824463765492</v>
      </c>
      <c r="AQ98" s="433">
        <f t="shared" si="209"/>
        <v>168.14464824406397</v>
      </c>
      <c r="AR98" s="433">
        <f t="shared" si="209"/>
        <v>161.2840357407197</v>
      </c>
      <c r="AS98" s="433">
        <f t="shared" si="209"/>
        <v>133.33993279064725</v>
      </c>
      <c r="AT98" s="434">
        <f t="shared" si="209"/>
        <v>133.33993279064725</v>
      </c>
      <c r="AU98" s="433">
        <f t="shared" si="209"/>
        <v>118.55702403871018</v>
      </c>
      <c r="AV98" s="433">
        <f t="shared" si="209"/>
        <v>93.843551517116822</v>
      </c>
      <c r="AW98" s="433">
        <f t="shared" si="209"/>
        <v>90.122642649070627</v>
      </c>
      <c r="AX98" s="433">
        <f t="shared" si="209"/>
        <v>102.36747113772358</v>
      </c>
      <c r="AY98" s="434">
        <f t="shared" si="209"/>
        <v>102.36747113772358</v>
      </c>
      <c r="AZ98" s="433">
        <f t="shared" si="209"/>
        <v>88.028067821350504</v>
      </c>
      <c r="BA98" s="433">
        <f t="shared" si="209"/>
        <v>90.311062253813304</v>
      </c>
      <c r="BB98" s="433">
        <f t="shared" si="209"/>
        <v>77.18166664666802</v>
      </c>
      <c r="BC98" s="433">
        <f t="shared" si="209"/>
        <v>79.209101612680513</v>
      </c>
      <c r="BD98" s="434">
        <f t="shared" si="209"/>
        <v>79.209101612680513</v>
      </c>
      <c r="BE98" s="433">
        <f t="shared" si="209"/>
        <v>63.357977617199317</v>
      </c>
      <c r="BF98" s="433">
        <f t="shared" si="209"/>
        <v>67.543263735495543</v>
      </c>
      <c r="BG98" s="433">
        <f t="shared" si="209"/>
        <v>66.459804401949356</v>
      </c>
      <c r="BH98" s="433">
        <f t="shared" si="209"/>
        <v>69.055592211208364</v>
      </c>
      <c r="BI98" s="434">
        <f t="shared" si="209"/>
        <v>69.055592211208364</v>
      </c>
      <c r="BJ98" s="433">
        <f t="shared" si="209"/>
        <v>65.392251820322699</v>
      </c>
      <c r="BK98" s="433">
        <f t="shared" si="209"/>
        <v>54.92102232103101</v>
      </c>
      <c r="BL98" s="433">
        <f t="shared" si="209"/>
        <v>57.446544703536055</v>
      </c>
      <c r="BM98" s="433">
        <f t="shared" si="209"/>
        <v>56.050814857652803</v>
      </c>
      <c r="BN98" s="434">
        <f t="shared" ref="BN98:CS98" si="210">365/(BN$94/BN97)</f>
        <v>56.050814857652803</v>
      </c>
      <c r="BO98" s="433">
        <f t="shared" si="210"/>
        <v>54.183579123909311</v>
      </c>
      <c r="BP98" s="433">
        <f t="shared" si="210"/>
        <v>49.331835538693845</v>
      </c>
      <c r="BQ98" s="433">
        <f t="shared" si="210"/>
        <v>56.644531286992354</v>
      </c>
      <c r="BR98" s="433">
        <f t="shared" si="210"/>
        <v>66.948530546568776</v>
      </c>
      <c r="BS98" s="434">
        <f t="shared" si="210"/>
        <v>66.948530546568776</v>
      </c>
      <c r="BT98" s="433">
        <f t="shared" si="210"/>
        <v>52.555787944820871</v>
      </c>
      <c r="BU98" s="433">
        <f t="shared" si="210"/>
        <v>52.163980977790963</v>
      </c>
      <c r="BV98" s="433">
        <f t="shared" si="210"/>
        <v>47.422330936656607</v>
      </c>
      <c r="BW98" s="433">
        <f t="shared" si="210"/>
        <v>54.55653234221576</v>
      </c>
      <c r="BX98" s="434">
        <f t="shared" si="210"/>
        <v>54.55653234221576</v>
      </c>
      <c r="BY98" s="433">
        <f t="shared" si="210"/>
        <v>42.77965929269125</v>
      </c>
      <c r="BZ98" s="433">
        <f>365/(BZ$94/BZ97)</f>
        <v>43.228101441239751</v>
      </c>
      <c r="CA98" s="433">
        <f>365/(CA$94/CA97)</f>
        <v>28.454152372121143</v>
      </c>
      <c r="CB98" s="433">
        <f t="shared" ref="CB98" si="211">365/(CB$94/CB97)</f>
        <v>58.293366558094057</v>
      </c>
      <c r="CC98" s="434">
        <f t="shared" si="210"/>
        <v>58.293366558094057</v>
      </c>
      <c r="CD98" s="433">
        <f t="shared" ref="CD98" si="212">365/(CD$94/CD97)</f>
        <v>51.883537144856831</v>
      </c>
      <c r="CE98" s="433">
        <f>365/(CE$94/CE97)</f>
        <v>57.812797253444032</v>
      </c>
      <c r="CF98" s="433">
        <f t="shared" si="210"/>
        <v>48.139418461785993</v>
      </c>
      <c r="CG98" s="433">
        <f t="shared" si="210"/>
        <v>50.903401324964406</v>
      </c>
      <c r="CH98" s="434">
        <f t="shared" si="210"/>
        <v>50.903401324964406</v>
      </c>
      <c r="CI98" s="433">
        <f t="shared" si="210"/>
        <v>51.918349227373746</v>
      </c>
      <c r="CJ98" s="433">
        <f t="shared" si="210"/>
        <v>53.343711470854792</v>
      </c>
      <c r="CK98" s="433">
        <f t="shared" si="210"/>
        <v>56.505487696914948</v>
      </c>
      <c r="CL98" s="433">
        <f t="shared" si="210"/>
        <v>59.474961198202287</v>
      </c>
      <c r="CM98" s="434">
        <f t="shared" si="210"/>
        <v>59.474961198202287</v>
      </c>
      <c r="CN98" s="433">
        <f t="shared" si="210"/>
        <v>60.374296151767822</v>
      </c>
      <c r="CO98" s="433">
        <f t="shared" si="210"/>
        <v>63.379357440384794</v>
      </c>
      <c r="CP98" s="433">
        <f t="shared" si="210"/>
        <v>65.092084493010788</v>
      </c>
      <c r="CQ98" s="433">
        <f t="shared" si="210"/>
        <v>62.434994823276149</v>
      </c>
      <c r="CR98" s="434">
        <f t="shared" si="210"/>
        <v>62.434994823276149</v>
      </c>
      <c r="CS98" s="433">
        <f t="shared" si="210"/>
        <v>59.21965536072225</v>
      </c>
      <c r="CT98" s="433">
        <f t="shared" ref="CT98:DB98" si="213">365/(CT$94/CT97)</f>
        <v>56.634039364717239</v>
      </c>
      <c r="CU98" s="433">
        <f t="shared" si="213"/>
        <v>54.447829420378753</v>
      </c>
      <c r="CV98" s="433">
        <f t="shared" si="213"/>
        <v>53.180674680250206</v>
      </c>
      <c r="CW98" s="434">
        <f t="shared" si="213"/>
        <v>53.180674680250206</v>
      </c>
      <c r="CX98" s="433">
        <f t="shared" si="213"/>
        <v>52.184997342212768</v>
      </c>
      <c r="CY98" s="433">
        <f t="shared" si="213"/>
        <v>50.268466162585632</v>
      </c>
      <c r="CZ98" s="433">
        <f t="shared" si="213"/>
        <v>49.310000504529661</v>
      </c>
      <c r="DA98" s="433">
        <f t="shared" si="213"/>
        <v>49.855602802353623</v>
      </c>
      <c r="DB98" s="434">
        <f t="shared" si="213"/>
        <v>49.855602802353623</v>
      </c>
    </row>
    <row r="99" spans="1:106" ht="11.5" customHeight="1" x14ac:dyDescent="0.35">
      <c r="A99" s="19" t="s">
        <v>237</v>
      </c>
      <c r="B99" s="97">
        <f t="shared" ref="B99:AG99" si="214">B10</f>
        <v>3787036</v>
      </c>
      <c r="C99" s="97">
        <f t="shared" si="214"/>
        <v>4106433</v>
      </c>
      <c r="D99" s="97">
        <f t="shared" si="214"/>
        <v>4408547</v>
      </c>
      <c r="E99" s="97">
        <f t="shared" si="214"/>
        <v>4158712</v>
      </c>
      <c r="F99" s="98">
        <f t="shared" si="214"/>
        <v>4158712</v>
      </c>
      <c r="G99" s="97">
        <f t="shared" si="214"/>
        <v>4393641</v>
      </c>
      <c r="H99" s="97">
        <f t="shared" si="214"/>
        <v>4657269</v>
      </c>
      <c r="I99" s="97">
        <f t="shared" si="214"/>
        <v>4630767</v>
      </c>
      <c r="J99" s="97">
        <f t="shared" si="214"/>
        <v>4745922</v>
      </c>
      <c r="K99" s="98">
        <f t="shared" si="214"/>
        <v>4745922</v>
      </c>
      <c r="L99" s="97">
        <f t="shared" si="214"/>
        <v>4817739</v>
      </c>
      <c r="M99" s="97">
        <f t="shared" si="214"/>
        <v>4571347</v>
      </c>
      <c r="N99" s="97">
        <f t="shared" si="214"/>
        <v>4357157</v>
      </c>
      <c r="O99" s="97">
        <f t="shared" si="214"/>
        <v>3989246</v>
      </c>
      <c r="P99" s="98">
        <f t="shared" si="214"/>
        <v>3989246</v>
      </c>
      <c r="Q99" s="97">
        <f t="shared" si="214"/>
        <v>3922491</v>
      </c>
      <c r="R99" s="97">
        <f t="shared" si="214"/>
        <v>3813837</v>
      </c>
      <c r="S99" s="97">
        <f t="shared" si="214"/>
        <v>4072955</v>
      </c>
      <c r="T99" s="97">
        <f t="shared" si="214"/>
        <v>3967675</v>
      </c>
      <c r="U99" s="98">
        <f t="shared" si="214"/>
        <v>3967675</v>
      </c>
      <c r="V99" s="97">
        <f t="shared" si="214"/>
        <v>4081996</v>
      </c>
      <c r="W99" s="97">
        <f t="shared" si="214"/>
        <v>3700244</v>
      </c>
      <c r="X99" s="97">
        <f t="shared" si="214"/>
        <v>3669735</v>
      </c>
      <c r="Y99" s="97">
        <f t="shared" si="214"/>
        <v>3293202</v>
      </c>
      <c r="Z99" s="98">
        <f t="shared" si="214"/>
        <v>3293202</v>
      </c>
      <c r="AA99" s="97">
        <f t="shared" si="214"/>
        <v>3114894</v>
      </c>
      <c r="AB99" s="97">
        <f t="shared" si="214"/>
        <v>2641595</v>
      </c>
      <c r="AC99" s="97">
        <f t="shared" si="214"/>
        <v>2684352</v>
      </c>
      <c r="AD99" s="97">
        <f t="shared" si="214"/>
        <v>2688781</v>
      </c>
      <c r="AE99" s="98">
        <f t="shared" si="214"/>
        <v>2688781</v>
      </c>
      <c r="AF99" s="97">
        <f t="shared" si="214"/>
        <v>2556387</v>
      </c>
      <c r="AG99" s="97">
        <f t="shared" si="214"/>
        <v>2441022</v>
      </c>
      <c r="AH99" s="97">
        <f t="shared" ref="AH99:BM99" si="215">AH10</f>
        <v>2467591</v>
      </c>
      <c r="AI99" s="97">
        <f t="shared" si="215"/>
        <v>2093095</v>
      </c>
      <c r="AJ99" s="98">
        <f t="shared" si="215"/>
        <v>2093095</v>
      </c>
      <c r="AK99" s="97">
        <f t="shared" si="215"/>
        <v>1942691</v>
      </c>
      <c r="AL99" s="97">
        <f t="shared" si="215"/>
        <v>1992912</v>
      </c>
      <c r="AM99" s="97">
        <f t="shared" si="215"/>
        <v>1751360</v>
      </c>
      <c r="AN99" s="97">
        <f t="shared" si="215"/>
        <v>1268159</v>
      </c>
      <c r="AO99" s="98">
        <f t="shared" si="215"/>
        <v>1268159</v>
      </c>
      <c r="AP99" s="97">
        <f t="shared" si="215"/>
        <v>892810</v>
      </c>
      <c r="AQ99" s="97">
        <f t="shared" si="215"/>
        <v>991341</v>
      </c>
      <c r="AR99" s="97">
        <f t="shared" si="215"/>
        <v>965716</v>
      </c>
      <c r="AS99" s="97">
        <f t="shared" si="215"/>
        <v>892268</v>
      </c>
      <c r="AT99" s="98">
        <f t="shared" si="215"/>
        <v>892268</v>
      </c>
      <c r="AU99" s="97">
        <f t="shared" si="215"/>
        <v>908046</v>
      </c>
      <c r="AV99" s="97">
        <f t="shared" si="215"/>
        <v>1034643</v>
      </c>
      <c r="AW99" s="97">
        <f t="shared" si="215"/>
        <v>1017929</v>
      </c>
      <c r="AX99" s="97">
        <f t="shared" si="215"/>
        <v>967040</v>
      </c>
      <c r="AY99" s="98">
        <f t="shared" si="215"/>
        <v>967040</v>
      </c>
      <c r="AZ99" s="97">
        <f t="shared" si="215"/>
        <v>1131164</v>
      </c>
      <c r="BA99" s="97">
        <f t="shared" si="215"/>
        <v>1251290</v>
      </c>
      <c r="BB99" s="97">
        <f t="shared" si="215"/>
        <v>1220953</v>
      </c>
      <c r="BC99" s="97">
        <f t="shared" si="215"/>
        <v>1233769</v>
      </c>
      <c r="BD99" s="98">
        <f t="shared" si="215"/>
        <v>1233769</v>
      </c>
      <c r="BE99" s="97">
        <f t="shared" si="215"/>
        <v>1424018</v>
      </c>
      <c r="BF99" s="97">
        <f t="shared" si="215"/>
        <v>1346090</v>
      </c>
      <c r="BG99" s="97">
        <f t="shared" si="215"/>
        <v>1436579</v>
      </c>
      <c r="BH99" s="97">
        <f t="shared" si="215"/>
        <v>1427250</v>
      </c>
      <c r="BI99" s="98">
        <f t="shared" si="215"/>
        <v>1427250</v>
      </c>
      <c r="BJ99" s="97">
        <f t="shared" si="215"/>
        <v>1503146</v>
      </c>
      <c r="BK99" s="97">
        <f t="shared" si="215"/>
        <v>1734578</v>
      </c>
      <c r="BL99" s="97">
        <f t="shared" si="215"/>
        <v>1868051</v>
      </c>
      <c r="BM99" s="97">
        <f t="shared" si="215"/>
        <v>1877875</v>
      </c>
      <c r="BN99" s="98">
        <f t="shared" ref="BN99:BY99" si="216">BN10</f>
        <v>1877875</v>
      </c>
      <c r="BO99" s="97">
        <f t="shared" si="216"/>
        <v>1854922</v>
      </c>
      <c r="BP99" s="97">
        <f t="shared" si="216"/>
        <v>2170027</v>
      </c>
      <c r="BQ99" s="97">
        <f t="shared" si="216"/>
        <v>2281193</v>
      </c>
      <c r="BR99" s="97">
        <f t="shared" si="216"/>
        <v>2307838</v>
      </c>
      <c r="BS99" s="98">
        <f t="shared" si="216"/>
        <v>2307838</v>
      </c>
      <c r="BT99" s="97">
        <f t="shared" si="216"/>
        <v>2693116</v>
      </c>
      <c r="BU99" s="97">
        <f t="shared" si="216"/>
        <v>3026096</v>
      </c>
      <c r="BV99" s="97">
        <f t="shared" si="216"/>
        <v>3383255</v>
      </c>
      <c r="BW99" s="97">
        <f t="shared" si="216"/>
        <v>3586068</v>
      </c>
      <c r="BX99" s="98">
        <f t="shared" si="216"/>
        <v>3586068</v>
      </c>
      <c r="BY99" s="97">
        <f t="shared" si="216"/>
        <v>3914048</v>
      </c>
      <c r="BZ99" s="97">
        <f>BZ10</f>
        <v>4271472</v>
      </c>
      <c r="CA99" s="97">
        <f>CA10</f>
        <v>4222499</v>
      </c>
      <c r="CB99" s="97">
        <f t="shared" ref="CB99" si="217">CB10</f>
        <v>4609364</v>
      </c>
      <c r="CC99" s="98">
        <f>CC10</f>
        <v>4609364</v>
      </c>
      <c r="CD99" s="97">
        <f t="shared" ref="CD99" si="218">CD10</f>
        <v>4961639</v>
      </c>
      <c r="CE99" s="97">
        <f>CE10</f>
        <v>4961221</v>
      </c>
      <c r="CF99" s="97">
        <f>CF100*CF94/365</f>
        <v>5483945.7702419786</v>
      </c>
      <c r="CG99" s="97">
        <f>CG100*CG94/365</f>
        <v>5766711.5839118622</v>
      </c>
      <c r="CH99" s="98">
        <f>CH10</f>
        <v>5766711.5839118622</v>
      </c>
      <c r="CI99" s="97">
        <f>CI100*CI94/365</f>
        <v>6152056.2315725433</v>
      </c>
      <c r="CJ99" s="97">
        <f>CJ100*CJ94/365</f>
        <v>6155215.8315668311</v>
      </c>
      <c r="CK99" s="97">
        <f>CK100*CK94/365</f>
        <v>6131032.1048564026</v>
      </c>
      <c r="CL99" s="97">
        <f>CL100*CL94/365</f>
        <v>6076391.4980361499</v>
      </c>
      <c r="CM99" s="98">
        <f>CM10</f>
        <v>6076391.4980361499</v>
      </c>
      <c r="CN99" s="97">
        <f>CN100*CN94/365</f>
        <v>6335142.976105093</v>
      </c>
      <c r="CO99" s="97">
        <f>CO100*CO94/365</f>
        <v>6341231.947104048</v>
      </c>
      <c r="CP99" s="97">
        <f>CP100*CP94/365</f>
        <v>6415749.0123455692</v>
      </c>
      <c r="CQ99" s="97">
        <f>CQ100*CQ94/365</f>
        <v>6515522.306704836</v>
      </c>
      <c r="CR99" s="98">
        <f>CR10</f>
        <v>6515522.306704836</v>
      </c>
      <c r="CS99" s="97">
        <f>CS100*CS94/365</f>
        <v>6754201.3351104027</v>
      </c>
      <c r="CT99" s="97">
        <f>CT100*CT94/365</f>
        <v>6897285.2183407666</v>
      </c>
      <c r="CU99" s="97">
        <f>CU100*CU94/365</f>
        <v>7034529.9777979106</v>
      </c>
      <c r="CV99" s="97">
        <f>CV100*CV94/365</f>
        <v>7169896.0164891556</v>
      </c>
      <c r="CW99" s="98">
        <f>CW10</f>
        <v>7169896.0164891556</v>
      </c>
      <c r="CX99" s="97">
        <f>CX100*CX94/365</f>
        <v>7493649.1645746483</v>
      </c>
      <c r="CY99" s="97">
        <f>CY100*CY94/365</f>
        <v>7623717.0947553907</v>
      </c>
      <c r="CZ99" s="97">
        <f>CZ100*CZ94/365</f>
        <v>7752898.787862638</v>
      </c>
      <c r="DA99" s="97">
        <f>DA100*DA94/365</f>
        <v>7882326.3226883644</v>
      </c>
      <c r="DB99" s="98">
        <f>DB10</f>
        <v>7882326.3226883644</v>
      </c>
    </row>
    <row r="100" spans="1:106" s="91" customFormat="1" ht="11.5" customHeight="1" x14ac:dyDescent="0.35">
      <c r="A100" s="438" t="s">
        <v>239</v>
      </c>
      <c r="B100" s="436">
        <f t="shared" ref="B100:AG100" si="219">365/(B$94/B99)</f>
        <v>305.15046606996526</v>
      </c>
      <c r="C100" s="436">
        <f t="shared" si="219"/>
        <v>310.74899239945762</v>
      </c>
      <c r="D100" s="436">
        <f t="shared" si="219"/>
        <v>346.03265217208047</v>
      </c>
      <c r="E100" s="436">
        <f t="shared" si="219"/>
        <v>310.40844317248809</v>
      </c>
      <c r="F100" s="437">
        <f t="shared" si="219"/>
        <v>310.40844317248809</v>
      </c>
      <c r="G100" s="436">
        <f t="shared" si="219"/>
        <v>323.42676839842864</v>
      </c>
      <c r="H100" s="436">
        <f t="shared" si="219"/>
        <v>331.01361069180336</v>
      </c>
      <c r="I100" s="436">
        <f t="shared" si="219"/>
        <v>305.50920008871213</v>
      </c>
      <c r="J100" s="436">
        <f t="shared" si="219"/>
        <v>282.73599627602158</v>
      </c>
      <c r="K100" s="437">
        <f t="shared" si="219"/>
        <v>282.73599627602158</v>
      </c>
      <c r="L100" s="436">
        <f t="shared" si="219"/>
        <v>275.08911936113958</v>
      </c>
      <c r="M100" s="436">
        <f t="shared" si="219"/>
        <v>260.92322371391208</v>
      </c>
      <c r="N100" s="436">
        <f t="shared" si="219"/>
        <v>257.1275285116144</v>
      </c>
      <c r="O100" s="436">
        <f t="shared" si="219"/>
        <v>258.50484112444542</v>
      </c>
      <c r="P100" s="437">
        <f t="shared" si="219"/>
        <v>258.50484112444542</v>
      </c>
      <c r="Q100" s="436">
        <f t="shared" si="219"/>
        <v>266.03259542606008</v>
      </c>
      <c r="R100" s="436">
        <f t="shared" si="219"/>
        <v>259.28222871066532</v>
      </c>
      <c r="S100" s="436">
        <f t="shared" si="219"/>
        <v>274.6222538764294</v>
      </c>
      <c r="T100" s="436">
        <f t="shared" si="219"/>
        <v>269.58920076799899</v>
      </c>
      <c r="U100" s="437">
        <f t="shared" si="219"/>
        <v>269.58920076799899</v>
      </c>
      <c r="V100" s="436">
        <f t="shared" si="219"/>
        <v>272.28853222862955</v>
      </c>
      <c r="W100" s="436">
        <f t="shared" si="219"/>
        <v>247.46097776644228</v>
      </c>
      <c r="X100" s="436">
        <f t="shared" si="219"/>
        <v>235.94244371268519</v>
      </c>
      <c r="Y100" s="436">
        <f t="shared" si="219"/>
        <v>206.60601791669094</v>
      </c>
      <c r="Z100" s="437">
        <f t="shared" si="219"/>
        <v>206.60601791669094</v>
      </c>
      <c r="AA100" s="436">
        <f t="shared" si="219"/>
        <v>205.30546813081563</v>
      </c>
      <c r="AB100" s="436">
        <f t="shared" si="219"/>
        <v>181.33504233768176</v>
      </c>
      <c r="AC100" s="436">
        <f t="shared" si="219"/>
        <v>202.3867959137134</v>
      </c>
      <c r="AD100" s="436">
        <f t="shared" si="219"/>
        <v>226.06852531475283</v>
      </c>
      <c r="AE100" s="437">
        <f t="shared" si="219"/>
        <v>226.06852531475283</v>
      </c>
      <c r="AF100" s="436">
        <f t="shared" si="219"/>
        <v>226.65890028751352</v>
      </c>
      <c r="AG100" s="436">
        <f t="shared" si="219"/>
        <v>246.12337867186591</v>
      </c>
      <c r="AH100" s="436">
        <f t="shared" ref="AH100:BM100" si="220">365/(AH$94/AH99)</f>
        <v>272.34456623627949</v>
      </c>
      <c r="AI100" s="436">
        <f t="shared" si="220"/>
        <v>239.09407068484748</v>
      </c>
      <c r="AJ100" s="437">
        <f t="shared" si="220"/>
        <v>239.09407068484748</v>
      </c>
      <c r="AK100" s="436">
        <f t="shared" si="220"/>
        <v>230.44663276558171</v>
      </c>
      <c r="AL100" s="436">
        <f t="shared" si="220"/>
        <v>241.6080969497601</v>
      </c>
      <c r="AM100" s="436">
        <f t="shared" si="220"/>
        <v>229.63630864155843</v>
      </c>
      <c r="AN100" s="436">
        <f t="shared" si="220"/>
        <v>173.11811973355975</v>
      </c>
      <c r="AO100" s="437">
        <f t="shared" si="220"/>
        <v>173.11811973355975</v>
      </c>
      <c r="AP100" s="436">
        <f t="shared" si="220"/>
        <v>133.99464639258554</v>
      </c>
      <c r="AQ100" s="436">
        <f t="shared" si="220"/>
        <v>144.92198176216803</v>
      </c>
      <c r="AR100" s="436">
        <f t="shared" si="220"/>
        <v>134.34264074890254</v>
      </c>
      <c r="AS100" s="436">
        <f t="shared" si="220"/>
        <v>112.60724089321569</v>
      </c>
      <c r="AT100" s="437">
        <f t="shared" si="220"/>
        <v>112.60724089321569</v>
      </c>
      <c r="AU100" s="436">
        <f t="shared" si="220"/>
        <v>101.42595365464716</v>
      </c>
      <c r="AV100" s="436">
        <f t="shared" si="220"/>
        <v>105.93552919698814</v>
      </c>
      <c r="AW100" s="436">
        <f t="shared" si="220"/>
        <v>98.427801773238656</v>
      </c>
      <c r="AX100" s="436">
        <f t="shared" si="220"/>
        <v>89.795343112625531</v>
      </c>
      <c r="AY100" s="437">
        <f t="shared" si="220"/>
        <v>89.795343112625531</v>
      </c>
      <c r="AZ100" s="436">
        <f t="shared" si="220"/>
        <v>106.70415279910641</v>
      </c>
      <c r="BA100" s="436">
        <f t="shared" si="220"/>
        <v>121.09703282064989</v>
      </c>
      <c r="BB100" s="436">
        <f t="shared" si="220"/>
        <v>111.40438575176888</v>
      </c>
      <c r="BC100" s="436">
        <f t="shared" si="220"/>
        <v>117.77235559521468</v>
      </c>
      <c r="BD100" s="437">
        <f t="shared" si="220"/>
        <v>117.77235559521468</v>
      </c>
      <c r="BE100" s="436">
        <f t="shared" si="220"/>
        <v>127.93709215582943</v>
      </c>
      <c r="BF100" s="436">
        <f t="shared" si="220"/>
        <v>111.51515791155644</v>
      </c>
      <c r="BG100" s="436">
        <f t="shared" si="220"/>
        <v>115.73245201645655</v>
      </c>
      <c r="BH100" s="436">
        <f t="shared" si="220"/>
        <v>108.73813593585918</v>
      </c>
      <c r="BI100" s="437">
        <f t="shared" si="220"/>
        <v>108.73813593585918</v>
      </c>
      <c r="BJ100" s="436">
        <f t="shared" si="220"/>
        <v>109.31964374417311</v>
      </c>
      <c r="BK100" s="436">
        <f t="shared" si="220"/>
        <v>124.46309155607524</v>
      </c>
      <c r="BL100" s="436">
        <f t="shared" si="220"/>
        <v>127.25328295996246</v>
      </c>
      <c r="BM100" s="436">
        <f t="shared" si="220"/>
        <v>126.64209452736779</v>
      </c>
      <c r="BN100" s="437">
        <f t="shared" ref="BN100:BY100" si="221">365/(BN$94/BN99)</f>
        <v>126.64209452736779</v>
      </c>
      <c r="BO100" s="436">
        <f t="shared" si="221"/>
        <v>123.90885437208058</v>
      </c>
      <c r="BP100" s="436">
        <f t="shared" si="221"/>
        <v>135.46336599999898</v>
      </c>
      <c r="BQ100" s="436">
        <f t="shared" si="221"/>
        <v>140.80523859096584</v>
      </c>
      <c r="BR100" s="436">
        <f t="shared" si="221"/>
        <v>134.71956190438721</v>
      </c>
      <c r="BS100" s="437">
        <f t="shared" si="221"/>
        <v>134.71956190438721</v>
      </c>
      <c r="BT100" s="436">
        <f t="shared" si="221"/>
        <v>150.25369815339954</v>
      </c>
      <c r="BU100" s="436">
        <f t="shared" si="221"/>
        <v>163.2467226506233</v>
      </c>
      <c r="BV100" s="436">
        <f t="shared" si="221"/>
        <v>172.23826476885205</v>
      </c>
      <c r="BW100" s="436">
        <f t="shared" si="221"/>
        <v>164.31911719364354</v>
      </c>
      <c r="BX100" s="437">
        <f t="shared" si="221"/>
        <v>164.31911719364354</v>
      </c>
      <c r="BY100" s="436">
        <f t="shared" si="221"/>
        <v>171.18494100008857</v>
      </c>
      <c r="BZ100" s="436">
        <f>365/(BZ$94/BZ99)</f>
        <v>181.37792506428141</v>
      </c>
      <c r="CA100" s="436">
        <f>365/(CA$94/CA99)</f>
        <v>104.79066305681584</v>
      </c>
      <c r="CB100" s="436">
        <f t="shared" ref="CB100" si="222">365/(CB$94/CB99)</f>
        <v>178.53440135898637</v>
      </c>
      <c r="CC100" s="437">
        <f>365/(CC$94/CC99)</f>
        <v>178.53440135898637</v>
      </c>
      <c r="CD100" s="436">
        <f t="shared" ref="CD100" si="223">365/(CD$94/CD99)</f>
        <v>190.71605100916904</v>
      </c>
      <c r="CE100" s="436">
        <f>365/(CE$94/CE99)</f>
        <v>183.47852084862453</v>
      </c>
      <c r="CF100" s="759">
        <v>192.5</v>
      </c>
      <c r="CG100" s="759">
        <v>210</v>
      </c>
      <c r="CH100" s="437">
        <f>365/(CH$94/CH99)</f>
        <v>210.00000000000003</v>
      </c>
      <c r="CI100" s="759">
        <v>210</v>
      </c>
      <c r="CJ100" s="759">
        <v>205</v>
      </c>
      <c r="CK100" s="759">
        <v>200</v>
      </c>
      <c r="CL100" s="759">
        <v>195</v>
      </c>
      <c r="CM100" s="437">
        <f>365/(CM$94/CM99)</f>
        <v>195.00000000000003</v>
      </c>
      <c r="CN100" s="759">
        <v>197.5</v>
      </c>
      <c r="CO100" s="759">
        <v>192.5</v>
      </c>
      <c r="CP100" s="759">
        <v>190</v>
      </c>
      <c r="CQ100" s="759">
        <v>187.5</v>
      </c>
      <c r="CR100" s="437">
        <f>365/(CR$94/CR99)</f>
        <v>187.5</v>
      </c>
      <c r="CS100" s="759">
        <v>190</v>
      </c>
      <c r="CT100" s="502">
        <f>CS100</f>
        <v>190</v>
      </c>
      <c r="CU100" s="502">
        <f>CT100</f>
        <v>190</v>
      </c>
      <c r="CV100" s="502">
        <f>CU100</f>
        <v>190</v>
      </c>
      <c r="CW100" s="437">
        <f>365/(CW$94/CW99)</f>
        <v>190</v>
      </c>
      <c r="CX100" s="759">
        <v>195</v>
      </c>
      <c r="CY100" s="502">
        <f t="shared" ref="CY100:DA100" si="224">CX100</f>
        <v>195</v>
      </c>
      <c r="CZ100" s="502">
        <f t="shared" si="224"/>
        <v>195</v>
      </c>
      <c r="DA100" s="502">
        <f t="shared" si="224"/>
        <v>195</v>
      </c>
      <c r="DB100" s="437">
        <f t="shared" ref="DB100" si="225">365/(DB$94/DB99)</f>
        <v>195.00000000000003</v>
      </c>
    </row>
    <row r="101" spans="1:106" ht="11.5" customHeight="1" x14ac:dyDescent="0.35">
      <c r="A101" s="16" t="s">
        <v>26</v>
      </c>
      <c r="B101" s="95">
        <f t="shared" ref="B101:AG101" si="226">B12</f>
        <v>3252784</v>
      </c>
      <c r="C101" s="95">
        <f t="shared" si="226"/>
        <v>3507131</v>
      </c>
      <c r="D101" s="95">
        <f t="shared" si="226"/>
        <v>3605562</v>
      </c>
      <c r="E101" s="95">
        <f t="shared" si="226"/>
        <v>3829315</v>
      </c>
      <c r="F101" s="96">
        <f t="shared" si="226"/>
        <v>3829315</v>
      </c>
      <c r="G101" s="95">
        <f t="shared" si="226"/>
        <v>3937522</v>
      </c>
      <c r="H101" s="95">
        <f t="shared" si="226"/>
        <v>4002142</v>
      </c>
      <c r="I101" s="95">
        <f t="shared" si="226"/>
        <v>4321598</v>
      </c>
      <c r="J101" s="95">
        <f t="shared" si="226"/>
        <v>3924028</v>
      </c>
      <c r="K101" s="96">
        <f t="shared" si="226"/>
        <v>3924028</v>
      </c>
      <c r="L101" s="95">
        <f t="shared" si="226"/>
        <v>3786501</v>
      </c>
      <c r="M101" s="95">
        <f t="shared" si="226"/>
        <v>3967465</v>
      </c>
      <c r="N101" s="95">
        <f t="shared" si="226"/>
        <v>4019502</v>
      </c>
      <c r="O101" s="95">
        <f t="shared" si="226"/>
        <v>3784244</v>
      </c>
      <c r="P101" s="96">
        <f t="shared" si="226"/>
        <v>3784244</v>
      </c>
      <c r="Q101" s="95">
        <f t="shared" si="226"/>
        <v>3828932</v>
      </c>
      <c r="R101" s="95">
        <f t="shared" si="226"/>
        <v>4020093</v>
      </c>
      <c r="S101" s="95">
        <f t="shared" si="226"/>
        <v>4243762</v>
      </c>
      <c r="T101" s="95">
        <f t="shared" si="226"/>
        <v>4780612</v>
      </c>
      <c r="U101" s="96">
        <f t="shared" si="226"/>
        <v>4780612</v>
      </c>
      <c r="V101" s="95">
        <f t="shared" si="226"/>
        <v>4687658</v>
      </c>
      <c r="W101" s="95">
        <f t="shared" si="226"/>
        <v>4692966</v>
      </c>
      <c r="X101" s="95">
        <f t="shared" si="226"/>
        <v>5079653</v>
      </c>
      <c r="Y101" s="95">
        <f t="shared" si="226"/>
        <v>5112949</v>
      </c>
      <c r="Z101" s="96">
        <f t="shared" si="226"/>
        <v>5112949</v>
      </c>
      <c r="AA101" s="95">
        <f t="shared" si="226"/>
        <v>5203216</v>
      </c>
      <c r="AB101" s="95">
        <f t="shared" si="226"/>
        <v>5300504</v>
      </c>
      <c r="AC101" s="95">
        <f t="shared" si="226"/>
        <v>5272654</v>
      </c>
      <c r="AD101" s="95">
        <f t="shared" si="226"/>
        <v>5093614</v>
      </c>
      <c r="AE101" s="96">
        <f t="shared" si="226"/>
        <v>5093614</v>
      </c>
      <c r="AF101" s="95">
        <f t="shared" si="226"/>
        <v>5040556</v>
      </c>
      <c r="AG101" s="95">
        <f t="shared" si="226"/>
        <v>5275596</v>
      </c>
      <c r="AH101" s="95">
        <f t="shared" ref="AH101:BM101" si="227">AH12</f>
        <v>5333674</v>
      </c>
      <c r="AI101" s="95">
        <f t="shared" si="227"/>
        <v>5071860</v>
      </c>
      <c r="AJ101" s="96">
        <f t="shared" si="227"/>
        <v>5071860</v>
      </c>
      <c r="AK101" s="95">
        <f t="shared" si="227"/>
        <v>4996311</v>
      </c>
      <c r="AL101" s="95">
        <f t="shared" si="227"/>
        <v>5109951</v>
      </c>
      <c r="AM101" s="95">
        <f t="shared" si="227"/>
        <v>5072721</v>
      </c>
      <c r="AN101" s="95">
        <f t="shared" si="227"/>
        <v>4749755</v>
      </c>
      <c r="AO101" s="96">
        <f t="shared" si="227"/>
        <v>4749755</v>
      </c>
      <c r="AP101" s="95">
        <f t="shared" si="227"/>
        <v>4569552</v>
      </c>
      <c r="AQ101" s="95">
        <f t="shared" si="227"/>
        <v>4683707</v>
      </c>
      <c r="AR101" s="95">
        <f t="shared" si="227"/>
        <v>4685408</v>
      </c>
      <c r="AS101" s="95">
        <f t="shared" si="227"/>
        <v>4716922</v>
      </c>
      <c r="AT101" s="96">
        <f t="shared" si="227"/>
        <v>4716922</v>
      </c>
      <c r="AU101" s="95">
        <f t="shared" si="227"/>
        <v>4788447</v>
      </c>
      <c r="AV101" s="95">
        <f t="shared" si="227"/>
        <v>4768032</v>
      </c>
      <c r="AW101" s="95">
        <f t="shared" si="227"/>
        <v>4649554</v>
      </c>
      <c r="AX101" s="95">
        <f t="shared" si="227"/>
        <v>4633748</v>
      </c>
      <c r="AY101" s="96">
        <f t="shared" si="227"/>
        <v>4633748</v>
      </c>
      <c r="AZ101" s="95">
        <f t="shared" si="227"/>
        <v>4869644</v>
      </c>
      <c r="BA101" s="95">
        <f t="shared" si="227"/>
        <v>5004233</v>
      </c>
      <c r="BB101" s="95">
        <f t="shared" si="227"/>
        <v>3895852</v>
      </c>
      <c r="BC101" s="95">
        <f t="shared" si="227"/>
        <v>4041587</v>
      </c>
      <c r="BD101" s="96">
        <f t="shared" si="227"/>
        <v>4041587</v>
      </c>
      <c r="BE101" s="95">
        <f t="shared" si="227"/>
        <v>4055034</v>
      </c>
      <c r="BF101" s="95">
        <f t="shared" si="227"/>
        <v>4402802</v>
      </c>
      <c r="BG101" s="95">
        <f t="shared" si="227"/>
        <v>4781690</v>
      </c>
      <c r="BH101" s="95">
        <f t="shared" si="227"/>
        <v>4985284</v>
      </c>
      <c r="BI101" s="96">
        <f t="shared" si="227"/>
        <v>4985284</v>
      </c>
      <c r="BJ101" s="95">
        <f t="shared" si="227"/>
        <v>5241849</v>
      </c>
      <c r="BK101" s="95">
        <f t="shared" si="227"/>
        <v>5127490</v>
      </c>
      <c r="BL101" s="95">
        <f t="shared" si="227"/>
        <v>5416782</v>
      </c>
      <c r="BM101" s="95">
        <f t="shared" si="227"/>
        <v>5552858</v>
      </c>
      <c r="BN101" s="96">
        <f t="shared" ref="BN101:BY101" si="228">BN12</f>
        <v>5552858</v>
      </c>
      <c r="BO101" s="95">
        <f t="shared" si="228"/>
        <v>5516096</v>
      </c>
      <c r="BP101" s="95">
        <f t="shared" si="228"/>
        <v>5479397</v>
      </c>
      <c r="BQ101" s="95">
        <f t="shared" si="228"/>
        <v>5414541</v>
      </c>
      <c r="BR101" s="95">
        <f t="shared" si="228"/>
        <v>5356505</v>
      </c>
      <c r="BS101" s="96">
        <f t="shared" si="228"/>
        <v>5356505</v>
      </c>
      <c r="BT101" s="95">
        <f t="shared" si="228"/>
        <v>5114601</v>
      </c>
      <c r="BU101" s="95">
        <f t="shared" si="228"/>
        <v>4935086</v>
      </c>
      <c r="BV101" s="95">
        <f t="shared" si="228"/>
        <v>5589863</v>
      </c>
      <c r="BW101" s="95">
        <f t="shared" si="228"/>
        <v>6479798</v>
      </c>
      <c r="BX101" s="96">
        <f t="shared" si="228"/>
        <v>6479798</v>
      </c>
      <c r="BY101" s="95">
        <f t="shared" si="228"/>
        <v>6831861</v>
      </c>
      <c r="BZ101" s="95">
        <f>BZ12</f>
        <v>7356502</v>
      </c>
      <c r="CA101" s="95">
        <f>CA12</f>
        <v>7601083</v>
      </c>
      <c r="CB101" s="95">
        <f t="shared" ref="CB101" si="229">CB12</f>
        <v>7830188</v>
      </c>
      <c r="CC101" s="96">
        <f>CC12</f>
        <v>7830188</v>
      </c>
      <c r="CD101" s="95">
        <f t="shared" ref="CD101" si="230">CD12</f>
        <v>8004783</v>
      </c>
      <c r="CE101" s="95">
        <f>CE12</f>
        <v>8092376</v>
      </c>
      <c r="CF101" s="95">
        <f>CF105+CF107+CF109</f>
        <v>8159213.5988638485</v>
      </c>
      <c r="CG101" s="95">
        <f>CG105+CG107+CG109</f>
        <v>8201352.4092294909</v>
      </c>
      <c r="CH101" s="96">
        <f>CH12</f>
        <v>8201352.4092294909</v>
      </c>
      <c r="CI101" s="95">
        <f>CI105+CI107+CI109</f>
        <v>8272230.5255416464</v>
      </c>
      <c r="CJ101" s="95">
        <f>CJ105+CJ107+CJ109</f>
        <v>8327374.4002366783</v>
      </c>
      <c r="CK101" s="95">
        <f>CK105+CK107+CK109</f>
        <v>8381343.0714330561</v>
      </c>
      <c r="CL101" s="95">
        <f>CL105+CL107+CL109</f>
        <v>8420414.4397963844</v>
      </c>
      <c r="CM101" s="96">
        <f>CM12</f>
        <v>8420414.4397963844</v>
      </c>
      <c r="CN101" s="95">
        <f>CN105+CN107+CN109</f>
        <v>8480406.017253764</v>
      </c>
      <c r="CO101" s="95">
        <f>CO105+CO107+CO109</f>
        <v>8573005.6269561574</v>
      </c>
      <c r="CP101" s="95">
        <f>CP105+CP107+CP109</f>
        <v>8652208.8694102652</v>
      </c>
      <c r="CQ101" s="95">
        <f>CQ105+CQ107+CQ109</f>
        <v>8671384.4645890705</v>
      </c>
      <c r="CR101" s="96">
        <f>CR12</f>
        <v>8671384.4645890705</v>
      </c>
      <c r="CS101" s="95">
        <f>CS105+CS107+CS109</f>
        <v>8704593.9840566106</v>
      </c>
      <c r="CT101" s="95">
        <f>CT105+CT107+CT109</f>
        <v>8761293.5615083855</v>
      </c>
      <c r="CU101" s="95">
        <f>CU105+CU107+CU109</f>
        <v>8803233.1663737819</v>
      </c>
      <c r="CV101" s="95">
        <f>CV105+CV107+CV109</f>
        <v>8798318.4242800102</v>
      </c>
      <c r="CW101" s="96">
        <f>CW12</f>
        <v>8798318.4242800102</v>
      </c>
      <c r="CX101" s="95">
        <f>CX105+CX107+CX109</f>
        <v>8865509.8547014091</v>
      </c>
      <c r="CY101" s="95">
        <f>CY105+CY107+CY109</f>
        <v>8816842.1475651972</v>
      </c>
      <c r="CZ101" s="95">
        <f>CZ105+CZ107+CZ109</f>
        <v>8559524.1674238183</v>
      </c>
      <c r="DA101" s="95">
        <f>DA105+DA107+DA109</f>
        <v>8011296.9832950439</v>
      </c>
      <c r="DB101" s="96">
        <f>DB12</f>
        <v>8011296.9832950439</v>
      </c>
    </row>
    <row r="102" spans="1:106" ht="11.5" customHeight="1" outlineLevel="1" x14ac:dyDescent="0.35">
      <c r="A102" s="19" t="s">
        <v>240</v>
      </c>
      <c r="B102" s="97"/>
      <c r="C102" s="97"/>
      <c r="D102" s="97"/>
      <c r="E102" s="431">
        <f>IS!B10+IS!C10+IS!D10+IS!E10</f>
        <v>-3353475</v>
      </c>
      <c r="F102" s="432">
        <f>IS!F10</f>
        <v>-3353475</v>
      </c>
      <c r="G102" s="431">
        <f>IS!G10+IS!E10+IS!D10+IS!C10</f>
        <v>-3487673</v>
      </c>
      <c r="H102" s="431">
        <f>IS!H10+IS!G10+IS!E10+IS!D10</f>
        <v>-3675267</v>
      </c>
      <c r="I102" s="431">
        <f>IS!I10+IS!H10+IS!G10+IS!E10</f>
        <v>-4035323</v>
      </c>
      <c r="J102" s="431">
        <f>IS!G10+IS!H10+IS!I10+IS!J10</f>
        <v>-4393291</v>
      </c>
      <c r="K102" s="432">
        <f>IS!K10</f>
        <v>-4393291</v>
      </c>
      <c r="L102" s="431">
        <f>IS!L10+IS!J10+IS!I10+IS!H10</f>
        <v>-4527730</v>
      </c>
      <c r="M102" s="431">
        <f>IS!M10+IS!L10+IS!J10+IS!I10</f>
        <v>-4501034</v>
      </c>
      <c r="N102" s="431">
        <f>IS!N10+IS!M10+IS!L10+IS!J10</f>
        <v>-4309059</v>
      </c>
      <c r="O102" s="431">
        <f>IS!L10+IS!M10+IS!N10+IS!O10</f>
        <v>-3813867</v>
      </c>
      <c r="P102" s="432">
        <f>IS!P10</f>
        <v>-3813867</v>
      </c>
      <c r="Q102" s="431">
        <f>IS!Q10+IS!O10+IS!N10+IS!M10</f>
        <v>-3625749</v>
      </c>
      <c r="R102" s="431">
        <f>IS!R10+IS!Q10+IS!O10+IS!N10</f>
        <v>-3576702</v>
      </c>
      <c r="S102" s="431">
        <f>IS!S10+IS!R10+IS!Q10+IS!O10</f>
        <v>-3592234</v>
      </c>
      <c r="T102" s="431">
        <f>IS!Q10+IS!R10+IS!S10+IS!T10</f>
        <v>-3612593</v>
      </c>
      <c r="U102" s="432">
        <f>IS!U10</f>
        <v>-3612593</v>
      </c>
      <c r="V102" s="431">
        <f>IS!V10+IS!T10+IS!S10+IS!R10</f>
        <v>-3671950</v>
      </c>
      <c r="W102" s="431">
        <f>IS!W10+IS!V10+IS!T10+IS!S10</f>
        <v>-3652084</v>
      </c>
      <c r="X102" s="431">
        <f>IS!X10+IS!W10+IS!V10+IS!T10</f>
        <v>-3845851</v>
      </c>
      <c r="Y102" s="431">
        <f>IS!V10+IS!W10+IS!X10+IS!Y10</f>
        <v>-3949181</v>
      </c>
      <c r="Z102" s="432">
        <f>IS!Z10</f>
        <v>-3949181</v>
      </c>
      <c r="AA102" s="431">
        <f>IS!AA10+IS!Y10+IS!X10+IS!W10</f>
        <v>-3746077</v>
      </c>
      <c r="AB102" s="431">
        <f>IS!AB10+IS!AA10+IS!Y10+IS!X10</f>
        <v>-3579925</v>
      </c>
      <c r="AC102" s="431">
        <f>IS!AC10+IS!AB10+IS!AA10+IS!Y10</f>
        <v>-3192179</v>
      </c>
      <c r="AD102" s="431">
        <f>IS!AA10+IS!AB10+IS!AC10+IS!AD10</f>
        <v>-2838105</v>
      </c>
      <c r="AE102" s="432">
        <f>IS!AE10</f>
        <v>-2838105</v>
      </c>
      <c r="AF102" s="431">
        <f>IS!AF10+IS!AD10+IS!AC10+IS!AB10</f>
        <v>-2691947</v>
      </c>
      <c r="AG102" s="431">
        <f>IS!AG10+IS!AF10+IS!AD10+IS!AC10</f>
        <v>-2340423</v>
      </c>
      <c r="AH102" s="431">
        <f>IS!AH10+IS!AG10+IS!AF10+IS!AD10</f>
        <v>-2160590</v>
      </c>
      <c r="AI102" s="431">
        <f>IS!AF10+IS!AG10+IS!AH10+IS!AI10</f>
        <v>-2132787</v>
      </c>
      <c r="AJ102" s="432">
        <f>IS!AJ10</f>
        <v>-2132787</v>
      </c>
      <c r="AK102" s="431">
        <f>IS!AK10+IS!AI10+IS!AH10+IS!AG10</f>
        <v>-2081712</v>
      </c>
      <c r="AL102" s="431">
        <f>IS!AL10+IS!AK10+IS!AI10+IS!AH10</f>
        <v>-2115776</v>
      </c>
      <c r="AM102" s="431">
        <f>IS!AM10+IS!AL10+IS!AK10+IS!AI10</f>
        <v>-2002885</v>
      </c>
      <c r="AN102" s="431">
        <f>IS!AK10+IS!AL10+IS!AM10+IS!AN10</f>
        <v>-1939257</v>
      </c>
      <c r="AO102" s="432">
        <f>IS!AO10</f>
        <v>-1939257</v>
      </c>
      <c r="AP102" s="431">
        <f>IS!AP10+IS!AN10+IS!AM10+IS!AL10</f>
        <v>-1787726</v>
      </c>
      <c r="AQ102" s="431">
        <f>IS!AQ10+IS!AP10+IS!AN10+IS!AM10</f>
        <v>-1834801</v>
      </c>
      <c r="AR102" s="431">
        <f>IS!AR10+IS!AQ10+IS!AP10+IS!AN10</f>
        <v>-1904355</v>
      </c>
      <c r="AS102" s="431">
        <f>IS!AP10+IS!AQ10+IS!AR10+IS!AS10</f>
        <v>-2077230</v>
      </c>
      <c r="AT102" s="432">
        <f>IS!AT10</f>
        <v>-2077230</v>
      </c>
      <c r="AU102" s="431">
        <f>IS!AU10+IS!AS10+IS!AR10+IS!AQ10</f>
        <v>-2328738</v>
      </c>
      <c r="AV102" s="431">
        <f>IS!AV10+IS!AU10+IS!AS10+IS!AR10</f>
        <v>-2504158</v>
      </c>
      <c r="AW102" s="431">
        <f>IS!AW10+IS!AV10+IS!AU10+IS!AS10</f>
        <v>-2629941</v>
      </c>
      <c r="AX102" s="431">
        <f>IS!AU10+IS!AV10+IS!AW10+IS!AX10</f>
        <v>-2715109</v>
      </c>
      <c r="AY102" s="432">
        <f>IS!AY10</f>
        <v>-2715109</v>
      </c>
      <c r="AZ102" s="431">
        <f>IS!AZ10+IS!AX10+IS!AW10+IS!AV10</f>
        <v>-2641662</v>
      </c>
      <c r="BA102" s="431">
        <f>IS!BA10+IS!AZ10+IS!AX10+IS!AW10</f>
        <v>-2561937</v>
      </c>
      <c r="BB102" s="431">
        <f>IS!BB10+IS!BA10+IS!AZ10+IS!AX10</f>
        <v>-2701027</v>
      </c>
      <c r="BC102" s="431">
        <f>IS!AZ10+IS!BA10+IS!BB10+IS!BC10</f>
        <v>-2573313</v>
      </c>
      <c r="BD102" s="432">
        <f>IS!BD10</f>
        <v>-2573313</v>
      </c>
      <c r="BE102" s="431">
        <f>IS!BE10+IS!BC10+IS!BB10+IS!BA10</f>
        <v>-2726605</v>
      </c>
      <c r="BF102" s="431">
        <f>IS!BF10+IS!BE10+IS!BC10+IS!BB10</f>
        <v>-2912403</v>
      </c>
      <c r="BG102" s="431">
        <f>IS!BD10+IS!BE10+IS!BF10+IS!BG10</f>
        <v>-4821683</v>
      </c>
      <c r="BH102" s="431">
        <f>IS!BE10+IS!BF10+IS!BG10+IS!BH10</f>
        <v>-3125013</v>
      </c>
      <c r="BI102" s="432">
        <f>IS!BI10</f>
        <v>-3125013</v>
      </c>
      <c r="BJ102" s="431">
        <f>IS!BJ10+IS!BH10+IS!BG10+IS!BF10</f>
        <v>-3315923</v>
      </c>
      <c r="BK102" s="431">
        <f>IS!BK10+IS!BJ10+IS!BH10+IS!BG10</f>
        <v>-3424940</v>
      </c>
      <c r="BL102" s="431">
        <f>IS!BI10+IS!BJ10+IS!BK10+IS!BL10</f>
        <v>-5863127</v>
      </c>
      <c r="BM102" s="431">
        <f>IS!BJ10+IS!BK10+IS!BL10+IS!BM10</f>
        <v>-3678333</v>
      </c>
      <c r="BN102" s="432">
        <f>IS!BN10</f>
        <v>-3678333</v>
      </c>
      <c r="BO102" s="431">
        <f>IS!BO10+IS!BM10+IS!BL10+IS!BK10</f>
        <v>-3719190</v>
      </c>
      <c r="BP102" s="431">
        <f>IS!BP10+IS!BO10+IS!BM10+IS!BL10</f>
        <v>-3966405</v>
      </c>
      <c r="BQ102" s="431">
        <f>IS!BN10+IS!BO10+IS!BP10+IS!BQ10</f>
        <v>-6753782</v>
      </c>
      <c r="BR102" s="431">
        <f>IS!BO10+IS!BP10+IS!BQ10+IS!BR10</f>
        <v>-4209100</v>
      </c>
      <c r="BS102" s="432">
        <f>IS!BS10</f>
        <v>-4209100</v>
      </c>
      <c r="BT102" s="431">
        <f>IS!BT10+IS!BR10+IS!BQ10+IS!BP10</f>
        <v>-4399530</v>
      </c>
      <c r="BU102" s="431">
        <f>IS!BU10+IS!BT10+IS!BR10+IS!BQ10</f>
        <v>-4540393</v>
      </c>
      <c r="BV102" s="431">
        <f>IS!BS10+IS!BT10+IS!BU10+IS!BV10</f>
        <v>-7888805</v>
      </c>
      <c r="BW102" s="431">
        <f>IS!BT10+IS!BU10+IS!BV10+IS!BW10</f>
        <v>-5385823</v>
      </c>
      <c r="BX102" s="432">
        <f>IS!BX10</f>
        <v>-5385823</v>
      </c>
      <c r="BY102" s="431">
        <f>IS!BY10+IS!BW10+IS!BV10+IS!BU10</f>
        <v>-5624839</v>
      </c>
      <c r="BZ102" s="431">
        <f>IS!BZ10+IS!BY10+IS!BW10+IS!BV10</f>
        <v>-5795303</v>
      </c>
      <c r="CA102" s="431">
        <f>IS!CA10+IS!BZ10+IS!BX10+IS!BW10</f>
        <v>-9935267</v>
      </c>
      <c r="CB102" s="431">
        <f>IS!BY10+IS!BZ10+IS!CA10+IS!CB10</f>
        <v>-6353525</v>
      </c>
      <c r="CC102" s="432">
        <f>IS!CC10</f>
        <v>-6353525</v>
      </c>
      <c r="CD102" s="431">
        <f>IS!CD10+IS!CB10+IS!CA10+IS!BZ10</f>
        <v>-6394227</v>
      </c>
      <c r="CE102" s="431">
        <f>IS!CE10+IS!CD10+IS!CB10+IS!CA10</f>
        <v>-6604885</v>
      </c>
      <c r="CF102" s="431">
        <f>IS!CB10+IS!CD10+IS!CE10+IS!CF10</f>
        <v>-6938160.7363645118</v>
      </c>
      <c r="CG102" s="431">
        <f>IS!CD10+IS!CE10+IS!CF10+IS!CG10</f>
        <v>-6640571.630846492</v>
      </c>
      <c r="CH102" s="432">
        <f>IS!CH10</f>
        <v>-6640571.630846492</v>
      </c>
      <c r="CI102" s="431">
        <f>IS!CI10+IS!CG10+IS!CF10+IS!CE10</f>
        <v>-7056455.2925848598</v>
      </c>
      <c r="CJ102" s="431">
        <f>IS!CJ10+IS!CI10+IS!CG10+IS!CF10</f>
        <v>-7240838.6949093118</v>
      </c>
      <c r="CK102" s="431">
        <f>IS!CG10+IS!CI10+IS!CJ10+IS!CK10</f>
        <v>-7388719.6369988658</v>
      </c>
      <c r="CL102" s="431">
        <f>IS!CI10+IS!CJ10+IS!CK10+IS!CL10</f>
        <v>-7508248.8340324434</v>
      </c>
      <c r="CM102" s="432">
        <f>IS!CM10</f>
        <v>-7508248.8340324434</v>
      </c>
      <c r="CN102" s="431">
        <f>IS!CN10+IS!CL10+IS!CK10+IS!CJ10</f>
        <v>-7734019.0101323379</v>
      </c>
      <c r="CO102" s="431">
        <f>IS!CO10+IS!CN10+IS!CL10+IS!CK10</f>
        <v>-7946844.6012969986</v>
      </c>
      <c r="CP102" s="431">
        <f>IS!CL10+IS!CN10+IS!CO10+IS!CP10</f>
        <v>-8150745.1066523418</v>
      </c>
      <c r="CQ102" s="431">
        <f>IS!CN10+IS!CO10+IS!CP10+IS!CQ10</f>
        <v>-8395164.8233215865</v>
      </c>
      <c r="CR102" s="432">
        <f>IS!CR10</f>
        <v>-8395164.8233215865</v>
      </c>
      <c r="CS102" s="431">
        <f>IS!CS10+IS!CQ10+IS!CP10+IS!CO10</f>
        <v>-8598061.8754547946</v>
      </c>
      <c r="CT102" s="431">
        <f>IS!CT10+IS!CS10+IS!CQ10+IS!CP10</f>
        <v>-8787717.9706516955</v>
      </c>
      <c r="CU102" s="431">
        <f>IS!CQ10+IS!CS10+IS!CT10+IS!CU10</f>
        <v>-8968245.0255261753</v>
      </c>
      <c r="CV102" s="431">
        <f>IS!CS10+IS!CT10+IS!CU10+IS!CV10</f>
        <v>-9145641.2398434319</v>
      </c>
      <c r="CW102" s="432">
        <f>IS!CW10</f>
        <v>-9145641.2398434319</v>
      </c>
      <c r="CX102" s="431">
        <f>IS!CX10+IS!CV10+IS!CU10+IS!CT10</f>
        <v>-9314510.8166973107</v>
      </c>
      <c r="CY102" s="431">
        <f>IS!CY10+IS!CX10+IS!CV10+IS!CU10</f>
        <v>-9476960.1110966988</v>
      </c>
      <c r="CZ102" s="431">
        <f>IS!CV10+IS!CX10+IS!CY10+IS!CZ10</f>
        <v>-9638273.281157501</v>
      </c>
      <c r="DA102" s="431">
        <f>IS!CX10+IS!CY10+IS!CZ10+IS!DA10</f>
        <v>-9799866.2221211754</v>
      </c>
      <c r="DB102" s="432">
        <f>IS!DB10</f>
        <v>-9799866.2221211754</v>
      </c>
    </row>
    <row r="103" spans="1:106" ht="11.5" customHeight="1" outlineLevel="1" x14ac:dyDescent="0.35">
      <c r="A103" s="163" t="s">
        <v>241</v>
      </c>
      <c r="B103" s="148"/>
      <c r="C103" s="148"/>
      <c r="D103" s="148"/>
      <c r="E103" s="148">
        <f t="shared" ref="E103:AJ103" si="231">-365/(E102/E101)</f>
        <v>416.79152968189715</v>
      </c>
      <c r="F103" s="435">
        <f t="shared" si="231"/>
        <v>416.79152968189715</v>
      </c>
      <c r="G103" s="148">
        <f t="shared" si="231"/>
        <v>412.07863523902614</v>
      </c>
      <c r="H103" s="148">
        <f t="shared" si="231"/>
        <v>397.46277753425807</v>
      </c>
      <c r="I103" s="148">
        <f t="shared" si="231"/>
        <v>390.89393091953235</v>
      </c>
      <c r="J103" s="148">
        <f t="shared" si="231"/>
        <v>326.01305490576431</v>
      </c>
      <c r="K103" s="435">
        <f t="shared" si="231"/>
        <v>326.01305490576431</v>
      </c>
      <c r="L103" s="148">
        <f t="shared" si="231"/>
        <v>305.24630775244987</v>
      </c>
      <c r="M103" s="148">
        <f t="shared" si="231"/>
        <v>321.73156767978202</v>
      </c>
      <c r="N103" s="148">
        <f t="shared" si="231"/>
        <v>340.47299654054405</v>
      </c>
      <c r="O103" s="148">
        <f t="shared" si="231"/>
        <v>362.16497848509135</v>
      </c>
      <c r="P103" s="435">
        <f t="shared" si="231"/>
        <v>362.16497848509135</v>
      </c>
      <c r="Q103" s="148">
        <f t="shared" si="231"/>
        <v>385.45419994599735</v>
      </c>
      <c r="R103" s="148">
        <f t="shared" si="231"/>
        <v>410.24774918346566</v>
      </c>
      <c r="S103" s="148">
        <f t="shared" si="231"/>
        <v>431.20050920958931</v>
      </c>
      <c r="T103" s="148">
        <f t="shared" si="231"/>
        <v>483.01133839322614</v>
      </c>
      <c r="U103" s="435">
        <f t="shared" si="231"/>
        <v>483.01133839322614</v>
      </c>
      <c r="V103" s="148">
        <f t="shared" si="231"/>
        <v>465.96363512575061</v>
      </c>
      <c r="W103" s="148">
        <f t="shared" si="231"/>
        <v>469.02880382817045</v>
      </c>
      <c r="X103" s="148">
        <f t="shared" si="231"/>
        <v>482.09703002014379</v>
      </c>
      <c r="Y103" s="148">
        <f t="shared" si="231"/>
        <v>472.56035745132982</v>
      </c>
      <c r="Z103" s="435">
        <f t="shared" si="231"/>
        <v>472.56035745132982</v>
      </c>
      <c r="AA103" s="148">
        <f t="shared" si="231"/>
        <v>506.97672258205051</v>
      </c>
      <c r="AB103" s="148">
        <f t="shared" si="231"/>
        <v>540.42583573678223</v>
      </c>
      <c r="AC103" s="148">
        <f t="shared" si="231"/>
        <v>602.88558692980553</v>
      </c>
      <c r="AD103" s="148">
        <f t="shared" si="231"/>
        <v>655.07411107059113</v>
      </c>
      <c r="AE103" s="435">
        <f t="shared" si="231"/>
        <v>655.07411107059113</v>
      </c>
      <c r="AF103" s="148">
        <f t="shared" si="231"/>
        <v>683.44694007720068</v>
      </c>
      <c r="AG103" s="148">
        <f t="shared" si="231"/>
        <v>822.75406625212622</v>
      </c>
      <c r="AH103" s="148">
        <f t="shared" si="231"/>
        <v>901.04601520880863</v>
      </c>
      <c r="AI103" s="148">
        <f t="shared" si="231"/>
        <v>867.98583262182296</v>
      </c>
      <c r="AJ103" s="435">
        <f t="shared" si="231"/>
        <v>867.98583262182296</v>
      </c>
      <c r="AK103" s="148">
        <f t="shared" ref="AK103:BP103" si="232">-365/(AK102/AK101)</f>
        <v>876.03545303096678</v>
      </c>
      <c r="AL103" s="148">
        <f t="shared" si="232"/>
        <v>881.53571786427301</v>
      </c>
      <c r="AM103" s="148">
        <f t="shared" si="232"/>
        <v>924.43808056877947</v>
      </c>
      <c r="AN103" s="148">
        <f t="shared" si="232"/>
        <v>893.98185748459332</v>
      </c>
      <c r="AO103" s="435">
        <f t="shared" si="232"/>
        <v>893.98185748459332</v>
      </c>
      <c r="AP103" s="148">
        <f t="shared" si="232"/>
        <v>932.96538731326837</v>
      </c>
      <c r="AQ103" s="148">
        <f t="shared" si="232"/>
        <v>931.73758625594814</v>
      </c>
      <c r="AR103" s="148">
        <f t="shared" si="232"/>
        <v>898.03315033173965</v>
      </c>
      <c r="AS103" s="148">
        <f t="shared" si="232"/>
        <v>828.83288321466569</v>
      </c>
      <c r="AT103" s="435">
        <f t="shared" si="232"/>
        <v>828.83288321466569</v>
      </c>
      <c r="AU103" s="148">
        <f t="shared" si="232"/>
        <v>750.5280349270721</v>
      </c>
      <c r="AV103" s="148">
        <f t="shared" si="232"/>
        <v>694.97678660851284</v>
      </c>
      <c r="AW103" s="148">
        <f t="shared" si="232"/>
        <v>645.29478417956898</v>
      </c>
      <c r="AX103" s="148">
        <f t="shared" si="232"/>
        <v>622.92822129792944</v>
      </c>
      <c r="AY103" s="435">
        <f t="shared" si="232"/>
        <v>622.92822129792944</v>
      </c>
      <c r="AZ103" s="148">
        <f t="shared" si="232"/>
        <v>672.84158987788749</v>
      </c>
      <c r="BA103" s="148">
        <f t="shared" si="232"/>
        <v>712.95470770748852</v>
      </c>
      <c r="BB103" s="148">
        <f t="shared" si="232"/>
        <v>526.46122382338274</v>
      </c>
      <c r="BC103" s="148">
        <f t="shared" si="232"/>
        <v>573.26071682690758</v>
      </c>
      <c r="BD103" s="435">
        <f t="shared" si="232"/>
        <v>573.26071682690758</v>
      </c>
      <c r="BE103" s="148">
        <f t="shared" si="232"/>
        <v>542.83162027503067</v>
      </c>
      <c r="BF103" s="148">
        <f t="shared" si="232"/>
        <v>551.78583801760954</v>
      </c>
      <c r="BG103" s="148">
        <f t="shared" si="232"/>
        <v>361.97254153788208</v>
      </c>
      <c r="BH103" s="148">
        <f t="shared" si="232"/>
        <v>582.2787489204045</v>
      </c>
      <c r="BI103" s="435">
        <f t="shared" si="232"/>
        <v>582.2787489204045</v>
      </c>
      <c r="BJ103" s="148">
        <f t="shared" si="232"/>
        <v>576.99617421755568</v>
      </c>
      <c r="BK103" s="148">
        <f t="shared" si="232"/>
        <v>546.44281359673448</v>
      </c>
      <c r="BL103" s="148">
        <f t="shared" si="232"/>
        <v>337.21347499380454</v>
      </c>
      <c r="BM103" s="148">
        <f t="shared" si="232"/>
        <v>551.00861450010098</v>
      </c>
      <c r="BN103" s="435">
        <f t="shared" si="232"/>
        <v>551.00861450010098</v>
      </c>
      <c r="BO103" s="148">
        <f t="shared" si="232"/>
        <v>541.34772356346411</v>
      </c>
      <c r="BP103" s="148">
        <f t="shared" si="232"/>
        <v>504.22987692885624</v>
      </c>
      <c r="BQ103" s="148">
        <f t="shared" ref="BQ103:CV103" si="233">-365/(BQ102/BQ101)</f>
        <v>292.62233590009271</v>
      </c>
      <c r="BR103" s="148">
        <f t="shared" si="233"/>
        <v>464.49937635123899</v>
      </c>
      <c r="BS103" s="435">
        <f t="shared" si="233"/>
        <v>464.49937635123899</v>
      </c>
      <c r="BT103" s="148">
        <f t="shared" si="233"/>
        <v>424.32472673217364</v>
      </c>
      <c r="BU103" s="148">
        <f t="shared" si="233"/>
        <v>396.72917961066366</v>
      </c>
      <c r="BV103" s="148">
        <f t="shared" si="233"/>
        <v>258.63232707615413</v>
      </c>
      <c r="BW103" s="148">
        <f t="shared" si="233"/>
        <v>439.1392494703224</v>
      </c>
      <c r="BX103" s="435">
        <f t="shared" si="233"/>
        <v>439.1392494703224</v>
      </c>
      <c r="BY103" s="148">
        <f t="shared" si="233"/>
        <v>443.32455826735662</v>
      </c>
      <c r="BZ103" s="148">
        <f>-365/(BZ102/BZ101)</f>
        <v>463.32749642253395</v>
      </c>
      <c r="CA103" s="148">
        <f>-365/(CA102/CA101)</f>
        <v>279.24718027205506</v>
      </c>
      <c r="CB103" s="148">
        <f t="shared" ref="CB103" si="234">-365/(CB102/CB101)</f>
        <v>449.83196257195806</v>
      </c>
      <c r="CC103" s="435">
        <f t="shared" si="233"/>
        <v>449.83196257195806</v>
      </c>
      <c r="CD103" s="148">
        <f t="shared" ref="CD103" si="235">-365/(CD102/CD101)</f>
        <v>456.93495007293302</v>
      </c>
      <c r="CE103" s="148">
        <f>-365/(CE102/CE101)</f>
        <v>447.20191797434779</v>
      </c>
      <c r="CF103" s="148">
        <f t="shared" si="233"/>
        <v>429.2366632523117</v>
      </c>
      <c r="CG103" s="148">
        <f t="shared" si="233"/>
        <v>450.78854589317569</v>
      </c>
      <c r="CH103" s="435">
        <f t="shared" si="233"/>
        <v>450.78854589317569</v>
      </c>
      <c r="CI103" s="148">
        <f t="shared" si="233"/>
        <v>427.88680954239749</v>
      </c>
      <c r="CJ103" s="148">
        <f t="shared" si="233"/>
        <v>419.77066250948377</v>
      </c>
      <c r="CK103" s="148">
        <f t="shared" si="233"/>
        <v>414.0352282084479</v>
      </c>
      <c r="CL103" s="148">
        <f t="shared" si="233"/>
        <v>409.34328875659105</v>
      </c>
      <c r="CM103" s="435">
        <f t="shared" si="233"/>
        <v>409.34328875659105</v>
      </c>
      <c r="CN103" s="148">
        <f t="shared" si="233"/>
        <v>400.22505662869571</v>
      </c>
      <c r="CO103" s="148">
        <f t="shared" si="233"/>
        <v>393.75968838352412</v>
      </c>
      <c r="CP103" s="148">
        <f t="shared" si="233"/>
        <v>387.45614002298464</v>
      </c>
      <c r="CQ103" s="148">
        <f t="shared" si="233"/>
        <v>377.00931383533475</v>
      </c>
      <c r="CR103" s="435">
        <f t="shared" si="233"/>
        <v>377.00931383533475</v>
      </c>
      <c r="CS103" s="148">
        <f t="shared" si="233"/>
        <v>369.52244008044033</v>
      </c>
      <c r="CT103" s="148">
        <f t="shared" si="233"/>
        <v>363.90245574908988</v>
      </c>
      <c r="CU103" s="148">
        <f t="shared" si="233"/>
        <v>358.28415666396342</v>
      </c>
      <c r="CV103" s="148">
        <f t="shared" si="233"/>
        <v>351.13844296358826</v>
      </c>
      <c r="CW103" s="435">
        <f t="shared" ref="CW103:DB103" si="236">-365/(CW102/CW101)</f>
        <v>351.13844296358826</v>
      </c>
      <c r="CX103" s="148">
        <f t="shared" si="236"/>
        <v>347.40537218178747</v>
      </c>
      <c r="CY103" s="148">
        <f t="shared" si="236"/>
        <v>339.57591317632807</v>
      </c>
      <c r="CZ103" s="148">
        <f t="shared" si="236"/>
        <v>324.14792878071336</v>
      </c>
      <c r="DA103" s="148">
        <f t="shared" si="236"/>
        <v>298.38401184519091</v>
      </c>
      <c r="DB103" s="435">
        <f t="shared" si="236"/>
        <v>298.38401184519091</v>
      </c>
    </row>
    <row r="104" spans="1:106" s="58" customFormat="1" ht="11.5" customHeight="1" outlineLevel="1" x14ac:dyDescent="0.35">
      <c r="A104" s="16" t="s">
        <v>235</v>
      </c>
      <c r="B104" s="99"/>
      <c r="C104" s="99">
        <f>-(C101-B101)</f>
        <v>-254347</v>
      </c>
      <c r="D104" s="99">
        <f>-(D101-C101)</f>
        <v>-98431</v>
      </c>
      <c r="E104" s="99">
        <f>-(E101-D101)</f>
        <v>-223753</v>
      </c>
      <c r="F104" s="100" t="e">
        <f>-(+F101-#REF!)</f>
        <v>#REF!</v>
      </c>
      <c r="G104" s="99">
        <f>-(G101-F101)</f>
        <v>-108207</v>
      </c>
      <c r="H104" s="99">
        <f>-(H101-G101)</f>
        <v>-64620</v>
      </c>
      <c r="I104" s="99">
        <f>-(I101-H101)</f>
        <v>-319456</v>
      </c>
      <c r="J104" s="99">
        <f>-(J101-I101)</f>
        <v>397570</v>
      </c>
      <c r="K104" s="100">
        <f>-(+K101-F101)</f>
        <v>-94713</v>
      </c>
      <c r="L104" s="99">
        <f>-(L101-K101)</f>
        <v>137527</v>
      </c>
      <c r="M104" s="99">
        <f>-(M101-L101)</f>
        <v>-180964</v>
      </c>
      <c r="N104" s="99">
        <f>-(N101-M101)</f>
        <v>-52037</v>
      </c>
      <c r="O104" s="99">
        <f>-(O101-N101)</f>
        <v>235258</v>
      </c>
      <c r="P104" s="100">
        <f>-(+P101-K101)</f>
        <v>139784</v>
      </c>
      <c r="Q104" s="99">
        <f>-(Q101-P101)</f>
        <v>-44688</v>
      </c>
      <c r="R104" s="99">
        <f>-(R101-Q101)</f>
        <v>-191161</v>
      </c>
      <c r="S104" s="99">
        <f>-(S101-R101)</f>
        <v>-223669</v>
      </c>
      <c r="T104" s="99">
        <f>-(T101-S101)</f>
        <v>-536850</v>
      </c>
      <c r="U104" s="100">
        <f>-(+U101-P101)</f>
        <v>-996368</v>
      </c>
      <c r="V104" s="99">
        <f>-(V101-U101)</f>
        <v>92954</v>
      </c>
      <c r="W104" s="99">
        <f>-(W101-V101)</f>
        <v>-5308</v>
      </c>
      <c r="X104" s="99">
        <f>-(X101-W101)</f>
        <v>-386687</v>
      </c>
      <c r="Y104" s="99">
        <f>-(Y101-X101)</f>
        <v>-33296</v>
      </c>
      <c r="Z104" s="100">
        <f>-(+Z101-U101)</f>
        <v>-332337</v>
      </c>
      <c r="AA104" s="99">
        <f>-(AA101-Z101)</f>
        <v>-90267</v>
      </c>
      <c r="AB104" s="99">
        <f>-(AB101-AA101)</f>
        <v>-97288</v>
      </c>
      <c r="AC104" s="99">
        <f>-(AC101-AB101)</f>
        <v>27850</v>
      </c>
      <c r="AD104" s="99">
        <f>-(AD101-AC101)</f>
        <v>179040</v>
      </c>
      <c r="AE104" s="100">
        <f>-(+AE101-Z101)</f>
        <v>19335</v>
      </c>
      <c r="AF104" s="99">
        <f>-(AF101-AE101)</f>
        <v>53058</v>
      </c>
      <c r="AG104" s="99">
        <f>-(AG101-AF101)</f>
        <v>-235040</v>
      </c>
      <c r="AH104" s="99">
        <f>-(AH101-AG101)</f>
        <v>-58078</v>
      </c>
      <c r="AI104" s="99">
        <f>-(AI101-AH101)</f>
        <v>261814</v>
      </c>
      <c r="AJ104" s="100">
        <f>-(+AJ101-AE101)</f>
        <v>21754</v>
      </c>
      <c r="AK104" s="99">
        <f>-(AK101-AJ101)</f>
        <v>75549</v>
      </c>
      <c r="AL104" s="99">
        <f>-(AL101-AK101)</f>
        <v>-113640</v>
      </c>
      <c r="AM104" s="99">
        <f>-(AM101-AL101)</f>
        <v>37230</v>
      </c>
      <c r="AN104" s="99">
        <f>-(AN101-AM101)</f>
        <v>322966</v>
      </c>
      <c r="AO104" s="100">
        <f>-(+AO101-AJ101)</f>
        <v>322105</v>
      </c>
      <c r="AP104" s="99">
        <f>-(AP101-AO101)</f>
        <v>180203</v>
      </c>
      <c r="AQ104" s="99">
        <f>-(AQ101-AP101)</f>
        <v>-114155</v>
      </c>
      <c r="AR104" s="99">
        <f>-(AR101-AQ101)</f>
        <v>-1701</v>
      </c>
      <c r="AS104" s="99">
        <f>-(AS101-AR101)</f>
        <v>-31514</v>
      </c>
      <c r="AT104" s="100">
        <f>-(+AT101-AO101)</f>
        <v>32833</v>
      </c>
      <c r="AU104" s="99">
        <f>-(AU101-AT101)</f>
        <v>-71525</v>
      </c>
      <c r="AV104" s="99">
        <f>-(AV101-AU101)</f>
        <v>20415</v>
      </c>
      <c r="AW104" s="99">
        <f>-(AW101-AV101)</f>
        <v>118478</v>
      </c>
      <c r="AX104" s="99">
        <f>-(AX101-AW101)</f>
        <v>15806</v>
      </c>
      <c r="AY104" s="100">
        <f>-(+AY101-AT101)</f>
        <v>83174</v>
      </c>
      <c r="AZ104" s="99">
        <f>-(AZ101-AY101)</f>
        <v>-235896</v>
      </c>
      <c r="BA104" s="99">
        <f>-(BA101-AZ101)</f>
        <v>-134589</v>
      </c>
      <c r="BB104" s="99">
        <f>-(BB101-BA101)</f>
        <v>1108381</v>
      </c>
      <c r="BC104" s="99">
        <f>-(BC101-BB101)</f>
        <v>-145735</v>
      </c>
      <c r="BD104" s="100">
        <f>-(+BD101-AY101)</f>
        <v>592161</v>
      </c>
      <c r="BE104" s="99">
        <f>-(BE101-BD101)</f>
        <v>-13447</v>
      </c>
      <c r="BF104" s="99">
        <f>-(BF101-BE101)</f>
        <v>-347768</v>
      </c>
      <c r="BG104" s="99">
        <f>-(BG101-BF101)</f>
        <v>-378888</v>
      </c>
      <c r="BH104" s="99">
        <f>-(BH101-BG101)</f>
        <v>-203594</v>
      </c>
      <c r="BI104" s="100">
        <f>-(+BI101-BD101)</f>
        <v>-943697</v>
      </c>
      <c r="BJ104" s="99">
        <f>-(BJ101-BI101)</f>
        <v>-256565</v>
      </c>
      <c r="BK104" s="99">
        <f>-(BK101-BJ101)</f>
        <v>114359</v>
      </c>
      <c r="BL104" s="99">
        <f>-(BL101-BK101)</f>
        <v>-289292</v>
      </c>
      <c r="BM104" s="99">
        <f>-(BM101-BL101)</f>
        <v>-136076</v>
      </c>
      <c r="BN104" s="100">
        <f>-(+BN101-BI101)</f>
        <v>-567574</v>
      </c>
      <c r="BO104" s="99">
        <f>-(BO101-BN101)</f>
        <v>36762</v>
      </c>
      <c r="BP104" s="99">
        <f>-(BP101-BO101)</f>
        <v>36699</v>
      </c>
      <c r="BQ104" s="99">
        <f>-(BQ101-BP101)</f>
        <v>64856</v>
      </c>
      <c r="BR104" s="99">
        <f>-(BR101-BQ101)</f>
        <v>58036</v>
      </c>
      <c r="BS104" s="100">
        <f>-(+BS101-BN101)</f>
        <v>196353</v>
      </c>
      <c r="BT104" s="99">
        <f>-(BT101-BS101)</f>
        <v>241904</v>
      </c>
      <c r="BU104" s="99">
        <f>-(BU101-BT101)</f>
        <v>179515</v>
      </c>
      <c r="BV104" s="99">
        <f>-(BV101-BU101)</f>
        <v>-654777</v>
      </c>
      <c r="BW104" s="99">
        <f>-(BW101-BV101)</f>
        <v>-889935</v>
      </c>
      <c r="BX104" s="100">
        <f>-(+BX101-BS101)</f>
        <v>-1123293</v>
      </c>
      <c r="BY104" s="99">
        <f>-(BY101-BX101)</f>
        <v>-352063</v>
      </c>
      <c r="BZ104" s="99">
        <f>-(BZ101-BY101)</f>
        <v>-524641</v>
      </c>
      <c r="CA104" s="99">
        <f>-(CA101-BZ101)</f>
        <v>-244581</v>
      </c>
      <c r="CB104" s="99">
        <f>-(CB101-CA101)</f>
        <v>-229105</v>
      </c>
      <c r="CC104" s="100">
        <f>-(+CC101-BX101)</f>
        <v>-1350390</v>
      </c>
      <c r="CD104" s="99">
        <f>-(CD101-CC101)</f>
        <v>-174595</v>
      </c>
      <c r="CE104" s="99">
        <f>-(CE101-CD101)</f>
        <v>-87593</v>
      </c>
      <c r="CF104" s="99">
        <f>-(CF101-CE101)</f>
        <v>-66837.598863848485</v>
      </c>
      <c r="CG104" s="99">
        <f>-(CG101-CF101)</f>
        <v>-42138.810365642421</v>
      </c>
      <c r="CH104" s="100">
        <f>-(+CH101-CC101)</f>
        <v>-371164.40922949091</v>
      </c>
      <c r="CI104" s="99">
        <f>-(CI101-CH101)</f>
        <v>-70878.1163121555</v>
      </c>
      <c r="CJ104" s="99">
        <f>-(CJ101-CI101)</f>
        <v>-55143.874695031904</v>
      </c>
      <c r="CK104" s="99">
        <f>-(CK101-CJ101)</f>
        <v>-53968.671196377836</v>
      </c>
      <c r="CL104" s="99">
        <f>-(CL101-CK101)</f>
        <v>-39071.368363328278</v>
      </c>
      <c r="CM104" s="100">
        <f>-(+CM101-CH101)</f>
        <v>-219062.03056689352</v>
      </c>
      <c r="CN104" s="99">
        <f>-(CN101-CM101)</f>
        <v>-59991.57745737955</v>
      </c>
      <c r="CO104" s="99">
        <f>-(CO101-CN101)</f>
        <v>-92599.609702393413</v>
      </c>
      <c r="CP104" s="99">
        <f>-(CP101-CO101)</f>
        <v>-79203.242454107851</v>
      </c>
      <c r="CQ104" s="99">
        <f>-(CQ101-CP101)</f>
        <v>-19175.595178805292</v>
      </c>
      <c r="CR104" s="100">
        <f>-(+CR101-CM101)</f>
        <v>-250970.0247926861</v>
      </c>
      <c r="CS104" s="99">
        <f>-(CS101-CR101)</f>
        <v>-33209.519467540085</v>
      </c>
      <c r="CT104" s="99">
        <f>-(CT101-CS101)</f>
        <v>-56699.57745177485</v>
      </c>
      <c r="CU104" s="99">
        <f>-(CU101-CT101)</f>
        <v>-41939.604865396395</v>
      </c>
      <c r="CV104" s="99">
        <f>-(CV101-CU101)</f>
        <v>4914.7420937716961</v>
      </c>
      <c r="CW104" s="100">
        <f>-(+CW101-CR101)</f>
        <v>-126933.95969093964</v>
      </c>
      <c r="CX104" s="99">
        <f>-(CX101-CW101)</f>
        <v>-67191.430421398953</v>
      </c>
      <c r="CY104" s="99">
        <f>-(CY101-CX101)</f>
        <v>48667.707136211917</v>
      </c>
      <c r="CZ104" s="99">
        <f>-(CZ101-CY101)</f>
        <v>257317.98014137894</v>
      </c>
      <c r="DA104" s="99">
        <f>-(DA101-CZ101)</f>
        <v>548227.18412877433</v>
      </c>
      <c r="DB104" s="100">
        <f>-(+DB101-CW101)</f>
        <v>787021.44098496623</v>
      </c>
    </row>
    <row r="105" spans="1:106" ht="11.5" customHeight="1" x14ac:dyDescent="0.35">
      <c r="A105" s="19" t="s">
        <v>242</v>
      </c>
      <c r="B105" s="97">
        <f>B13</f>
        <v>2278854</v>
      </c>
      <c r="C105" s="97">
        <f>C13</f>
        <v>2455086</v>
      </c>
      <c r="D105" s="97">
        <f>D13</f>
        <v>2447754</v>
      </c>
      <c r="E105" s="97">
        <f>E13</f>
        <v>2209964</v>
      </c>
      <c r="F105" s="98">
        <f>E105</f>
        <v>2209964</v>
      </c>
      <c r="G105" s="97">
        <f>G13</f>
        <v>2326899</v>
      </c>
      <c r="H105" s="97">
        <f>H13</f>
        <v>2365503</v>
      </c>
      <c r="I105" s="97">
        <f>I13</f>
        <v>2634919</v>
      </c>
      <c r="J105" s="97">
        <f>J13</f>
        <v>2115810</v>
      </c>
      <c r="K105" s="98">
        <f>J105</f>
        <v>2115810</v>
      </c>
      <c r="L105" s="97">
        <f>L13</f>
        <v>1920830</v>
      </c>
      <c r="M105" s="97">
        <f>M13</f>
        <v>1839493</v>
      </c>
      <c r="N105" s="97">
        <f>N13</f>
        <v>1815393</v>
      </c>
      <c r="O105" s="97">
        <f>O13</f>
        <v>1625205</v>
      </c>
      <c r="P105" s="98">
        <f>O105</f>
        <v>1625205</v>
      </c>
      <c r="Q105" s="97">
        <f>Q13</f>
        <v>1833609</v>
      </c>
      <c r="R105" s="97">
        <f>R13</f>
        <v>1976594</v>
      </c>
      <c r="S105" s="97">
        <f>S13</f>
        <v>2098822</v>
      </c>
      <c r="T105" s="97">
        <f>T13</f>
        <v>2564632</v>
      </c>
      <c r="U105" s="98">
        <f>T105</f>
        <v>2564632</v>
      </c>
      <c r="V105" s="97">
        <f>V13</f>
        <v>2336512</v>
      </c>
      <c r="W105" s="97">
        <f>W13</f>
        <v>2262377</v>
      </c>
      <c r="X105" s="97">
        <f>X13</f>
        <v>2459299</v>
      </c>
      <c r="Y105" s="97">
        <f>Y13</f>
        <v>2443648</v>
      </c>
      <c r="Z105" s="98">
        <f>Y105</f>
        <v>2443648</v>
      </c>
      <c r="AA105" s="97">
        <f>AA13</f>
        <v>2405758</v>
      </c>
      <c r="AB105" s="97">
        <f>AB13</f>
        <v>2311165</v>
      </c>
      <c r="AC105" s="97">
        <f>AC13</f>
        <v>2233145</v>
      </c>
      <c r="AD105" s="97">
        <f>AD13</f>
        <v>2124589</v>
      </c>
      <c r="AE105" s="98">
        <f>AD105</f>
        <v>2124589</v>
      </c>
      <c r="AF105" s="97">
        <f>AF13</f>
        <v>2062019</v>
      </c>
      <c r="AG105" s="97">
        <f>AG13</f>
        <v>2000177</v>
      </c>
      <c r="AH105" s="97">
        <f>AH13</f>
        <v>2067676</v>
      </c>
      <c r="AI105" s="97">
        <f>AI13</f>
        <v>1834181</v>
      </c>
      <c r="AJ105" s="98">
        <f>AI105</f>
        <v>1834181</v>
      </c>
      <c r="AK105" s="97">
        <f>AK13</f>
        <v>1797707</v>
      </c>
      <c r="AL105" s="97">
        <f>AL13</f>
        <v>2022531</v>
      </c>
      <c r="AM105" s="97">
        <f>AM13</f>
        <v>2022820</v>
      </c>
      <c r="AN105" s="97">
        <f>AN13</f>
        <v>1782213</v>
      </c>
      <c r="AO105" s="98">
        <f>AN105</f>
        <v>1782213</v>
      </c>
      <c r="AP105" s="97">
        <f>AP13</f>
        <v>1702481</v>
      </c>
      <c r="AQ105" s="97">
        <f>AQ13</f>
        <v>2004012</v>
      </c>
      <c r="AR105" s="97">
        <f>AR13</f>
        <v>2218341</v>
      </c>
      <c r="AS105" s="97">
        <f>AS13</f>
        <v>2044316</v>
      </c>
      <c r="AT105" s="98">
        <f>AS105</f>
        <v>2044316</v>
      </c>
      <c r="AU105" s="97">
        <f>AU13</f>
        <v>2186899</v>
      </c>
      <c r="AV105" s="97">
        <f>AV13</f>
        <v>2191798</v>
      </c>
      <c r="AW105" s="97">
        <f>AW13</f>
        <v>2163409</v>
      </c>
      <c r="AX105" s="97">
        <f>AX13</f>
        <v>2249862</v>
      </c>
      <c r="AY105" s="98">
        <f>AX105</f>
        <v>2249862</v>
      </c>
      <c r="AZ105" s="97">
        <f>AZ13</f>
        <v>2537914</v>
      </c>
      <c r="BA105" s="97">
        <f>BA13</f>
        <v>2660189</v>
      </c>
      <c r="BB105" s="97">
        <f>BB13</f>
        <v>2011841</v>
      </c>
      <c r="BC105" s="97">
        <f>BC13</f>
        <v>2311198</v>
      </c>
      <c r="BD105" s="98">
        <f>BC105</f>
        <v>2311198</v>
      </c>
      <c r="BE105" s="97">
        <f>BE13</f>
        <v>2193628</v>
      </c>
      <c r="BF105" s="97">
        <f>BF13</f>
        <v>2518308</v>
      </c>
      <c r="BG105" s="97">
        <f>BG13</f>
        <v>2894136</v>
      </c>
      <c r="BH105" s="97">
        <f>BH13</f>
        <v>2759500</v>
      </c>
      <c r="BI105" s="98">
        <f>BH105</f>
        <v>2759500</v>
      </c>
      <c r="BJ105" s="97">
        <f>BJ13</f>
        <v>2834610</v>
      </c>
      <c r="BK105" s="97">
        <f>BK13</f>
        <v>2637381</v>
      </c>
      <c r="BL105" s="97">
        <f>BL13</f>
        <v>2812910</v>
      </c>
      <c r="BM105" s="97">
        <f>BM13</f>
        <v>2796707</v>
      </c>
      <c r="BN105" s="98">
        <f>BM105</f>
        <v>2796707</v>
      </c>
      <c r="BO105" s="97">
        <f>BO13</f>
        <v>2702290</v>
      </c>
      <c r="BP105" s="97">
        <f>BP13</f>
        <v>2514954</v>
      </c>
      <c r="BQ105" s="97">
        <f>BQ13</f>
        <v>2453070</v>
      </c>
      <c r="BR105" s="97">
        <f>BR13</f>
        <v>2301868</v>
      </c>
      <c r="BS105" s="98">
        <f>BR105</f>
        <v>2301868</v>
      </c>
      <c r="BT105" s="97">
        <f>BT13</f>
        <v>2071612</v>
      </c>
      <c r="BU105" s="97">
        <f>BU13</f>
        <v>1951507</v>
      </c>
      <c r="BV105" s="97">
        <f>BV13</f>
        <v>2544857</v>
      </c>
      <c r="BW105" s="97">
        <f>BW13</f>
        <v>3151868</v>
      </c>
      <c r="BX105" s="98">
        <f>BW105</f>
        <v>3151868</v>
      </c>
      <c r="BY105" s="97">
        <f>BY13</f>
        <v>3441098</v>
      </c>
      <c r="BZ105" s="97">
        <f>BZ13</f>
        <v>3896053</v>
      </c>
      <c r="CA105" s="97">
        <f>CA13</f>
        <v>4140437</v>
      </c>
      <c r="CB105" s="97">
        <f>CB13</f>
        <v>3221820</v>
      </c>
      <c r="CC105" s="98">
        <f>CB105</f>
        <v>3221820</v>
      </c>
      <c r="CD105" s="97">
        <f>CD13</f>
        <v>3266906</v>
      </c>
      <c r="CE105" s="97">
        <f>CE13</f>
        <v>3222892</v>
      </c>
      <c r="CF105" s="431">
        <f>CF106*Operating!CF45</f>
        <v>3140105.0092985379</v>
      </c>
      <c r="CG105" s="431">
        <f>CG106*Operating!CG45</f>
        <v>3102759.0075192265</v>
      </c>
      <c r="CH105" s="98">
        <f>CG105</f>
        <v>3102759.0075192265</v>
      </c>
      <c r="CI105" s="431">
        <f>CI106*Operating!CI45</f>
        <v>3253819.2292444455</v>
      </c>
      <c r="CJ105" s="431">
        <f>CJ106*Operating!CJ45</f>
        <v>3310655.6376685593</v>
      </c>
      <c r="CK105" s="431">
        <f>CK106*Operating!CK45</f>
        <v>3192035.598558831</v>
      </c>
      <c r="CL105" s="431">
        <f>CL106*Operating!CL45</f>
        <v>3020393.4216235504</v>
      </c>
      <c r="CM105" s="98">
        <f>CL105</f>
        <v>3020393.4216235504</v>
      </c>
      <c r="CN105" s="431">
        <f>CN106*Operating!CN45</f>
        <v>3333088.0805947543</v>
      </c>
      <c r="CO105" s="431">
        <f>CO106*Operating!CO45</f>
        <v>3431000.5956851132</v>
      </c>
      <c r="CP105" s="431">
        <f>CP106*Operating!CP45</f>
        <v>3347315.6875779442</v>
      </c>
      <c r="CQ105" s="431">
        <f>CQ106*Operating!CQ45</f>
        <v>3052405.5373357274</v>
      </c>
      <c r="CR105" s="98">
        <f>CQ105</f>
        <v>3052405.5373357274</v>
      </c>
      <c r="CS105" s="431">
        <f>CS106*Operating!CS45</f>
        <v>3376044.509370924</v>
      </c>
      <c r="CT105" s="431">
        <f>CT106*Operating!CT45</f>
        <v>3477383.9624894443</v>
      </c>
      <c r="CU105" s="431">
        <f>CU106*Operating!CU45</f>
        <v>3390770.0825985246</v>
      </c>
      <c r="CV105" s="431">
        <f>CV106*Operating!CV45</f>
        <v>3085538.0770978299</v>
      </c>
      <c r="CW105" s="98">
        <f>CV105</f>
        <v>3085538.0770978299</v>
      </c>
      <c r="CX105" s="431">
        <f>CX106*Operating!CX45</f>
        <v>3420504.4131542584</v>
      </c>
      <c r="CY105" s="431">
        <f>CY106*Operating!CY45</f>
        <v>3395381.9379500267</v>
      </c>
      <c r="CZ105" s="431">
        <f>CZ106*Operating!CZ45</f>
        <v>2985048.1762809022</v>
      </c>
      <c r="DA105" s="431">
        <f>DA106*Operating!DA45</f>
        <v>2105761.544132778</v>
      </c>
      <c r="DB105" s="98">
        <f>DA105</f>
        <v>2105761.544132778</v>
      </c>
    </row>
    <row r="106" spans="1:106" ht="11.5" customHeight="1" x14ac:dyDescent="0.35">
      <c r="A106" s="163" t="s">
        <v>157</v>
      </c>
      <c r="B106" s="403">
        <f>B105/Operating!B45</f>
        <v>5.8320869390601292E-2</v>
      </c>
      <c r="C106" s="403">
        <f>C105/Operating!C45</f>
        <v>6.1863240806719823E-2</v>
      </c>
      <c r="D106" s="403">
        <f>D105/Operating!D45</f>
        <v>5.7526134264674837E-2</v>
      </c>
      <c r="E106" s="403">
        <f>E105/Operating!E45</f>
        <v>5.0889412089306613E-2</v>
      </c>
      <c r="F106" s="400">
        <f>F105/Operating!F45</f>
        <v>5.0889412089306613E-2</v>
      </c>
      <c r="G106" s="403">
        <f>G105/Operating!G45</f>
        <v>5.2133579742316194E-2</v>
      </c>
      <c r="H106" s="403">
        <f>H105/Operating!H45</f>
        <v>5.164660244651794E-2</v>
      </c>
      <c r="I106" s="403">
        <f>I105/Operating!I45</f>
        <v>5.7745429165326913E-2</v>
      </c>
      <c r="J106" s="403">
        <f>J105/Operating!J45</f>
        <v>4.3240516325550586E-2</v>
      </c>
      <c r="K106" s="400">
        <f>K105/Operating!K45</f>
        <v>4.3240516325550586E-2</v>
      </c>
      <c r="L106" s="403">
        <f>L105/Operating!L45</f>
        <v>3.8582659658371314E-2</v>
      </c>
      <c r="M106" s="403">
        <f>M105/Operating!M45</f>
        <v>3.5638557260945558E-2</v>
      </c>
      <c r="N106" s="403">
        <f>N105/Operating!N45</f>
        <v>3.2613483877481544E-2</v>
      </c>
      <c r="O106" s="403">
        <f>O105/Operating!O45</f>
        <v>2.8485085326782053E-2</v>
      </c>
      <c r="P106" s="400">
        <f>P105/Operating!P45</f>
        <v>2.8485085326782053E-2</v>
      </c>
      <c r="Q106" s="403">
        <f>Q105/Operating!Q45</f>
        <v>3.3412390998251419E-2</v>
      </c>
      <c r="R106" s="403">
        <f>R105/Operating!R45</f>
        <v>3.4411907408534594E-2</v>
      </c>
      <c r="S106" s="403">
        <f>S105/Operating!S45</f>
        <v>3.5191888739461739E-2</v>
      </c>
      <c r="T106" s="403">
        <f>T105/Operating!T45</f>
        <v>4.656285378664958E-2</v>
      </c>
      <c r="U106" s="400">
        <f>U105/Operating!U45</f>
        <v>4.656285378664958E-2</v>
      </c>
      <c r="V106" s="403">
        <f>V105/Operating!V45</f>
        <v>4.5884980913484613E-2</v>
      </c>
      <c r="W106" s="403">
        <f>W105/Operating!W45</f>
        <v>4.324875649433841E-2</v>
      </c>
      <c r="X106" s="403">
        <f>X105/Operating!X45</f>
        <v>4.7543975583055592E-2</v>
      </c>
      <c r="Y106" s="403">
        <f>Y105/Operating!Y45</f>
        <v>4.5004424887549958E-2</v>
      </c>
      <c r="Z106" s="400">
        <f>Z105/Operating!Z45</f>
        <v>4.5004424887549958E-2</v>
      </c>
      <c r="AA106" s="403">
        <f>AA105/Operating!AA45</f>
        <v>4.3818066359220594E-2</v>
      </c>
      <c r="AB106" s="403">
        <f>AB105/Operating!AB45</f>
        <v>4.2773954486344079E-2</v>
      </c>
      <c r="AC106" s="403">
        <f>AC105/Operating!AC45</f>
        <v>4.2190582350474487E-2</v>
      </c>
      <c r="AD106" s="403">
        <f>AD105/Operating!AD45</f>
        <v>3.9433761501382156E-2</v>
      </c>
      <c r="AE106" s="400">
        <f>AE105/Operating!AE45</f>
        <v>3.9433761501382156E-2</v>
      </c>
      <c r="AF106" s="403">
        <f>AF105/Operating!AF45</f>
        <v>3.8422409123060761E-2</v>
      </c>
      <c r="AG106" s="403">
        <f>AG105/Operating!AG45</f>
        <v>3.8586351365796197E-2</v>
      </c>
      <c r="AH106" s="403">
        <f>AH105/Operating!AH45</f>
        <v>3.9567493083294686E-2</v>
      </c>
      <c r="AI106" s="403">
        <f>AI105/Operating!AI45</f>
        <v>3.6036714374666295E-2</v>
      </c>
      <c r="AJ106" s="400">
        <f>AJ105/Operating!AJ45</f>
        <v>3.6036714374666295E-2</v>
      </c>
      <c r="AK106" s="403">
        <f>AK105/Operating!AK45</f>
        <v>3.6008460043129076E-2</v>
      </c>
      <c r="AL106" s="403">
        <f>AL105/Operating!AL45</f>
        <v>4.0263068225197089E-2</v>
      </c>
      <c r="AM106" s="403">
        <f>AM105/Operating!AM45</f>
        <v>4.2622602410198704E-2</v>
      </c>
      <c r="AN106" s="403">
        <f>AN105/Operating!AN45</f>
        <v>3.9213800134829974E-2</v>
      </c>
      <c r="AO106" s="400">
        <f>AO105/Operating!AO45</f>
        <v>3.9213800134829974E-2</v>
      </c>
      <c r="AP106" s="403">
        <f>AP105/Operating!AP45</f>
        <v>3.7830687452722493E-2</v>
      </c>
      <c r="AQ106" s="403">
        <f>AQ105/Operating!AQ45</f>
        <v>4.6205098462859098E-2</v>
      </c>
      <c r="AR106" s="403">
        <f>AR105/Operating!AR45</f>
        <v>5.1065317809109063E-2</v>
      </c>
      <c r="AS106" s="403">
        <f>AS105/Operating!AS45</f>
        <v>4.9683056322877055E-2</v>
      </c>
      <c r="AT106" s="400">
        <f>AT105/Operating!AT45</f>
        <v>4.9683056322877055E-2</v>
      </c>
      <c r="AU106" s="403">
        <f>AU105/Operating!AU45</f>
        <v>5.3250426418907093E-2</v>
      </c>
      <c r="AV106" s="403">
        <f>AV105/Operating!AV45</f>
        <v>5.5736659859318742E-2</v>
      </c>
      <c r="AW106" s="403">
        <f>AW105/Operating!AW45</f>
        <v>5.6984637827420602E-2</v>
      </c>
      <c r="AX106" s="403">
        <f>AX105/Operating!AX45</f>
        <v>5.9542051964280467E-2</v>
      </c>
      <c r="AY106" s="400">
        <f>AY105/Operating!AY45</f>
        <v>5.9542051964280467E-2</v>
      </c>
      <c r="AZ106" s="403">
        <f>AZ105/Operating!AZ45</f>
        <v>6.7834447903568323E-2</v>
      </c>
      <c r="BA106" s="403">
        <f>BA105/Operating!BA45</f>
        <v>7.1814452053954189E-2</v>
      </c>
      <c r="BB106" s="403">
        <f>BB105/Operating!BB45</f>
        <v>5.8273258049751968E-2</v>
      </c>
      <c r="BC106" s="403">
        <f>BC105/Operating!BC45</f>
        <v>7.2113487797785217E-2</v>
      </c>
      <c r="BD106" s="400">
        <f>BD105/Operating!BD45</f>
        <v>7.2113487797785217E-2</v>
      </c>
      <c r="BE106" s="403">
        <f>BE105/Operating!BE45</f>
        <v>7.2439707277145868E-2</v>
      </c>
      <c r="BF106" s="403">
        <f>BF105/Operating!BF45</f>
        <v>7.8515406119322881E-2</v>
      </c>
      <c r="BG106" s="403">
        <f>BG105/Operating!BG45</f>
        <v>9.3222833713401468E-2</v>
      </c>
      <c r="BH106" s="403">
        <f>BH105/Operating!BH45</f>
        <v>9.3501943466891071E-2</v>
      </c>
      <c r="BI106" s="400">
        <f>BI105/Operating!BI45</f>
        <v>9.3501943466891071E-2</v>
      </c>
      <c r="BJ106" s="403">
        <f>BJ105/Operating!BJ45</f>
        <v>9.185920714506178E-2</v>
      </c>
      <c r="BK106" s="403">
        <f>BK105/Operating!BK45</f>
        <v>8.0071945354537988E-2</v>
      </c>
      <c r="BL106" s="403">
        <f>BL105/Operating!BL45</f>
        <v>8.9575991429643093E-2</v>
      </c>
      <c r="BM106" s="403">
        <f>BM105/Operating!BM45</f>
        <v>9.8256756649667765E-2</v>
      </c>
      <c r="BN106" s="400">
        <f>BN105/Operating!BN45</f>
        <v>9.8256756649667765E-2</v>
      </c>
      <c r="BO106" s="403">
        <f>BO105/Operating!BO45</f>
        <v>9.3295610227014367E-2</v>
      </c>
      <c r="BP106" s="403">
        <f>BP105/Operating!BP45</f>
        <v>9.339218888070773E-2</v>
      </c>
      <c r="BQ106" s="403">
        <f>BQ105/Operating!BQ45</f>
        <v>9.1955143298739689E-2</v>
      </c>
      <c r="BR106" s="403">
        <f>BR105/Operating!BR45</f>
        <v>8.861776641897634E-2</v>
      </c>
      <c r="BS106" s="400">
        <f>BS105/Operating!BS45</f>
        <v>8.861776641897634E-2</v>
      </c>
      <c r="BT106" s="403">
        <f>BT105/Operating!BT45</f>
        <v>0.20070983957609251</v>
      </c>
      <c r="BU106" s="403">
        <f>BU105/Operating!BU45</f>
        <v>0.16642452922207399</v>
      </c>
      <c r="BV106" s="403">
        <f>BV105/Operating!BV45</f>
        <v>0.17316609281882717</v>
      </c>
      <c r="BW106" s="403">
        <f>BW105/Operating!BW45</f>
        <v>0.15443623457470554</v>
      </c>
      <c r="BX106" s="400">
        <f>BX105/Operating!BX45</f>
        <v>0.15443623457470554</v>
      </c>
      <c r="BY106" s="403">
        <f>BY105/Operating!BY45</f>
        <v>0.18054976651450758</v>
      </c>
      <c r="BZ106" s="403">
        <f>BZ105/Operating!BZ45</f>
        <v>0.19273600187371182</v>
      </c>
      <c r="CA106" s="403">
        <f>CA105/Operating!CA45</f>
        <v>0.22460085319105708</v>
      </c>
      <c r="CB106" s="403">
        <f>CB105/Operating!CB45</f>
        <v>0.16238193639433496</v>
      </c>
      <c r="CC106" s="25">
        <f>CC105/Operating!CC45</f>
        <v>0.16238193639433496</v>
      </c>
      <c r="CD106" s="403">
        <f>CD105/Operating!CD45</f>
        <v>0.17950032967032967</v>
      </c>
      <c r="CE106" s="403">
        <f>CE105/Operating!CE45</f>
        <v>0.18562760457754549</v>
      </c>
      <c r="CF106" s="494">
        <f>CE106</f>
        <v>0.18562760457754549</v>
      </c>
      <c r="CG106" s="494">
        <f>CF106</f>
        <v>0.18562760457754549</v>
      </c>
      <c r="CH106" s="25">
        <f>CH105/Operating!CH45</f>
        <v>0.18562760457754549</v>
      </c>
      <c r="CI106" s="494">
        <f>CG106</f>
        <v>0.18562760457754549</v>
      </c>
      <c r="CJ106" s="494">
        <f>CI106</f>
        <v>0.18562760457754549</v>
      </c>
      <c r="CK106" s="494">
        <f>CJ106</f>
        <v>0.18562760457754549</v>
      </c>
      <c r="CL106" s="494">
        <f>CK106</f>
        <v>0.18562760457754549</v>
      </c>
      <c r="CM106" s="25">
        <f>CM105/Operating!CM45</f>
        <v>0.18562760457754549</v>
      </c>
      <c r="CN106" s="494">
        <f>CL106</f>
        <v>0.18562760457754549</v>
      </c>
      <c r="CO106" s="494">
        <f>CN106</f>
        <v>0.18562760457754549</v>
      </c>
      <c r="CP106" s="494">
        <f>CO106</f>
        <v>0.18562760457754549</v>
      </c>
      <c r="CQ106" s="494">
        <f>CP106</f>
        <v>0.18562760457754549</v>
      </c>
      <c r="CR106" s="25">
        <f>CR105/Operating!CR45</f>
        <v>0.18562760457754549</v>
      </c>
      <c r="CS106" s="494">
        <f>CQ106</f>
        <v>0.18562760457754549</v>
      </c>
      <c r="CT106" s="494">
        <f>CS106</f>
        <v>0.18562760457754549</v>
      </c>
      <c r="CU106" s="494">
        <f>CT106</f>
        <v>0.18562760457754549</v>
      </c>
      <c r="CV106" s="494">
        <f>CU106</f>
        <v>0.18562760457754549</v>
      </c>
      <c r="CW106" s="25">
        <f>CW105/Operating!CW45</f>
        <v>0.18562760457754549</v>
      </c>
      <c r="CX106" s="494">
        <f>CV106</f>
        <v>0.18562760457754549</v>
      </c>
      <c r="CY106" s="494">
        <f>CX106</f>
        <v>0.18562760457754549</v>
      </c>
      <c r="CZ106" s="494">
        <f>CY106</f>
        <v>0.18562760457754549</v>
      </c>
      <c r="DA106" s="494">
        <f>CZ106</f>
        <v>0.18562760457754549</v>
      </c>
      <c r="DB106" s="25">
        <f>DB105/Operating!DB45</f>
        <v>0.18562760457754549</v>
      </c>
    </row>
    <row r="107" spans="1:106" ht="11.5" customHeight="1" x14ac:dyDescent="0.35">
      <c r="A107" s="19" t="s">
        <v>244</v>
      </c>
      <c r="B107" s="97">
        <f>B14</f>
        <v>820453</v>
      </c>
      <c r="C107" s="97">
        <f>C14</f>
        <v>850497</v>
      </c>
      <c r="D107" s="97">
        <f>D14</f>
        <v>943970</v>
      </c>
      <c r="E107" s="97">
        <f>E14</f>
        <v>1376495</v>
      </c>
      <c r="F107" s="98">
        <f>E107</f>
        <v>1376495</v>
      </c>
      <c r="G107" s="97">
        <f>G14</f>
        <v>1415418</v>
      </c>
      <c r="H107" s="97">
        <f>H14</f>
        <v>1442083</v>
      </c>
      <c r="I107" s="97">
        <f>I14</f>
        <v>1323187</v>
      </c>
      <c r="J107" s="97">
        <f>J14</f>
        <v>1500978</v>
      </c>
      <c r="K107" s="98">
        <f>J107</f>
        <v>1500978</v>
      </c>
      <c r="L107" s="97">
        <f>L14</f>
        <v>1569172</v>
      </c>
      <c r="M107" s="97">
        <f>M14</f>
        <v>1887006</v>
      </c>
      <c r="N107" s="97">
        <f>N14</f>
        <v>1712936</v>
      </c>
      <c r="O107" s="97">
        <f>O14</f>
        <v>1772546</v>
      </c>
      <c r="P107" s="98">
        <f>O107</f>
        <v>1772546</v>
      </c>
      <c r="Q107" s="97">
        <f>Q14</f>
        <v>1646358</v>
      </c>
      <c r="R107" s="97">
        <f>R14</f>
        <v>1735015</v>
      </c>
      <c r="S107" s="97">
        <f>S14</f>
        <v>1829995</v>
      </c>
      <c r="T107" s="97">
        <f>T14</f>
        <v>1807447</v>
      </c>
      <c r="U107" s="98">
        <f>T107</f>
        <v>1807447</v>
      </c>
      <c r="V107" s="97">
        <f>V14</f>
        <v>1987089</v>
      </c>
      <c r="W107" s="97">
        <f>W14</f>
        <v>2044752</v>
      </c>
      <c r="X107" s="97">
        <f>X14</f>
        <v>2232095</v>
      </c>
      <c r="Y107" s="97">
        <f>Y14</f>
        <v>2047907</v>
      </c>
      <c r="Z107" s="98">
        <f>Y107</f>
        <v>2047907</v>
      </c>
      <c r="AA107" s="97">
        <f>AA14</f>
        <v>2076785</v>
      </c>
      <c r="AB107" s="97">
        <f>AB14</f>
        <v>2226144</v>
      </c>
      <c r="AC107" s="97">
        <f>AC14</f>
        <v>2236340</v>
      </c>
      <c r="AD107" s="97">
        <f>AD14</f>
        <v>2218252</v>
      </c>
      <c r="AE107" s="98">
        <f>AD107</f>
        <v>2218252</v>
      </c>
      <c r="AF107" s="97">
        <f>AF14</f>
        <v>2219961</v>
      </c>
      <c r="AG107" s="97">
        <f>AG14</f>
        <v>2373487</v>
      </c>
      <c r="AH107" s="97">
        <f>AH14</f>
        <v>2358509</v>
      </c>
      <c r="AI107" s="97">
        <f>AI14</f>
        <v>2303216</v>
      </c>
      <c r="AJ107" s="98">
        <f>AI107</f>
        <v>2303216</v>
      </c>
      <c r="AK107" s="97">
        <f>AK14</f>
        <v>2206559</v>
      </c>
      <c r="AL107" s="97">
        <f>AL14</f>
        <v>2078814</v>
      </c>
      <c r="AM107" s="97">
        <f>AM14</f>
        <v>1987179</v>
      </c>
      <c r="AN107" s="97">
        <f>AN14</f>
        <v>1766257</v>
      </c>
      <c r="AO107" s="98">
        <f>AN107</f>
        <v>1766257</v>
      </c>
      <c r="AP107" s="97">
        <f>AP14</f>
        <v>1717662</v>
      </c>
      <c r="AQ107" s="97">
        <f>AQ14</f>
        <v>1119993</v>
      </c>
      <c r="AR107" s="97">
        <f>AR14</f>
        <v>757038</v>
      </c>
      <c r="AS107" s="97">
        <f>AS14</f>
        <v>1094648</v>
      </c>
      <c r="AT107" s="98">
        <f>AS107</f>
        <v>1094648</v>
      </c>
      <c r="AU107" s="97">
        <f>AU14</f>
        <v>1118238</v>
      </c>
      <c r="AV107" s="97">
        <f>AV14</f>
        <v>1200224</v>
      </c>
      <c r="AW107" s="97">
        <f>AW14</f>
        <v>1253025</v>
      </c>
      <c r="AX107" s="97">
        <f>AX14</f>
        <v>1222349</v>
      </c>
      <c r="AY107" s="98">
        <f>AX107</f>
        <v>1222349</v>
      </c>
      <c r="AZ107" s="97">
        <f>AZ14</f>
        <v>1237154</v>
      </c>
      <c r="BA107" s="97">
        <f>BA14</f>
        <v>1360836</v>
      </c>
      <c r="BB107" s="97">
        <f>BB14</f>
        <v>1016061</v>
      </c>
      <c r="BC107" s="97">
        <f>BC14</f>
        <v>916410</v>
      </c>
      <c r="BD107" s="98">
        <f>BC107</f>
        <v>916410</v>
      </c>
      <c r="BE107" s="97">
        <f>BE14</f>
        <v>1158145</v>
      </c>
      <c r="BF107" s="97">
        <f>BF14</f>
        <v>1263696</v>
      </c>
      <c r="BG107" s="97">
        <f>BG14</f>
        <v>1361912</v>
      </c>
      <c r="BH107" s="97">
        <f>BH14</f>
        <v>1685660</v>
      </c>
      <c r="BI107" s="98">
        <f>BH107</f>
        <v>1685660</v>
      </c>
      <c r="BJ107" s="97">
        <f>BJ14</f>
        <v>1835593</v>
      </c>
      <c r="BK107" s="97">
        <f>BK14</f>
        <v>1900345</v>
      </c>
      <c r="BL107" s="97">
        <f>BL14</f>
        <v>1957465</v>
      </c>
      <c r="BM107" s="97">
        <f>BM14</f>
        <v>2134572</v>
      </c>
      <c r="BN107" s="98">
        <f>BM107</f>
        <v>2134572</v>
      </c>
      <c r="BO107" s="97">
        <f>BO14</f>
        <v>2198409</v>
      </c>
      <c r="BP107" s="97">
        <f>BP14</f>
        <v>2320232</v>
      </c>
      <c r="BQ107" s="97">
        <f>BQ14</f>
        <v>2233645</v>
      </c>
      <c r="BR107" s="97">
        <f>BR14</f>
        <v>2282025</v>
      </c>
      <c r="BS107" s="98">
        <f>BR107</f>
        <v>2282025</v>
      </c>
      <c r="BT107" s="97">
        <f>BT14</f>
        <v>2348379</v>
      </c>
      <c r="BU107" s="97">
        <f>BU14</f>
        <v>2324088</v>
      </c>
      <c r="BV107" s="97">
        <f>BV14</f>
        <v>2396709</v>
      </c>
      <c r="BW107" s="97">
        <f>BW14</f>
        <v>2600662</v>
      </c>
      <c r="BX107" s="98">
        <f>BW107</f>
        <v>2600662</v>
      </c>
      <c r="BY107" s="97">
        <f>BY14</f>
        <v>2624030</v>
      </c>
      <c r="BZ107" s="97">
        <f>BZ14</f>
        <v>2508323</v>
      </c>
      <c r="CA107" s="97">
        <f>CA14</f>
        <v>2423455</v>
      </c>
      <c r="CB107" s="97">
        <f>CB14</f>
        <v>3458432</v>
      </c>
      <c r="CC107" s="98">
        <f>CB107</f>
        <v>3458432</v>
      </c>
      <c r="CD107" s="97">
        <f>CD14</f>
        <v>3578165</v>
      </c>
      <c r="CE107" s="97">
        <f>CE14</f>
        <v>3693567</v>
      </c>
      <c r="CF107" s="431">
        <f>CF108*(Operating!CF25+Operating!CF26)</f>
        <v>3890450.9060415518</v>
      </c>
      <c r="CG107" s="431">
        <f>CG108*(Operating!CG25+Operating!CG26)</f>
        <v>3983315.6395553653</v>
      </c>
      <c r="CH107" s="98">
        <f>CG107</f>
        <v>3983315.6395553653</v>
      </c>
      <c r="CI107" s="431">
        <f>CI108*(Operating!CI25+Operating!CI26)</f>
        <v>3890439.7407647837</v>
      </c>
      <c r="CJ107" s="431">
        <f>CJ108*(Operating!CJ25+Operating!CJ26)</f>
        <v>3873770.3000646927</v>
      </c>
      <c r="CK107" s="431">
        <f>CK108*(Operating!CK25+Operating!CK26)</f>
        <v>4013886.5495226658</v>
      </c>
      <c r="CL107" s="431">
        <f>CL108*(Operating!CL25+Operating!CL26)</f>
        <v>4184769.2550047711</v>
      </c>
      <c r="CM107" s="98">
        <f>CL107</f>
        <v>4184769.2550047711</v>
      </c>
      <c r="CN107" s="431">
        <f>CN108*(Operating!CN25+Operating!CN26)</f>
        <v>3893228.5895814043</v>
      </c>
      <c r="CO107" s="431">
        <f>CO108*(Operating!CO25+Operating!CO26)</f>
        <v>3830918.7058919338</v>
      </c>
      <c r="CP107" s="431">
        <f>CP108*(Operating!CP25+Operating!CP26)</f>
        <v>3937792.4766423828</v>
      </c>
      <c r="CQ107" s="431">
        <f>CQ108*(Operating!CQ25+Operating!CQ26)</f>
        <v>4222541.3752576802</v>
      </c>
      <c r="CR107" s="98">
        <f>CQ107</f>
        <v>4222541.3752576802</v>
      </c>
      <c r="CS107" s="431">
        <f>CS108*(Operating!CS25+Operating!CS26)</f>
        <v>3918171.4006061982</v>
      </c>
      <c r="CT107" s="431">
        <f>CT108*(Operating!CT25+Operating!CT26)</f>
        <v>3865416.6091692313</v>
      </c>
      <c r="CU107" s="431">
        <f>CU108*(Operating!CU25+Operating!CU26)</f>
        <v>3990444.2384461234</v>
      </c>
      <c r="CV107" s="431">
        <f>CV108*(Operating!CV25+Operating!CV26)</f>
        <v>4285358.2749226503</v>
      </c>
      <c r="CW107" s="98">
        <f>CV107</f>
        <v>4285358.2749226503</v>
      </c>
      <c r="CX107" s="431">
        <f>CX108*(Operating!CX25+Operating!CX26)</f>
        <v>4012314.7009930997</v>
      </c>
      <c r="CY107" s="431">
        <f>CY108*(Operating!CY25+Operating!CY26)</f>
        <v>3992919.192653846</v>
      </c>
      <c r="CZ107" s="431">
        <f>CZ108*(Operating!CZ25+Operating!CZ26)</f>
        <v>4146122.3403670285</v>
      </c>
      <c r="DA107" s="431">
        <f>DA108*(Operating!DA25+Operating!DA26)</f>
        <v>4464820.473735542</v>
      </c>
      <c r="DB107" s="98">
        <f>DA107</f>
        <v>4464820.473735542</v>
      </c>
    </row>
    <row r="108" spans="1:106" ht="11.5" customHeight="1" x14ac:dyDescent="0.35">
      <c r="A108" s="163" t="s">
        <v>243</v>
      </c>
      <c r="B108" s="24" t="e">
        <f>B107/(Operating!B25+Operating!B26)</f>
        <v>#DIV/0!</v>
      </c>
      <c r="C108" s="24" t="e">
        <f>C107/(Operating!C25+Operating!C26)</f>
        <v>#DIV/0!</v>
      </c>
      <c r="D108" s="24" t="e">
        <f>D107/(Operating!D25+Operating!D26)</f>
        <v>#DIV/0!</v>
      </c>
      <c r="E108" s="24">
        <f>E107/(Operating!E25+Operating!E26)</f>
        <v>0.3231739957269974</v>
      </c>
      <c r="F108" s="25">
        <f>F107/(Operating!F25+Operating!F26)</f>
        <v>0.3231739957269974</v>
      </c>
      <c r="G108" s="24">
        <f>G107/(Operating!G25+Operating!G26)</f>
        <v>0.29761515601783056</v>
      </c>
      <c r="H108" s="24">
        <f>H107/(Operating!H25+Operating!H26)</f>
        <v>0.27455522202407767</v>
      </c>
      <c r="I108" s="24">
        <f>I107/(Operating!I25+Operating!I26)</f>
        <v>0.23015950600104365</v>
      </c>
      <c r="J108" s="24">
        <f>J107/(Operating!J25+Operating!J26)</f>
        <v>0.23038802762854951</v>
      </c>
      <c r="K108" s="25">
        <f>K107/(Operating!K25+Operating!K26)</f>
        <v>0.23038802762854951</v>
      </c>
      <c r="L108" s="24">
        <f>L107/(Operating!L25+Operating!L26)</f>
        <v>0.24499172521467602</v>
      </c>
      <c r="M108" s="24">
        <f>M107/(Operating!M25+Operating!M26)</f>
        <v>0.30211431316042264</v>
      </c>
      <c r="N108" s="24">
        <f>N107/(Operating!N25+Operating!N26)</f>
        <v>0.32694836782440839</v>
      </c>
      <c r="O108" s="24">
        <f>O107/(Operating!O25+Operating!O26)</f>
        <v>0.31241349383808581</v>
      </c>
      <c r="P108" s="25">
        <f>P107/(Operating!P25+Operating!P26)</f>
        <v>0.31241349383808581</v>
      </c>
      <c r="Q108" s="24">
        <f>Q107/(Operating!Q25+Operating!Q26)</f>
        <v>0.29953060697248757</v>
      </c>
      <c r="R108" s="24">
        <f>R107/(Operating!R25+Operating!R26)</f>
        <v>0.32585762307854521</v>
      </c>
      <c r="S108" s="24">
        <f>S107/(Operating!S25+Operating!S26)</f>
        <v>0.34544424205793217</v>
      </c>
      <c r="T108" s="24">
        <f>T107/(Operating!T25+Operating!T26)</f>
        <v>0.31526591337201659</v>
      </c>
      <c r="U108" s="25">
        <f>U107/(Operating!U25+Operating!U26)</f>
        <v>0.31526591337201659</v>
      </c>
      <c r="V108" s="24">
        <f>V107/(Operating!V25+Operating!V26)</f>
        <v>0.32640315065291614</v>
      </c>
      <c r="W108" s="24">
        <f>W107/(Operating!W25+Operating!W26)</f>
        <v>0.34452912835927563</v>
      </c>
      <c r="X108" s="24">
        <f>X107/(Operating!X25+Operating!X26)</f>
        <v>0.39421991225129582</v>
      </c>
      <c r="Y108" s="24">
        <f>Y107/(Operating!Y25+Operating!Y26)</f>
        <v>0.34405206223453921</v>
      </c>
      <c r="Z108" s="25">
        <f>Z107/(Operating!Z25+Operating!Z26)</f>
        <v>0.34405206223453921</v>
      </c>
      <c r="AA108" s="24">
        <f>AA107/(Operating!AA25+Operating!AA26)</f>
        <v>0.38732191615170442</v>
      </c>
      <c r="AB108" s="24">
        <f>AB107/(Operating!AB25+Operating!AB26)</f>
        <v>0.40780100119136686</v>
      </c>
      <c r="AC108" s="24">
        <f>AC107/(Operating!AC25+Operating!AC26)</f>
        <v>0.43761876321228244</v>
      </c>
      <c r="AD108" s="24">
        <f>AD107/(Operating!AD25+Operating!AD26)</f>
        <v>0.44940363713613241</v>
      </c>
      <c r="AE108" s="25">
        <f>AE107/(Operating!AE25+Operating!AE26)</f>
        <v>0.44940363713613241</v>
      </c>
      <c r="AF108" s="24">
        <f>AF107/(Operating!AF25+Operating!AF26)</f>
        <v>0.49079098600377608</v>
      </c>
      <c r="AG108" s="24">
        <f>AG107/(Operating!AG25+Operating!AG26)</f>
        <v>0.53336312595057034</v>
      </c>
      <c r="AH108" s="24">
        <f>AH107/(Operating!AH25+Operating!AH26)</f>
        <v>0.55224676819571539</v>
      </c>
      <c r="AI108" s="24">
        <f>AI107/(Operating!AI25+Operating!AI26)</f>
        <v>0.55695971024513324</v>
      </c>
      <c r="AJ108" s="25">
        <f>AJ107/(Operating!AJ25+Operating!AJ26)</f>
        <v>0.55695971024513324</v>
      </c>
      <c r="AK108" s="24">
        <f>AK107/(Operating!AK25+Operating!AK26)</f>
        <v>0.52622000564748184</v>
      </c>
      <c r="AL108" s="24">
        <f>AL107/(Operating!AL25+Operating!AL26)</f>
        <v>0.52293725200231223</v>
      </c>
      <c r="AM108" s="24">
        <f>AM107/(Operating!AM25+Operating!AM26)</f>
        <v>0.55887375453584065</v>
      </c>
      <c r="AN108" s="24">
        <f>AN107/(Operating!AN25+Operating!AN26)</f>
        <v>0.49230384630480684</v>
      </c>
      <c r="AO108" s="25">
        <f>AO107/(Operating!AO25+Operating!AO26)</f>
        <v>0.49230384630480684</v>
      </c>
      <c r="AP108" s="24">
        <f>AP107/(Operating!AP25+Operating!AP26)</f>
        <v>0.51770632299228236</v>
      </c>
      <c r="AQ108" s="24">
        <f>AQ107/(Operating!AQ25+Operating!AQ26)</f>
        <v>0.41681897733324996</v>
      </c>
      <c r="AR108" s="24">
        <f>AR107/(Operating!AR25+Operating!AR26)</f>
        <v>0.27714395289643051</v>
      </c>
      <c r="AS108" s="24">
        <f>AS107/(Operating!AS25+Operating!AS26)</f>
        <v>0.34515144235353423</v>
      </c>
      <c r="AT108" s="25">
        <f>AT107/(Operating!AT25+Operating!AT26)</f>
        <v>0.34515144235353423</v>
      </c>
      <c r="AU108" s="24">
        <f>AU107/(Operating!AU25+Operating!AU26)</f>
        <v>0.55166280793080313</v>
      </c>
      <c r="AV108" s="24">
        <f>AV107/(Operating!AV25+Operating!AV26)</f>
        <v>0.49655699304176121</v>
      </c>
      <c r="AW108" s="24">
        <f>AW107/(Operating!AW25+Operating!AW26)</f>
        <v>0.51059517644965902</v>
      </c>
      <c r="AX108" s="24">
        <f>AX107/(Operating!AX25+Operating!AX26)</f>
        <v>0.47921936086333822</v>
      </c>
      <c r="AY108" s="25">
        <f>AY107/(Operating!AY25+Operating!AY26)</f>
        <v>0.47921936086333822</v>
      </c>
      <c r="AZ108" s="24">
        <f>AZ107/(Operating!AZ25+Operating!AZ26)</f>
        <v>0.44782457224120858</v>
      </c>
      <c r="BA108" s="24">
        <f>BA107/(Operating!BA25+Operating!BA26)</f>
        <v>0.51528867066848905</v>
      </c>
      <c r="BB108" s="24">
        <f>BB107/(Operating!BB25+Operating!BB26)</f>
        <v>0.35774065700105295</v>
      </c>
      <c r="BC108" s="24">
        <f>BC107/(Operating!BC25+Operating!BC26)</f>
        <v>0.23228384968574803</v>
      </c>
      <c r="BD108" s="25">
        <f>BD107/(Operating!BD25+Operating!BD26)</f>
        <v>0.23228384968574803</v>
      </c>
      <c r="BE108" s="24">
        <f>BE107/(Operating!BE25+Operating!BE26)</f>
        <v>0.31944001995896787</v>
      </c>
      <c r="BF108" s="24">
        <f>BF107/(Operating!BF25+Operating!BF26)</f>
        <v>0.2898908111179565</v>
      </c>
      <c r="BG108" s="24">
        <f>BG107/(Operating!BG25+Operating!BG26)</f>
        <v>0.2472612304360764</v>
      </c>
      <c r="BH108" s="24">
        <f>BH107/(Operating!BH25+Operating!BH26)</f>
        <v>0.25991123586470477</v>
      </c>
      <c r="BI108" s="25">
        <f>BI107/(Operating!BI25+Operating!BI26)</f>
        <v>0.25991123586470477</v>
      </c>
      <c r="BJ108" s="24">
        <f>BJ107/(Operating!BJ25+Operating!BJ26)</f>
        <v>0.2973823408724543</v>
      </c>
      <c r="BK108" s="24">
        <f>BK107/(Operating!BK25+Operating!BK26)</f>
        <v>0.26887384472953912</v>
      </c>
      <c r="BL108" s="24">
        <f>BL107/(Operating!BL25+Operating!BL26)</f>
        <v>0.25663094704478401</v>
      </c>
      <c r="BM108" s="24">
        <f>BM107/(Operating!BM25+Operating!BM26)</f>
        <v>0.27123844989939905</v>
      </c>
      <c r="BN108" s="25">
        <f>BN107/(Operating!BN25+Operating!BN26)</f>
        <v>0.27123844989939905</v>
      </c>
      <c r="BO108" s="24">
        <f>BO107/(Operating!BO25+Operating!BO26)</f>
        <v>0.2952617997779064</v>
      </c>
      <c r="BP108" s="24">
        <f>BP107/(Operating!BP25+Operating!BP26)</f>
        <v>0.27240597342595302</v>
      </c>
      <c r="BQ108" s="24">
        <f>BQ107/(Operating!BQ25+Operating!BQ26)</f>
        <v>0.26658795214495223</v>
      </c>
      <c r="BR108" s="24">
        <f>BR107/(Operating!BR25+Operating!BR26)</f>
        <v>0.27337746001755886</v>
      </c>
      <c r="BS108" s="25">
        <f>BS107/(Operating!BS25+Operating!BS26)</f>
        <v>0.27337746001755886</v>
      </c>
      <c r="BT108" s="24">
        <f>BT107/(Operating!BT25+Operating!BT26)</f>
        <v>0.29134387165744902</v>
      </c>
      <c r="BU108" s="24">
        <f>BU107/(Operating!BU25+Operating!BU26)</f>
        <v>0.31596390663398366</v>
      </c>
      <c r="BV108" s="24">
        <f>BV107/(Operating!BV25+Operating!BV26)</f>
        <v>0.3248732762842852</v>
      </c>
      <c r="BW108" s="24">
        <f>BW107/(Operating!BW25+Operating!BW26)</f>
        <v>0.28768924534549811</v>
      </c>
      <c r="BX108" s="25">
        <f>BX107/(Operating!BX25+Operating!BX26)</f>
        <v>0.28768924534549811</v>
      </c>
      <c r="BY108" s="24">
        <f>BY107/(Operating!BY25+Operating!BY26)</f>
        <v>0.24141177877846276</v>
      </c>
      <c r="BZ108" s="24">
        <f>BZ107/(Operating!BZ25+Operating!BZ26)</f>
        <v>0.21971385280632966</v>
      </c>
      <c r="CA108" s="24">
        <f>CA107/(Operating!CA25+Operating!CA26)</f>
        <v>0.18677851702363762</v>
      </c>
      <c r="CB108" s="24">
        <f>CB107/(Operating!CB25+Operating!CB26)</f>
        <v>0.24682427870534368</v>
      </c>
      <c r="CC108" s="25">
        <f>CC107/(Operating!CC25+Operating!CC26)</f>
        <v>0.24682427870534368</v>
      </c>
      <c r="CD108" s="24">
        <f>CD107/(Operating!CD25+Operating!CD26)</f>
        <v>0.2680367413844309</v>
      </c>
      <c r="CE108" s="24">
        <f>CE107/(Operating!CE25+Operating!CE26)</f>
        <v>0.2457026777623609</v>
      </c>
      <c r="CF108" s="494">
        <f>CE108</f>
        <v>0.2457026777623609</v>
      </c>
      <c r="CG108" s="494">
        <f>CF108</f>
        <v>0.2457026777623609</v>
      </c>
      <c r="CH108" s="25">
        <f>CH107/(Operating!CH25+Operating!CH26)</f>
        <v>0.2457026777623609</v>
      </c>
      <c r="CI108" s="494">
        <f>CG108</f>
        <v>0.2457026777623609</v>
      </c>
      <c r="CJ108" s="494">
        <f>CI108</f>
        <v>0.2457026777623609</v>
      </c>
      <c r="CK108" s="494">
        <f>CJ108</f>
        <v>0.2457026777623609</v>
      </c>
      <c r="CL108" s="494">
        <f>CK108</f>
        <v>0.2457026777623609</v>
      </c>
      <c r="CM108" s="25">
        <f>CM107/(Operating!CM25+Operating!CM26)</f>
        <v>0.2457026777623609</v>
      </c>
      <c r="CN108" s="494">
        <f>CL108</f>
        <v>0.2457026777623609</v>
      </c>
      <c r="CO108" s="494">
        <f>CN108</f>
        <v>0.2457026777623609</v>
      </c>
      <c r="CP108" s="494">
        <f>CO108</f>
        <v>0.2457026777623609</v>
      </c>
      <c r="CQ108" s="494">
        <f>CP108</f>
        <v>0.2457026777623609</v>
      </c>
      <c r="CR108" s="25">
        <f>CR107/(Operating!CR25+Operating!CR26)</f>
        <v>0.2457026777623609</v>
      </c>
      <c r="CS108" s="494">
        <f>CQ108</f>
        <v>0.2457026777623609</v>
      </c>
      <c r="CT108" s="494">
        <f>CS108</f>
        <v>0.2457026777623609</v>
      </c>
      <c r="CU108" s="494">
        <f>CT108</f>
        <v>0.2457026777623609</v>
      </c>
      <c r="CV108" s="494">
        <f>CU108</f>
        <v>0.2457026777623609</v>
      </c>
      <c r="CW108" s="25">
        <f>CW107/(Operating!CW25+Operating!CW26)</f>
        <v>0.2457026777623609</v>
      </c>
      <c r="CX108" s="494">
        <f>CV108</f>
        <v>0.2457026777623609</v>
      </c>
      <c r="CY108" s="494">
        <f>CX108</f>
        <v>0.2457026777623609</v>
      </c>
      <c r="CZ108" s="494">
        <f>CY108</f>
        <v>0.2457026777623609</v>
      </c>
      <c r="DA108" s="494">
        <f>CZ108</f>
        <v>0.2457026777623609</v>
      </c>
      <c r="DB108" s="25">
        <f>DB107/(Operating!DB25+Operating!DB26)</f>
        <v>0.2457026777623609</v>
      </c>
    </row>
    <row r="109" spans="1:106" ht="11.5" customHeight="1" x14ac:dyDescent="0.35">
      <c r="A109" s="19" t="s">
        <v>245</v>
      </c>
      <c r="B109" s="97">
        <f>B15</f>
        <v>153477</v>
      </c>
      <c r="C109" s="97">
        <f>C15</f>
        <v>201548</v>
      </c>
      <c r="D109" s="97">
        <f>D15</f>
        <v>213838</v>
      </c>
      <c r="E109" s="97">
        <f>E15</f>
        <v>242856</v>
      </c>
      <c r="F109" s="98">
        <f>E109</f>
        <v>242856</v>
      </c>
      <c r="G109" s="97">
        <f>G15</f>
        <v>195205</v>
      </c>
      <c r="H109" s="97">
        <f>H15</f>
        <v>194556</v>
      </c>
      <c r="I109" s="97">
        <f>I15</f>
        <v>363492</v>
      </c>
      <c r="J109" s="97">
        <f>J15</f>
        <v>307240</v>
      </c>
      <c r="K109" s="98">
        <f>J109</f>
        <v>307240</v>
      </c>
      <c r="L109" s="97">
        <f>L15</f>
        <v>296499</v>
      </c>
      <c r="M109" s="97">
        <f>M15</f>
        <v>240966</v>
      </c>
      <c r="N109" s="97">
        <f>N15</f>
        <v>491173</v>
      </c>
      <c r="O109" s="97">
        <f>O15</f>
        <v>386493</v>
      </c>
      <c r="P109" s="98">
        <f>O109</f>
        <v>386493</v>
      </c>
      <c r="Q109" s="97">
        <f>Q15</f>
        <v>348965</v>
      </c>
      <c r="R109" s="97">
        <f>R15</f>
        <v>308484</v>
      </c>
      <c r="S109" s="97">
        <f>S15</f>
        <v>314945</v>
      </c>
      <c r="T109" s="97">
        <f>T15</f>
        <v>408533</v>
      </c>
      <c r="U109" s="98">
        <f>T109</f>
        <v>408533</v>
      </c>
      <c r="V109" s="97">
        <f>V15</f>
        <v>364057</v>
      </c>
      <c r="W109" s="97">
        <f>W15</f>
        <v>385837</v>
      </c>
      <c r="X109" s="97">
        <f>X15</f>
        <v>388259</v>
      </c>
      <c r="Y109" s="97">
        <f>Y15</f>
        <v>621394</v>
      </c>
      <c r="Z109" s="98">
        <f>Y109</f>
        <v>621394</v>
      </c>
      <c r="AA109" s="97">
        <f>AA15</f>
        <v>720673</v>
      </c>
      <c r="AB109" s="97">
        <f>AB15</f>
        <v>763195</v>
      </c>
      <c r="AC109" s="97">
        <f>AC15</f>
        <v>803169</v>
      </c>
      <c r="AD109" s="97">
        <f>AD15</f>
        <v>750773</v>
      </c>
      <c r="AE109" s="98">
        <f>AD109</f>
        <v>750773</v>
      </c>
      <c r="AF109" s="97">
        <f>AF15</f>
        <v>758576</v>
      </c>
      <c r="AG109" s="97">
        <f>AG15</f>
        <v>901932</v>
      </c>
      <c r="AH109" s="97">
        <f>AH15</f>
        <v>907489</v>
      </c>
      <c r="AI109" s="97">
        <f>AI15</f>
        <v>934463</v>
      </c>
      <c r="AJ109" s="98">
        <f>AI109</f>
        <v>934463</v>
      </c>
      <c r="AK109" s="97">
        <f>AK15</f>
        <v>992045</v>
      </c>
      <c r="AL109" s="97">
        <f>AL15</f>
        <v>1008606</v>
      </c>
      <c r="AM109" s="97">
        <f>AM15</f>
        <v>1062722</v>
      </c>
      <c r="AN109" s="97">
        <f>AN15</f>
        <v>1201285</v>
      </c>
      <c r="AO109" s="98">
        <f>AN109</f>
        <v>1201285</v>
      </c>
      <c r="AP109" s="97">
        <f>AP15</f>
        <v>1149409</v>
      </c>
      <c r="AQ109" s="97">
        <f>AQ15</f>
        <v>1559702</v>
      </c>
      <c r="AR109" s="97">
        <f>AR15</f>
        <v>1710029</v>
      </c>
      <c r="AS109" s="97">
        <f>AS15</f>
        <v>1577958</v>
      </c>
      <c r="AT109" s="98">
        <f>AS109</f>
        <v>1577958</v>
      </c>
      <c r="AU109" s="97">
        <f>AU15</f>
        <v>1483310</v>
      </c>
      <c r="AV109" s="97">
        <f>AV15</f>
        <v>1376010</v>
      </c>
      <c r="AW109" s="97">
        <f>AW15</f>
        <v>1233120</v>
      </c>
      <c r="AX109" s="97">
        <f>AX15</f>
        <v>1161537</v>
      </c>
      <c r="AY109" s="98">
        <f>AX109</f>
        <v>1161537</v>
      </c>
      <c r="AZ109" s="97">
        <f>AZ15</f>
        <v>1094576</v>
      </c>
      <c r="BA109" s="97">
        <f>BA15</f>
        <v>983208</v>
      </c>
      <c r="BB109" s="97">
        <f>BB15</f>
        <v>867950</v>
      </c>
      <c r="BC109" s="97">
        <f>BC15</f>
        <v>813979</v>
      </c>
      <c r="BD109" s="98">
        <f>BC109</f>
        <v>813979</v>
      </c>
      <c r="BE109" s="97">
        <f>BE15</f>
        <v>703261</v>
      </c>
      <c r="BF109" s="97">
        <f>BF15</f>
        <v>620798</v>
      </c>
      <c r="BG109" s="97">
        <f>BG15</f>
        <v>525642</v>
      </c>
      <c r="BH109" s="97">
        <f>BH15</f>
        <v>540124</v>
      </c>
      <c r="BI109" s="98">
        <f>BH109</f>
        <v>540124</v>
      </c>
      <c r="BJ109" s="97">
        <f>BJ15</f>
        <v>571646</v>
      </c>
      <c r="BK109" s="97">
        <f>BK15</f>
        <v>589764</v>
      </c>
      <c r="BL109" s="97">
        <f>BL15</f>
        <v>646407</v>
      </c>
      <c r="BM109" s="97">
        <f>BM15</f>
        <v>621579</v>
      </c>
      <c r="BN109" s="98">
        <f>BM109</f>
        <v>621579</v>
      </c>
      <c r="BO109" s="97">
        <f>BO15</f>
        <v>615397</v>
      </c>
      <c r="BP109" s="97">
        <f>BP15</f>
        <v>644211</v>
      </c>
      <c r="BQ109" s="97">
        <f>BQ15</f>
        <v>727826</v>
      </c>
      <c r="BR109" s="97">
        <f>BR15</f>
        <v>772612</v>
      </c>
      <c r="BS109" s="98">
        <f>BR109</f>
        <v>772612</v>
      </c>
      <c r="BT109" s="97">
        <f>BT15</f>
        <v>694610</v>
      </c>
      <c r="BU109" s="97">
        <f>BU15</f>
        <v>659491</v>
      </c>
      <c r="BV109" s="97">
        <f>BV15</f>
        <v>648297</v>
      </c>
      <c r="BW109" s="97">
        <f>BW15</f>
        <v>727268</v>
      </c>
      <c r="BX109" s="98">
        <f>BW109</f>
        <v>727268</v>
      </c>
      <c r="BY109" s="97">
        <f>BY15</f>
        <v>766733</v>
      </c>
      <c r="BZ109" s="97">
        <f>BZ15</f>
        <v>952126</v>
      </c>
      <c r="CA109" s="97">
        <f>CA15</f>
        <v>1037191</v>
      </c>
      <c r="CB109" s="97">
        <f>CB15</f>
        <v>1149936</v>
      </c>
      <c r="CC109" s="98">
        <f>CB109</f>
        <v>1149936</v>
      </c>
      <c r="CD109" s="97">
        <f>CD15</f>
        <v>1159712</v>
      </c>
      <c r="CE109" s="97">
        <f>CE15</f>
        <v>1175917</v>
      </c>
      <c r="CF109" s="514">
        <f>Operating!CF27*CF110</f>
        <v>1128657.6835237585</v>
      </c>
      <c r="CG109" s="514">
        <f>Operating!CG27*CG110</f>
        <v>1115277.7621548993</v>
      </c>
      <c r="CH109" s="98">
        <f>CG109</f>
        <v>1115277.7621548993</v>
      </c>
      <c r="CI109" s="514">
        <f>Operating!CI27*CI110</f>
        <v>1127971.5555324177</v>
      </c>
      <c r="CJ109" s="514">
        <f>Operating!CJ27*CJ110</f>
        <v>1142948.4625034267</v>
      </c>
      <c r="CK109" s="514">
        <f>Operating!CK27*CK110</f>
        <v>1175420.9233515598</v>
      </c>
      <c r="CL109" s="514">
        <f>Operating!CL27*CL110</f>
        <v>1215251.7631680635</v>
      </c>
      <c r="CM109" s="98">
        <f>CL109</f>
        <v>1215251.7631680635</v>
      </c>
      <c r="CN109" s="514">
        <f>Operating!CN27*CN110</f>
        <v>1254089.3470776048</v>
      </c>
      <c r="CO109" s="514">
        <f>Operating!CO27*CO110</f>
        <v>1311086.3253791118</v>
      </c>
      <c r="CP109" s="514">
        <f>Operating!CP27*CP110</f>
        <v>1367100.7051899377</v>
      </c>
      <c r="CQ109" s="514">
        <f>Operating!CQ27*CQ110</f>
        <v>1396437.5519956627</v>
      </c>
      <c r="CR109" s="98">
        <f>CQ109</f>
        <v>1396437.5519956627</v>
      </c>
      <c r="CS109" s="514">
        <f>Operating!CS27*CS110</f>
        <v>1410378.0740794882</v>
      </c>
      <c r="CT109" s="514">
        <f>Operating!CT27*CT110</f>
        <v>1418492.9898497104</v>
      </c>
      <c r="CU109" s="514">
        <f>Operating!CU27*CU110</f>
        <v>1422018.845329134</v>
      </c>
      <c r="CV109" s="514">
        <f>Operating!CV27*CV110</f>
        <v>1427422.0722595307</v>
      </c>
      <c r="CW109" s="98">
        <f>CV109</f>
        <v>1427422.0722595307</v>
      </c>
      <c r="CX109" s="514">
        <f>Operating!CX27*CX110</f>
        <v>1432690.7405540522</v>
      </c>
      <c r="CY109" s="514">
        <f>Operating!CY27*CY110</f>
        <v>1428541.0169613247</v>
      </c>
      <c r="CZ109" s="514">
        <f>Operating!CZ27*CZ110</f>
        <v>1428353.6507758866</v>
      </c>
      <c r="DA109" s="514">
        <f>Operating!DA27*DA110</f>
        <v>1440714.9654267249</v>
      </c>
      <c r="DB109" s="98">
        <f>DA109</f>
        <v>1440714.9654267249</v>
      </c>
    </row>
    <row r="110" spans="1:106" ht="11.5" customHeight="1" x14ac:dyDescent="0.35">
      <c r="A110" s="438" t="s">
        <v>246</v>
      </c>
      <c r="B110" s="439" t="e">
        <f>B109/Operating!B27</f>
        <v>#DIV/0!</v>
      </c>
      <c r="C110" s="439" t="e">
        <f>C109/Operating!C27</f>
        <v>#DIV/0!</v>
      </c>
      <c r="D110" s="439" t="e">
        <f>D109/Operating!D27</f>
        <v>#DIV/0!</v>
      </c>
      <c r="E110" s="439">
        <f>E109/Operating!E27</f>
        <v>0.38493580599144078</v>
      </c>
      <c r="F110" s="440">
        <f>F109/Operating!F27</f>
        <v>0.38493580599144078</v>
      </c>
      <c r="G110" s="439">
        <f>G109/Operating!G27</f>
        <v>0.28035953657602447</v>
      </c>
      <c r="H110" s="439">
        <f>H109/Operating!H27</f>
        <v>0.25544575254934571</v>
      </c>
      <c r="I110" s="439">
        <f>I109/Operating!I27</f>
        <v>0.43953083434099155</v>
      </c>
      <c r="J110" s="439">
        <f>J109/Operating!J27</f>
        <v>0.40109660574412531</v>
      </c>
      <c r="K110" s="440">
        <f>K109/Operating!K27</f>
        <v>0.40109660574412531</v>
      </c>
      <c r="L110" s="439">
        <f>L109/Operating!L27</f>
        <v>0.36832173913043476</v>
      </c>
      <c r="M110" s="439">
        <f>M109/Operating!M27</f>
        <v>0.2605037837837838</v>
      </c>
      <c r="N110" s="439">
        <f>N109/Operating!N27</f>
        <v>0.51461672814687365</v>
      </c>
      <c r="O110" s="439">
        <f>O109/Operating!O27</f>
        <v>0.40568786549059221</v>
      </c>
      <c r="P110" s="440">
        <f>P109/Operating!P27</f>
        <v>0.40568786549059221</v>
      </c>
      <c r="Q110" s="439">
        <f>Q109/Operating!Q27</f>
        <v>0.41374015934743497</v>
      </c>
      <c r="R110" s="439">
        <f>R109/Operating!R27</f>
        <v>0.36781815235809251</v>
      </c>
      <c r="S110" s="439">
        <f>S109/Operating!S27</f>
        <v>0.33646711376333094</v>
      </c>
      <c r="T110" s="439">
        <f>T109/Operating!T27</f>
        <v>0.42076894399016224</v>
      </c>
      <c r="U110" s="440">
        <f>U109/Operating!U27</f>
        <v>0.42076894399016224</v>
      </c>
      <c r="V110" s="439">
        <f>V109/Operating!V27</f>
        <v>0.33125176616737056</v>
      </c>
      <c r="W110" s="439">
        <f>W109/Operating!W27</f>
        <v>0.35550424316426815</v>
      </c>
      <c r="X110" s="439">
        <f>X109/Operating!X27</f>
        <v>0.31225912305472603</v>
      </c>
      <c r="Y110" s="439">
        <f>Y109/Operating!Y27</f>
        <v>0.45067333853387959</v>
      </c>
      <c r="Z110" s="440">
        <f>Z109/Operating!Z27</f>
        <v>0.45067333853387959</v>
      </c>
      <c r="AA110" s="439">
        <f>AA109/Operating!AA27</f>
        <v>0.4629180187876285</v>
      </c>
      <c r="AB110" s="439">
        <f>AB109/Operating!AB27</f>
        <v>0.42603675820735637</v>
      </c>
      <c r="AC110" s="439">
        <f>AC109/Operating!AC27</f>
        <v>0.46077692163427159</v>
      </c>
      <c r="AD110" s="439">
        <f>AD109/Operating!AD27</f>
        <v>0.4613813060194274</v>
      </c>
      <c r="AE110" s="440">
        <f>AE109/Operating!AE27</f>
        <v>0.4613813060194274</v>
      </c>
      <c r="AF110" s="439">
        <f>AF109/Operating!AF27</f>
        <v>0.387670704209224</v>
      </c>
      <c r="AG110" s="439">
        <f>AG109/Operating!AG27</f>
        <v>0.42779627507652734</v>
      </c>
      <c r="AH110" s="439">
        <f>AH109/Operating!AH27</f>
        <v>0.4237612191869623</v>
      </c>
      <c r="AI110" s="439">
        <f>AI109/Operating!AI27</f>
        <v>0.3890362103918682</v>
      </c>
      <c r="AJ110" s="440">
        <f>AJ109/Operating!AJ27</f>
        <v>0.3890362103918682</v>
      </c>
      <c r="AK110" s="439">
        <f>AK109/Operating!AK27</f>
        <v>0.40447505449210019</v>
      </c>
      <c r="AL110" s="439">
        <f>AL109/Operating!AL27</f>
        <v>0.40899127428476229</v>
      </c>
      <c r="AM110" s="439">
        <f>AM109/Operating!AM27</f>
        <v>0.400046281406712</v>
      </c>
      <c r="AN110" s="439">
        <f>AN109/Operating!AN27</f>
        <v>0.46421417681925703</v>
      </c>
      <c r="AO110" s="440">
        <f>AO109/Operating!AO27</f>
        <v>0.46421417681925703</v>
      </c>
      <c r="AP110" s="439">
        <f>AP109/Operating!AP27</f>
        <v>0.44293673249974869</v>
      </c>
      <c r="AQ110" s="439">
        <f>AQ109/Operating!AQ27</f>
        <v>0.50275767214210676</v>
      </c>
      <c r="AR110" s="439">
        <f>AR109/Operating!AR27</f>
        <v>0.60153519559173385</v>
      </c>
      <c r="AS110" s="439">
        <f>AS109/Operating!AS27</f>
        <v>0.63306605303191144</v>
      </c>
      <c r="AT110" s="440">
        <f>AT109/Operating!AT27</f>
        <v>0.63306605303191144</v>
      </c>
      <c r="AU110" s="439">
        <f>AU109/Operating!AU27</f>
        <v>0.69917575003803967</v>
      </c>
      <c r="AV110" s="439">
        <f>AV109/Operating!AV27</f>
        <v>0.67848229621755707</v>
      </c>
      <c r="AW110" s="439">
        <f>AW109/Operating!AW27</f>
        <v>0.67188150817907577</v>
      </c>
      <c r="AX110" s="439">
        <f>AX109/Operating!AX27</f>
        <v>0.64914480365951321</v>
      </c>
      <c r="AY110" s="440">
        <f>AY109/Operating!AY27</f>
        <v>0.64914480365951321</v>
      </c>
      <c r="AZ110" s="439">
        <f>AZ109/Operating!AZ27</f>
        <v>0.63743555180540656</v>
      </c>
      <c r="BA110" s="439">
        <f>BA109/Operating!BA27</f>
        <v>0.61162572092240119</v>
      </c>
      <c r="BB110" s="439">
        <f>BB109/Operating!BB27</f>
        <v>0.59408587902523924</v>
      </c>
      <c r="BC110" s="439">
        <f>BC109/Operating!BC27</f>
        <v>0.53230836418327643</v>
      </c>
      <c r="BD110" s="440">
        <f>BD109/Operating!BD27</f>
        <v>0.53230836418327643</v>
      </c>
      <c r="BE110" s="439">
        <f>BE109/Operating!BE27</f>
        <v>0.55406438428835658</v>
      </c>
      <c r="BF110" s="439">
        <f>BF109/Operating!BF27</f>
        <v>0.55292672429824963</v>
      </c>
      <c r="BG110" s="439">
        <f>BG109/Operating!BG27</f>
        <v>0.54041934071004516</v>
      </c>
      <c r="BH110" s="439">
        <f>BH109/Operating!BH27</f>
        <v>0.5470521255921903</v>
      </c>
      <c r="BI110" s="440">
        <f>BI109/Operating!BI27</f>
        <v>0.5470521255921903</v>
      </c>
      <c r="BJ110" s="439">
        <f>BJ109/Operating!BJ27</f>
        <v>0.54825163901928409</v>
      </c>
      <c r="BK110" s="439">
        <f>BK109/Operating!BK27</f>
        <v>0.54950211132850968</v>
      </c>
      <c r="BL110" s="439">
        <f>BL109/Operating!BL27</f>
        <v>0.50363566064156262</v>
      </c>
      <c r="BM110" s="439">
        <f>BM109/Operating!BM27</f>
        <v>0.51830215563093107</v>
      </c>
      <c r="BN110" s="440">
        <f>BN109/Operating!BN27</f>
        <v>0.51830215563093107</v>
      </c>
      <c r="BO110" s="439">
        <f>BO109/Operating!BO27</f>
        <v>0.49310553318736378</v>
      </c>
      <c r="BP110" s="439">
        <f>BP109/Operating!BP27</f>
        <v>0.51565345439382759</v>
      </c>
      <c r="BQ110" s="439">
        <f>BQ109/Operating!BQ27</f>
        <v>0.52649539975844395</v>
      </c>
      <c r="BR110" s="439">
        <f>BR109/Operating!BR27</f>
        <v>0.48699633724276348</v>
      </c>
      <c r="BS110" s="440">
        <f>BS109/Operating!BS27</f>
        <v>0.48699633724276348</v>
      </c>
      <c r="BT110" s="439">
        <f>BT109/Operating!BT27</f>
        <v>0.49015733691216345</v>
      </c>
      <c r="BU110" s="439">
        <f>BU109/Operating!BU27</f>
        <v>0.50179171561462943</v>
      </c>
      <c r="BV110" s="439">
        <f>BV109/Operating!BV27</f>
        <v>0.49276726744585764</v>
      </c>
      <c r="BW110" s="439">
        <f>BW109/Operating!BW27</f>
        <v>0.48016906759936345</v>
      </c>
      <c r="BX110" s="440">
        <f>BX109/Operating!BX27</f>
        <v>0.48016906759936345</v>
      </c>
      <c r="BY110" s="439">
        <f>BY109/Operating!BY27</f>
        <v>0.49834038853573731</v>
      </c>
      <c r="BZ110" s="439">
        <f>BZ109/Operating!BZ27</f>
        <v>0.4841640815682709</v>
      </c>
      <c r="CA110" s="439">
        <f>CA109/Operating!CA27</f>
        <v>0.50148207052236737</v>
      </c>
      <c r="CB110" s="439">
        <f>CB109/Operating!CB27</f>
        <v>0.51261304104900229</v>
      </c>
      <c r="CC110" s="440">
        <f>CC109/Operating!CC27</f>
        <v>0.51261304104900229</v>
      </c>
      <c r="CD110" s="439">
        <f>CD109/Operating!CD27</f>
        <v>0.56120485879679372</v>
      </c>
      <c r="CE110" s="439">
        <f>CE109/Operating!CE27</f>
        <v>0.54736301778980556</v>
      </c>
      <c r="CF110" s="652">
        <f>CE110</f>
        <v>0.54736301778980556</v>
      </c>
      <c r="CG110" s="652">
        <f>CF110</f>
        <v>0.54736301778980556</v>
      </c>
      <c r="CH110" s="440">
        <f>CH109/Operating!CH27</f>
        <v>0.54736301778980556</v>
      </c>
      <c r="CI110" s="652">
        <f>CH110</f>
        <v>0.54736301778980556</v>
      </c>
      <c r="CJ110" s="652">
        <f>CI110</f>
        <v>0.54736301778980556</v>
      </c>
      <c r="CK110" s="652">
        <f>CJ110</f>
        <v>0.54736301778980556</v>
      </c>
      <c r="CL110" s="652">
        <f>CK110</f>
        <v>0.54736301778980556</v>
      </c>
      <c r="CM110" s="440">
        <f>CM109/Operating!CM27</f>
        <v>0.54736301778980556</v>
      </c>
      <c r="CN110" s="652">
        <f>CM110</f>
        <v>0.54736301778980556</v>
      </c>
      <c r="CO110" s="652">
        <f>CN110</f>
        <v>0.54736301778980556</v>
      </c>
      <c r="CP110" s="652">
        <f>CO110</f>
        <v>0.54736301778980556</v>
      </c>
      <c r="CQ110" s="652">
        <f>CP110</f>
        <v>0.54736301778980556</v>
      </c>
      <c r="CR110" s="440">
        <f>CR109/Operating!CR27</f>
        <v>0.54736301778980556</v>
      </c>
      <c r="CS110" s="652">
        <f>CR110</f>
        <v>0.54736301778980556</v>
      </c>
      <c r="CT110" s="652">
        <f>CS110</f>
        <v>0.54736301778980556</v>
      </c>
      <c r="CU110" s="652">
        <f>CT110</f>
        <v>0.54736301778980556</v>
      </c>
      <c r="CV110" s="652">
        <f>CU110</f>
        <v>0.54736301778980556</v>
      </c>
      <c r="CW110" s="440">
        <f>CW109/Operating!CW27</f>
        <v>0.54736301778980556</v>
      </c>
      <c r="CX110" s="652">
        <f>CW110</f>
        <v>0.54736301778980556</v>
      </c>
      <c r="CY110" s="652">
        <f>CX110</f>
        <v>0.54736301778980556</v>
      </c>
      <c r="CZ110" s="652">
        <f>CY110</f>
        <v>0.54736301778980556</v>
      </c>
      <c r="DA110" s="652">
        <f>CZ110</f>
        <v>0.54736301778980556</v>
      </c>
      <c r="DB110" s="440">
        <f>DB109/Operating!DB27</f>
        <v>0.54736301778980556</v>
      </c>
    </row>
    <row r="111" spans="1:106" s="58" customFormat="1" ht="11.5" customHeight="1" x14ac:dyDescent="0.35">
      <c r="A111" s="16" t="s">
        <v>247</v>
      </c>
      <c r="B111" s="48">
        <f t="shared" ref="B111:AG111" si="237">B36</f>
        <v>2303379</v>
      </c>
      <c r="C111" s="48">
        <f t="shared" si="237"/>
        <v>2221716</v>
      </c>
      <c r="D111" s="48">
        <f t="shared" si="237"/>
        <v>2150478</v>
      </c>
      <c r="E111" s="48">
        <f t="shared" si="237"/>
        <v>2291239</v>
      </c>
      <c r="F111" s="56">
        <f t="shared" si="237"/>
        <v>2291239</v>
      </c>
      <c r="G111" s="48">
        <f t="shared" si="237"/>
        <v>2254757</v>
      </c>
      <c r="H111" s="48">
        <f t="shared" si="237"/>
        <v>2315718</v>
      </c>
      <c r="I111" s="48">
        <f t="shared" si="237"/>
        <v>2437606</v>
      </c>
      <c r="J111" s="48">
        <f t="shared" si="237"/>
        <v>2235517</v>
      </c>
      <c r="K111" s="56">
        <f t="shared" si="237"/>
        <v>2235517</v>
      </c>
      <c r="L111" s="48">
        <f t="shared" si="237"/>
        <v>2142752</v>
      </c>
      <c r="M111" s="48">
        <f t="shared" si="237"/>
        <v>2119825</v>
      </c>
      <c r="N111" s="48">
        <f t="shared" si="237"/>
        <v>2073224</v>
      </c>
      <c r="O111" s="48">
        <f t="shared" si="237"/>
        <v>1639607</v>
      </c>
      <c r="P111" s="56">
        <f t="shared" si="237"/>
        <v>1639607</v>
      </c>
      <c r="Q111" s="48">
        <f t="shared" si="237"/>
        <v>1712089</v>
      </c>
      <c r="R111" s="48">
        <f t="shared" si="237"/>
        <v>1600318</v>
      </c>
      <c r="S111" s="48">
        <f t="shared" si="237"/>
        <v>1621468</v>
      </c>
      <c r="T111" s="48">
        <f t="shared" si="237"/>
        <v>1763029</v>
      </c>
      <c r="U111" s="56">
        <f t="shared" si="237"/>
        <v>1763029</v>
      </c>
      <c r="V111" s="48">
        <f t="shared" si="237"/>
        <v>1469292</v>
      </c>
      <c r="W111" s="48">
        <f t="shared" si="237"/>
        <v>1294646</v>
      </c>
      <c r="X111" s="48">
        <f t="shared" si="237"/>
        <v>1422563</v>
      </c>
      <c r="Y111" s="48">
        <f t="shared" si="237"/>
        <v>1376818</v>
      </c>
      <c r="Z111" s="56">
        <f t="shared" si="237"/>
        <v>1376818</v>
      </c>
      <c r="AA111" s="48">
        <f t="shared" si="237"/>
        <v>1356890</v>
      </c>
      <c r="AB111" s="48">
        <f t="shared" si="237"/>
        <v>1280007</v>
      </c>
      <c r="AC111" s="48">
        <f t="shared" si="237"/>
        <v>1165580</v>
      </c>
      <c r="AD111" s="48">
        <f t="shared" si="237"/>
        <v>919460</v>
      </c>
      <c r="AE111" s="56">
        <f t="shared" si="237"/>
        <v>919460</v>
      </c>
      <c r="AF111" s="48">
        <f t="shared" si="237"/>
        <v>865716</v>
      </c>
      <c r="AG111" s="48">
        <f t="shared" si="237"/>
        <v>738434</v>
      </c>
      <c r="AH111" s="48">
        <f t="shared" ref="AH111:BM111" si="238">AH36</f>
        <v>680082</v>
      </c>
      <c r="AI111" s="48">
        <f t="shared" si="238"/>
        <v>641389</v>
      </c>
      <c r="AJ111" s="56">
        <f t="shared" si="238"/>
        <v>641389</v>
      </c>
      <c r="AK111" s="48">
        <f t="shared" si="238"/>
        <v>560797</v>
      </c>
      <c r="AL111" s="48">
        <f t="shared" si="238"/>
        <v>621728</v>
      </c>
      <c r="AM111" s="48">
        <f t="shared" si="238"/>
        <v>606003</v>
      </c>
      <c r="AN111" s="48">
        <f t="shared" si="238"/>
        <v>582267</v>
      </c>
      <c r="AO111" s="56">
        <f t="shared" si="238"/>
        <v>582267</v>
      </c>
      <c r="AP111" s="48">
        <f t="shared" si="238"/>
        <v>626850</v>
      </c>
      <c r="AQ111" s="48">
        <f t="shared" si="238"/>
        <v>695825</v>
      </c>
      <c r="AR111" s="48">
        <f t="shared" si="238"/>
        <v>890484</v>
      </c>
      <c r="AS111" s="48">
        <f t="shared" si="238"/>
        <v>949867</v>
      </c>
      <c r="AT111" s="56">
        <f t="shared" si="238"/>
        <v>949867</v>
      </c>
      <c r="AU111" s="48">
        <f t="shared" si="238"/>
        <v>1002406</v>
      </c>
      <c r="AV111" s="48">
        <f t="shared" si="238"/>
        <v>1053476</v>
      </c>
      <c r="AW111" s="48">
        <f t="shared" si="238"/>
        <v>1047612</v>
      </c>
      <c r="AX111" s="48">
        <f t="shared" si="238"/>
        <v>1257539</v>
      </c>
      <c r="AY111" s="56">
        <f t="shared" si="238"/>
        <v>1257539</v>
      </c>
      <c r="AZ111" s="48">
        <f t="shared" si="238"/>
        <v>1485490</v>
      </c>
      <c r="BA111" s="48">
        <f t="shared" si="238"/>
        <v>1645313</v>
      </c>
      <c r="BB111" s="48">
        <f t="shared" si="238"/>
        <v>1104700</v>
      </c>
      <c r="BC111" s="48">
        <f t="shared" si="238"/>
        <v>1323568</v>
      </c>
      <c r="BD111" s="56">
        <f t="shared" si="238"/>
        <v>1323568</v>
      </c>
      <c r="BE111" s="48">
        <f t="shared" si="238"/>
        <v>1261372</v>
      </c>
      <c r="BF111" s="48">
        <f t="shared" si="238"/>
        <v>1388413</v>
      </c>
      <c r="BG111" s="48">
        <f t="shared" si="238"/>
        <v>1703807</v>
      </c>
      <c r="BH111" s="48">
        <f t="shared" si="238"/>
        <v>1737800</v>
      </c>
      <c r="BI111" s="56">
        <f t="shared" si="238"/>
        <v>1737800</v>
      </c>
      <c r="BJ111" s="48">
        <f t="shared" si="238"/>
        <v>1820109</v>
      </c>
      <c r="BK111" s="48">
        <f t="shared" si="238"/>
        <v>1709322</v>
      </c>
      <c r="BL111" s="48">
        <f t="shared" si="238"/>
        <v>1942774</v>
      </c>
      <c r="BM111" s="48">
        <f t="shared" si="238"/>
        <v>1783518</v>
      </c>
      <c r="BN111" s="56">
        <f t="shared" ref="BN111:BY111" si="239">BN36</f>
        <v>1783518</v>
      </c>
      <c r="BO111" s="48">
        <f t="shared" si="239"/>
        <v>1643375</v>
      </c>
      <c r="BP111" s="48">
        <f t="shared" si="239"/>
        <v>1629422</v>
      </c>
      <c r="BQ111" s="48">
        <f t="shared" si="239"/>
        <v>1591897</v>
      </c>
      <c r="BR111" s="48">
        <f t="shared" si="239"/>
        <v>1594859</v>
      </c>
      <c r="BS111" s="56">
        <f t="shared" si="239"/>
        <v>1594859</v>
      </c>
      <c r="BT111" s="48">
        <f t="shared" si="239"/>
        <v>1592042</v>
      </c>
      <c r="BU111" s="48">
        <f t="shared" si="239"/>
        <v>1561450</v>
      </c>
      <c r="BV111" s="48">
        <f t="shared" si="239"/>
        <v>2016569</v>
      </c>
      <c r="BW111" s="48">
        <f t="shared" si="239"/>
        <v>2900081</v>
      </c>
      <c r="BX111" s="56">
        <f t="shared" si="239"/>
        <v>2900081</v>
      </c>
      <c r="BY111" s="48">
        <f t="shared" si="239"/>
        <v>2930996</v>
      </c>
      <c r="BZ111" s="48">
        <f>BZ36</f>
        <v>3085949</v>
      </c>
      <c r="CA111" s="48">
        <f>CA36</f>
        <v>3148577</v>
      </c>
      <c r="CB111" s="48">
        <f t="shared" ref="CB111" si="240">CB36</f>
        <v>4010729</v>
      </c>
      <c r="CC111" s="56">
        <f>CC36</f>
        <v>4010729</v>
      </c>
      <c r="CD111" s="48">
        <f t="shared" ref="CD111" si="241">CD36</f>
        <v>3995356</v>
      </c>
      <c r="CE111" s="48">
        <f>CE36</f>
        <v>4149893</v>
      </c>
      <c r="CF111" s="99">
        <f>CF113*CF112</f>
        <v>4218351.4395413082</v>
      </c>
      <c r="CG111" s="99">
        <f>CG113*CG112</f>
        <v>4251662.8198580109</v>
      </c>
      <c r="CH111" s="56">
        <f>CH36</f>
        <v>4251662.8198580109</v>
      </c>
      <c r="CI111" s="99">
        <f>CI113*CI112</f>
        <v>4286573.5616778051</v>
      </c>
      <c r="CJ111" s="99">
        <f>CJ113*CJ112</f>
        <v>4310673.8445232827</v>
      </c>
      <c r="CK111" s="99">
        <f>CK113*CK112</f>
        <v>4323571.6254326627</v>
      </c>
      <c r="CL111" s="99">
        <f>CL113*CL112</f>
        <v>4323115.9406281644</v>
      </c>
      <c r="CM111" s="56">
        <f>CM36</f>
        <v>4323115.9406281644</v>
      </c>
      <c r="CN111" s="99">
        <f>CN113*CN112</f>
        <v>4335808.3905864768</v>
      </c>
      <c r="CO111" s="99">
        <f>CO113*CO112</f>
        <v>4357170.060023413</v>
      </c>
      <c r="CP111" s="99">
        <f>CP113*CP112</f>
        <v>4371083.4366170308</v>
      </c>
      <c r="CQ111" s="99">
        <f>CQ113*CQ112</f>
        <v>4364986.6597840013</v>
      </c>
      <c r="CR111" s="56">
        <f>CR36</f>
        <v>4364986.6597840013</v>
      </c>
      <c r="CS111" s="99">
        <f>CS113*CS112</f>
        <v>4376548.1072471756</v>
      </c>
      <c r="CT111" s="99">
        <f>CT113*CT112</f>
        <v>4405699.0278872959</v>
      </c>
      <c r="CU111" s="99">
        <f>CU113*CU112</f>
        <v>4428747.3752686074</v>
      </c>
      <c r="CV111" s="99">
        <f>CV113*CV112</f>
        <v>4422556.5675984379</v>
      </c>
      <c r="CW111" s="56">
        <f>CW36</f>
        <v>4422556.5675984379</v>
      </c>
      <c r="CX111" s="99">
        <f>CX113*CX112</f>
        <v>4459710.3824466132</v>
      </c>
      <c r="CY111" s="99">
        <f>CY113*CY112</f>
        <v>4432999.4790376257</v>
      </c>
      <c r="CZ111" s="99">
        <f>CZ113*CZ112</f>
        <v>4278720.456355432</v>
      </c>
      <c r="DA111" s="99">
        <f>DA113*DA112</f>
        <v>3942365.9305834989</v>
      </c>
      <c r="DB111" s="56">
        <f>DB36</f>
        <v>3942365.9305834989</v>
      </c>
    </row>
    <row r="112" spans="1:106" ht="11.5" customHeight="1" x14ac:dyDescent="0.35">
      <c r="A112" s="19" t="s">
        <v>249</v>
      </c>
      <c r="B112" s="97">
        <f t="shared" ref="B112:AG112" si="242">B13+B14</f>
        <v>3099307</v>
      </c>
      <c r="C112" s="97">
        <f t="shared" si="242"/>
        <v>3305583</v>
      </c>
      <c r="D112" s="97">
        <f t="shared" si="242"/>
        <v>3391724</v>
      </c>
      <c r="E112" s="97">
        <f t="shared" si="242"/>
        <v>3586459</v>
      </c>
      <c r="F112" s="98">
        <f t="shared" si="242"/>
        <v>3586459</v>
      </c>
      <c r="G112" s="97">
        <f t="shared" si="242"/>
        <v>3742317</v>
      </c>
      <c r="H112" s="97">
        <f t="shared" si="242"/>
        <v>3807586</v>
      </c>
      <c r="I112" s="97">
        <f t="shared" si="242"/>
        <v>3958106</v>
      </c>
      <c r="J112" s="97">
        <f t="shared" si="242"/>
        <v>3616788</v>
      </c>
      <c r="K112" s="98">
        <f t="shared" si="242"/>
        <v>3616788</v>
      </c>
      <c r="L112" s="97">
        <f t="shared" si="242"/>
        <v>3490002</v>
      </c>
      <c r="M112" s="97">
        <f t="shared" si="242"/>
        <v>3726499</v>
      </c>
      <c r="N112" s="97">
        <f t="shared" si="242"/>
        <v>3528329</v>
      </c>
      <c r="O112" s="97">
        <f t="shared" si="242"/>
        <v>3397751</v>
      </c>
      <c r="P112" s="98">
        <f t="shared" si="242"/>
        <v>3397751</v>
      </c>
      <c r="Q112" s="97">
        <f t="shared" si="242"/>
        <v>3479967</v>
      </c>
      <c r="R112" s="97">
        <f t="shared" si="242"/>
        <v>3711609</v>
      </c>
      <c r="S112" s="97">
        <f t="shared" si="242"/>
        <v>3928817</v>
      </c>
      <c r="T112" s="97">
        <f t="shared" si="242"/>
        <v>4372079</v>
      </c>
      <c r="U112" s="98">
        <f t="shared" si="242"/>
        <v>4372079</v>
      </c>
      <c r="V112" s="97">
        <f t="shared" si="242"/>
        <v>4323601</v>
      </c>
      <c r="W112" s="97">
        <f t="shared" si="242"/>
        <v>4307129</v>
      </c>
      <c r="X112" s="97">
        <f t="shared" si="242"/>
        <v>4691394</v>
      </c>
      <c r="Y112" s="97">
        <f t="shared" si="242"/>
        <v>4491555</v>
      </c>
      <c r="Z112" s="98">
        <f t="shared" si="242"/>
        <v>4491555</v>
      </c>
      <c r="AA112" s="97">
        <f t="shared" si="242"/>
        <v>4482543</v>
      </c>
      <c r="AB112" s="97">
        <f t="shared" si="242"/>
        <v>4537309</v>
      </c>
      <c r="AC112" s="97">
        <f t="shared" si="242"/>
        <v>4469485</v>
      </c>
      <c r="AD112" s="97">
        <f t="shared" si="242"/>
        <v>4342841</v>
      </c>
      <c r="AE112" s="98">
        <f t="shared" si="242"/>
        <v>4342841</v>
      </c>
      <c r="AF112" s="97">
        <f t="shared" si="242"/>
        <v>4281980</v>
      </c>
      <c r="AG112" s="97">
        <f t="shared" si="242"/>
        <v>4373664</v>
      </c>
      <c r="AH112" s="97">
        <f t="shared" ref="AH112:BM112" si="243">AH13+AH14</f>
        <v>4426185</v>
      </c>
      <c r="AI112" s="97">
        <f t="shared" si="243"/>
        <v>4137397</v>
      </c>
      <c r="AJ112" s="98">
        <f t="shared" si="243"/>
        <v>4137397</v>
      </c>
      <c r="AK112" s="97">
        <f t="shared" si="243"/>
        <v>4004266</v>
      </c>
      <c r="AL112" s="97">
        <f t="shared" si="243"/>
        <v>4101345</v>
      </c>
      <c r="AM112" s="97">
        <f t="shared" si="243"/>
        <v>4009999</v>
      </c>
      <c r="AN112" s="97">
        <f t="shared" si="243"/>
        <v>3548470</v>
      </c>
      <c r="AO112" s="98">
        <f t="shared" si="243"/>
        <v>3548470</v>
      </c>
      <c r="AP112" s="97">
        <f t="shared" si="243"/>
        <v>3420143</v>
      </c>
      <c r="AQ112" s="97">
        <f t="shared" si="243"/>
        <v>3124005</v>
      </c>
      <c r="AR112" s="97">
        <f t="shared" si="243"/>
        <v>2975379</v>
      </c>
      <c r="AS112" s="97">
        <f t="shared" si="243"/>
        <v>3138964</v>
      </c>
      <c r="AT112" s="98">
        <f t="shared" si="243"/>
        <v>3138964</v>
      </c>
      <c r="AU112" s="97">
        <f t="shared" si="243"/>
        <v>3305137</v>
      </c>
      <c r="AV112" s="97">
        <f t="shared" si="243"/>
        <v>3392022</v>
      </c>
      <c r="AW112" s="97">
        <f t="shared" si="243"/>
        <v>3416434</v>
      </c>
      <c r="AX112" s="97">
        <f t="shared" si="243"/>
        <v>3472211</v>
      </c>
      <c r="AY112" s="98">
        <f t="shared" si="243"/>
        <v>3472211</v>
      </c>
      <c r="AZ112" s="97">
        <f t="shared" si="243"/>
        <v>3775068</v>
      </c>
      <c r="BA112" s="97">
        <f t="shared" si="243"/>
        <v>4021025</v>
      </c>
      <c r="BB112" s="97">
        <f t="shared" si="243"/>
        <v>3027902</v>
      </c>
      <c r="BC112" s="97">
        <f t="shared" si="243"/>
        <v>3227608</v>
      </c>
      <c r="BD112" s="98">
        <f t="shared" si="243"/>
        <v>3227608</v>
      </c>
      <c r="BE112" s="97">
        <f t="shared" si="243"/>
        <v>3351773</v>
      </c>
      <c r="BF112" s="97">
        <f t="shared" si="243"/>
        <v>3782004</v>
      </c>
      <c r="BG112" s="97">
        <f t="shared" si="243"/>
        <v>4256048</v>
      </c>
      <c r="BH112" s="97">
        <f t="shared" si="243"/>
        <v>4445160</v>
      </c>
      <c r="BI112" s="98">
        <f t="shared" si="243"/>
        <v>4445160</v>
      </c>
      <c r="BJ112" s="97">
        <f t="shared" si="243"/>
        <v>4670203</v>
      </c>
      <c r="BK112" s="97">
        <f t="shared" si="243"/>
        <v>4537726</v>
      </c>
      <c r="BL112" s="97">
        <f t="shared" si="243"/>
        <v>4770375</v>
      </c>
      <c r="BM112" s="97">
        <f t="shared" si="243"/>
        <v>4931279</v>
      </c>
      <c r="BN112" s="98">
        <f t="shared" ref="BN112:CS112" si="244">BN13+BN14</f>
        <v>4931279</v>
      </c>
      <c r="BO112" s="97">
        <f t="shared" si="244"/>
        <v>4900699</v>
      </c>
      <c r="BP112" s="97">
        <f t="shared" si="244"/>
        <v>4835186</v>
      </c>
      <c r="BQ112" s="97">
        <f t="shared" si="244"/>
        <v>4686715</v>
      </c>
      <c r="BR112" s="97">
        <f t="shared" si="244"/>
        <v>4583893</v>
      </c>
      <c r="BS112" s="98">
        <f t="shared" si="244"/>
        <v>4583893</v>
      </c>
      <c r="BT112" s="97">
        <f t="shared" si="244"/>
        <v>4419991</v>
      </c>
      <c r="BU112" s="97">
        <f t="shared" si="244"/>
        <v>4275595</v>
      </c>
      <c r="BV112" s="97">
        <f t="shared" si="244"/>
        <v>4941566</v>
      </c>
      <c r="BW112" s="97">
        <f t="shared" si="244"/>
        <v>5752530</v>
      </c>
      <c r="BX112" s="98">
        <f t="shared" si="244"/>
        <v>5752530</v>
      </c>
      <c r="BY112" s="97">
        <f t="shared" si="244"/>
        <v>6065128</v>
      </c>
      <c r="BZ112" s="97">
        <f>BZ13+BZ14</f>
        <v>6404376</v>
      </c>
      <c r="CA112" s="97">
        <f>CA13+CA14</f>
        <v>6563892</v>
      </c>
      <c r="CB112" s="97">
        <f t="shared" ref="CB112" si="245">CB13+CB14</f>
        <v>6680252</v>
      </c>
      <c r="CC112" s="98">
        <f t="shared" si="244"/>
        <v>6680252</v>
      </c>
      <c r="CD112" s="97">
        <f t="shared" ref="CD112" si="246">CD13+CD14</f>
        <v>6845071</v>
      </c>
      <c r="CE112" s="97">
        <f>CE13+CE14</f>
        <v>6916459</v>
      </c>
      <c r="CF112" s="97">
        <f t="shared" si="244"/>
        <v>7030555.9153400902</v>
      </c>
      <c r="CG112" s="97">
        <f t="shared" si="244"/>
        <v>7086074.6470745914</v>
      </c>
      <c r="CH112" s="98">
        <f t="shared" si="244"/>
        <v>7086074.6470745914</v>
      </c>
      <c r="CI112" s="97">
        <f t="shared" si="244"/>
        <v>7144258.9700092291</v>
      </c>
      <c r="CJ112" s="97">
        <f t="shared" si="244"/>
        <v>7184425.9377332516</v>
      </c>
      <c r="CK112" s="97">
        <f t="shared" si="244"/>
        <v>7205922.1480814964</v>
      </c>
      <c r="CL112" s="97">
        <f t="shared" si="244"/>
        <v>7205162.6766283214</v>
      </c>
      <c r="CM112" s="98">
        <f t="shared" si="244"/>
        <v>7205162.6766283214</v>
      </c>
      <c r="CN112" s="97">
        <f t="shared" si="244"/>
        <v>7226316.6701761587</v>
      </c>
      <c r="CO112" s="97">
        <f t="shared" si="244"/>
        <v>7261919.3015770465</v>
      </c>
      <c r="CP112" s="97">
        <f t="shared" si="244"/>
        <v>7285108.1642203275</v>
      </c>
      <c r="CQ112" s="97">
        <f t="shared" si="244"/>
        <v>7274946.9125934076</v>
      </c>
      <c r="CR112" s="98">
        <f t="shared" si="244"/>
        <v>7274946.9125934076</v>
      </c>
      <c r="CS112" s="97">
        <f t="shared" si="244"/>
        <v>7294215.9099771222</v>
      </c>
      <c r="CT112" s="97">
        <f t="shared" ref="CT112:DB112" si="247">CT13+CT14</f>
        <v>7342800.5716586756</v>
      </c>
      <c r="CU112" s="97">
        <f t="shared" si="247"/>
        <v>7381214.3210446481</v>
      </c>
      <c r="CV112" s="97">
        <f t="shared" si="247"/>
        <v>7370896.3520204797</v>
      </c>
      <c r="CW112" s="98">
        <f t="shared" si="247"/>
        <v>7370896.3520204797</v>
      </c>
      <c r="CX112" s="97">
        <f t="shared" si="247"/>
        <v>7432819.1141473576</v>
      </c>
      <c r="CY112" s="97">
        <f t="shared" si="247"/>
        <v>7388301.1306038722</v>
      </c>
      <c r="CZ112" s="97">
        <f t="shared" si="247"/>
        <v>7131170.5166479312</v>
      </c>
      <c r="DA112" s="97">
        <f t="shared" si="247"/>
        <v>6570582.0178683195</v>
      </c>
      <c r="DB112" s="98">
        <f t="shared" si="247"/>
        <v>6570582.0178683195</v>
      </c>
    </row>
    <row r="113" spans="1:106" ht="11.5" customHeight="1" x14ac:dyDescent="0.35">
      <c r="A113" s="438" t="s">
        <v>250</v>
      </c>
      <c r="B113" s="441">
        <f t="shared" ref="B113:AG113" si="248">B111/B112</f>
        <v>0.74319162315962894</v>
      </c>
      <c r="C113" s="441">
        <f t="shared" si="248"/>
        <v>0.67211018449695559</v>
      </c>
      <c r="D113" s="441">
        <f t="shared" si="248"/>
        <v>0.63403684969649654</v>
      </c>
      <c r="E113" s="441">
        <f t="shared" si="248"/>
        <v>0.63885827218434676</v>
      </c>
      <c r="F113" s="442">
        <f t="shared" si="248"/>
        <v>0.63885827218434676</v>
      </c>
      <c r="G113" s="441">
        <f t="shared" si="248"/>
        <v>0.60250294135959082</v>
      </c>
      <c r="H113" s="441">
        <f t="shared" si="248"/>
        <v>0.60818534367969623</v>
      </c>
      <c r="I113" s="441">
        <f t="shared" si="248"/>
        <v>0.61585162196262555</v>
      </c>
      <c r="J113" s="441">
        <f t="shared" si="248"/>
        <v>0.61809456346349301</v>
      </c>
      <c r="K113" s="442">
        <f t="shared" si="248"/>
        <v>0.61809456346349301</v>
      </c>
      <c r="L113" s="441">
        <f t="shared" si="248"/>
        <v>0.61396870259673209</v>
      </c>
      <c r="M113" s="441">
        <f t="shared" si="248"/>
        <v>0.56885162185740556</v>
      </c>
      <c r="N113" s="441">
        <f t="shared" si="248"/>
        <v>0.58759373062999509</v>
      </c>
      <c r="O113" s="441">
        <f t="shared" si="248"/>
        <v>0.48255654990609964</v>
      </c>
      <c r="P113" s="442">
        <f t="shared" si="248"/>
        <v>0.48255654990609964</v>
      </c>
      <c r="Q113" s="441">
        <f t="shared" si="248"/>
        <v>0.49198426306916127</v>
      </c>
      <c r="R113" s="441">
        <f t="shared" si="248"/>
        <v>0.4311655672782343</v>
      </c>
      <c r="S113" s="441">
        <f t="shared" si="248"/>
        <v>0.41271151086955693</v>
      </c>
      <c r="T113" s="441">
        <f t="shared" si="248"/>
        <v>0.40324728807507826</v>
      </c>
      <c r="U113" s="442">
        <f t="shared" si="248"/>
        <v>0.40324728807507826</v>
      </c>
      <c r="V113" s="441">
        <f t="shared" si="248"/>
        <v>0.33983061804269171</v>
      </c>
      <c r="W113" s="441">
        <f t="shared" si="248"/>
        <v>0.30058212790933359</v>
      </c>
      <c r="X113" s="441">
        <f t="shared" si="248"/>
        <v>0.3032282089289452</v>
      </c>
      <c r="Y113" s="441">
        <f t="shared" si="248"/>
        <v>0.30653481923298281</v>
      </c>
      <c r="Z113" s="442">
        <f t="shared" si="248"/>
        <v>0.30653481923298281</v>
      </c>
      <c r="AA113" s="441">
        <f t="shared" si="248"/>
        <v>0.30270540628388842</v>
      </c>
      <c r="AB113" s="441">
        <f t="shared" si="248"/>
        <v>0.28210708153224739</v>
      </c>
      <c r="AC113" s="441">
        <f t="shared" si="248"/>
        <v>0.26078619796240504</v>
      </c>
      <c r="AD113" s="441">
        <f t="shared" si="248"/>
        <v>0.21171855013803176</v>
      </c>
      <c r="AE113" s="442">
        <f t="shared" si="248"/>
        <v>0.21171855013803176</v>
      </c>
      <c r="AF113" s="441">
        <f t="shared" si="248"/>
        <v>0.20217656317871638</v>
      </c>
      <c r="AG113" s="441">
        <f t="shared" si="248"/>
        <v>0.16883647212040065</v>
      </c>
      <c r="AH113" s="441">
        <f t="shared" ref="AH113:BM113" si="249">AH111/AH112</f>
        <v>0.15364970058865593</v>
      </c>
      <c r="AI113" s="441">
        <f t="shared" si="249"/>
        <v>0.15502234859260544</v>
      </c>
      <c r="AJ113" s="442">
        <f t="shared" si="249"/>
        <v>0.15502234859260544</v>
      </c>
      <c r="AK113" s="441">
        <f t="shared" si="249"/>
        <v>0.14004988679573235</v>
      </c>
      <c r="AL113" s="441">
        <f t="shared" si="249"/>
        <v>0.15159124628627926</v>
      </c>
      <c r="AM113" s="441">
        <f t="shared" si="249"/>
        <v>0.15112298032992028</v>
      </c>
      <c r="AN113" s="441">
        <f t="shared" si="249"/>
        <v>0.16408959354313268</v>
      </c>
      <c r="AO113" s="442">
        <f t="shared" si="249"/>
        <v>0.16408959354313268</v>
      </c>
      <c r="AP113" s="441">
        <f t="shared" si="249"/>
        <v>0.1832818101465348</v>
      </c>
      <c r="AQ113" s="441">
        <f t="shared" si="249"/>
        <v>0.22273491879814533</v>
      </c>
      <c r="AR113" s="441">
        <f t="shared" si="249"/>
        <v>0.29928422563982604</v>
      </c>
      <c r="AS113" s="441">
        <f t="shared" si="249"/>
        <v>0.30260525447249476</v>
      </c>
      <c r="AT113" s="442">
        <f t="shared" si="249"/>
        <v>0.30260525447249476</v>
      </c>
      <c r="AU113" s="441">
        <f t="shared" si="249"/>
        <v>0.30328727674526046</v>
      </c>
      <c r="AV113" s="441">
        <f t="shared" si="249"/>
        <v>0.31057463660318241</v>
      </c>
      <c r="AW113" s="441">
        <f t="shared" si="249"/>
        <v>0.30663902771135049</v>
      </c>
      <c r="AX113" s="441">
        <f t="shared" si="249"/>
        <v>0.36217240254120503</v>
      </c>
      <c r="AY113" s="442">
        <f t="shared" si="249"/>
        <v>0.36217240254120503</v>
      </c>
      <c r="AZ113" s="441">
        <f t="shared" si="249"/>
        <v>0.39350019655275081</v>
      </c>
      <c r="BA113" s="441">
        <f t="shared" si="249"/>
        <v>0.40917751070933406</v>
      </c>
      <c r="BB113" s="441">
        <f t="shared" si="249"/>
        <v>0.36484007738691676</v>
      </c>
      <c r="BC113" s="441">
        <f t="shared" si="249"/>
        <v>0.41007706016343992</v>
      </c>
      <c r="BD113" s="442">
        <f t="shared" si="249"/>
        <v>0.41007706016343992</v>
      </c>
      <c r="BE113" s="441">
        <f t="shared" si="249"/>
        <v>0.37632978128292099</v>
      </c>
      <c r="BF113" s="441">
        <f t="shared" si="249"/>
        <v>0.36711039967170844</v>
      </c>
      <c r="BG113" s="441">
        <f t="shared" si="249"/>
        <v>0.40032607714950585</v>
      </c>
      <c r="BH113" s="441">
        <f t="shared" si="249"/>
        <v>0.39094205832860912</v>
      </c>
      <c r="BI113" s="442">
        <f t="shared" si="249"/>
        <v>0.39094205832860912</v>
      </c>
      <c r="BJ113" s="441">
        <f t="shared" si="249"/>
        <v>0.3897280268116825</v>
      </c>
      <c r="BK113" s="441">
        <f t="shared" si="249"/>
        <v>0.37669132071879174</v>
      </c>
      <c r="BL113" s="441">
        <f t="shared" si="249"/>
        <v>0.4072581296019705</v>
      </c>
      <c r="BM113" s="441">
        <f t="shared" si="249"/>
        <v>0.36167452703446712</v>
      </c>
      <c r="BN113" s="442">
        <f t="shared" ref="BN113:BY113" si="250">BN111/BN112</f>
        <v>0.36167452703446712</v>
      </c>
      <c r="BO113" s="441">
        <f t="shared" si="250"/>
        <v>0.33533481652311231</v>
      </c>
      <c r="BP113" s="441">
        <f t="shared" si="250"/>
        <v>0.33699262034593913</v>
      </c>
      <c r="BQ113" s="441">
        <f t="shared" si="250"/>
        <v>0.33966157532514779</v>
      </c>
      <c r="BR113" s="441">
        <f t="shared" si="250"/>
        <v>0.34792675134432677</v>
      </c>
      <c r="BS113" s="442">
        <f t="shared" si="250"/>
        <v>0.34792675134432677</v>
      </c>
      <c r="BT113" s="441">
        <f t="shared" si="250"/>
        <v>0.36019123115861545</v>
      </c>
      <c r="BU113" s="441">
        <f t="shared" si="250"/>
        <v>0.3652006328943691</v>
      </c>
      <c r="BV113" s="441">
        <f t="shared" si="250"/>
        <v>0.40808298421998207</v>
      </c>
      <c r="BW113" s="441">
        <f t="shared" si="250"/>
        <v>0.50414009140326088</v>
      </c>
      <c r="BX113" s="442">
        <f t="shared" si="250"/>
        <v>0.50414009140326088</v>
      </c>
      <c r="BY113" s="441">
        <f t="shared" si="250"/>
        <v>0.48325377469362557</v>
      </c>
      <c r="BZ113" s="441">
        <f>BZ111/BZ112</f>
        <v>0.48185006626718979</v>
      </c>
      <c r="CA113" s="441">
        <f>CA111/CA112</f>
        <v>0.4796814146241285</v>
      </c>
      <c r="CB113" s="441">
        <f t="shared" ref="CB113" si="251">CB111/CB112</f>
        <v>0.60038588364630552</v>
      </c>
      <c r="CC113" s="440">
        <f>CC111/CC112</f>
        <v>0.60038588364630552</v>
      </c>
      <c r="CD113" s="441">
        <f t="shared" ref="CD113" si="252">CD111/CD112</f>
        <v>0.58368364623244962</v>
      </c>
      <c r="CE113" s="441">
        <f>CE111/CE112</f>
        <v>0.60000254465471425</v>
      </c>
      <c r="CF113" s="652">
        <f>CE113</f>
        <v>0.60000254465471425</v>
      </c>
      <c r="CG113" s="652">
        <f>CF113</f>
        <v>0.60000254465471425</v>
      </c>
      <c r="CH113" s="440">
        <f>CH111/CH112</f>
        <v>0.60000254465471425</v>
      </c>
      <c r="CI113" s="652">
        <f>CG113</f>
        <v>0.60000254465471425</v>
      </c>
      <c r="CJ113" s="652">
        <f>CI113</f>
        <v>0.60000254465471425</v>
      </c>
      <c r="CK113" s="652">
        <f>CJ113</f>
        <v>0.60000254465471425</v>
      </c>
      <c r="CL113" s="652">
        <f>CK113</f>
        <v>0.60000254465471425</v>
      </c>
      <c r="CM113" s="440">
        <f>CM111/CM112</f>
        <v>0.60000254465471414</v>
      </c>
      <c r="CN113" s="652">
        <f>CL113</f>
        <v>0.60000254465471425</v>
      </c>
      <c r="CO113" s="652">
        <f>CN113</f>
        <v>0.60000254465471425</v>
      </c>
      <c r="CP113" s="652">
        <f>CO113</f>
        <v>0.60000254465471425</v>
      </c>
      <c r="CQ113" s="652">
        <f>CP113</f>
        <v>0.60000254465471425</v>
      </c>
      <c r="CR113" s="440">
        <f>CR111/CR112</f>
        <v>0.60000254465471425</v>
      </c>
      <c r="CS113" s="652">
        <f>CQ113</f>
        <v>0.60000254465471425</v>
      </c>
      <c r="CT113" s="652">
        <f>CS113</f>
        <v>0.60000254465471425</v>
      </c>
      <c r="CU113" s="652">
        <f>CT113</f>
        <v>0.60000254465471425</v>
      </c>
      <c r="CV113" s="652">
        <f>CU113</f>
        <v>0.60000254465471425</v>
      </c>
      <c r="CW113" s="440">
        <f>CW111/CW112</f>
        <v>0.60000254465471425</v>
      </c>
      <c r="CX113" s="652">
        <f>CV113</f>
        <v>0.60000254465471425</v>
      </c>
      <c r="CY113" s="652">
        <f>CX113</f>
        <v>0.60000254465471425</v>
      </c>
      <c r="CZ113" s="652">
        <f>CY113</f>
        <v>0.60000254465471425</v>
      </c>
      <c r="DA113" s="652">
        <f>CZ113</f>
        <v>0.60000254465471425</v>
      </c>
      <c r="DB113" s="440">
        <f>DB111/DB112</f>
        <v>0.60000254465471425</v>
      </c>
    </row>
    <row r="114" spans="1:106" s="58" customFormat="1" ht="11.5" customHeight="1" x14ac:dyDescent="0.35">
      <c r="A114" s="16" t="s">
        <v>251</v>
      </c>
      <c r="B114" s="48">
        <f t="shared" ref="B114:AG114" si="253">B35</f>
        <v>64152</v>
      </c>
      <c r="C114" s="48">
        <f t="shared" si="253"/>
        <v>295526</v>
      </c>
      <c r="D114" s="48">
        <f t="shared" si="253"/>
        <v>307047</v>
      </c>
      <c r="E114" s="48">
        <f t="shared" si="253"/>
        <v>244776</v>
      </c>
      <c r="F114" s="56">
        <f t="shared" si="253"/>
        <v>244776</v>
      </c>
      <c r="G114" s="48">
        <f t="shared" si="253"/>
        <v>238525</v>
      </c>
      <c r="H114" s="48">
        <f t="shared" si="253"/>
        <v>212901</v>
      </c>
      <c r="I114" s="48">
        <f t="shared" si="253"/>
        <v>119249</v>
      </c>
      <c r="J114" s="48">
        <f t="shared" si="253"/>
        <v>213156</v>
      </c>
      <c r="K114" s="56">
        <f t="shared" si="253"/>
        <v>213156</v>
      </c>
      <c r="L114" s="48">
        <f t="shared" si="253"/>
        <v>198149</v>
      </c>
      <c r="M114" s="48">
        <f t="shared" si="253"/>
        <v>188289</v>
      </c>
      <c r="N114" s="48">
        <f t="shared" si="253"/>
        <v>181979</v>
      </c>
      <c r="O114" s="48">
        <f t="shared" si="253"/>
        <v>287340</v>
      </c>
      <c r="P114" s="56">
        <f t="shared" si="253"/>
        <v>287340</v>
      </c>
      <c r="Q114" s="48">
        <f t="shared" si="253"/>
        <v>261212</v>
      </c>
      <c r="R114" s="48">
        <f t="shared" si="253"/>
        <v>296291</v>
      </c>
      <c r="S114" s="48">
        <f t="shared" si="253"/>
        <v>305580</v>
      </c>
      <c r="T114" s="48">
        <f t="shared" si="253"/>
        <v>286447</v>
      </c>
      <c r="U114" s="56">
        <f t="shared" si="253"/>
        <v>286447</v>
      </c>
      <c r="V114" s="48">
        <f t="shared" si="253"/>
        <v>281168</v>
      </c>
      <c r="W114" s="48">
        <f t="shared" si="253"/>
        <v>285467</v>
      </c>
      <c r="X114" s="48">
        <f t="shared" si="253"/>
        <v>260444</v>
      </c>
      <c r="Y114" s="48">
        <f t="shared" si="253"/>
        <v>281602</v>
      </c>
      <c r="Z114" s="56">
        <f t="shared" si="253"/>
        <v>281602</v>
      </c>
      <c r="AA114" s="48">
        <f t="shared" si="253"/>
        <v>259910</v>
      </c>
      <c r="AB114" s="48">
        <f t="shared" si="253"/>
        <v>245594</v>
      </c>
      <c r="AC114" s="48">
        <f t="shared" si="253"/>
        <v>182832</v>
      </c>
      <c r="AD114" s="48">
        <f t="shared" si="253"/>
        <v>174693</v>
      </c>
      <c r="AE114" s="56">
        <f t="shared" si="253"/>
        <v>174693</v>
      </c>
      <c r="AF114" s="48">
        <f t="shared" si="253"/>
        <v>137906</v>
      </c>
      <c r="AG114" s="48">
        <f t="shared" si="253"/>
        <v>127764</v>
      </c>
      <c r="AH114" s="48">
        <f t="shared" ref="AH114:BM114" si="254">AH35</f>
        <v>72835</v>
      </c>
      <c r="AI114" s="48">
        <f t="shared" si="254"/>
        <v>74086</v>
      </c>
      <c r="AJ114" s="56">
        <f t="shared" si="254"/>
        <v>74086</v>
      </c>
      <c r="AK114" s="48">
        <f t="shared" si="254"/>
        <v>82498</v>
      </c>
      <c r="AL114" s="48">
        <f t="shared" si="254"/>
        <v>118082</v>
      </c>
      <c r="AM114" s="48">
        <f t="shared" si="254"/>
        <v>102694</v>
      </c>
      <c r="AN114" s="48">
        <f t="shared" si="254"/>
        <v>124785</v>
      </c>
      <c r="AO114" s="56">
        <f t="shared" si="254"/>
        <v>124785</v>
      </c>
      <c r="AP114" s="48">
        <f t="shared" si="254"/>
        <v>153489</v>
      </c>
      <c r="AQ114" s="48">
        <f t="shared" si="254"/>
        <v>185743</v>
      </c>
      <c r="AR114" s="48">
        <f t="shared" si="254"/>
        <v>139926</v>
      </c>
      <c r="AS114" s="48">
        <f t="shared" si="254"/>
        <v>134547</v>
      </c>
      <c r="AT114" s="56">
        <f t="shared" si="254"/>
        <v>134547</v>
      </c>
      <c r="AU114" s="48">
        <f t="shared" si="254"/>
        <v>134172</v>
      </c>
      <c r="AV114" s="48">
        <f t="shared" si="254"/>
        <v>143328</v>
      </c>
      <c r="AW114" s="48">
        <f t="shared" si="254"/>
        <v>140901</v>
      </c>
      <c r="AX114" s="48">
        <f t="shared" si="254"/>
        <v>148366</v>
      </c>
      <c r="AY114" s="56">
        <f t="shared" si="254"/>
        <v>148366</v>
      </c>
      <c r="AZ114" s="48">
        <f t="shared" si="254"/>
        <v>162167</v>
      </c>
      <c r="BA114" s="48">
        <f t="shared" si="254"/>
        <v>120706</v>
      </c>
      <c r="BB114" s="48">
        <f t="shared" si="254"/>
        <v>62370</v>
      </c>
      <c r="BC114" s="48">
        <f t="shared" si="254"/>
        <v>147066</v>
      </c>
      <c r="BD114" s="56">
        <f t="shared" si="254"/>
        <v>147066</v>
      </c>
      <c r="BE114" s="48">
        <f t="shared" si="254"/>
        <v>138922</v>
      </c>
      <c r="BF114" s="48">
        <f t="shared" si="254"/>
        <v>197699</v>
      </c>
      <c r="BG114" s="48">
        <f t="shared" si="254"/>
        <v>206968</v>
      </c>
      <c r="BH114" s="48">
        <f t="shared" si="254"/>
        <v>180459</v>
      </c>
      <c r="BI114" s="56">
        <f t="shared" si="254"/>
        <v>180459</v>
      </c>
      <c r="BJ114" s="48">
        <f t="shared" si="254"/>
        <v>187687</v>
      </c>
      <c r="BK114" s="48">
        <f t="shared" si="254"/>
        <v>181584</v>
      </c>
      <c r="BL114" s="48">
        <f t="shared" si="254"/>
        <v>160596</v>
      </c>
      <c r="BM114" s="48">
        <f t="shared" si="254"/>
        <v>121544</v>
      </c>
      <c r="BN114" s="56">
        <f t="shared" ref="BN114:BY114" si="255">BN35</f>
        <v>121544</v>
      </c>
      <c r="BO114" s="48">
        <f t="shared" si="255"/>
        <v>214119</v>
      </c>
      <c r="BP114" s="48">
        <f t="shared" si="255"/>
        <v>206770</v>
      </c>
      <c r="BQ114" s="48">
        <f t="shared" si="255"/>
        <v>196348</v>
      </c>
      <c r="BR114" s="48">
        <f t="shared" si="255"/>
        <v>154563</v>
      </c>
      <c r="BS114" s="56">
        <f t="shared" si="255"/>
        <v>154563</v>
      </c>
      <c r="BT114" s="48">
        <f t="shared" si="255"/>
        <v>160111</v>
      </c>
      <c r="BU114" s="48">
        <f t="shared" si="255"/>
        <v>139975</v>
      </c>
      <c r="BV114" s="48">
        <f t="shared" si="255"/>
        <v>91715</v>
      </c>
      <c r="BW114" s="48">
        <f t="shared" si="255"/>
        <v>66135</v>
      </c>
      <c r="BX114" s="56">
        <f t="shared" si="255"/>
        <v>66135</v>
      </c>
      <c r="BY114" s="48">
        <f t="shared" si="255"/>
        <v>40718</v>
      </c>
      <c r="BZ114" s="48">
        <f>BZ35</f>
        <v>115414</v>
      </c>
      <c r="CA114" s="48">
        <f>CA35</f>
        <v>319664</v>
      </c>
      <c r="CB114" s="48">
        <f t="shared" ref="CB114" si="256">CB35</f>
        <v>73970</v>
      </c>
      <c r="CC114" s="56">
        <f>CC35</f>
        <v>73970</v>
      </c>
      <c r="CD114" s="48">
        <f t="shared" ref="CD114" si="257">CD35</f>
        <v>84496</v>
      </c>
      <c r="CE114" s="48">
        <f>CE35</f>
        <v>224659</v>
      </c>
      <c r="CF114" s="99">
        <f>CF116*CF115</f>
        <v>224096.2769764876</v>
      </c>
      <c r="CG114" s="99">
        <f>CG116*CG115</f>
        <v>230562.25478721136</v>
      </c>
      <c r="CH114" s="56">
        <f>CH35</f>
        <v>230562.25478721136</v>
      </c>
      <c r="CI114" s="99">
        <f>CI116*CI115</f>
        <v>241856.79759731347</v>
      </c>
      <c r="CJ114" s="99">
        <f>CJ116*CJ115</f>
        <v>244462.8890432661</v>
      </c>
      <c r="CK114" s="99">
        <f>CK116*CK115</f>
        <v>251463.81908430878</v>
      </c>
      <c r="CL114" s="99">
        <f>CL116*CL115</f>
        <v>258262.31464643785</v>
      </c>
      <c r="CM114" s="56">
        <f>CM35</f>
        <v>258262.31464643785</v>
      </c>
      <c r="CN114" s="99">
        <f>CN116*CN115</f>
        <v>258811.20918026194</v>
      </c>
      <c r="CO114" s="99">
        <f>CO116*CO115</f>
        <v>262773.2915778266</v>
      </c>
      <c r="CP114" s="99">
        <f>CP116*CP115</f>
        <v>267030.92239413381</v>
      </c>
      <c r="CQ114" s="99">
        <f>CQ116*CQ115</f>
        <v>276650.80067428097</v>
      </c>
      <c r="CR114" s="56">
        <f>CR35</f>
        <v>276650.80067428097</v>
      </c>
      <c r="CS114" s="99">
        <f>CS116*CS115</f>
        <v>279798.32869495521</v>
      </c>
      <c r="CT114" s="99">
        <f>CT116*CT115</f>
        <v>282844.17008486285</v>
      </c>
      <c r="CU114" s="99">
        <f>CU116*CU115</f>
        <v>286007.82481489045</v>
      </c>
      <c r="CV114" s="99">
        <f>CV116*CV115</f>
        <v>289537.00795555447</v>
      </c>
      <c r="CW114" s="56">
        <f>CW35</f>
        <v>289537.00795555447</v>
      </c>
      <c r="CX114" s="99">
        <f>CX116*CX115</f>
        <v>289196.7644645914</v>
      </c>
      <c r="CY114" s="99">
        <f>CY116*CY115</f>
        <v>289549.90900681185</v>
      </c>
      <c r="CZ114" s="99">
        <f>CZ116*CZ115</f>
        <v>290614.74663276394</v>
      </c>
      <c r="DA114" s="99">
        <f>DA116*DA115</f>
        <v>292374.4433754182</v>
      </c>
      <c r="DB114" s="56">
        <f>DB35</f>
        <v>292374.4433754182</v>
      </c>
    </row>
    <row r="115" spans="1:106" ht="11.5" customHeight="1" x14ac:dyDescent="0.35">
      <c r="A115" s="19" t="s">
        <v>252</v>
      </c>
      <c r="B115" s="47"/>
      <c r="C115" s="47"/>
      <c r="D115" s="47"/>
      <c r="E115" s="446">
        <f>Operating!E9+Operating!D9+Operating!C9+Operating!B9</f>
        <v>6172408.1250758562</v>
      </c>
      <c r="F115" s="447">
        <f>Operating!F9</f>
        <v>6172408.1250758562</v>
      </c>
      <c r="G115" s="446">
        <f>Operating!G9+Operating!E9+Operating!D9+Operating!C9</f>
        <v>6105281.3503235271</v>
      </c>
      <c r="H115" s="446">
        <f>Operating!H9+Operating!G9+Operating!E9+Operating!D9</f>
        <v>6233413.8195117209</v>
      </c>
      <c r="I115" s="446">
        <f>Operating!I9+Operating!H9+Operating!G9+Operating!E9</f>
        <v>6656758.7178128157</v>
      </c>
      <c r="J115" s="446">
        <f>Operating!J9+Operating!I9+Operating!H9+Operating!G9</f>
        <v>6497099.9997916464</v>
      </c>
      <c r="K115" s="447">
        <f>Operating!K9</f>
        <v>6497099.9997916464</v>
      </c>
      <c r="L115" s="446">
        <f>Operating!L9+Operating!J9+Operating!I9+Operating!H9</f>
        <v>6718638.9278489789</v>
      </c>
      <c r="M115" s="446">
        <f>Operating!M9+Operating!L9+Operating!J9+Operating!I9</f>
        <v>6364740.9303124268</v>
      </c>
      <c r="N115" s="446">
        <f>Operating!N9+Operating!M9+Operating!L9+Operating!J9</f>
        <v>6671498.5675217677</v>
      </c>
      <c r="O115" s="446">
        <f>Operating!O9+Operating!N9+Operating!M9+Operating!L9</f>
        <v>6006208.4085992193</v>
      </c>
      <c r="P115" s="447">
        <f>Operating!P9</f>
        <v>6006208.4085992202</v>
      </c>
      <c r="Q115" s="446">
        <f>Operating!Q9+Operating!O9+Operating!N9+Operating!M9</f>
        <v>6144649.5791424569</v>
      </c>
      <c r="R115" s="446">
        <f>Operating!R9+Operating!Q9+Operating!O9+Operating!N9</f>
        <v>7011645.7414871883</v>
      </c>
      <c r="S115" s="446">
        <f>Operating!S9+Operating!R9+Operating!Q9+Operating!O9</f>
        <v>6616806.0269306432</v>
      </c>
      <c r="T115" s="446">
        <f>Operating!T9+Operating!S9+Operating!R9+Operating!Q9</f>
        <v>7175055.492468602</v>
      </c>
      <c r="U115" s="447">
        <f>Operating!U9</f>
        <v>7175055.492468602</v>
      </c>
      <c r="V115" s="446">
        <f>Operating!V9+Operating!T9+Operating!S9+Operating!R9</f>
        <v>7364162.5939010065</v>
      </c>
      <c r="W115" s="446">
        <f>Operating!W9+Operating!V9+Operating!T9+Operating!S9</f>
        <v>6440619.2715617511</v>
      </c>
      <c r="X115" s="446">
        <f>Operating!X9+Operating!W9+Operating!V9+Operating!T9</f>
        <v>6071990.6615763418</v>
      </c>
      <c r="Y115" s="446">
        <f>Operating!Y9+Operating!X9+Operating!W9+Operating!V9</f>
        <v>5684132.7732371204</v>
      </c>
      <c r="Z115" s="447">
        <f>Operating!Z9</f>
        <v>5684132.7732371204</v>
      </c>
      <c r="AA115" s="446">
        <f>Operating!AA9+Operating!Y9+Operating!X9+Operating!W9</f>
        <v>4859047.7578425305</v>
      </c>
      <c r="AB115" s="446">
        <f>Operating!AB9+Operating!AA9+Operating!Y9+Operating!X9</f>
        <v>4415115.8220953941</v>
      </c>
      <c r="AC115" s="446">
        <f>Operating!AC9+Operating!AB9+Operating!AA9+Operating!Y9</f>
        <v>4432387.2648874223</v>
      </c>
      <c r="AD115" s="446">
        <f>Operating!AD9+Operating!AC9+Operating!AB9+Operating!AA9</f>
        <v>3389586.1799692358</v>
      </c>
      <c r="AE115" s="447">
        <f>Operating!AE9</f>
        <v>3389586.1799692353</v>
      </c>
      <c r="AF115" s="446">
        <f>Operating!AF9+Operating!AD9+Operating!AC9+Operating!AB9</f>
        <v>3210524.0659935861</v>
      </c>
      <c r="AG115" s="446">
        <f>Operating!AG9+Operating!AF9+Operating!AD9+Operating!AC9</f>
        <v>2955245.8060389124</v>
      </c>
      <c r="AH115" s="446">
        <f>Operating!AH9+Operating!AG9+Operating!AF9+Operating!AD9</f>
        <v>2519320.3690349143</v>
      </c>
      <c r="AI115" s="446">
        <f>Operating!AI9+Operating!AH9+Operating!AG9+Operating!AF9</f>
        <v>2765561.4388676668</v>
      </c>
      <c r="AJ115" s="447">
        <f>Operating!AJ9</f>
        <v>2765561.4388676668</v>
      </c>
      <c r="AK115" s="446">
        <f>Operating!AK9+Operating!AI9+Operating!AH9+Operating!AG9</f>
        <v>2741962.1606849977</v>
      </c>
      <c r="AL115" s="446">
        <f>Operating!AL9+Operating!AK9+Operating!AI9+Operating!AH9</f>
        <v>2939867.094916631</v>
      </c>
      <c r="AM115" s="446">
        <f>Operating!AM9+Operating!AL9+Operating!AK9+Operating!AI9</f>
        <v>3096147.5831904933</v>
      </c>
      <c r="AN115" s="446">
        <f>Operating!AN9+Operating!AM9+Operating!AL9+Operating!AK9</f>
        <v>3259170.9289581571</v>
      </c>
      <c r="AO115" s="447">
        <f>Operating!AO9</f>
        <v>3259170.9289581571</v>
      </c>
      <c r="AP115" s="446">
        <f>Operating!AP9+Operating!AN9+Operating!AM9+Operating!AL9</f>
        <v>3352297.4499346833</v>
      </c>
      <c r="AQ115" s="446">
        <f>Operating!AQ9+Operating!AP9+Operating!AN9+Operating!AM9</f>
        <v>3656948.8080089483</v>
      </c>
      <c r="AR115" s="446">
        <f>Operating!AR9+Operating!AQ9+Operating!AP9+Operating!AN9</f>
        <v>3869835.9855198022</v>
      </c>
      <c r="AS115" s="446">
        <f>Operating!AS9+Operating!AR9+Operating!AQ9+Operating!AP9</f>
        <v>5055724.1943223607</v>
      </c>
      <c r="AT115" s="447">
        <f>Operating!AT9</f>
        <v>5055724.1943223607</v>
      </c>
      <c r="AU115" s="446">
        <f>Operating!AU9+Operating!AS9+Operating!AR9+Operating!AQ9</f>
        <v>5215663.1183098489</v>
      </c>
      <c r="AV115" s="446">
        <f>Operating!AV9+Operating!AU9+Operating!AS9+Operating!AR9</f>
        <v>5460199.0208904268</v>
      </c>
      <c r="AW115" s="446">
        <f>Operating!AW9+Operating!AV9+Operating!AU9+Operating!AS9</f>
        <v>5641048.0592075102</v>
      </c>
      <c r="AX115" s="446">
        <f>Operating!AX9+Operating!AW9+Operating!AV9+Operating!AU9</f>
        <v>4589313.4433463393</v>
      </c>
      <c r="AY115" s="447">
        <f>Operating!AY9</f>
        <v>4589313.4433463393</v>
      </c>
      <c r="AZ115" s="446">
        <f>Operating!AZ9+Operating!AX9+Operating!AW9+Operating!AV9</f>
        <v>4662471.3602240272</v>
      </c>
      <c r="BA115" s="446">
        <f>Operating!BA9+Operating!AZ9+Operating!AX9+Operating!AW9</f>
        <v>3869378.512328282</v>
      </c>
      <c r="BB115" s="446">
        <f>Operating!BB9+Operating!BA9+Operating!AZ9+Operating!AX9</f>
        <v>4457639.2845503371</v>
      </c>
      <c r="BC115" s="446">
        <f>Operating!BC9+Operating!BB9+Operating!BA9+Operating!AZ9</f>
        <v>4930388.9416555772</v>
      </c>
      <c r="BD115" s="447">
        <f>Operating!BD9</f>
        <v>4930388.9416555772</v>
      </c>
      <c r="BE115" s="446">
        <f>Operating!BE9+Operating!BC9+Operating!BB9+Operating!BA9</f>
        <v>5115111.8526968835</v>
      </c>
      <c r="BF115" s="446">
        <f>Operating!BF9+Operating!BE9+Operating!BC9+Operating!BB9</f>
        <v>6162688.5831581578</v>
      </c>
      <c r="BG115" s="446">
        <f>Operating!BG9+Operating!BF9+Operating!BE9+Operating!BD9</f>
        <v>8886859.3356911391</v>
      </c>
      <c r="BH115" s="446">
        <f>Operating!BH9+Operating!BG9+Operating!BF9+Operating!BE9</f>
        <v>5530985.4925273918</v>
      </c>
      <c r="BI115" s="447">
        <f>Operating!BI9</f>
        <v>5530985.4925273918</v>
      </c>
      <c r="BJ115" s="446">
        <f>Operating!BJ9+Operating!BH9+Operating!BG9+Operating!BF9</f>
        <v>5812560.9386183089</v>
      </c>
      <c r="BK115" s="446">
        <f>Operating!BK9+Operating!BJ9+Operating!BH9+Operating!BG9</f>
        <v>5874646.989958154</v>
      </c>
      <c r="BL115" s="446">
        <f>Operating!BL9+Operating!BK9+Operating!BJ9+Operating!BI9</f>
        <v>10751231.240185585</v>
      </c>
      <c r="BM115" s="446">
        <f>Operating!BM9+Operating!BL9+Operating!BK9+Operating!BJ9</f>
        <v>7911182.0870935516</v>
      </c>
      <c r="BN115" s="447">
        <f>Operating!BN9</f>
        <v>7911182.0870935516</v>
      </c>
      <c r="BO115" s="446">
        <f>Operating!BO9+Operating!BM9+Operating!BL9+Operating!BK9</f>
        <v>8143246.2056544833</v>
      </c>
      <c r="BP115" s="446">
        <f>Operating!BP9+Operating!BO9+Operating!BM9+Operating!BL9</f>
        <v>9012438.7942087948</v>
      </c>
      <c r="BQ115" s="446">
        <f>Operating!BQ9+Operating!BP9+Operating!BO9+Operating!BN9</f>
        <v>14210155.98310478</v>
      </c>
      <c r="BR115" s="446">
        <f>Operating!BR9+Operating!BQ9+Operating!BP9+Operating!BO9</f>
        <v>8891909.593476627</v>
      </c>
      <c r="BS115" s="447">
        <f>Operating!BS9</f>
        <v>8891909.593476627</v>
      </c>
      <c r="BT115" s="446">
        <f>Operating!BT9+Operating!BR9+Operating!BQ9+Operating!BP9</f>
        <v>9494487.4766998049</v>
      </c>
      <c r="BU115" s="446">
        <f>Operating!BU9+Operating!BT9+Operating!BR9+Operating!BQ9</f>
        <v>9374758.7361508142</v>
      </c>
      <c r="BV115" s="446">
        <f>Operating!BV9+Operating!BU9+Operating!BT9+Operating!BS9</f>
        <v>16611120.548292466</v>
      </c>
      <c r="BW115" s="446">
        <f>Operating!BW9+Operating!BV9+Operating!BU9+Operating!BT9</f>
        <v>12624165.571773611</v>
      </c>
      <c r="BX115" s="447">
        <f>Operating!BX9</f>
        <v>12624165.571773611</v>
      </c>
      <c r="BY115" s="446">
        <f>Operating!BY9+Operating!BW9+Operating!BV9+Operating!BU9</f>
        <v>13505887.816264279</v>
      </c>
      <c r="BZ115" s="446">
        <f>Operating!BZ9+Operating!BY9+Operating!BW9+Operating!BV9</f>
        <v>14392265.332956148</v>
      </c>
      <c r="CA115" s="446">
        <f>Operating!CA9+Operating!BZ9+Operating!BX9+Operating!BW9</f>
        <v>24333841.967738751</v>
      </c>
      <c r="CB115" s="446">
        <f>Operating!CB9+Operating!CA9+Operating!BZ9+Operating!BY9</f>
        <v>13163573.365860239</v>
      </c>
      <c r="CC115" s="447">
        <f>Operating!CC9</f>
        <v>13163573.365860239</v>
      </c>
      <c r="CD115" s="446">
        <f>Operating!CD9+Operating!CB9+Operating!CA9+Operating!BZ9</f>
        <v>13076721.779007368</v>
      </c>
      <c r="CE115" s="446">
        <f>Operating!CE9+Operating!CD9+Operating!CB9+Operating!CA9</f>
        <v>13285839.54355466</v>
      </c>
      <c r="CF115" s="446">
        <f>Operating!CF9+Operating!CE9+Operating!CD9+Operating!CB9</f>
        <v>13252561.340598848</v>
      </c>
      <c r="CG115" s="446">
        <f>Operating!CG9+Operating!CF9+Operating!CE9+Operating!CD9</f>
        <v>13634945.058524508</v>
      </c>
      <c r="CH115" s="447">
        <f>Operating!CH9</f>
        <v>13634945.058524508</v>
      </c>
      <c r="CI115" s="446">
        <f>Operating!CI9+Operating!CG9+Operating!CF9+Operating!CE9</f>
        <v>14302879.499133723</v>
      </c>
      <c r="CJ115" s="446">
        <f>Operating!CJ9+Operating!CI9+Operating!CG9+Operating!CF9</f>
        <v>14456998.020033205</v>
      </c>
      <c r="CK115" s="446">
        <f>Operating!CK9+Operating!CJ9+Operating!CI9+Operating!CG9</f>
        <v>14871017.637235029</v>
      </c>
      <c r="CL115" s="446">
        <f>Operating!CL9+Operating!CK9+Operating!CJ9+Operating!CI9</f>
        <v>15273065.724229164</v>
      </c>
      <c r="CM115" s="447">
        <f>Operating!CM9</f>
        <v>15273065.724229164</v>
      </c>
      <c r="CN115" s="446">
        <f>Operating!CN9+Operating!CL9+Operating!CK9+Operating!CJ9</f>
        <v>15305526.140694655</v>
      </c>
      <c r="CO115" s="446">
        <f>Operating!CO9+Operating!CN9+Operating!CL9+Operating!CK9</f>
        <v>15539834.986511588</v>
      </c>
      <c r="CP115" s="446">
        <f>Operating!CP9+Operating!CO9+Operating!CN9+Operating!CL9</f>
        <v>15791621.916308086</v>
      </c>
      <c r="CQ115" s="446">
        <f>Operating!CQ9+Operating!CP9+Operating!CO9+Operating!CN9</f>
        <v>16360520.376901973</v>
      </c>
      <c r="CR115" s="447">
        <f>Operating!CR9</f>
        <v>16360520.376901977</v>
      </c>
      <c r="CS115" s="446">
        <f>Operating!CS9+Operating!CQ9+Operating!CP9+Operating!CO9</f>
        <v>16546658.266955432</v>
      </c>
      <c r="CT115" s="446">
        <f>Operating!CT9+Operating!CS9+Operating!CQ9+Operating!CP9</f>
        <v>16726782.633134531</v>
      </c>
      <c r="CU115" s="446">
        <f>Operating!CU9+Operating!CT9+Operating!CS9+Operating!CQ9</f>
        <v>16913874.221338674</v>
      </c>
      <c r="CV115" s="446">
        <f>Operating!CV9+Operating!CU9+Operating!CT9+Operating!CS9</f>
        <v>17122582.356453139</v>
      </c>
      <c r="CW115" s="447">
        <f>Operating!CW9</f>
        <v>17122582.356453139</v>
      </c>
      <c r="CX115" s="446">
        <f>Operating!CX9+Operating!CV9+Operating!CU9+Operating!CT9</f>
        <v>17102461.104125503</v>
      </c>
      <c r="CY115" s="446">
        <f>Operating!CY9+Operating!CX9+Operating!CV9+Operating!CU9</f>
        <v>17123345.296272814</v>
      </c>
      <c r="CZ115" s="446">
        <f>Operating!CZ9+Operating!CY9+Operating!CX9+Operating!CV9</f>
        <v>17186317.453356836</v>
      </c>
      <c r="DA115" s="446">
        <f>Operating!DA9+Operating!CZ9+Operating!CY9+Operating!CX9</f>
        <v>17290382.051562205</v>
      </c>
      <c r="DB115" s="447">
        <f>Operating!DB9</f>
        <v>17290382.051562205</v>
      </c>
    </row>
    <row r="116" spans="1:106" ht="11.5" customHeight="1" x14ac:dyDescent="0.35">
      <c r="A116" s="438" t="s">
        <v>253</v>
      </c>
      <c r="B116" s="441"/>
      <c r="C116" s="441"/>
      <c r="D116" s="441"/>
      <c r="E116" s="441">
        <f t="shared" ref="E116:AG116" si="258">E114/E115</f>
        <v>3.9656483343280514E-2</v>
      </c>
      <c r="F116" s="442">
        <f t="shared" si="258"/>
        <v>3.9656483343280514E-2</v>
      </c>
      <c r="G116" s="441">
        <f t="shared" si="258"/>
        <v>3.9068633583505576E-2</v>
      </c>
      <c r="H116" s="441">
        <f t="shared" si="258"/>
        <v>3.4154799627385733E-2</v>
      </c>
      <c r="I116" s="441">
        <f t="shared" si="258"/>
        <v>1.7913973610144782E-2</v>
      </c>
      <c r="J116" s="441">
        <f t="shared" si="258"/>
        <v>3.2807868126831299E-2</v>
      </c>
      <c r="K116" s="442">
        <f t="shared" si="258"/>
        <v>3.2807868126831299E-2</v>
      </c>
      <c r="L116" s="441">
        <f t="shared" si="258"/>
        <v>2.9492431745165811E-2</v>
      </c>
      <c r="M116" s="441">
        <f t="shared" si="258"/>
        <v>2.9583136542645962E-2</v>
      </c>
      <c r="N116" s="441">
        <f t="shared" si="258"/>
        <v>2.7277079978089383E-2</v>
      </c>
      <c r="O116" s="441">
        <f t="shared" si="258"/>
        <v>4.784049777370513E-2</v>
      </c>
      <c r="P116" s="442">
        <f t="shared" si="258"/>
        <v>4.7840497773705123E-2</v>
      </c>
      <c r="Q116" s="441">
        <f t="shared" si="258"/>
        <v>4.2510479505074486E-2</v>
      </c>
      <c r="R116" s="441">
        <f t="shared" si="258"/>
        <v>4.2256983727354702E-2</v>
      </c>
      <c r="S116" s="441">
        <f t="shared" si="258"/>
        <v>4.6182402620883578E-2</v>
      </c>
      <c r="T116" s="441">
        <f t="shared" si="258"/>
        <v>3.9922618062072569E-2</v>
      </c>
      <c r="U116" s="442">
        <f t="shared" si="258"/>
        <v>3.9922618062072569E-2</v>
      </c>
      <c r="V116" s="441">
        <f t="shared" si="258"/>
        <v>3.8180580129078504E-2</v>
      </c>
      <c r="W116" s="441">
        <f t="shared" si="258"/>
        <v>4.4322911813847773E-2</v>
      </c>
      <c r="X116" s="441">
        <f t="shared" si="258"/>
        <v>4.2892687837630249E-2</v>
      </c>
      <c r="Y116" s="441">
        <f t="shared" si="258"/>
        <v>4.9541770263685683E-2</v>
      </c>
      <c r="Z116" s="442">
        <f t="shared" si="258"/>
        <v>4.9541770263685683E-2</v>
      </c>
      <c r="AA116" s="441">
        <f t="shared" si="258"/>
        <v>5.3489904391349888E-2</v>
      </c>
      <c r="AB116" s="441">
        <f t="shared" si="258"/>
        <v>5.5625720795574096E-2</v>
      </c>
      <c r="AC116" s="441">
        <f t="shared" si="258"/>
        <v>4.1249103265042372E-2</v>
      </c>
      <c r="AD116" s="441">
        <f t="shared" si="258"/>
        <v>5.1538149710530605E-2</v>
      </c>
      <c r="AE116" s="442">
        <f t="shared" si="258"/>
        <v>5.1538149710530612E-2</v>
      </c>
      <c r="AF116" s="441">
        <f t="shared" si="258"/>
        <v>4.2954357969380665E-2</v>
      </c>
      <c r="AG116" s="441">
        <f t="shared" si="258"/>
        <v>4.3232951972698851E-2</v>
      </c>
      <c r="AH116" s="441">
        <f t="shared" ref="AH116:BM116" si="259">AH114/AH115</f>
        <v>2.8910574810261699E-2</v>
      </c>
      <c r="AI116" s="441">
        <f t="shared" si="259"/>
        <v>2.6788773866594631E-2</v>
      </c>
      <c r="AJ116" s="442">
        <f t="shared" si="259"/>
        <v>2.6788773866594631E-2</v>
      </c>
      <c r="AK116" s="441">
        <f t="shared" si="259"/>
        <v>3.0087213158109492E-2</v>
      </c>
      <c r="AL116" s="441">
        <f t="shared" si="259"/>
        <v>4.016576130403221E-2</v>
      </c>
      <c r="AM116" s="441">
        <f t="shared" si="259"/>
        <v>3.3168315540752329E-2</v>
      </c>
      <c r="AN116" s="441">
        <f t="shared" si="259"/>
        <v>3.8287344456612894E-2</v>
      </c>
      <c r="AO116" s="442">
        <f t="shared" si="259"/>
        <v>3.8287344456612894E-2</v>
      </c>
      <c r="AP116" s="441">
        <f t="shared" si="259"/>
        <v>4.5786211484004975E-2</v>
      </c>
      <c r="AQ116" s="441">
        <f t="shared" si="259"/>
        <v>5.0791796590975276E-2</v>
      </c>
      <c r="AR116" s="441">
        <f t="shared" si="259"/>
        <v>3.6158121564732137E-2</v>
      </c>
      <c r="AS116" s="441">
        <f t="shared" si="259"/>
        <v>2.6612804581210722E-2</v>
      </c>
      <c r="AT116" s="442">
        <f t="shared" si="259"/>
        <v>2.6612804581210722E-2</v>
      </c>
      <c r="AU116" s="441">
        <f t="shared" si="259"/>
        <v>2.5724820977985025E-2</v>
      </c>
      <c r="AV116" s="441">
        <f t="shared" si="259"/>
        <v>2.6249592634194248E-2</v>
      </c>
      <c r="AW116" s="441">
        <f t="shared" si="259"/>
        <v>2.4977805280353284E-2</v>
      </c>
      <c r="AX116" s="441">
        <f t="shared" si="259"/>
        <v>3.2328582876618162E-2</v>
      </c>
      <c r="AY116" s="442">
        <f t="shared" si="259"/>
        <v>3.2328582876618162E-2</v>
      </c>
      <c r="AZ116" s="441">
        <f t="shared" si="259"/>
        <v>3.4781339652498806E-2</v>
      </c>
      <c r="BA116" s="441">
        <f t="shared" si="259"/>
        <v>3.1195190549442732E-2</v>
      </c>
      <c r="BB116" s="441">
        <f t="shared" si="259"/>
        <v>1.3991710862780489E-2</v>
      </c>
      <c r="BC116" s="441">
        <f t="shared" si="259"/>
        <v>2.9828478389905006E-2</v>
      </c>
      <c r="BD116" s="442">
        <f t="shared" si="259"/>
        <v>2.9828478389905006E-2</v>
      </c>
      <c r="BE116" s="441">
        <f t="shared" si="259"/>
        <v>2.7159132390576168E-2</v>
      </c>
      <c r="BF116" s="441">
        <f t="shared" si="259"/>
        <v>3.2079991927595718E-2</v>
      </c>
      <c r="BG116" s="441">
        <f t="shared" si="259"/>
        <v>2.3289217504409154E-2</v>
      </c>
      <c r="BH116" s="441">
        <f t="shared" si="259"/>
        <v>3.2626916169606335E-2</v>
      </c>
      <c r="BI116" s="442">
        <f t="shared" si="259"/>
        <v>3.2626916169606335E-2</v>
      </c>
      <c r="BJ116" s="441">
        <f t="shared" si="259"/>
        <v>3.228989802980279E-2</v>
      </c>
      <c r="BK116" s="441">
        <f t="shared" si="259"/>
        <v>3.0909772163398273E-2</v>
      </c>
      <c r="BL116" s="441">
        <f t="shared" si="259"/>
        <v>1.4937451945013494E-2</v>
      </c>
      <c r="BM116" s="441">
        <f t="shared" si="259"/>
        <v>1.5363570028085831E-2</v>
      </c>
      <c r="BN116" s="442">
        <f t="shared" ref="BN116:BY116" si="260">BN114/BN115</f>
        <v>1.5363570028085831E-2</v>
      </c>
      <c r="BO116" s="441">
        <f t="shared" si="260"/>
        <v>2.6294059468731361E-2</v>
      </c>
      <c r="BP116" s="441">
        <f t="shared" si="260"/>
        <v>2.2942735559310104E-2</v>
      </c>
      <c r="BQ116" s="441">
        <f t="shared" si="260"/>
        <v>1.3817441570201532E-2</v>
      </c>
      <c r="BR116" s="441">
        <f t="shared" si="260"/>
        <v>1.73824304414197E-2</v>
      </c>
      <c r="BS116" s="442">
        <f t="shared" si="260"/>
        <v>1.73824304414197E-2</v>
      </c>
      <c r="BT116" s="441">
        <f t="shared" si="260"/>
        <v>1.6863574826226753E-2</v>
      </c>
      <c r="BU116" s="441">
        <f t="shared" si="260"/>
        <v>1.4931050914433707E-2</v>
      </c>
      <c r="BV116" s="441">
        <f t="shared" si="260"/>
        <v>5.5213012110388792E-3</v>
      </c>
      <c r="BW116" s="441">
        <f t="shared" si="260"/>
        <v>5.2387620887887698E-3</v>
      </c>
      <c r="BX116" s="442">
        <f t="shared" si="260"/>
        <v>5.2387620887887698E-3</v>
      </c>
      <c r="BY116" s="441">
        <f t="shared" si="260"/>
        <v>3.0148332752302229E-3</v>
      </c>
      <c r="BZ116" s="441">
        <f>BZ114/BZ115</f>
        <v>8.0191684442975832E-3</v>
      </c>
      <c r="CA116" s="441">
        <f>CA114/CA115</f>
        <v>1.3136602120774976E-2</v>
      </c>
      <c r="CB116" s="441">
        <f t="shared" ref="CB116" si="261">CB114/CB115</f>
        <v>5.6192948483001874E-3</v>
      </c>
      <c r="CC116" s="440">
        <f>CC114/CC115</f>
        <v>5.6192948483001874E-3</v>
      </c>
      <c r="CD116" s="441">
        <f t="shared" ref="CD116" si="262">CD114/CD115</f>
        <v>6.4615582886870864E-3</v>
      </c>
      <c r="CE116" s="441">
        <f>CE114/CE115</f>
        <v>1.6909657779887045E-2</v>
      </c>
      <c r="CF116" s="652">
        <f>CE116</f>
        <v>1.6909657779887045E-2</v>
      </c>
      <c r="CG116" s="652">
        <f>CF116</f>
        <v>1.6909657779887045E-2</v>
      </c>
      <c r="CH116" s="440">
        <f>CH114/CH115</f>
        <v>1.6909657779887045E-2</v>
      </c>
      <c r="CI116" s="652">
        <f>CG116</f>
        <v>1.6909657779887045E-2</v>
      </c>
      <c r="CJ116" s="652">
        <f>CI116</f>
        <v>1.6909657779887045E-2</v>
      </c>
      <c r="CK116" s="652">
        <f>CJ116</f>
        <v>1.6909657779887045E-2</v>
      </c>
      <c r="CL116" s="652">
        <f>CK116</f>
        <v>1.6909657779887045E-2</v>
      </c>
      <c r="CM116" s="440">
        <f>CM114/CM115</f>
        <v>1.6909657779887045E-2</v>
      </c>
      <c r="CN116" s="652">
        <f>CL116</f>
        <v>1.6909657779887045E-2</v>
      </c>
      <c r="CO116" s="652">
        <f>CN116</f>
        <v>1.6909657779887045E-2</v>
      </c>
      <c r="CP116" s="652">
        <f>CO116</f>
        <v>1.6909657779887045E-2</v>
      </c>
      <c r="CQ116" s="652">
        <f>CP116</f>
        <v>1.6909657779887045E-2</v>
      </c>
      <c r="CR116" s="440">
        <f>CR114/CR115</f>
        <v>1.6909657779887042E-2</v>
      </c>
      <c r="CS116" s="652">
        <f>CQ116</f>
        <v>1.6909657779887045E-2</v>
      </c>
      <c r="CT116" s="652">
        <f>CS116</f>
        <v>1.6909657779887045E-2</v>
      </c>
      <c r="CU116" s="652">
        <f>CT116</f>
        <v>1.6909657779887045E-2</v>
      </c>
      <c r="CV116" s="652">
        <f>CU116</f>
        <v>1.6909657779887045E-2</v>
      </c>
      <c r="CW116" s="440">
        <f>CW114/CW115</f>
        <v>1.6909657779887045E-2</v>
      </c>
      <c r="CX116" s="652">
        <f>CV116</f>
        <v>1.6909657779887045E-2</v>
      </c>
      <c r="CY116" s="652">
        <f>CX116</f>
        <v>1.6909657779887045E-2</v>
      </c>
      <c r="CZ116" s="652">
        <f>CY116</f>
        <v>1.6909657779887045E-2</v>
      </c>
      <c r="DA116" s="652">
        <f>CZ116</f>
        <v>1.6909657779887045E-2</v>
      </c>
      <c r="DB116" s="440">
        <f>DB114/DB115</f>
        <v>1.6909657779887045E-2</v>
      </c>
    </row>
    <row r="117" spans="1:106" ht="11.5" customHeight="1" x14ac:dyDescent="0.35">
      <c r="A117" s="16" t="s">
        <v>175</v>
      </c>
      <c r="B117" s="95">
        <f t="shared" ref="B117:AG117" si="263">B33</f>
        <v>512989</v>
      </c>
      <c r="C117" s="95">
        <f t="shared" si="263"/>
        <v>531181</v>
      </c>
      <c r="D117" s="95">
        <f t="shared" si="263"/>
        <v>507151</v>
      </c>
      <c r="E117" s="95">
        <f t="shared" si="263"/>
        <v>417608</v>
      </c>
      <c r="F117" s="96">
        <f t="shared" si="263"/>
        <v>417608</v>
      </c>
      <c r="G117" s="95">
        <f t="shared" si="263"/>
        <v>253736</v>
      </c>
      <c r="H117" s="95">
        <f t="shared" si="263"/>
        <v>482566</v>
      </c>
      <c r="I117" s="95">
        <f t="shared" si="263"/>
        <v>305175</v>
      </c>
      <c r="J117" s="95">
        <f t="shared" si="263"/>
        <v>286252</v>
      </c>
      <c r="K117" s="96">
        <f t="shared" si="263"/>
        <v>286252</v>
      </c>
      <c r="L117" s="95">
        <f t="shared" si="263"/>
        <v>288727</v>
      </c>
      <c r="M117" s="95">
        <f t="shared" si="263"/>
        <v>344421</v>
      </c>
      <c r="N117" s="95">
        <f t="shared" si="263"/>
        <v>367833</v>
      </c>
      <c r="O117" s="95">
        <f t="shared" si="263"/>
        <v>191222</v>
      </c>
      <c r="P117" s="96">
        <f t="shared" si="263"/>
        <v>191222</v>
      </c>
      <c r="Q117" s="95">
        <f t="shared" si="263"/>
        <v>266966</v>
      </c>
      <c r="R117" s="95">
        <f t="shared" si="263"/>
        <v>262004</v>
      </c>
      <c r="S117" s="95">
        <f t="shared" si="263"/>
        <v>299910</v>
      </c>
      <c r="T117" s="95">
        <f t="shared" si="263"/>
        <v>270627</v>
      </c>
      <c r="U117" s="96">
        <f t="shared" si="263"/>
        <v>270627</v>
      </c>
      <c r="V117" s="95">
        <f t="shared" si="263"/>
        <v>308820</v>
      </c>
      <c r="W117" s="95">
        <f t="shared" si="263"/>
        <v>301218</v>
      </c>
      <c r="X117" s="95">
        <f t="shared" si="263"/>
        <v>278297</v>
      </c>
      <c r="Y117" s="95">
        <f t="shared" si="263"/>
        <v>252704</v>
      </c>
      <c r="Z117" s="96">
        <f t="shared" si="263"/>
        <v>252704</v>
      </c>
      <c r="AA117" s="95">
        <f t="shared" si="263"/>
        <v>238404</v>
      </c>
      <c r="AB117" s="95">
        <f t="shared" si="263"/>
        <v>257264</v>
      </c>
      <c r="AC117" s="95">
        <f t="shared" si="263"/>
        <v>293928</v>
      </c>
      <c r="AD117" s="95">
        <f t="shared" si="263"/>
        <v>197686</v>
      </c>
      <c r="AE117" s="96">
        <f t="shared" si="263"/>
        <v>197686</v>
      </c>
      <c r="AF117" s="95">
        <f t="shared" si="263"/>
        <v>245242</v>
      </c>
      <c r="AG117" s="95">
        <f t="shared" si="263"/>
        <v>232207</v>
      </c>
      <c r="AH117" s="95">
        <f t="shared" ref="AH117:BM117" si="264">AH33</f>
        <v>219423</v>
      </c>
      <c r="AI117" s="95">
        <f t="shared" si="264"/>
        <v>144511</v>
      </c>
      <c r="AJ117" s="96">
        <f t="shared" si="264"/>
        <v>144511</v>
      </c>
      <c r="AK117" s="95">
        <f t="shared" si="264"/>
        <v>161910</v>
      </c>
      <c r="AL117" s="95">
        <f t="shared" si="264"/>
        <v>227284</v>
      </c>
      <c r="AM117" s="95">
        <f t="shared" si="264"/>
        <v>208580</v>
      </c>
      <c r="AN117" s="95">
        <f t="shared" si="264"/>
        <v>115242</v>
      </c>
      <c r="AO117" s="96">
        <f t="shared" si="264"/>
        <v>115242</v>
      </c>
      <c r="AP117" s="95">
        <f t="shared" si="264"/>
        <v>136587</v>
      </c>
      <c r="AQ117" s="95">
        <f t="shared" si="264"/>
        <v>211216</v>
      </c>
      <c r="AR117" s="95">
        <f t="shared" si="264"/>
        <v>221710</v>
      </c>
      <c r="AS117" s="95">
        <f t="shared" si="264"/>
        <v>121887</v>
      </c>
      <c r="AT117" s="96">
        <f t="shared" si="264"/>
        <v>121887</v>
      </c>
      <c r="AU117" s="95">
        <f t="shared" si="264"/>
        <v>211342</v>
      </c>
      <c r="AV117" s="95">
        <f t="shared" si="264"/>
        <v>161076</v>
      </c>
      <c r="AW117" s="95">
        <f t="shared" si="264"/>
        <v>171868</v>
      </c>
      <c r="AX117" s="95">
        <f t="shared" si="264"/>
        <v>134825</v>
      </c>
      <c r="AY117" s="96">
        <f t="shared" si="264"/>
        <v>134825</v>
      </c>
      <c r="AZ117" s="95">
        <f t="shared" si="264"/>
        <v>168906</v>
      </c>
      <c r="BA117" s="95">
        <f t="shared" si="264"/>
        <v>157416</v>
      </c>
      <c r="BB117" s="95">
        <f t="shared" si="264"/>
        <v>138787</v>
      </c>
      <c r="BC117" s="95">
        <f t="shared" si="264"/>
        <v>151524</v>
      </c>
      <c r="BD117" s="96">
        <f t="shared" si="264"/>
        <v>151524</v>
      </c>
      <c r="BE117" s="95">
        <f t="shared" si="264"/>
        <v>196696</v>
      </c>
      <c r="BF117" s="95">
        <f t="shared" si="264"/>
        <v>196906</v>
      </c>
      <c r="BG117" s="95">
        <f t="shared" si="264"/>
        <v>229818</v>
      </c>
      <c r="BH117" s="95">
        <f t="shared" si="264"/>
        <v>219163</v>
      </c>
      <c r="BI117" s="96">
        <f t="shared" si="264"/>
        <v>219163</v>
      </c>
      <c r="BJ117" s="95">
        <f t="shared" si="264"/>
        <v>242571</v>
      </c>
      <c r="BK117" s="95">
        <f t="shared" si="264"/>
        <v>256101</v>
      </c>
      <c r="BL117" s="95">
        <f t="shared" si="264"/>
        <v>288172</v>
      </c>
      <c r="BM117" s="95">
        <f t="shared" si="264"/>
        <v>247729</v>
      </c>
      <c r="BN117" s="96">
        <f t="shared" ref="BN117:BY117" si="265">BN33</f>
        <v>247729</v>
      </c>
      <c r="BO117" s="95">
        <f t="shared" si="265"/>
        <v>261172</v>
      </c>
      <c r="BP117" s="95">
        <f t="shared" si="265"/>
        <v>262237</v>
      </c>
      <c r="BQ117" s="95">
        <f t="shared" si="265"/>
        <v>259794</v>
      </c>
      <c r="BR117" s="95">
        <f t="shared" si="265"/>
        <v>319474</v>
      </c>
      <c r="BS117" s="96">
        <f t="shared" si="265"/>
        <v>319474</v>
      </c>
      <c r="BT117" s="95">
        <f t="shared" si="265"/>
        <v>248128</v>
      </c>
      <c r="BU117" s="95">
        <f t="shared" si="265"/>
        <v>245535</v>
      </c>
      <c r="BV117" s="95">
        <f t="shared" si="265"/>
        <v>261293</v>
      </c>
      <c r="BW117" s="95">
        <f t="shared" si="265"/>
        <v>249266</v>
      </c>
      <c r="BX117" s="96">
        <f t="shared" si="265"/>
        <v>249266</v>
      </c>
      <c r="BY117" s="95">
        <f t="shared" si="265"/>
        <v>286988</v>
      </c>
      <c r="BZ117" s="95">
        <f>BZ33</f>
        <v>289814</v>
      </c>
      <c r="CA117" s="95">
        <f>CA33</f>
        <v>304416</v>
      </c>
      <c r="CB117" s="95">
        <f t="shared" ref="CB117" si="266">CB33</f>
        <v>276153</v>
      </c>
      <c r="CC117" s="96">
        <f>CC33</f>
        <v>276153</v>
      </c>
      <c r="CD117" s="95">
        <f t="shared" ref="CD117" si="267">CD33</f>
        <v>352677</v>
      </c>
      <c r="CE117" s="95">
        <f>CE33</f>
        <v>309459</v>
      </c>
      <c r="CF117" s="95">
        <f>-CF119*CF118/365</f>
        <v>325073.98437892942</v>
      </c>
      <c r="CG117" s="95">
        <f>-CG119*CG118/365</f>
        <v>311131.02746075433</v>
      </c>
      <c r="CH117" s="96">
        <f>CH33</f>
        <v>311131.02746075433</v>
      </c>
      <c r="CI117" s="95">
        <f>-CI119*CI118/365</f>
        <v>330616.44500820496</v>
      </c>
      <c r="CJ117" s="95">
        <f>-CJ119*CJ118/365</f>
        <v>339255.36957690265</v>
      </c>
      <c r="CK117" s="95">
        <f>-CK119*CK118/365</f>
        <v>346184.04259060253</v>
      </c>
      <c r="CL117" s="95">
        <f>-CL119*CL118/365</f>
        <v>351784.349906296</v>
      </c>
      <c r="CM117" s="96">
        <f>CM33</f>
        <v>351784.349906296</v>
      </c>
      <c r="CN117" s="95">
        <f>-CN119*CN118/365</f>
        <v>362362.37101123534</v>
      </c>
      <c r="CO117" s="95">
        <f>-CO119*CO118/365</f>
        <v>372333.89884498634</v>
      </c>
      <c r="CP117" s="95">
        <f>-CP119*CP118/365</f>
        <v>381887.25919671979</v>
      </c>
      <c r="CQ117" s="95">
        <f>-CQ119*CQ118/365</f>
        <v>393339.06813824538</v>
      </c>
      <c r="CR117" s="96">
        <f>CR33</f>
        <v>393339.06813824538</v>
      </c>
      <c r="CS117" s="95">
        <f>-CS119*CS118/365</f>
        <v>402845.41364707565</v>
      </c>
      <c r="CT117" s="95">
        <f>-CT119*CT118/365</f>
        <v>411731.37995285349</v>
      </c>
      <c r="CU117" s="95">
        <f>-CU119*CU118/365</f>
        <v>420189.62288583443</v>
      </c>
      <c r="CV117" s="95">
        <f>-CV119*CV118/365</f>
        <v>428501.17639303458</v>
      </c>
      <c r="CW117" s="96">
        <f>CW33</f>
        <v>428501.17639303458</v>
      </c>
      <c r="CX117" s="95">
        <f>-CX119*CX118/365</f>
        <v>436413.23093806062</v>
      </c>
      <c r="CY117" s="95">
        <f>-CY119*CY118/365</f>
        <v>444024.47567518183</v>
      </c>
      <c r="CZ117" s="95">
        <f>-CZ119*CZ118/365</f>
        <v>451582.48952309071</v>
      </c>
      <c r="DA117" s="95">
        <f>-DA119*DA118/365</f>
        <v>459153.6114907976</v>
      </c>
      <c r="DB117" s="96">
        <f>DB33</f>
        <v>459153.6114907976</v>
      </c>
    </row>
    <row r="118" spans="1:106" ht="11.5" customHeight="1" x14ac:dyDescent="0.35">
      <c r="A118" s="19" t="s">
        <v>240</v>
      </c>
      <c r="B118" s="97"/>
      <c r="C118" s="97"/>
      <c r="D118" s="97"/>
      <c r="E118" s="97">
        <f t="shared" ref="E118:AG118" si="268">E102</f>
        <v>-3353475</v>
      </c>
      <c r="F118" s="98">
        <f t="shared" si="268"/>
        <v>-3353475</v>
      </c>
      <c r="G118" s="97">
        <f t="shared" si="268"/>
        <v>-3487673</v>
      </c>
      <c r="H118" s="97">
        <f t="shared" si="268"/>
        <v>-3675267</v>
      </c>
      <c r="I118" s="97">
        <f t="shared" si="268"/>
        <v>-4035323</v>
      </c>
      <c r="J118" s="97">
        <f t="shared" si="268"/>
        <v>-4393291</v>
      </c>
      <c r="K118" s="98">
        <f t="shared" si="268"/>
        <v>-4393291</v>
      </c>
      <c r="L118" s="97">
        <f t="shared" si="268"/>
        <v>-4527730</v>
      </c>
      <c r="M118" s="97">
        <f t="shared" si="268"/>
        <v>-4501034</v>
      </c>
      <c r="N118" s="97">
        <f t="shared" si="268"/>
        <v>-4309059</v>
      </c>
      <c r="O118" s="97">
        <f t="shared" si="268"/>
        <v>-3813867</v>
      </c>
      <c r="P118" s="98">
        <f t="shared" si="268"/>
        <v>-3813867</v>
      </c>
      <c r="Q118" s="97">
        <f t="shared" si="268"/>
        <v>-3625749</v>
      </c>
      <c r="R118" s="97">
        <f t="shared" si="268"/>
        <v>-3576702</v>
      </c>
      <c r="S118" s="97">
        <f t="shared" si="268"/>
        <v>-3592234</v>
      </c>
      <c r="T118" s="97">
        <f t="shared" si="268"/>
        <v>-3612593</v>
      </c>
      <c r="U118" s="98">
        <f t="shared" si="268"/>
        <v>-3612593</v>
      </c>
      <c r="V118" s="97">
        <f t="shared" si="268"/>
        <v>-3671950</v>
      </c>
      <c r="W118" s="97">
        <f t="shared" si="268"/>
        <v>-3652084</v>
      </c>
      <c r="X118" s="97">
        <f t="shared" si="268"/>
        <v>-3845851</v>
      </c>
      <c r="Y118" s="97">
        <f t="shared" si="268"/>
        <v>-3949181</v>
      </c>
      <c r="Z118" s="98">
        <f t="shared" si="268"/>
        <v>-3949181</v>
      </c>
      <c r="AA118" s="97">
        <f t="shared" si="268"/>
        <v>-3746077</v>
      </c>
      <c r="AB118" s="97">
        <f t="shared" si="268"/>
        <v>-3579925</v>
      </c>
      <c r="AC118" s="97">
        <f t="shared" si="268"/>
        <v>-3192179</v>
      </c>
      <c r="AD118" s="97">
        <f t="shared" si="268"/>
        <v>-2838105</v>
      </c>
      <c r="AE118" s="98">
        <f t="shared" si="268"/>
        <v>-2838105</v>
      </c>
      <c r="AF118" s="97">
        <f t="shared" si="268"/>
        <v>-2691947</v>
      </c>
      <c r="AG118" s="97">
        <f t="shared" si="268"/>
        <v>-2340423</v>
      </c>
      <c r="AH118" s="97">
        <f t="shared" ref="AH118:BM118" si="269">AH102</f>
        <v>-2160590</v>
      </c>
      <c r="AI118" s="97">
        <f t="shared" si="269"/>
        <v>-2132787</v>
      </c>
      <c r="AJ118" s="98">
        <f t="shared" si="269"/>
        <v>-2132787</v>
      </c>
      <c r="AK118" s="97">
        <f t="shared" si="269"/>
        <v>-2081712</v>
      </c>
      <c r="AL118" s="97">
        <f t="shared" si="269"/>
        <v>-2115776</v>
      </c>
      <c r="AM118" s="97">
        <f t="shared" si="269"/>
        <v>-2002885</v>
      </c>
      <c r="AN118" s="97">
        <f t="shared" si="269"/>
        <v>-1939257</v>
      </c>
      <c r="AO118" s="98">
        <f t="shared" si="269"/>
        <v>-1939257</v>
      </c>
      <c r="AP118" s="97">
        <f t="shared" si="269"/>
        <v>-1787726</v>
      </c>
      <c r="AQ118" s="97">
        <f t="shared" si="269"/>
        <v>-1834801</v>
      </c>
      <c r="AR118" s="97">
        <f t="shared" si="269"/>
        <v>-1904355</v>
      </c>
      <c r="AS118" s="97">
        <f t="shared" si="269"/>
        <v>-2077230</v>
      </c>
      <c r="AT118" s="98">
        <f t="shared" si="269"/>
        <v>-2077230</v>
      </c>
      <c r="AU118" s="97">
        <f t="shared" si="269"/>
        <v>-2328738</v>
      </c>
      <c r="AV118" s="97">
        <f t="shared" si="269"/>
        <v>-2504158</v>
      </c>
      <c r="AW118" s="97">
        <f t="shared" si="269"/>
        <v>-2629941</v>
      </c>
      <c r="AX118" s="97">
        <f t="shared" si="269"/>
        <v>-2715109</v>
      </c>
      <c r="AY118" s="98">
        <f t="shared" si="269"/>
        <v>-2715109</v>
      </c>
      <c r="AZ118" s="97">
        <f t="shared" si="269"/>
        <v>-2641662</v>
      </c>
      <c r="BA118" s="97">
        <f t="shared" si="269"/>
        <v>-2561937</v>
      </c>
      <c r="BB118" s="97">
        <f t="shared" si="269"/>
        <v>-2701027</v>
      </c>
      <c r="BC118" s="97">
        <f t="shared" si="269"/>
        <v>-2573313</v>
      </c>
      <c r="BD118" s="98">
        <f t="shared" si="269"/>
        <v>-2573313</v>
      </c>
      <c r="BE118" s="97">
        <f t="shared" si="269"/>
        <v>-2726605</v>
      </c>
      <c r="BF118" s="97">
        <f t="shared" si="269"/>
        <v>-2912403</v>
      </c>
      <c r="BG118" s="97">
        <f t="shared" si="269"/>
        <v>-4821683</v>
      </c>
      <c r="BH118" s="97">
        <f t="shared" si="269"/>
        <v>-3125013</v>
      </c>
      <c r="BI118" s="98">
        <f t="shared" si="269"/>
        <v>-3125013</v>
      </c>
      <c r="BJ118" s="97">
        <f t="shared" si="269"/>
        <v>-3315923</v>
      </c>
      <c r="BK118" s="97">
        <f t="shared" si="269"/>
        <v>-3424940</v>
      </c>
      <c r="BL118" s="97">
        <f t="shared" si="269"/>
        <v>-5863127</v>
      </c>
      <c r="BM118" s="97">
        <f t="shared" si="269"/>
        <v>-3678333</v>
      </c>
      <c r="BN118" s="98">
        <f t="shared" ref="BN118:CS118" si="270">BN102</f>
        <v>-3678333</v>
      </c>
      <c r="BO118" s="97">
        <f t="shared" si="270"/>
        <v>-3719190</v>
      </c>
      <c r="BP118" s="97">
        <f t="shared" si="270"/>
        <v>-3966405</v>
      </c>
      <c r="BQ118" s="97">
        <f t="shared" si="270"/>
        <v>-6753782</v>
      </c>
      <c r="BR118" s="97">
        <f t="shared" si="270"/>
        <v>-4209100</v>
      </c>
      <c r="BS118" s="98">
        <f t="shared" si="270"/>
        <v>-4209100</v>
      </c>
      <c r="BT118" s="97">
        <f t="shared" si="270"/>
        <v>-4399530</v>
      </c>
      <c r="BU118" s="97">
        <f t="shared" si="270"/>
        <v>-4540393</v>
      </c>
      <c r="BV118" s="97">
        <f t="shared" si="270"/>
        <v>-7888805</v>
      </c>
      <c r="BW118" s="97">
        <f t="shared" si="270"/>
        <v>-5385823</v>
      </c>
      <c r="BX118" s="98">
        <f t="shared" si="270"/>
        <v>-5385823</v>
      </c>
      <c r="BY118" s="97">
        <f t="shared" si="270"/>
        <v>-5624839</v>
      </c>
      <c r="BZ118" s="97">
        <f>BZ102</f>
        <v>-5795303</v>
      </c>
      <c r="CA118" s="97">
        <f>CA102</f>
        <v>-9935267</v>
      </c>
      <c r="CB118" s="97">
        <f t="shared" ref="CB118" si="271">CB102</f>
        <v>-6353525</v>
      </c>
      <c r="CC118" s="98">
        <f t="shared" si="270"/>
        <v>-6353525</v>
      </c>
      <c r="CD118" s="97">
        <f t="shared" ref="CD118" si="272">CD102</f>
        <v>-6394227</v>
      </c>
      <c r="CE118" s="97">
        <f>CE102</f>
        <v>-6604885</v>
      </c>
      <c r="CF118" s="97">
        <f t="shared" si="270"/>
        <v>-6938160.7363645118</v>
      </c>
      <c r="CG118" s="97">
        <f t="shared" si="270"/>
        <v>-6640571.630846492</v>
      </c>
      <c r="CH118" s="98">
        <f t="shared" si="270"/>
        <v>-6640571.630846492</v>
      </c>
      <c r="CI118" s="97">
        <f t="shared" si="270"/>
        <v>-7056455.2925848598</v>
      </c>
      <c r="CJ118" s="97">
        <f t="shared" si="270"/>
        <v>-7240838.6949093118</v>
      </c>
      <c r="CK118" s="97">
        <f t="shared" si="270"/>
        <v>-7388719.6369988658</v>
      </c>
      <c r="CL118" s="97">
        <f t="shared" si="270"/>
        <v>-7508248.8340324434</v>
      </c>
      <c r="CM118" s="98">
        <f t="shared" si="270"/>
        <v>-7508248.8340324434</v>
      </c>
      <c r="CN118" s="97">
        <f t="shared" si="270"/>
        <v>-7734019.0101323379</v>
      </c>
      <c r="CO118" s="97">
        <f t="shared" si="270"/>
        <v>-7946844.6012969986</v>
      </c>
      <c r="CP118" s="97">
        <f t="shared" si="270"/>
        <v>-8150745.1066523418</v>
      </c>
      <c r="CQ118" s="97">
        <f t="shared" si="270"/>
        <v>-8395164.8233215865</v>
      </c>
      <c r="CR118" s="98">
        <f t="shared" si="270"/>
        <v>-8395164.8233215865</v>
      </c>
      <c r="CS118" s="97">
        <f t="shared" si="270"/>
        <v>-8598061.8754547946</v>
      </c>
      <c r="CT118" s="97">
        <f t="shared" ref="CT118:DB118" si="273">CT102</f>
        <v>-8787717.9706516955</v>
      </c>
      <c r="CU118" s="97">
        <f t="shared" si="273"/>
        <v>-8968245.0255261753</v>
      </c>
      <c r="CV118" s="97">
        <f t="shared" si="273"/>
        <v>-9145641.2398434319</v>
      </c>
      <c r="CW118" s="98">
        <f t="shared" si="273"/>
        <v>-9145641.2398434319</v>
      </c>
      <c r="CX118" s="97">
        <f t="shared" si="273"/>
        <v>-9314510.8166973107</v>
      </c>
      <c r="CY118" s="97">
        <f t="shared" si="273"/>
        <v>-9476960.1110966988</v>
      </c>
      <c r="CZ118" s="97">
        <f t="shared" si="273"/>
        <v>-9638273.281157501</v>
      </c>
      <c r="DA118" s="97">
        <f t="shared" si="273"/>
        <v>-9799866.2221211754</v>
      </c>
      <c r="DB118" s="98">
        <f t="shared" si="273"/>
        <v>-9799866.2221211754</v>
      </c>
    </row>
    <row r="119" spans="1:106" ht="11.5" customHeight="1" x14ac:dyDescent="0.35">
      <c r="A119" s="438" t="s">
        <v>254</v>
      </c>
      <c r="B119" s="436"/>
      <c r="C119" s="436"/>
      <c r="D119" s="436"/>
      <c r="E119" s="436">
        <f t="shared" ref="E119:AG119" si="274">-365/(E118/E117)</f>
        <v>45.453423687369067</v>
      </c>
      <c r="F119" s="437">
        <f t="shared" si="274"/>
        <v>45.453423687369067</v>
      </c>
      <c r="G119" s="436">
        <f t="shared" si="274"/>
        <v>26.554565178558885</v>
      </c>
      <c r="H119" s="436">
        <f t="shared" si="274"/>
        <v>47.924841923049399</v>
      </c>
      <c r="I119" s="436">
        <f t="shared" si="274"/>
        <v>27.603459500020197</v>
      </c>
      <c r="J119" s="436">
        <f t="shared" si="274"/>
        <v>23.782166945007742</v>
      </c>
      <c r="K119" s="437">
        <f t="shared" si="274"/>
        <v>23.782166945007742</v>
      </c>
      <c r="L119" s="436">
        <f t="shared" si="274"/>
        <v>23.275538735746171</v>
      </c>
      <c r="M119" s="436">
        <f t="shared" si="274"/>
        <v>27.92995231762302</v>
      </c>
      <c r="N119" s="436">
        <f t="shared" si="274"/>
        <v>31.157393064239777</v>
      </c>
      <c r="O119" s="436">
        <f t="shared" si="274"/>
        <v>18.300593596997484</v>
      </c>
      <c r="P119" s="437">
        <f t="shared" si="274"/>
        <v>18.300593596997484</v>
      </c>
      <c r="Q119" s="436">
        <f t="shared" si="274"/>
        <v>26.875161518351106</v>
      </c>
      <c r="R119" s="436">
        <f t="shared" si="274"/>
        <v>26.737329528711086</v>
      </c>
      <c r="S119" s="436">
        <f t="shared" si="274"/>
        <v>30.473279301960844</v>
      </c>
      <c r="T119" s="436">
        <f t="shared" si="274"/>
        <v>27.342923766945241</v>
      </c>
      <c r="U119" s="437">
        <f t="shared" si="274"/>
        <v>27.342923766945241</v>
      </c>
      <c r="V119" s="436">
        <f t="shared" si="274"/>
        <v>30.697395117035907</v>
      </c>
      <c r="W119" s="436">
        <f t="shared" si="274"/>
        <v>30.104611504007028</v>
      </c>
      <c r="X119" s="436">
        <f t="shared" si="274"/>
        <v>26.412465017495478</v>
      </c>
      <c r="Y119" s="436">
        <f t="shared" si="274"/>
        <v>23.355971782503765</v>
      </c>
      <c r="Z119" s="437">
        <f t="shared" si="274"/>
        <v>23.355971782503765</v>
      </c>
      <c r="AA119" s="436">
        <f t="shared" si="274"/>
        <v>23.228956585782939</v>
      </c>
      <c r="AB119" s="436">
        <f t="shared" si="274"/>
        <v>26.229979678345217</v>
      </c>
      <c r="AC119" s="436">
        <f t="shared" si="274"/>
        <v>33.608303293768927</v>
      </c>
      <c r="AD119" s="436">
        <f t="shared" si="274"/>
        <v>25.423791579240373</v>
      </c>
      <c r="AE119" s="437">
        <f t="shared" si="274"/>
        <v>25.423791579240373</v>
      </c>
      <c r="AF119" s="436">
        <f t="shared" si="274"/>
        <v>33.252263138910237</v>
      </c>
      <c r="AG119" s="436">
        <f t="shared" si="274"/>
        <v>36.213776313085283</v>
      </c>
      <c r="AH119" s="436">
        <f t="shared" ref="AH119:BM119" si="275">-365/(AH118/AH117)</f>
        <v>37.068298474027927</v>
      </c>
      <c r="AI119" s="436">
        <f t="shared" si="275"/>
        <v>24.731262427987417</v>
      </c>
      <c r="AJ119" s="437">
        <f t="shared" si="275"/>
        <v>24.731262427987417</v>
      </c>
      <c r="AK119" s="436">
        <f t="shared" si="275"/>
        <v>28.388725241531969</v>
      </c>
      <c r="AL119" s="436">
        <f t="shared" si="275"/>
        <v>39.209566608185369</v>
      </c>
      <c r="AM119" s="436">
        <f t="shared" si="275"/>
        <v>38.01101910494112</v>
      </c>
      <c r="AN119" s="436">
        <f t="shared" si="275"/>
        <v>21.690436079385041</v>
      </c>
      <c r="AO119" s="437">
        <f t="shared" si="275"/>
        <v>21.690436079385041</v>
      </c>
      <c r="AP119" s="436">
        <f t="shared" si="275"/>
        <v>27.886966459065874</v>
      </c>
      <c r="AQ119" s="436">
        <f t="shared" si="275"/>
        <v>42.017548497084974</v>
      </c>
      <c r="AR119" s="436">
        <f t="shared" si="275"/>
        <v>42.494256585563093</v>
      </c>
      <c r="AS119" s="436">
        <f t="shared" si="275"/>
        <v>21.417346658771535</v>
      </c>
      <c r="AT119" s="437">
        <f t="shared" si="275"/>
        <v>21.417346658771535</v>
      </c>
      <c r="AU119" s="436">
        <f t="shared" si="275"/>
        <v>33.125164788825536</v>
      </c>
      <c r="AV119" s="436">
        <f t="shared" si="275"/>
        <v>23.478047311711162</v>
      </c>
      <c r="AW119" s="436">
        <f t="shared" si="275"/>
        <v>23.852938145760685</v>
      </c>
      <c r="AX119" s="436">
        <f t="shared" si="275"/>
        <v>18.124916900205481</v>
      </c>
      <c r="AY119" s="437">
        <f t="shared" si="275"/>
        <v>18.124916900205481</v>
      </c>
      <c r="AZ119" s="436">
        <f t="shared" si="275"/>
        <v>23.33784185864808</v>
      </c>
      <c r="BA119" s="436">
        <f t="shared" si="275"/>
        <v>22.427108863332705</v>
      </c>
      <c r="BB119" s="436">
        <f t="shared" si="275"/>
        <v>18.754812521311337</v>
      </c>
      <c r="BC119" s="436">
        <f t="shared" si="275"/>
        <v>21.492239770288343</v>
      </c>
      <c r="BD119" s="437">
        <f t="shared" si="275"/>
        <v>21.492239770288343</v>
      </c>
      <c r="BE119" s="436">
        <f t="shared" si="275"/>
        <v>26.330928022210774</v>
      </c>
      <c r="BF119" s="436">
        <f t="shared" si="275"/>
        <v>24.677453635365712</v>
      </c>
      <c r="BG119" s="436">
        <f t="shared" si="275"/>
        <v>17.397155723426863</v>
      </c>
      <c r="BH119" s="436">
        <f t="shared" si="275"/>
        <v>25.598131911771247</v>
      </c>
      <c r="BI119" s="437">
        <f t="shared" si="275"/>
        <v>25.598131911771247</v>
      </c>
      <c r="BJ119" s="436">
        <f t="shared" si="275"/>
        <v>26.700986422181696</v>
      </c>
      <c r="BK119" s="436">
        <f t="shared" si="275"/>
        <v>27.292993453899921</v>
      </c>
      <c r="BL119" s="436">
        <f t="shared" si="275"/>
        <v>17.939706917486181</v>
      </c>
      <c r="BM119" s="436">
        <f t="shared" si="275"/>
        <v>24.582082427012455</v>
      </c>
      <c r="BN119" s="437">
        <f t="shared" ref="BN119:BY119" si="276">-365/(BN118/BN117)</f>
        <v>24.582082427012455</v>
      </c>
      <c r="BO119" s="436">
        <f t="shared" si="276"/>
        <v>25.631328326866871</v>
      </c>
      <c r="BP119" s="436">
        <f t="shared" si="276"/>
        <v>24.131803232398106</v>
      </c>
      <c r="BQ119" s="436">
        <f t="shared" si="276"/>
        <v>14.040253298078024</v>
      </c>
      <c r="BR119" s="436">
        <f t="shared" si="276"/>
        <v>27.703787032857381</v>
      </c>
      <c r="BS119" s="437">
        <f t="shared" si="276"/>
        <v>27.703787032857381</v>
      </c>
      <c r="BT119" s="436">
        <f t="shared" si="276"/>
        <v>20.585544364966257</v>
      </c>
      <c r="BU119" s="436">
        <f t="shared" si="276"/>
        <v>19.738440042524953</v>
      </c>
      <c r="BV119" s="436">
        <f t="shared" si="276"/>
        <v>12.089530036551798</v>
      </c>
      <c r="BW119" s="436">
        <f t="shared" si="276"/>
        <v>16.892885265631641</v>
      </c>
      <c r="BX119" s="437">
        <f t="shared" si="276"/>
        <v>16.892885265631641</v>
      </c>
      <c r="BY119" s="436">
        <f t="shared" si="276"/>
        <v>18.622865472238406</v>
      </c>
      <c r="BZ119" s="436">
        <f>-365/(BZ118/BZ117)</f>
        <v>18.253076672608834</v>
      </c>
      <c r="CA119" s="436">
        <f>-365/(CA118/CA117)</f>
        <v>11.183578659738082</v>
      </c>
      <c r="CB119" s="436">
        <f t="shared" ref="CB119" si="277">-365/(CB118/CB117)</f>
        <v>15.864554715689321</v>
      </c>
      <c r="CC119" s="437">
        <f>-365/(CC118/CC117)</f>
        <v>15.864554715689321</v>
      </c>
      <c r="CD119" s="436">
        <f t="shared" ref="CD119" si="278">-365/(CD118/CD117)</f>
        <v>20.131769641584512</v>
      </c>
      <c r="CE119" s="436">
        <f>-365/(CE118/CE117)</f>
        <v>17.10136285491723</v>
      </c>
      <c r="CF119" s="502">
        <f>CE119</f>
        <v>17.10136285491723</v>
      </c>
      <c r="CG119" s="502">
        <f>CF119</f>
        <v>17.10136285491723</v>
      </c>
      <c r="CH119" s="437">
        <f>-365/(CH118/CH117)</f>
        <v>17.10136285491723</v>
      </c>
      <c r="CI119" s="502">
        <f>CG119</f>
        <v>17.10136285491723</v>
      </c>
      <c r="CJ119" s="502">
        <f>CI119</f>
        <v>17.10136285491723</v>
      </c>
      <c r="CK119" s="502">
        <f>CJ119</f>
        <v>17.10136285491723</v>
      </c>
      <c r="CL119" s="502">
        <f>CK119</f>
        <v>17.10136285491723</v>
      </c>
      <c r="CM119" s="437">
        <f>-365/(CM118/CM117)</f>
        <v>17.10136285491723</v>
      </c>
      <c r="CN119" s="502">
        <f>CL119</f>
        <v>17.10136285491723</v>
      </c>
      <c r="CO119" s="502">
        <f>CN119</f>
        <v>17.10136285491723</v>
      </c>
      <c r="CP119" s="502">
        <f>CO119</f>
        <v>17.10136285491723</v>
      </c>
      <c r="CQ119" s="502">
        <f>CP119</f>
        <v>17.10136285491723</v>
      </c>
      <c r="CR119" s="437">
        <f>-365/(CR118/CR117)</f>
        <v>17.10136285491723</v>
      </c>
      <c r="CS119" s="502">
        <f>CQ119</f>
        <v>17.10136285491723</v>
      </c>
      <c r="CT119" s="502">
        <f>CS119</f>
        <v>17.10136285491723</v>
      </c>
      <c r="CU119" s="502">
        <f>CT119</f>
        <v>17.10136285491723</v>
      </c>
      <c r="CV119" s="502">
        <f>CU119</f>
        <v>17.10136285491723</v>
      </c>
      <c r="CW119" s="437">
        <f>-365/(CW118/CW117)</f>
        <v>17.10136285491723</v>
      </c>
      <c r="CX119" s="502">
        <f>CV119</f>
        <v>17.10136285491723</v>
      </c>
      <c r="CY119" s="502">
        <f>CX119</f>
        <v>17.10136285491723</v>
      </c>
      <c r="CZ119" s="502">
        <f>CY119</f>
        <v>17.10136285491723</v>
      </c>
      <c r="DA119" s="502">
        <f>CZ119</f>
        <v>17.10136285491723</v>
      </c>
      <c r="DB119" s="437">
        <f>-365/(DB118/DB117)</f>
        <v>17.10136285491723</v>
      </c>
    </row>
    <row r="120" spans="1:106" s="58" customFormat="1" ht="11.5" customHeight="1" x14ac:dyDescent="0.35">
      <c r="A120" s="16" t="s">
        <v>255</v>
      </c>
      <c r="B120" s="48">
        <f>B23+B24</f>
        <v>143890</v>
      </c>
      <c r="C120" s="48">
        <f>C23+C24</f>
        <v>154235</v>
      </c>
      <c r="D120" s="48">
        <f>D23+D24</f>
        <v>159736</v>
      </c>
      <c r="E120" s="48">
        <f>E23+E24</f>
        <v>168723</v>
      </c>
      <c r="F120" s="56">
        <f>E120</f>
        <v>168723</v>
      </c>
      <c r="G120" s="48">
        <f>G23+G24</f>
        <v>164415</v>
      </c>
      <c r="H120" s="48">
        <f>H23+H24</f>
        <v>163535</v>
      </c>
      <c r="I120" s="48">
        <f>I23+I24</f>
        <v>181605</v>
      </c>
      <c r="J120" s="48">
        <f>J23+J24</f>
        <v>197318</v>
      </c>
      <c r="K120" s="56">
        <f>J120</f>
        <v>197318</v>
      </c>
      <c r="L120" s="48">
        <f>L23+L24</f>
        <v>191871</v>
      </c>
      <c r="M120" s="48">
        <f>M23+M24</f>
        <v>189343</v>
      </c>
      <c r="N120" s="48">
        <f>N23+N24</f>
        <v>175952</v>
      </c>
      <c r="O120" s="48">
        <f>O23+O24</f>
        <v>166414</v>
      </c>
      <c r="P120" s="56">
        <f>O120</f>
        <v>166414</v>
      </c>
      <c r="Q120" s="48">
        <f>Q23+Q24</f>
        <v>167355</v>
      </c>
      <c r="R120" s="48">
        <f>R23+R24</f>
        <v>153072</v>
      </c>
      <c r="S120" s="48">
        <f>S23+S24</f>
        <v>155038</v>
      </c>
      <c r="T120" s="48">
        <f>T23+T24</f>
        <v>156563</v>
      </c>
      <c r="U120" s="56">
        <f>T120</f>
        <v>156563</v>
      </c>
      <c r="V120" s="48">
        <f>V23+V24</f>
        <v>164309</v>
      </c>
      <c r="W120" s="48">
        <f>W23+W24</f>
        <v>167276</v>
      </c>
      <c r="X120" s="48">
        <f>X23+X24</f>
        <v>164763</v>
      </c>
      <c r="Y120" s="48">
        <f>Y23+Y24</f>
        <v>171442</v>
      </c>
      <c r="Z120" s="56">
        <f>Y120</f>
        <v>171442</v>
      </c>
      <c r="AA120" s="48">
        <f>AA23+AA24</f>
        <v>167307</v>
      </c>
      <c r="AB120" s="48">
        <f>AB23+AB24</f>
        <v>163103</v>
      </c>
      <c r="AC120" s="48">
        <f>AC23+AC24</f>
        <v>151384</v>
      </c>
      <c r="AD120" s="48">
        <f>AD23+AD24</f>
        <v>139671</v>
      </c>
      <c r="AE120" s="56">
        <f>AD120</f>
        <v>139671</v>
      </c>
      <c r="AF120" s="48">
        <f>AF23+AF24</f>
        <v>114663</v>
      </c>
      <c r="AG120" s="48">
        <f>AG23+AG24</f>
        <v>111042</v>
      </c>
      <c r="AH120" s="48">
        <f>AH23+AH24</f>
        <v>96531</v>
      </c>
      <c r="AI120" s="48">
        <f>AI23+AI24</f>
        <v>85690</v>
      </c>
      <c r="AJ120" s="56">
        <f>AI120</f>
        <v>85690</v>
      </c>
      <c r="AK120" s="48">
        <f>AK23+AK24</f>
        <v>72296</v>
      </c>
      <c r="AL120" s="48">
        <f>AL23+AL24</f>
        <v>64087</v>
      </c>
      <c r="AM120" s="48">
        <f>AM23+AM24</f>
        <v>61890</v>
      </c>
      <c r="AN120" s="48">
        <f>AN23+AN24</f>
        <v>61159</v>
      </c>
      <c r="AO120" s="56">
        <f>AN120</f>
        <v>61159</v>
      </c>
      <c r="AP120" s="48">
        <f>AP23+AP24</f>
        <v>60445</v>
      </c>
      <c r="AQ120" s="48">
        <f>AQ23+AQ24</f>
        <v>56116</v>
      </c>
      <c r="AR120" s="48">
        <f>AR23+AR24</f>
        <v>64972</v>
      </c>
      <c r="AS120" s="48">
        <f>AS23+AS24</f>
        <v>68899</v>
      </c>
      <c r="AT120" s="56">
        <f>AS120</f>
        <v>68899</v>
      </c>
      <c r="AU120" s="48">
        <f>AU23+AU24</f>
        <v>76881</v>
      </c>
      <c r="AV120" s="48">
        <f>AV23+AV24</f>
        <v>76881</v>
      </c>
      <c r="AW120" s="48">
        <f>AW23+AW24</f>
        <v>84558</v>
      </c>
      <c r="AX120" s="48">
        <f>AX23+AX24</f>
        <v>92389</v>
      </c>
      <c r="AY120" s="56">
        <f>AX120</f>
        <v>92389</v>
      </c>
      <c r="AZ120" s="48">
        <f>AZ23+AZ24</f>
        <v>90845</v>
      </c>
      <c r="BA120" s="48">
        <f>BA23+BA24</f>
        <v>83873</v>
      </c>
      <c r="BB120" s="48">
        <f>BB23+BB24</f>
        <v>70938</v>
      </c>
      <c r="BC120" s="48">
        <f>BC23+BC24</f>
        <v>73436</v>
      </c>
      <c r="BD120" s="56">
        <f>BC120</f>
        <v>73436</v>
      </c>
      <c r="BE120" s="48">
        <f>BE23+BE24</f>
        <v>70127</v>
      </c>
      <c r="BF120" s="48">
        <f>BF23+BF24</f>
        <v>81496</v>
      </c>
      <c r="BG120" s="48">
        <f>BG23+BG24</f>
        <v>117923</v>
      </c>
      <c r="BH120" s="48">
        <f>BH23+BH24</f>
        <v>124188</v>
      </c>
      <c r="BI120" s="56">
        <f>BH120</f>
        <v>124188</v>
      </c>
      <c r="BJ120" s="48">
        <f>BJ23+BJ24</f>
        <v>126541</v>
      </c>
      <c r="BK120" s="48">
        <f>BK23+BK24</f>
        <v>135212</v>
      </c>
      <c r="BL120" s="48">
        <f>BL23+BL24</f>
        <v>146858</v>
      </c>
      <c r="BM120" s="48">
        <f>BM23+BM24</f>
        <v>129357</v>
      </c>
      <c r="BN120" s="56">
        <f>BM120</f>
        <v>129357</v>
      </c>
      <c r="BO120" s="48">
        <f>BO23+BO24</f>
        <v>137278</v>
      </c>
      <c r="BP120" s="48">
        <f>BP23+BP24</f>
        <v>136772</v>
      </c>
      <c r="BQ120" s="48">
        <f>BQ23+BQ24</f>
        <v>148904</v>
      </c>
      <c r="BR120" s="48">
        <f>BR23+BR24</f>
        <v>146438</v>
      </c>
      <c r="BS120" s="56">
        <f>BR120</f>
        <v>146438</v>
      </c>
      <c r="BT120" s="48">
        <f>BT23+BT24</f>
        <v>113229</v>
      </c>
      <c r="BU120" s="48">
        <f>BU23+BU24</f>
        <v>116027</v>
      </c>
      <c r="BV120" s="48">
        <f>BV23+BV24</f>
        <v>128888</v>
      </c>
      <c r="BW120" s="48">
        <f>BW23+BW24</f>
        <v>160302</v>
      </c>
      <c r="BX120" s="56">
        <f>BW120</f>
        <v>160302</v>
      </c>
      <c r="BY120" s="48">
        <f>BY23+BY24</f>
        <v>164929</v>
      </c>
      <c r="BZ120" s="48">
        <f>BZ23+BZ24</f>
        <v>179319</v>
      </c>
      <c r="CA120" s="48">
        <f>CA23+CA24</f>
        <v>194779</v>
      </c>
      <c r="CB120" s="48">
        <f>CB23+CB24</f>
        <v>639756</v>
      </c>
      <c r="CC120" s="56">
        <f>CB120</f>
        <v>639756</v>
      </c>
      <c r="CD120" s="48">
        <f>CD23+CD24</f>
        <v>632670</v>
      </c>
      <c r="CE120" s="48">
        <f>CE23+CE24</f>
        <v>657716</v>
      </c>
      <c r="CF120" s="48">
        <f>CE120-CF121+CF123</f>
        <v>661995.56705012091</v>
      </c>
      <c r="CG120" s="48">
        <f>CF120-CG121+CG123</f>
        <v>666302.98000050348</v>
      </c>
      <c r="CH120" s="56">
        <f>CG120</f>
        <v>666302.98000050348</v>
      </c>
      <c r="CI120" s="48">
        <f>CH120-CI121+CI123</f>
        <v>670638.42003633582</v>
      </c>
      <c r="CJ120" s="48">
        <f>CI120-CJ121+CJ123</f>
        <v>675002.06952172564</v>
      </c>
      <c r="CK120" s="48">
        <f>CJ120-CK121+CK123</f>
        <v>679394.1120073708</v>
      </c>
      <c r="CL120" s="48">
        <f>CK120-CL121+CL123</f>
        <v>683814.73223828035</v>
      </c>
      <c r="CM120" s="56">
        <f>CL120</f>
        <v>683814.73223828035</v>
      </c>
      <c r="CN120" s="48">
        <f>CM120-CN121+CN123</f>
        <v>688264.11616154539</v>
      </c>
      <c r="CO120" s="48">
        <f>CN120-CO121+CO123</f>
        <v>692742.45093416085</v>
      </c>
      <c r="CP120" s="48">
        <f>CO120-CP121+CP123</f>
        <v>697249.92493089777</v>
      </c>
      <c r="CQ120" s="48">
        <f>CP120-CQ121+CQ123</f>
        <v>701786.72775222734</v>
      </c>
      <c r="CR120" s="56">
        <f>CQ120</f>
        <v>701786.72775222734</v>
      </c>
      <c r="CS120" s="48">
        <f>CR120-CS121+CS123</f>
        <v>706353.05023229565</v>
      </c>
      <c r="CT120" s="48">
        <f>CS120-CT121+CT123</f>
        <v>710949.0844469514</v>
      </c>
      <c r="CU120" s="48">
        <f>CT120-CU121+CU123</f>
        <v>715575.02372182498</v>
      </c>
      <c r="CV120" s="48">
        <f>CU120-CV121+CV123</f>
        <v>720231.06264046067</v>
      </c>
      <c r="CW120" s="56">
        <f>CV120</f>
        <v>720231.06264046067</v>
      </c>
      <c r="CX120" s="48">
        <f>CW120-CX121+CX123</f>
        <v>724917.39705250133</v>
      </c>
      <c r="CY120" s="48">
        <f>CX120-CY121+CY123</f>
        <v>729634.22408192628</v>
      </c>
      <c r="CZ120" s="48">
        <f>CY120-CZ121+CZ123</f>
        <v>734381.74213534384</v>
      </c>
      <c r="DA120" s="48">
        <f>CZ120-DA121+DA123</f>
        <v>739160.15091033606</v>
      </c>
      <c r="DB120" s="56">
        <f>DA120</f>
        <v>739160.15091033606</v>
      </c>
    </row>
    <row r="121" spans="1:106" ht="11.5" customHeight="1" x14ac:dyDescent="0.35">
      <c r="A121" s="19" t="s">
        <v>27</v>
      </c>
      <c r="B121" s="448">
        <f>IS!B64</f>
        <v>18320</v>
      </c>
      <c r="C121" s="448">
        <f>IS!C64</f>
        <v>10916</v>
      </c>
      <c r="D121" s="448">
        <f>IS!D64</f>
        <v>11322</v>
      </c>
      <c r="E121" s="448">
        <f>IS!E64</f>
        <v>18975</v>
      </c>
      <c r="F121" s="98">
        <f>SUM(B121:E121)</f>
        <v>59533</v>
      </c>
      <c r="G121" s="448">
        <f>IS!G64</f>
        <v>10409</v>
      </c>
      <c r="H121" s="448">
        <f>IS!H64</f>
        <v>6201</v>
      </c>
      <c r="I121" s="448">
        <f>IS!I64</f>
        <v>9000</v>
      </c>
      <c r="J121" s="448">
        <f>IS!J64</f>
        <v>7507</v>
      </c>
      <c r="K121" s="98">
        <f>SUM(G121:J121)</f>
        <v>33117</v>
      </c>
      <c r="L121" s="448">
        <f>IS!L64</f>
        <v>22651</v>
      </c>
      <c r="M121" s="448">
        <f>IS!M64</f>
        <v>32515</v>
      </c>
      <c r="N121" s="448">
        <f>IS!N64</f>
        <v>30082</v>
      </c>
      <c r="O121" s="448">
        <f>IS!O64</f>
        <v>-65386</v>
      </c>
      <c r="P121" s="98">
        <f>SUM(L121:O121)</f>
        <v>19862</v>
      </c>
      <c r="Q121" s="448">
        <f>IS!Q64</f>
        <v>26262</v>
      </c>
      <c r="R121" s="448">
        <f>IS!R64</f>
        <v>25204</v>
      </c>
      <c r="S121" s="448">
        <f>IS!S64</f>
        <v>25591</v>
      </c>
      <c r="T121" s="448">
        <f>IS!T64</f>
        <v>18955</v>
      </c>
      <c r="U121" s="98">
        <f>SUM(Q121:T121)</f>
        <v>96012</v>
      </c>
      <c r="V121" s="448">
        <f>IS!V64</f>
        <v>24639</v>
      </c>
      <c r="W121" s="448">
        <f>IS!W64</f>
        <v>23136</v>
      </c>
      <c r="X121" s="448">
        <f>IS!X64</f>
        <v>19917</v>
      </c>
      <c r="Y121" s="448">
        <f>IS!Y64</f>
        <v>12408</v>
      </c>
      <c r="Z121" s="98">
        <f>SUM(V121:Y121)</f>
        <v>80100</v>
      </c>
      <c r="AA121" s="448">
        <f>IS!AA64</f>
        <v>18848</v>
      </c>
      <c r="AB121" s="448">
        <f>IS!AB64</f>
        <v>17303</v>
      </c>
      <c r="AC121" s="448">
        <f>IS!AC64</f>
        <v>21106</v>
      </c>
      <c r="AD121" s="448">
        <f>IS!AD64</f>
        <v>9932</v>
      </c>
      <c r="AE121" s="98">
        <f>SUM(AA121:AD121)</f>
        <v>67189</v>
      </c>
      <c r="AF121" s="448">
        <f>IS!AF64</f>
        <v>29847</v>
      </c>
      <c r="AG121" s="448">
        <f>IS!AG64</f>
        <v>17590</v>
      </c>
      <c r="AH121" s="448">
        <f>IS!AH64</f>
        <v>25607</v>
      </c>
      <c r="AI121" s="448">
        <f>IS!AI64</f>
        <v>15588</v>
      </c>
      <c r="AJ121" s="98">
        <f>SUM(AF121:AI121)</f>
        <v>88632</v>
      </c>
      <c r="AK121" s="448">
        <f>IS!AK64</f>
        <v>21342</v>
      </c>
      <c r="AL121" s="448">
        <f>IS!AL64</f>
        <v>28661</v>
      </c>
      <c r="AM121" s="448">
        <f>IS!AM64</f>
        <v>761</v>
      </c>
      <c r="AN121" s="448">
        <f>IS!AN64</f>
        <v>-6308</v>
      </c>
      <c r="AO121" s="98">
        <f>SUM(AK121:AN121)</f>
        <v>44456</v>
      </c>
      <c r="AP121" s="448">
        <f>IS!AP64</f>
        <v>15867</v>
      </c>
      <c r="AQ121" s="448">
        <f>IS!AQ64</f>
        <v>9584</v>
      </c>
      <c r="AR121" s="448">
        <f>IS!AR64</f>
        <v>22894</v>
      </c>
      <c r="AS121" s="448">
        <f>IS!AS64</f>
        <v>13024</v>
      </c>
      <c r="AT121" s="98">
        <f>SUM(AP121:AS121)</f>
        <v>61369</v>
      </c>
      <c r="AU121" s="448">
        <f>IS!AU64</f>
        <v>24359</v>
      </c>
      <c r="AV121" s="448">
        <f>IS!AV64</f>
        <v>-7881</v>
      </c>
      <c r="AW121" s="448">
        <f>IS!AW64</f>
        <v>31538</v>
      </c>
      <c r="AX121" s="448">
        <f>IS!AX64</f>
        <v>26662</v>
      </c>
      <c r="AY121" s="98">
        <f>SUM(AU121:AX121)</f>
        <v>74678</v>
      </c>
      <c r="AZ121" s="448">
        <f>IS!AZ64</f>
        <v>17199</v>
      </c>
      <c r="BA121" s="448">
        <f>IS!BA64</f>
        <v>13725</v>
      </c>
      <c r="BB121" s="448">
        <f>IS!BB64</f>
        <v>8963</v>
      </c>
      <c r="BC121" s="448">
        <f>IS!BC64</f>
        <v>11276</v>
      </c>
      <c r="BD121" s="98">
        <f>SUM(AZ121:BC121)</f>
        <v>51163</v>
      </c>
      <c r="BE121" s="448">
        <f>IS!BE64</f>
        <v>10932</v>
      </c>
      <c r="BF121" s="448">
        <f>IS!BF64</f>
        <v>10462</v>
      </c>
      <c r="BG121" s="448">
        <f>IS!BG64</f>
        <v>11020</v>
      </c>
      <c r="BH121" s="448">
        <f>IS!BH64</f>
        <v>7758</v>
      </c>
      <c r="BI121" s="98">
        <f>SUM(BE121:BH121)</f>
        <v>40172</v>
      </c>
      <c r="BJ121" s="448">
        <f>IS!BJ64</f>
        <v>8532</v>
      </c>
      <c r="BK121" s="448">
        <f>IS!BK64</f>
        <v>9251</v>
      </c>
      <c r="BL121" s="448">
        <f>IS!BL64</f>
        <v>22832</v>
      </c>
      <c r="BM121" s="448">
        <f>IS!BM64</f>
        <v>22658</v>
      </c>
      <c r="BN121" s="98">
        <f>SUM(BJ121:BM121)</f>
        <v>63273</v>
      </c>
      <c r="BO121" s="448">
        <f>IS!BO64</f>
        <v>29284</v>
      </c>
      <c r="BP121" s="448">
        <f>IS!BP64</f>
        <v>16071</v>
      </c>
      <c r="BQ121" s="448">
        <f>IS!BQ64</f>
        <v>42302</v>
      </c>
      <c r="BR121" s="448">
        <f>IS!BR64</f>
        <v>3292</v>
      </c>
      <c r="BS121" s="98">
        <f>SUM(BO121:BR121)</f>
        <v>90949</v>
      </c>
      <c r="BT121" s="448">
        <f>IS!BT64</f>
        <v>23638</v>
      </c>
      <c r="BU121" s="448">
        <f>IS!BU64</f>
        <v>16365</v>
      </c>
      <c r="BV121" s="448">
        <f>IS!BV64</f>
        <v>39999</v>
      </c>
      <c r="BW121" s="448">
        <f>IS!BW64</f>
        <v>20057</v>
      </c>
      <c r="BX121" s="98">
        <f>SUM(BT121:BW121)</f>
        <v>100059</v>
      </c>
      <c r="BY121" s="448">
        <f>IS!BY64</f>
        <v>30272</v>
      </c>
      <c r="BZ121" s="448">
        <f>IS!BZ64</f>
        <v>23802</v>
      </c>
      <c r="CA121" s="448">
        <f>IS!CA64</f>
        <v>28629</v>
      </c>
      <c r="CB121" s="448">
        <f>IS!CB64</f>
        <v>49872</v>
      </c>
      <c r="CC121" s="98">
        <f>SUM(BY121:CB121)</f>
        <v>132575</v>
      </c>
      <c r="CD121" s="448">
        <f>IS!CD64</f>
        <v>54583</v>
      </c>
      <c r="CE121" s="448">
        <f>IS!CE64</f>
        <v>41166</v>
      </c>
      <c r="CF121" s="23">
        <f>CF122*CE120/4</f>
        <v>42795.670501209162</v>
      </c>
      <c r="CG121" s="23">
        <f>CG122*CF120/4</f>
        <v>43074.129503825498</v>
      </c>
      <c r="CH121" s="98">
        <f>SUM(CD121:CG121)</f>
        <v>181618.80000503466</v>
      </c>
      <c r="CI121" s="23">
        <f>CI122*CH120/4</f>
        <v>43354.400358323808</v>
      </c>
      <c r="CJ121" s="23">
        <f>CJ122*CI120/4</f>
        <v>43636.494853898243</v>
      </c>
      <c r="CK121" s="23">
        <f>CK122*CJ120/4</f>
        <v>43920.424856451791</v>
      </c>
      <c r="CL121" s="23">
        <f>CL122*CK120/4</f>
        <v>44206.202309095461</v>
      </c>
      <c r="CM121" s="98">
        <f>SUM(CI121:CL121)</f>
        <v>175117.52237776929</v>
      </c>
      <c r="CN121" s="23">
        <f>CN122*CM120/4</f>
        <v>44493.839232650585</v>
      </c>
      <c r="CO121" s="23">
        <f>CO122*CN120/4</f>
        <v>44783.347726154512</v>
      </c>
      <c r="CP121" s="23">
        <f>CP122*CO120/4</f>
        <v>45074.739967369504</v>
      </c>
      <c r="CQ121" s="23">
        <f>CQ122*CP120/4</f>
        <v>45368.02821329498</v>
      </c>
      <c r="CR121" s="98">
        <f>SUM(CN121:CQ121)</f>
        <v>179719.95513946959</v>
      </c>
      <c r="CS121" s="23">
        <f>CS122*CR120/4</f>
        <v>45663.224800683121</v>
      </c>
      <c r="CT121" s="23">
        <f>CT122*CS120/4</f>
        <v>45960.342146557734</v>
      </c>
      <c r="CU121" s="23">
        <f>CU122*CT120/4</f>
        <v>46259.392748736624</v>
      </c>
      <c r="CV121" s="23">
        <f>CV122*CU120/4</f>
        <v>46560.389186357257</v>
      </c>
      <c r="CW121" s="98">
        <f>SUM(CS121:CV121)</f>
        <v>184443.34888233474</v>
      </c>
      <c r="CX121" s="23">
        <f>CX122*CW120/4</f>
        <v>46863.344120405905</v>
      </c>
      <c r="CY121" s="23">
        <f>CY122*CX120/4</f>
        <v>47168.270294250193</v>
      </c>
      <c r="CZ121" s="23">
        <f>CZ122*CY120/4</f>
        <v>47475.180534175124</v>
      </c>
      <c r="DA121" s="23">
        <f>DA122*CZ120/4</f>
        <v>47784.087749922648</v>
      </c>
      <c r="DB121" s="98">
        <f>SUM(CX121:DA121)</f>
        <v>189290.88269875388</v>
      </c>
    </row>
    <row r="122" spans="1:106" ht="11.5" customHeight="1" x14ac:dyDescent="0.35">
      <c r="A122" s="163" t="s">
        <v>257</v>
      </c>
      <c r="B122" s="164" t="e">
        <f>B121/#REF!*4</f>
        <v>#REF!</v>
      </c>
      <c r="C122" s="164">
        <f>C121/B120*4</f>
        <v>0.30345402738202792</v>
      </c>
      <c r="D122" s="164">
        <f>D121/C120*4</f>
        <v>0.293629850552728</v>
      </c>
      <c r="E122" s="164">
        <f>E121/D120*4</f>
        <v>0.47515901237041119</v>
      </c>
      <c r="F122" s="25" t="e">
        <f>F121/AVERAGE(F120,#REF!)</f>
        <v>#REF!</v>
      </c>
      <c r="G122" s="164">
        <f>G121/E120*4</f>
        <v>0.24677133526549433</v>
      </c>
      <c r="H122" s="164">
        <f>H121/G120*4</f>
        <v>0.15086214761426878</v>
      </c>
      <c r="I122" s="164">
        <f>I121/H120*4</f>
        <v>0.22013636224661387</v>
      </c>
      <c r="J122" s="164">
        <f>J121/I120*4</f>
        <v>0.16534787037801824</v>
      </c>
      <c r="K122" s="25">
        <f>K121/AVERAGE(K120,F120)</f>
        <v>0.18094694310200224</v>
      </c>
      <c r="L122" s="164">
        <f>L121/J120*4</f>
        <v>0.45917757123019692</v>
      </c>
      <c r="M122" s="164">
        <f>M121/L120*4</f>
        <v>0.67785126465177126</v>
      </c>
      <c r="N122" s="164">
        <f>N121/M120*4</f>
        <v>0.635502764823627</v>
      </c>
      <c r="O122" s="164">
        <f>O121/N120*4</f>
        <v>-1.4864508502318814</v>
      </c>
      <c r="P122" s="25">
        <f>P121/AVERAGE(P120,K120)</f>
        <v>0.109212277171104</v>
      </c>
      <c r="Q122" s="164">
        <f>Q121/O120*4</f>
        <v>0.6312449673705337</v>
      </c>
      <c r="R122" s="164">
        <f>R121/Q120*4</f>
        <v>0.60240805473394876</v>
      </c>
      <c r="S122" s="164">
        <f>S121/R120*4</f>
        <v>0.66873105466708482</v>
      </c>
      <c r="T122" s="164">
        <f>T121/S120*4</f>
        <v>0.48904139630284188</v>
      </c>
      <c r="U122" s="25">
        <f>U121/AVERAGE(U120,P120)</f>
        <v>0.59454388392981539</v>
      </c>
      <c r="V122" s="164">
        <f>V121/T120*4</f>
        <v>0.62949739082669598</v>
      </c>
      <c r="W122" s="164">
        <f>W121/V120*4</f>
        <v>0.56323147240869342</v>
      </c>
      <c r="X122" s="164">
        <f>X121/W120*4</f>
        <v>0.47626676869365597</v>
      </c>
      <c r="Y122" s="164">
        <f>Y121/X120*4</f>
        <v>0.30123267966715828</v>
      </c>
      <c r="Z122" s="25">
        <f>Z121/AVERAGE(Z120,U120)</f>
        <v>0.48840718891480311</v>
      </c>
      <c r="AA122" s="164">
        <f>AA121/Y120*4</f>
        <v>0.43975221940947962</v>
      </c>
      <c r="AB122" s="164">
        <f>AB121/AA120*4</f>
        <v>0.41368263133042849</v>
      </c>
      <c r="AC122" s="164">
        <f>AC121/AB120*4</f>
        <v>0.5176115706026253</v>
      </c>
      <c r="AD122" s="164">
        <f>AD121/AC120*4</f>
        <v>0.26243196110553296</v>
      </c>
      <c r="AE122" s="25">
        <f>AE121/AVERAGE(AE120,Z120)</f>
        <v>0.43192666330240137</v>
      </c>
      <c r="AF122" s="164">
        <f>AF121/AD120*4</f>
        <v>0.85478016195201578</v>
      </c>
      <c r="AG122" s="164">
        <f>AG121/AF120*4</f>
        <v>0.61362427286919063</v>
      </c>
      <c r="AH122" s="164">
        <f>AH121/AG120*4</f>
        <v>0.92242574881576345</v>
      </c>
      <c r="AI122" s="164">
        <f>AI121/AH120*4</f>
        <v>0.64592721509152495</v>
      </c>
      <c r="AJ122" s="25">
        <f>AJ121/AVERAGE(AJ120,AE120)</f>
        <v>0.78657797933094009</v>
      </c>
      <c r="AK122" s="164">
        <f>AK121/AI120*4</f>
        <v>0.99624226864278209</v>
      </c>
      <c r="AL122" s="164">
        <f>AL121/AK120*4</f>
        <v>1.5857585481907712</v>
      </c>
      <c r="AM122" s="164">
        <f>AM121/AL120*4</f>
        <v>4.7497932498010514E-2</v>
      </c>
      <c r="AN122" s="164">
        <f>AN121/AM120*4</f>
        <v>-0.40769106479237355</v>
      </c>
      <c r="AO122" s="25">
        <f>AO121/AVERAGE(AO120,AJ120)</f>
        <v>0.60546547814421614</v>
      </c>
      <c r="AP122" s="164">
        <f>AP121/AN120*4</f>
        <v>1.0377540509164636</v>
      </c>
      <c r="AQ122" s="164">
        <f>AQ121/AP120*4</f>
        <v>0.63422946480271325</v>
      </c>
      <c r="AR122" s="164">
        <f>AR121/AQ120*4</f>
        <v>1.6319053389407656</v>
      </c>
      <c r="AS122" s="164">
        <f>AS121/AR120*4</f>
        <v>0.80182232346241455</v>
      </c>
      <c r="AT122" s="25">
        <f>AT121/AVERAGE(AT120,AO120)</f>
        <v>0.94371741838256773</v>
      </c>
      <c r="AU122" s="164">
        <f>AU121/AS120*4</f>
        <v>1.4141859823800056</v>
      </c>
      <c r="AV122" s="164">
        <f>AV121/AU120*4</f>
        <v>-0.41003628985054824</v>
      </c>
      <c r="AW122" s="164">
        <f>AW121/AV120*4</f>
        <v>1.6408735578361364</v>
      </c>
      <c r="AX122" s="164">
        <f>AX121/AW120*4</f>
        <v>1.2612408051278412</v>
      </c>
      <c r="AY122" s="25">
        <f>AY121/AVERAGE(AY120,AT120)</f>
        <v>0.92602053469569967</v>
      </c>
      <c r="AZ122" s="164">
        <f>AZ121/AX120*4</f>
        <v>0.74463410146229525</v>
      </c>
      <c r="BA122" s="164">
        <f>BA121/AZ120*4</f>
        <v>0.60432604986515492</v>
      </c>
      <c r="BB122" s="164">
        <f>BB121/BA120*4</f>
        <v>0.42745579626339825</v>
      </c>
      <c r="BC122" s="164">
        <f>BC121/BB120*4</f>
        <v>0.63582283120471395</v>
      </c>
      <c r="BD122" s="25">
        <f>BD121/AVERAGE(BD120,AY120)</f>
        <v>0.61707221468415496</v>
      </c>
      <c r="BE122" s="164">
        <f>BE121/BC120*4</f>
        <v>0.59545726891442885</v>
      </c>
      <c r="BF122" s="164">
        <f>BF121/BE120*4</f>
        <v>0.59674590386013948</v>
      </c>
      <c r="BG122" s="164">
        <f>BG121/BF120*4</f>
        <v>0.54088544223029356</v>
      </c>
      <c r="BH122" s="164">
        <f>BH121/BG120*4</f>
        <v>0.26315477048582547</v>
      </c>
      <c r="BI122" s="25">
        <f>BI121/AVERAGE(BI120,BD120)</f>
        <v>0.40654981176375338</v>
      </c>
      <c r="BJ122" s="164">
        <f>BJ121/BH120*4</f>
        <v>0.27480916030534353</v>
      </c>
      <c r="BK122" s="164">
        <f>BK121/BJ120*4</f>
        <v>0.29242696043179683</v>
      </c>
      <c r="BL122" s="164">
        <f>BL121/BK120*4</f>
        <v>0.67544300801703994</v>
      </c>
      <c r="BM122" s="164">
        <f>BM121/BL120*4</f>
        <v>0.61714036688501817</v>
      </c>
      <c r="BN122" s="25">
        <f>BN121/AVERAGE(BN120,BI120)</f>
        <v>0.49910666745548127</v>
      </c>
      <c r="BO122" s="164">
        <f>BO121/BM120*4</f>
        <v>0.9055250199061512</v>
      </c>
      <c r="BP122" s="164">
        <f>BP121/BO120*4</f>
        <v>0.46827605297279973</v>
      </c>
      <c r="BQ122" s="164">
        <f>BQ121/BP120*4</f>
        <v>1.2371538034100547</v>
      </c>
      <c r="BR122" s="164">
        <f>BR121/BQ120*4</f>
        <v>8.8432815773921453E-2</v>
      </c>
      <c r="BS122" s="25">
        <f>BS121/AVERAGE(BS120,BN120)</f>
        <v>0.65954060080857158</v>
      </c>
      <c r="BT122" s="164">
        <f>BT121/BR120*4</f>
        <v>0.64567940015569725</v>
      </c>
      <c r="BU122" s="164">
        <f>BU121/BT120*4</f>
        <v>0.57812044617544978</v>
      </c>
      <c r="BV122" s="164">
        <f>BV121/BU120*4</f>
        <v>1.378954898428814</v>
      </c>
      <c r="BW122" s="164">
        <f>BW121/BV120*4</f>
        <v>0.62246291353733474</v>
      </c>
      <c r="BX122" s="25">
        <f>BX121/AVERAGE(BX120,BS120)</f>
        <v>0.65240268631414222</v>
      </c>
      <c r="BY122" s="164">
        <f>BY121/BW120*4</f>
        <v>0.7553742311387257</v>
      </c>
      <c r="BZ122" s="164">
        <f>BZ121/BY120*4</f>
        <v>0.57726658137744125</v>
      </c>
      <c r="CA122" s="164">
        <f>CA121/BZ120*4</f>
        <v>0.63861609756913662</v>
      </c>
      <c r="CB122" s="164">
        <f>CB121/CA120*4</f>
        <v>1.0241761175486064</v>
      </c>
      <c r="CC122" s="25">
        <f>CC121/AVERAGE(CC120,BX120)</f>
        <v>0.33141347252324205</v>
      </c>
      <c r="CD122" s="164">
        <f>CD121/CB120*4</f>
        <v>0.34127386065937637</v>
      </c>
      <c r="CE122" s="164">
        <f>CE121/CD120*4</f>
        <v>0.26026838636255867</v>
      </c>
      <c r="CF122" s="503">
        <f>CE122</f>
        <v>0.26026838636255867</v>
      </c>
      <c r="CG122" s="503">
        <f>CF122</f>
        <v>0.26026838636255867</v>
      </c>
      <c r="CH122" s="25">
        <f>CH121/AVERAGE(CH120,CC120)</f>
        <v>0.27811730218334346</v>
      </c>
      <c r="CI122" s="503">
        <f>CG122</f>
        <v>0.26026838636255867</v>
      </c>
      <c r="CJ122" s="503">
        <f>CI122</f>
        <v>0.26026838636255867</v>
      </c>
      <c r="CK122" s="503">
        <f>CJ122</f>
        <v>0.26026838636255867</v>
      </c>
      <c r="CL122" s="503">
        <f>CK122</f>
        <v>0.26026838636255867</v>
      </c>
      <c r="CM122" s="25">
        <f>CM121/AVERAGE(CM120,CH120)</f>
        <v>0.25941074735977943</v>
      </c>
      <c r="CN122" s="503">
        <f>CL122</f>
        <v>0.26026838636255867</v>
      </c>
      <c r="CO122" s="503">
        <f>CN122</f>
        <v>0.26026838636255867</v>
      </c>
      <c r="CP122" s="503">
        <f>CO122</f>
        <v>0.26026838636255867</v>
      </c>
      <c r="CQ122" s="503">
        <f>CP122</f>
        <v>0.26026838636255867</v>
      </c>
      <c r="CR122" s="25">
        <f>CR121/AVERAGE(CR120,CM120)</f>
        <v>0.25941074735977948</v>
      </c>
      <c r="CS122" s="503">
        <f>CQ122</f>
        <v>0.26026838636255867</v>
      </c>
      <c r="CT122" s="503">
        <f>CS122</f>
        <v>0.26026838636255867</v>
      </c>
      <c r="CU122" s="503">
        <f>CT122</f>
        <v>0.26026838636255867</v>
      </c>
      <c r="CV122" s="503">
        <f>CU122</f>
        <v>0.26026838636255867</v>
      </c>
      <c r="CW122" s="25">
        <f>CW121/AVERAGE(CW120,CR120)</f>
        <v>0.25941074735977954</v>
      </c>
      <c r="CX122" s="503">
        <f>CV122</f>
        <v>0.26026838636255867</v>
      </c>
      <c r="CY122" s="503">
        <f>CX122</f>
        <v>0.26026838636255867</v>
      </c>
      <c r="CZ122" s="503">
        <f>CY122</f>
        <v>0.26026838636255867</v>
      </c>
      <c r="DA122" s="503">
        <f>CZ122</f>
        <v>0.26026838636255867</v>
      </c>
      <c r="DB122" s="25">
        <f>DB121/AVERAGE(DB120,CW120)</f>
        <v>0.25941074735977948</v>
      </c>
    </row>
    <row r="123" spans="1:106" s="58" customFormat="1" ht="11.5" customHeight="1" x14ac:dyDescent="0.35">
      <c r="A123" s="16" t="s">
        <v>28</v>
      </c>
      <c r="B123" s="48" t="e">
        <f>B23-#REF!+B121</f>
        <v>#REF!</v>
      </c>
      <c r="C123" s="48">
        <f>C23-B23+C121</f>
        <v>21261</v>
      </c>
      <c r="D123" s="48">
        <f>D23-C23+D121</f>
        <v>16823</v>
      </c>
      <c r="E123" s="48">
        <f>E23-D23+E121</f>
        <v>27962</v>
      </c>
      <c r="F123" s="56" t="e">
        <f>SUM(B123:E123)</f>
        <v>#REF!</v>
      </c>
      <c r="G123" s="48">
        <f>G23-E23+G121</f>
        <v>6101</v>
      </c>
      <c r="H123" s="48">
        <f>H23-G23+H121</f>
        <v>5321</v>
      </c>
      <c r="I123" s="48">
        <f>I23-H23+I121</f>
        <v>27070</v>
      </c>
      <c r="J123" s="48">
        <f>J23-I23+J121</f>
        <v>23220</v>
      </c>
      <c r="K123" s="56">
        <f>SUM(G123:J123)</f>
        <v>61712</v>
      </c>
      <c r="L123" s="48">
        <f>L23-J23+L121</f>
        <v>17204</v>
      </c>
      <c r="M123" s="48">
        <f>M23-L23+M121</f>
        <v>29987</v>
      </c>
      <c r="N123" s="48">
        <f>N23-M23+N121</f>
        <v>16691</v>
      </c>
      <c r="O123" s="48">
        <f>O23-N23+O121</f>
        <v>-74924</v>
      </c>
      <c r="P123" s="56">
        <f>SUM(L123:O123)</f>
        <v>-11042</v>
      </c>
      <c r="Q123" s="48">
        <f>Q23-O23+Q121</f>
        <v>27203</v>
      </c>
      <c r="R123" s="48">
        <f>R23-Q23+R121</f>
        <v>10921</v>
      </c>
      <c r="S123" s="48">
        <f>S23-R23+S121</f>
        <v>27557</v>
      </c>
      <c r="T123" s="48">
        <f>T23-S23+T121</f>
        <v>20480</v>
      </c>
      <c r="U123" s="56">
        <f>SUM(Q123:T123)</f>
        <v>86161</v>
      </c>
      <c r="V123" s="48">
        <f>V23-T23+V121</f>
        <v>32385</v>
      </c>
      <c r="W123" s="48">
        <f>W23-V23+W121</f>
        <v>26103</v>
      </c>
      <c r="X123" s="48">
        <f>X23-W23+X121</f>
        <v>17404</v>
      </c>
      <c r="Y123" s="48">
        <f>Y23-X23+Y121</f>
        <v>19087</v>
      </c>
      <c r="Z123" s="56">
        <f>SUM(V123:Y123)</f>
        <v>94979</v>
      </c>
      <c r="AA123" s="48">
        <f>AA23-Y23+AA121</f>
        <v>14713</v>
      </c>
      <c r="AB123" s="48">
        <f>AB23-AA23+AB121</f>
        <v>13099</v>
      </c>
      <c r="AC123" s="48">
        <f>AC23-AB23+AC121</f>
        <v>9387</v>
      </c>
      <c r="AD123" s="48">
        <f>AD23-AC23+AD121</f>
        <v>-1781</v>
      </c>
      <c r="AE123" s="56">
        <f>SUM(AA123:AD123)</f>
        <v>35418</v>
      </c>
      <c r="AF123" s="48">
        <f>AF23-AD23+AF121</f>
        <v>4839</v>
      </c>
      <c r="AG123" s="48">
        <f>AG23-AF23+AG121</f>
        <v>13969</v>
      </c>
      <c r="AH123" s="48">
        <f>AH23-AG23+AH121</f>
        <v>11096</v>
      </c>
      <c r="AI123" s="48">
        <f>AI23-AH23+AI121</f>
        <v>4747</v>
      </c>
      <c r="AJ123" s="56">
        <f>SUM(AF123:AI123)</f>
        <v>34651</v>
      </c>
      <c r="AK123" s="48">
        <f>AK23-AI23+AK121</f>
        <v>7948</v>
      </c>
      <c r="AL123" s="48">
        <f>AL23-AK23+AL121</f>
        <v>20452</v>
      </c>
      <c r="AM123" s="48">
        <f>AM23-AL23+AM121</f>
        <v>-1436</v>
      </c>
      <c r="AN123" s="48">
        <f>AN23-AM23+AN121</f>
        <v>-7039</v>
      </c>
      <c r="AO123" s="56">
        <f>SUM(AK123:AN123)</f>
        <v>19925</v>
      </c>
      <c r="AP123" s="48">
        <f>AP23-AN23+AP121</f>
        <v>15153</v>
      </c>
      <c r="AQ123" s="48">
        <f>AQ23-AP23+AQ121</f>
        <v>5255</v>
      </c>
      <c r="AR123" s="48">
        <f>AR23-AQ23+AR121</f>
        <v>31750</v>
      </c>
      <c r="AS123" s="48">
        <f>AS23-AR23+AS121</f>
        <v>16951</v>
      </c>
      <c r="AT123" s="56">
        <f>SUM(AP123:AS123)</f>
        <v>69109</v>
      </c>
      <c r="AU123" s="48">
        <f>AU23-AS23+AU121</f>
        <v>32341</v>
      </c>
      <c r="AV123" s="48">
        <f>AV23-AU23+AV121</f>
        <v>-7881</v>
      </c>
      <c r="AW123" s="48">
        <f>AW23-AV23+AW121</f>
        <v>39215</v>
      </c>
      <c r="AX123" s="48">
        <f>AX23-AW23+AX121</f>
        <v>34493</v>
      </c>
      <c r="AY123" s="56">
        <f>SUM(AU123:AX123)</f>
        <v>98168</v>
      </c>
      <c r="AZ123" s="48">
        <f>AZ23-AX23+AZ121</f>
        <v>15655</v>
      </c>
      <c r="BA123" s="48">
        <f>BA23-AZ23+BA121</f>
        <v>6753</v>
      </c>
      <c r="BB123" s="48">
        <f>BB23-BA23+BB121</f>
        <v>-3972</v>
      </c>
      <c r="BC123" s="48">
        <f>BC23-BB23+BC121</f>
        <v>13774</v>
      </c>
      <c r="BD123" s="56">
        <f>SUM(AZ123:BC123)</f>
        <v>32210</v>
      </c>
      <c r="BE123" s="48">
        <f>BE23-BC23+BE121</f>
        <v>7623</v>
      </c>
      <c r="BF123" s="48">
        <f>BF23-BE23+BF121</f>
        <v>21831</v>
      </c>
      <c r="BG123" s="48">
        <f>BG23-BF23+BG121</f>
        <v>47447</v>
      </c>
      <c r="BH123" s="48">
        <f>BH23-BG23+BH121</f>
        <v>14023</v>
      </c>
      <c r="BI123" s="56">
        <f>SUM(BE123:BH123)</f>
        <v>90924</v>
      </c>
      <c r="BJ123" s="48">
        <f>BJ23-BH23+BJ121</f>
        <v>10885</v>
      </c>
      <c r="BK123" s="48">
        <f>BK23-BJ23+BK121</f>
        <v>17922</v>
      </c>
      <c r="BL123" s="48">
        <f>BL23-BK23+BL121</f>
        <v>34478</v>
      </c>
      <c r="BM123" s="48">
        <f>BM23-BL23+BM121</f>
        <v>5157</v>
      </c>
      <c r="BN123" s="56">
        <f>SUM(BJ123:BM123)</f>
        <v>68442</v>
      </c>
      <c r="BO123" s="48">
        <f>BO23-BM23+BO121</f>
        <v>37205</v>
      </c>
      <c r="BP123" s="48">
        <f>BP23-BO23+BP121</f>
        <v>15565</v>
      </c>
      <c r="BQ123" s="48">
        <f>BQ23-BP23+BQ121</f>
        <v>54434</v>
      </c>
      <c r="BR123" s="48">
        <f>BR23-BQ23+BR121</f>
        <v>826</v>
      </c>
      <c r="BS123" s="56">
        <f>SUM(BO123:BR123)</f>
        <v>108030</v>
      </c>
      <c r="BT123" s="48">
        <f>BT23-BR23+BT121</f>
        <v>-9571</v>
      </c>
      <c r="BU123" s="48">
        <f>BU23-BT23+BU121</f>
        <v>19163</v>
      </c>
      <c r="BV123" s="48">
        <f>BV23-BU23+BV121</f>
        <v>52860</v>
      </c>
      <c r="BW123" s="48">
        <f>BW23-BV23+BW121</f>
        <v>51471</v>
      </c>
      <c r="BX123" s="56">
        <f>SUM(BT123:BW123)</f>
        <v>113923</v>
      </c>
      <c r="BY123" s="48">
        <f>BY23-BW23+BY121</f>
        <v>34899</v>
      </c>
      <c r="BZ123" s="48">
        <f>BZ23-BY23+BZ121</f>
        <v>38192</v>
      </c>
      <c r="CA123" s="48">
        <f>CA23-BZ23+CA121</f>
        <v>44089</v>
      </c>
      <c r="CB123" s="48">
        <f>CB23-CA23+CB121</f>
        <v>494849</v>
      </c>
      <c r="CC123" s="56">
        <f>SUM(BY123:CB123)</f>
        <v>612029</v>
      </c>
      <c r="CD123" s="48">
        <f>CD23-CB23+CD121</f>
        <v>47497</v>
      </c>
      <c r="CE123" s="48">
        <f>CE23-CD23+CE121</f>
        <v>66212</v>
      </c>
      <c r="CF123" s="504">
        <f>CF121*1.1</f>
        <v>47075.237551330079</v>
      </c>
      <c r="CG123" s="504">
        <f>CG121*1.1</f>
        <v>47381.542454208051</v>
      </c>
      <c r="CH123" s="56">
        <f>SUM(CD123:CG123)</f>
        <v>208165.78000553811</v>
      </c>
      <c r="CI123" s="504">
        <f>CI121*1.1</f>
        <v>47689.840394156192</v>
      </c>
      <c r="CJ123" s="504">
        <f>CJ121*1.1</f>
        <v>48000.144339288068</v>
      </c>
      <c r="CK123" s="504">
        <f>CK121*1.1</f>
        <v>48312.467342096978</v>
      </c>
      <c r="CL123" s="504">
        <f>CL121*1.1</f>
        <v>48626.822540005014</v>
      </c>
      <c r="CM123" s="56">
        <f>SUM(CI123:CL123)</f>
        <v>192629.27461554628</v>
      </c>
      <c r="CN123" s="504">
        <f>CN121*1.1</f>
        <v>48943.22315591565</v>
      </c>
      <c r="CO123" s="504">
        <f>CO121*1.1</f>
        <v>49261.682498769966</v>
      </c>
      <c r="CP123" s="504">
        <f>CP121*1.1</f>
        <v>49582.213964106457</v>
      </c>
      <c r="CQ123" s="504">
        <f>CQ121*1.1</f>
        <v>49904.831034624483</v>
      </c>
      <c r="CR123" s="56">
        <f>SUM(CN123:CQ123)</f>
        <v>197691.95065341657</v>
      </c>
      <c r="CS123" s="504">
        <f>CS121*1.1</f>
        <v>50229.547280751438</v>
      </c>
      <c r="CT123" s="504">
        <f>CT121*1.1</f>
        <v>50556.376361213508</v>
      </c>
      <c r="CU123" s="504">
        <f>CU121*1.1</f>
        <v>50885.332023610288</v>
      </c>
      <c r="CV123" s="504">
        <f>CV121*1.1</f>
        <v>51216.428104992985</v>
      </c>
      <c r="CW123" s="56">
        <f>SUM(CS123:CV123)</f>
        <v>202887.6837705682</v>
      </c>
      <c r="CX123" s="504">
        <f>CX121*1.1</f>
        <v>51549.678532446502</v>
      </c>
      <c r="CY123" s="504">
        <f>CY121*1.1</f>
        <v>51885.097323675218</v>
      </c>
      <c r="CZ123" s="504">
        <f>CZ121*1.1</f>
        <v>52222.69858759264</v>
      </c>
      <c r="DA123" s="504">
        <f>DA121*1.1</f>
        <v>52562.496524914917</v>
      </c>
      <c r="DB123" s="56">
        <f>SUM(CX123:DA123)</f>
        <v>208219.97096862929</v>
      </c>
    </row>
    <row r="124" spans="1:106" ht="11.5" customHeight="1" x14ac:dyDescent="0.35">
      <c r="A124" s="16" t="s">
        <v>167</v>
      </c>
      <c r="B124" s="48">
        <f t="shared" ref="B124:AG124" si="279">B18</f>
        <v>100103</v>
      </c>
      <c r="C124" s="48">
        <f t="shared" si="279"/>
        <v>109860</v>
      </c>
      <c r="D124" s="48">
        <f t="shared" si="279"/>
        <v>113805</v>
      </c>
      <c r="E124" s="48">
        <f t="shared" si="279"/>
        <v>109608</v>
      </c>
      <c r="F124" s="56">
        <f t="shared" si="279"/>
        <v>109608</v>
      </c>
      <c r="G124" s="48">
        <f t="shared" si="279"/>
        <v>102659</v>
      </c>
      <c r="H124" s="48">
        <f t="shared" si="279"/>
        <v>94569</v>
      </c>
      <c r="I124" s="48">
        <f t="shared" si="279"/>
        <v>93951</v>
      </c>
      <c r="J124" s="48">
        <f t="shared" si="279"/>
        <v>116452</v>
      </c>
      <c r="K124" s="56">
        <f t="shared" si="279"/>
        <v>116452</v>
      </c>
      <c r="L124" s="48">
        <f t="shared" si="279"/>
        <v>106390</v>
      </c>
      <c r="M124" s="48">
        <f t="shared" si="279"/>
        <v>110060</v>
      </c>
      <c r="N124" s="48">
        <f t="shared" si="279"/>
        <v>108865</v>
      </c>
      <c r="O124" s="48">
        <f t="shared" si="279"/>
        <v>108401</v>
      </c>
      <c r="P124" s="56">
        <f t="shared" si="279"/>
        <v>108401</v>
      </c>
      <c r="Q124" s="48">
        <f t="shared" si="279"/>
        <v>107330</v>
      </c>
      <c r="R124" s="48">
        <f t="shared" si="279"/>
        <v>109310</v>
      </c>
      <c r="S124" s="48">
        <f t="shared" si="279"/>
        <v>111070</v>
      </c>
      <c r="T124" s="48">
        <f t="shared" si="279"/>
        <v>118173</v>
      </c>
      <c r="U124" s="56">
        <f t="shared" si="279"/>
        <v>118173</v>
      </c>
      <c r="V124" s="48">
        <f t="shared" si="279"/>
        <v>98515</v>
      </c>
      <c r="W124" s="48">
        <f t="shared" si="279"/>
        <v>98454</v>
      </c>
      <c r="X124" s="48">
        <f t="shared" si="279"/>
        <v>105200</v>
      </c>
      <c r="Y124" s="48">
        <f t="shared" si="279"/>
        <v>112404</v>
      </c>
      <c r="Z124" s="56">
        <f t="shared" si="279"/>
        <v>112404</v>
      </c>
      <c r="AA124" s="48">
        <f t="shared" si="279"/>
        <v>118710</v>
      </c>
      <c r="AB124" s="48">
        <f t="shared" si="279"/>
        <v>129487</v>
      </c>
      <c r="AC124" s="48">
        <f t="shared" si="279"/>
        <v>127829</v>
      </c>
      <c r="AD124" s="48">
        <f t="shared" si="279"/>
        <v>118924</v>
      </c>
      <c r="AE124" s="56">
        <f t="shared" si="279"/>
        <v>118924</v>
      </c>
      <c r="AF124" s="48">
        <f t="shared" si="279"/>
        <v>107310</v>
      </c>
      <c r="AG124" s="48">
        <f t="shared" si="279"/>
        <v>113193</v>
      </c>
      <c r="AH124" s="48">
        <f t="shared" ref="AH124:BM124" si="280">AH18</f>
        <v>117713</v>
      </c>
      <c r="AI124" s="48">
        <f t="shared" si="280"/>
        <v>129970</v>
      </c>
      <c r="AJ124" s="56">
        <f t="shared" si="280"/>
        <v>129970</v>
      </c>
      <c r="AK124" s="48">
        <f t="shared" si="280"/>
        <v>129534</v>
      </c>
      <c r="AL124" s="48">
        <f t="shared" si="280"/>
        <v>130052</v>
      </c>
      <c r="AM124" s="48">
        <f t="shared" si="280"/>
        <v>135298</v>
      </c>
      <c r="AN124" s="48">
        <f t="shared" si="280"/>
        <v>142711</v>
      </c>
      <c r="AO124" s="56">
        <f t="shared" si="280"/>
        <v>142711</v>
      </c>
      <c r="AP124" s="48">
        <f t="shared" si="280"/>
        <v>135147</v>
      </c>
      <c r="AQ124" s="48">
        <f t="shared" si="280"/>
        <v>138354</v>
      </c>
      <c r="AR124" s="48">
        <f t="shared" si="280"/>
        <v>139775</v>
      </c>
      <c r="AS124" s="48">
        <f t="shared" si="280"/>
        <v>153177</v>
      </c>
      <c r="AT124" s="56">
        <f t="shared" si="280"/>
        <v>153177</v>
      </c>
      <c r="AU124" s="48">
        <f t="shared" si="280"/>
        <v>157048</v>
      </c>
      <c r="AV124" s="48">
        <f t="shared" si="280"/>
        <v>156781</v>
      </c>
      <c r="AW124" s="48">
        <f t="shared" si="280"/>
        <v>155498</v>
      </c>
      <c r="AX124" s="48">
        <f t="shared" si="280"/>
        <v>157051</v>
      </c>
      <c r="AY124" s="56">
        <f t="shared" si="280"/>
        <v>157051</v>
      </c>
      <c r="AZ124" s="48">
        <f t="shared" si="280"/>
        <v>155940</v>
      </c>
      <c r="BA124" s="48">
        <f t="shared" si="280"/>
        <v>157051</v>
      </c>
      <c r="BB124" s="48">
        <f t="shared" si="280"/>
        <v>151199</v>
      </c>
      <c r="BC124" s="48">
        <f t="shared" si="280"/>
        <v>140041</v>
      </c>
      <c r="BD124" s="56">
        <f t="shared" si="280"/>
        <v>140041</v>
      </c>
      <c r="BE124" s="48">
        <f t="shared" si="280"/>
        <v>135483</v>
      </c>
      <c r="BF124" s="48">
        <f t="shared" si="280"/>
        <v>139495</v>
      </c>
      <c r="BG124" s="48">
        <f t="shared" si="280"/>
        <v>139011</v>
      </c>
      <c r="BH124" s="48">
        <f t="shared" si="280"/>
        <v>143745</v>
      </c>
      <c r="BI124" s="56">
        <f t="shared" si="280"/>
        <v>143745</v>
      </c>
      <c r="BJ124" s="48">
        <f t="shared" si="280"/>
        <v>147491</v>
      </c>
      <c r="BK124" s="48">
        <f t="shared" si="280"/>
        <v>158897</v>
      </c>
      <c r="BL124" s="48">
        <f t="shared" si="280"/>
        <v>161891</v>
      </c>
      <c r="BM124" s="48">
        <f t="shared" si="280"/>
        <v>168224</v>
      </c>
      <c r="BN124" s="56">
        <f t="shared" ref="BN124:BY124" si="281">BN18</f>
        <v>168224</v>
      </c>
      <c r="BO124" s="48">
        <f t="shared" si="281"/>
        <v>167485</v>
      </c>
      <c r="BP124" s="48">
        <f t="shared" si="281"/>
        <v>172061</v>
      </c>
      <c r="BQ124" s="48">
        <f t="shared" si="281"/>
        <v>174844</v>
      </c>
      <c r="BR124" s="48">
        <f t="shared" si="281"/>
        <v>187860</v>
      </c>
      <c r="BS124" s="56">
        <f t="shared" si="281"/>
        <v>187860</v>
      </c>
      <c r="BT124" s="48">
        <f t="shared" si="281"/>
        <v>192892</v>
      </c>
      <c r="BU124" s="48">
        <f t="shared" si="281"/>
        <v>193091</v>
      </c>
      <c r="BV124" s="48">
        <f t="shared" si="281"/>
        <v>202104</v>
      </c>
      <c r="BW124" s="48">
        <f t="shared" si="281"/>
        <v>204919</v>
      </c>
      <c r="BX124" s="56">
        <f t="shared" si="281"/>
        <v>204919</v>
      </c>
      <c r="BY124" s="48">
        <f t="shared" si="281"/>
        <v>210989</v>
      </c>
      <c r="BZ124" s="48">
        <f>BZ18</f>
        <v>222831</v>
      </c>
      <c r="CA124" s="48">
        <f>CA18</f>
        <v>231242</v>
      </c>
      <c r="CB124" s="48">
        <f t="shared" ref="CB124" si="282">CB18</f>
        <v>241931</v>
      </c>
      <c r="CC124" s="56">
        <f>CC18</f>
        <v>241931</v>
      </c>
      <c r="CD124" s="48">
        <f t="shared" ref="CD124" si="283">CD18</f>
        <v>252470</v>
      </c>
      <c r="CE124" s="48">
        <f>CE18</f>
        <v>276923</v>
      </c>
      <c r="CF124" s="48">
        <f>CF125*CF115</f>
        <v>276229.36676990404</v>
      </c>
      <c r="CG124" s="48">
        <f>CG125*CG115</f>
        <v>284199.57038195193</v>
      </c>
      <c r="CH124" s="56">
        <f>CH18</f>
        <v>284199.57038195193</v>
      </c>
      <c r="CI124" s="48">
        <f>CI125*CI115</f>
        <v>276143.21449763229</v>
      </c>
      <c r="CJ124" s="48">
        <f>CJ125*CJ115</f>
        <v>279118.75405785727</v>
      </c>
      <c r="CK124" s="48">
        <f>CK125*CK115</f>
        <v>287112.15901985217</v>
      </c>
      <c r="CL124" s="48">
        <f>CL125*CL115</f>
        <v>294874.43172388413</v>
      </c>
      <c r="CM124" s="56">
        <f>CM18</f>
        <v>294874.43172388413</v>
      </c>
      <c r="CN124" s="48">
        <f>CN125*CN115</f>
        <v>295501.1393562358</v>
      </c>
      <c r="CO124" s="48">
        <f>CO125*CO115</f>
        <v>300024.89961535262</v>
      </c>
      <c r="CP124" s="48">
        <f>CP125*CP115</f>
        <v>304886.10621131852</v>
      </c>
      <c r="CQ124" s="48">
        <f>CQ125*CQ115</f>
        <v>315869.73014806956</v>
      </c>
      <c r="CR124" s="56">
        <f>CR18</f>
        <v>315869.73014806956</v>
      </c>
      <c r="CS124" s="48">
        <f>CS125*CS115</f>
        <v>319463.46211667644</v>
      </c>
      <c r="CT124" s="48">
        <f>CT125*CT115</f>
        <v>322941.0920225326</v>
      </c>
      <c r="CU124" s="48">
        <f>CU125*CU115</f>
        <v>326553.23687597201</v>
      </c>
      <c r="CV124" s="48">
        <f>CV125*CV115</f>
        <v>330582.72865249193</v>
      </c>
      <c r="CW124" s="56">
        <f>CW18</f>
        <v>330582.72865249193</v>
      </c>
      <c r="CX124" s="48">
        <f>CX125*CX115</f>
        <v>330194.25112264848</v>
      </c>
      <c r="CY124" s="48">
        <f>CY125*CY115</f>
        <v>330597.45859930338</v>
      </c>
      <c r="CZ124" s="48">
        <f>CZ125*CZ115</f>
        <v>331813.25111731241</v>
      </c>
      <c r="DA124" s="48">
        <f>DA125*DA115</f>
        <v>333822.40827098739</v>
      </c>
      <c r="DB124" s="56">
        <f>DB18</f>
        <v>333822.40827098739</v>
      </c>
    </row>
    <row r="125" spans="1:106" ht="11.5" customHeight="1" x14ac:dyDescent="0.35">
      <c r="A125" s="163" t="s">
        <v>253</v>
      </c>
      <c r="B125" s="24" t="e">
        <f t="shared" ref="B125:AG125" si="284">B124/B115</f>
        <v>#DIV/0!</v>
      </c>
      <c r="C125" s="24" t="e">
        <f t="shared" si="284"/>
        <v>#DIV/0!</v>
      </c>
      <c r="D125" s="24" t="e">
        <f t="shared" si="284"/>
        <v>#DIV/0!</v>
      </c>
      <c r="E125" s="24">
        <f t="shared" si="284"/>
        <v>1.7757736977033249E-2</v>
      </c>
      <c r="F125" s="25">
        <f t="shared" si="284"/>
        <v>1.7757736977033249E-2</v>
      </c>
      <c r="G125" s="24">
        <f t="shared" si="284"/>
        <v>1.6814786102291576E-2</v>
      </c>
      <c r="H125" s="24">
        <f t="shared" si="284"/>
        <v>1.5171301431004276E-2</v>
      </c>
      <c r="I125" s="24">
        <f t="shared" si="284"/>
        <v>1.4113625562031652E-2</v>
      </c>
      <c r="J125" s="24">
        <f t="shared" si="284"/>
        <v>1.7923689031065317E-2</v>
      </c>
      <c r="K125" s="25">
        <f t="shared" si="284"/>
        <v>1.7923689031065317E-2</v>
      </c>
      <c r="L125" s="24">
        <f t="shared" si="284"/>
        <v>1.5835052477520404E-2</v>
      </c>
      <c r="M125" s="24">
        <f t="shared" si="284"/>
        <v>1.7292141377794848E-2</v>
      </c>
      <c r="N125" s="24">
        <f t="shared" si="284"/>
        <v>1.6317923012076671E-2</v>
      </c>
      <c r="O125" s="24">
        <f t="shared" si="284"/>
        <v>1.8048158276492691E-2</v>
      </c>
      <c r="P125" s="25">
        <f t="shared" si="284"/>
        <v>1.8048158276492688E-2</v>
      </c>
      <c r="Q125" s="24">
        <f t="shared" si="284"/>
        <v>1.7467228784587403E-2</v>
      </c>
      <c r="R125" s="24">
        <f t="shared" si="284"/>
        <v>1.5589777925205769E-2</v>
      </c>
      <c r="S125" s="24">
        <f t="shared" si="284"/>
        <v>1.6786044437140976E-2</v>
      </c>
      <c r="T125" s="24">
        <f t="shared" si="284"/>
        <v>1.6469977148475291E-2</v>
      </c>
      <c r="U125" s="25">
        <f t="shared" si="284"/>
        <v>1.6469977148475291E-2</v>
      </c>
      <c r="V125" s="24">
        <f t="shared" si="284"/>
        <v>1.3377624236812756E-2</v>
      </c>
      <c r="W125" s="24">
        <f t="shared" si="284"/>
        <v>1.5286418254020847E-2</v>
      </c>
      <c r="X125" s="24">
        <f t="shared" si="284"/>
        <v>1.732545484065174E-2</v>
      </c>
      <c r="Y125" s="24">
        <f t="shared" si="284"/>
        <v>1.9775048276359279E-2</v>
      </c>
      <c r="Z125" s="25">
        <f t="shared" si="284"/>
        <v>1.9775048276359279E-2</v>
      </c>
      <c r="AA125" s="24">
        <f t="shared" si="284"/>
        <v>2.4430712747863282E-2</v>
      </c>
      <c r="AB125" s="24">
        <f t="shared" si="284"/>
        <v>2.9328109435313988E-2</v>
      </c>
      <c r="AC125" s="24">
        <f t="shared" si="284"/>
        <v>2.8839763396271447E-2</v>
      </c>
      <c r="AD125" s="24">
        <f t="shared" si="284"/>
        <v>3.5085108826198766E-2</v>
      </c>
      <c r="AE125" s="25">
        <f t="shared" si="284"/>
        <v>3.5085108826198773E-2</v>
      </c>
      <c r="AF125" s="24">
        <f t="shared" si="284"/>
        <v>3.3424449651895054E-2</v>
      </c>
      <c r="AG125" s="24">
        <f t="shared" si="284"/>
        <v>3.8302397644451494E-2</v>
      </c>
      <c r="AH125" s="24">
        <f t="shared" ref="AH125:BM125" si="285">AH124/AH115</f>
        <v>4.6724109187071261E-2</v>
      </c>
      <c r="AI125" s="24">
        <f t="shared" si="285"/>
        <v>4.6995882345399996E-2</v>
      </c>
      <c r="AJ125" s="25">
        <f t="shared" si="285"/>
        <v>4.6995882345399996E-2</v>
      </c>
      <c r="AK125" s="24">
        <f t="shared" si="285"/>
        <v>4.7241352144567809E-2</v>
      </c>
      <c r="AL125" s="24">
        <f t="shared" si="285"/>
        <v>4.4237373936010543E-2</v>
      </c>
      <c r="AM125" s="24">
        <f t="shared" si="285"/>
        <v>4.3698821314124572E-2</v>
      </c>
      <c r="AN125" s="24">
        <f t="shared" si="285"/>
        <v>4.3787516245924453E-2</v>
      </c>
      <c r="AO125" s="25">
        <f t="shared" si="285"/>
        <v>4.3787516245924453E-2</v>
      </c>
      <c r="AP125" s="24">
        <f t="shared" si="285"/>
        <v>4.0314739971130317E-2</v>
      </c>
      <c r="AQ125" s="24">
        <f t="shared" si="285"/>
        <v>3.7833179315224764E-2</v>
      </c>
      <c r="AR125" s="24">
        <f t="shared" si="285"/>
        <v>3.6119101823181073E-2</v>
      </c>
      <c r="AS125" s="24">
        <f t="shared" si="285"/>
        <v>3.029773660755063E-2</v>
      </c>
      <c r="AT125" s="25">
        <f t="shared" si="285"/>
        <v>3.029773660755063E-2</v>
      </c>
      <c r="AU125" s="24">
        <f t="shared" si="285"/>
        <v>3.0110840450694575E-2</v>
      </c>
      <c r="AV125" s="24">
        <f t="shared" si="285"/>
        <v>2.8713422239768981E-2</v>
      </c>
      <c r="AW125" s="24">
        <f t="shared" si="285"/>
        <v>2.7565444996730862E-2</v>
      </c>
      <c r="AX125" s="24">
        <f t="shared" si="285"/>
        <v>3.4221022804117915E-2</v>
      </c>
      <c r="AY125" s="25">
        <f t="shared" si="285"/>
        <v>3.4221022804117915E-2</v>
      </c>
      <c r="AZ125" s="24">
        <f t="shared" si="285"/>
        <v>3.3445781850873872E-2</v>
      </c>
      <c r="BA125" s="24">
        <f t="shared" si="285"/>
        <v>4.0588171847137096E-2</v>
      </c>
      <c r="BB125" s="24">
        <f t="shared" si="285"/>
        <v>3.3919074727297535E-2</v>
      </c>
      <c r="BC125" s="24">
        <f t="shared" si="285"/>
        <v>2.8403641509259021E-2</v>
      </c>
      <c r="BD125" s="25">
        <f t="shared" si="285"/>
        <v>2.8403641509259021E-2</v>
      </c>
      <c r="BE125" s="24">
        <f t="shared" si="285"/>
        <v>2.6486810826740408E-2</v>
      </c>
      <c r="BF125" s="24">
        <f t="shared" si="285"/>
        <v>2.263541279389357E-2</v>
      </c>
      <c r="BG125" s="24">
        <f t="shared" si="285"/>
        <v>1.5642309026059203E-2</v>
      </c>
      <c r="BH125" s="24">
        <f t="shared" si="285"/>
        <v>2.5989039420588955E-2</v>
      </c>
      <c r="BI125" s="25">
        <f t="shared" si="285"/>
        <v>2.5989039420588955E-2</v>
      </c>
      <c r="BJ125" s="24">
        <f t="shared" si="285"/>
        <v>2.5374529670747808E-2</v>
      </c>
      <c r="BK125" s="24">
        <f t="shared" si="285"/>
        <v>2.7047923095908755E-2</v>
      </c>
      <c r="BL125" s="24">
        <f t="shared" si="285"/>
        <v>1.5057903265524543E-2</v>
      </c>
      <c r="BM125" s="24">
        <f t="shared" si="285"/>
        <v>2.1264078888342582E-2</v>
      </c>
      <c r="BN125" s="25">
        <f t="shared" ref="BN125:BY125" si="286">BN124/BN115</f>
        <v>2.1264078888342582E-2</v>
      </c>
      <c r="BO125" s="24">
        <f t="shared" si="286"/>
        <v>2.0567350632687768E-2</v>
      </c>
      <c r="BP125" s="24">
        <f t="shared" si="286"/>
        <v>1.9091502747354334E-2</v>
      </c>
      <c r="BQ125" s="24">
        <f t="shared" si="286"/>
        <v>1.2304157688900913E-2</v>
      </c>
      <c r="BR125" s="24">
        <f t="shared" si="286"/>
        <v>2.1127070403169614E-2</v>
      </c>
      <c r="BS125" s="25">
        <f t="shared" si="286"/>
        <v>2.1127070403169614E-2</v>
      </c>
      <c r="BT125" s="24">
        <f t="shared" si="286"/>
        <v>2.0316209850544505E-2</v>
      </c>
      <c r="BU125" s="24">
        <f t="shared" si="286"/>
        <v>2.0596903390740624E-2</v>
      </c>
      <c r="BV125" s="24">
        <f t="shared" si="286"/>
        <v>1.2166789074369532E-2</v>
      </c>
      <c r="BW125" s="24">
        <f t="shared" si="286"/>
        <v>1.623228076619802E-2</v>
      </c>
      <c r="BX125" s="25">
        <f t="shared" si="286"/>
        <v>1.623228076619802E-2</v>
      </c>
      <c r="BY125" s="24">
        <f t="shared" si="286"/>
        <v>1.56220015203976E-2</v>
      </c>
      <c r="BZ125" s="24">
        <f>BZ124/BZ115</f>
        <v>1.5482691212602239E-2</v>
      </c>
      <c r="CA125" s="24">
        <f>CA124/CA115</f>
        <v>9.5028972534043459E-3</v>
      </c>
      <c r="CB125" s="24">
        <f t="shared" ref="CB125" si="287">CB124/CB115</f>
        <v>1.8378824144168079E-2</v>
      </c>
      <c r="CC125" s="25">
        <f>CC124/CC115</f>
        <v>1.8378824144168079E-2</v>
      </c>
      <c r="CD125" s="24">
        <f t="shared" ref="CD125" si="288">CD124/CD115</f>
        <v>1.9306826608890701E-2</v>
      </c>
      <c r="CE125" s="24">
        <f>CE124/CE115</f>
        <v>2.0843470154232237E-2</v>
      </c>
      <c r="CF125" s="503">
        <f>CE125</f>
        <v>2.0843470154232237E-2</v>
      </c>
      <c r="CG125" s="503">
        <f>CF125</f>
        <v>2.0843470154232237E-2</v>
      </c>
      <c r="CH125" s="25">
        <f>CH124/CH115</f>
        <v>2.0843470154232237E-2</v>
      </c>
      <c r="CI125" s="503">
        <f>CD125</f>
        <v>1.9306826608890701E-2</v>
      </c>
      <c r="CJ125" s="503">
        <f>CI125</f>
        <v>1.9306826608890701E-2</v>
      </c>
      <c r="CK125" s="503">
        <f>CJ125</f>
        <v>1.9306826608890701E-2</v>
      </c>
      <c r="CL125" s="503">
        <f>CK125</f>
        <v>1.9306826608890701E-2</v>
      </c>
      <c r="CM125" s="25">
        <f>CM124/CM115</f>
        <v>1.9306826608890701E-2</v>
      </c>
      <c r="CN125" s="503">
        <f>CI125</f>
        <v>1.9306826608890701E-2</v>
      </c>
      <c r="CO125" s="503">
        <f>CN125</f>
        <v>1.9306826608890701E-2</v>
      </c>
      <c r="CP125" s="503">
        <f>CO125</f>
        <v>1.9306826608890701E-2</v>
      </c>
      <c r="CQ125" s="503">
        <f>CP125</f>
        <v>1.9306826608890701E-2</v>
      </c>
      <c r="CR125" s="25">
        <f>CR124/CR115</f>
        <v>1.9306826608890697E-2</v>
      </c>
      <c r="CS125" s="503">
        <f>CN125</f>
        <v>1.9306826608890701E-2</v>
      </c>
      <c r="CT125" s="503">
        <f>CS125</f>
        <v>1.9306826608890701E-2</v>
      </c>
      <c r="CU125" s="503">
        <f>CT125</f>
        <v>1.9306826608890701E-2</v>
      </c>
      <c r="CV125" s="503">
        <f>CU125</f>
        <v>1.9306826608890701E-2</v>
      </c>
      <c r="CW125" s="25">
        <f>CW124/CW115</f>
        <v>1.9306826608890701E-2</v>
      </c>
      <c r="CX125" s="503">
        <f>CS125</f>
        <v>1.9306826608890701E-2</v>
      </c>
      <c r="CY125" s="503">
        <f>CX125</f>
        <v>1.9306826608890701E-2</v>
      </c>
      <c r="CZ125" s="503">
        <f>CY125</f>
        <v>1.9306826608890701E-2</v>
      </c>
      <c r="DA125" s="503">
        <f>CZ125</f>
        <v>1.9306826608890701E-2</v>
      </c>
      <c r="DB125" s="25">
        <f>DB124/DB115</f>
        <v>1.9306826608890701E-2</v>
      </c>
    </row>
    <row r="126" spans="1:106" s="58" customFormat="1" ht="11.5" customHeight="1" x14ac:dyDescent="0.35">
      <c r="A126" s="16" t="s">
        <v>165</v>
      </c>
      <c r="B126" s="48">
        <f t="shared" ref="B126:AG126" si="289">B16</f>
        <v>28940</v>
      </c>
      <c r="C126" s="48">
        <f t="shared" si="289"/>
        <v>32017</v>
      </c>
      <c r="D126" s="48">
        <f t="shared" si="289"/>
        <v>32057</v>
      </c>
      <c r="E126" s="48">
        <f t="shared" si="289"/>
        <v>30650</v>
      </c>
      <c r="F126" s="56">
        <f t="shared" si="289"/>
        <v>30650</v>
      </c>
      <c r="G126" s="48">
        <f t="shared" si="289"/>
        <v>31783</v>
      </c>
      <c r="H126" s="48">
        <f t="shared" si="289"/>
        <v>34622</v>
      </c>
      <c r="I126" s="48">
        <f t="shared" si="289"/>
        <v>38584</v>
      </c>
      <c r="J126" s="48">
        <f t="shared" si="289"/>
        <v>39787</v>
      </c>
      <c r="K126" s="56">
        <f t="shared" si="289"/>
        <v>39787</v>
      </c>
      <c r="L126" s="48">
        <f t="shared" si="289"/>
        <v>46615</v>
      </c>
      <c r="M126" s="48">
        <f t="shared" si="289"/>
        <v>46485</v>
      </c>
      <c r="N126" s="48">
        <f t="shared" si="289"/>
        <v>47026</v>
      </c>
      <c r="O126" s="48">
        <f t="shared" si="289"/>
        <v>36618</v>
      </c>
      <c r="P126" s="56">
        <f t="shared" si="289"/>
        <v>36618</v>
      </c>
      <c r="Q126" s="48">
        <f t="shared" si="289"/>
        <v>41558</v>
      </c>
      <c r="R126" s="48">
        <f t="shared" si="289"/>
        <v>40636</v>
      </c>
      <c r="S126" s="48">
        <f t="shared" si="289"/>
        <v>39909</v>
      </c>
      <c r="T126" s="48">
        <f t="shared" si="289"/>
        <v>37008</v>
      </c>
      <c r="U126" s="56">
        <f t="shared" si="289"/>
        <v>37008</v>
      </c>
      <c r="V126" s="48">
        <f t="shared" si="289"/>
        <v>34310</v>
      </c>
      <c r="W126" s="48">
        <f t="shared" si="289"/>
        <v>32815</v>
      </c>
      <c r="X126" s="48">
        <f t="shared" si="289"/>
        <v>30870</v>
      </c>
      <c r="Y126" s="48">
        <f t="shared" si="289"/>
        <v>31502</v>
      </c>
      <c r="Z126" s="56">
        <f t="shared" si="289"/>
        <v>31502</v>
      </c>
      <c r="AA126" s="48">
        <f t="shared" si="289"/>
        <v>31766</v>
      </c>
      <c r="AB126" s="48">
        <f t="shared" si="289"/>
        <v>31036</v>
      </c>
      <c r="AC126" s="48">
        <f t="shared" si="289"/>
        <v>30199</v>
      </c>
      <c r="AD126" s="48">
        <f t="shared" si="289"/>
        <v>26660</v>
      </c>
      <c r="AE126" s="56">
        <f t="shared" si="289"/>
        <v>26660</v>
      </c>
      <c r="AF126" s="48">
        <f t="shared" si="289"/>
        <v>26960</v>
      </c>
      <c r="AG126" s="48">
        <f t="shared" si="289"/>
        <v>25958</v>
      </c>
      <c r="AH126" s="48">
        <f t="shared" ref="AH126:BM126" si="290">AH16</f>
        <v>24472</v>
      </c>
      <c r="AI126" s="48">
        <f t="shared" si="290"/>
        <v>25968</v>
      </c>
      <c r="AJ126" s="56">
        <f t="shared" si="290"/>
        <v>25968</v>
      </c>
      <c r="AK126" s="48">
        <f t="shared" si="290"/>
        <v>24173</v>
      </c>
      <c r="AL126" s="48">
        <f t="shared" si="290"/>
        <v>25239</v>
      </c>
      <c r="AM126" s="48">
        <f t="shared" si="290"/>
        <v>25762</v>
      </c>
      <c r="AN126" s="48">
        <f t="shared" si="290"/>
        <v>23482</v>
      </c>
      <c r="AO126" s="56">
        <f t="shared" si="290"/>
        <v>23482</v>
      </c>
      <c r="AP126" s="48">
        <f t="shared" si="290"/>
        <v>21169</v>
      </c>
      <c r="AQ126" s="48">
        <f t="shared" si="290"/>
        <v>17508</v>
      </c>
      <c r="AR126" s="48">
        <f t="shared" si="290"/>
        <v>15193</v>
      </c>
      <c r="AS126" s="48">
        <f t="shared" si="290"/>
        <v>16206</v>
      </c>
      <c r="AT126" s="56">
        <f t="shared" si="290"/>
        <v>16206</v>
      </c>
      <c r="AU126" s="48">
        <f t="shared" si="290"/>
        <v>17802</v>
      </c>
      <c r="AV126" s="48">
        <f t="shared" si="290"/>
        <v>11081</v>
      </c>
      <c r="AW126" s="48">
        <f t="shared" si="290"/>
        <v>16734</v>
      </c>
      <c r="AX126" s="48">
        <f t="shared" si="290"/>
        <v>25502</v>
      </c>
      <c r="AY126" s="56">
        <f t="shared" si="290"/>
        <v>25502</v>
      </c>
      <c r="AZ126" s="48">
        <f t="shared" si="290"/>
        <v>23672</v>
      </c>
      <c r="BA126" s="48">
        <f t="shared" si="290"/>
        <v>28665</v>
      </c>
      <c r="BB126" s="48">
        <f t="shared" si="290"/>
        <v>33243</v>
      </c>
      <c r="BC126" s="48">
        <f t="shared" si="290"/>
        <v>46984</v>
      </c>
      <c r="BD126" s="56">
        <f t="shared" si="290"/>
        <v>46984</v>
      </c>
      <c r="BE126" s="48">
        <f t="shared" si="290"/>
        <v>51364</v>
      </c>
      <c r="BF126" s="48">
        <f t="shared" si="290"/>
        <v>52502</v>
      </c>
      <c r="BG126" s="48">
        <f t="shared" si="290"/>
        <v>68623</v>
      </c>
      <c r="BH126" s="48">
        <f t="shared" si="290"/>
        <v>73916</v>
      </c>
      <c r="BI126" s="56">
        <f t="shared" si="290"/>
        <v>73916</v>
      </c>
      <c r="BJ126" s="48">
        <f t="shared" si="290"/>
        <v>80838</v>
      </c>
      <c r="BK126" s="48">
        <f t="shared" si="290"/>
        <v>83693</v>
      </c>
      <c r="BL126" s="48">
        <f t="shared" si="290"/>
        <v>103632</v>
      </c>
      <c r="BM126" s="48">
        <f t="shared" si="290"/>
        <v>115697</v>
      </c>
      <c r="BN126" s="56">
        <f t="shared" ref="BN126:BY126" si="291">BN16</f>
        <v>115697</v>
      </c>
      <c r="BO126" s="48">
        <f t="shared" si="291"/>
        <v>129158</v>
      </c>
      <c r="BP126" s="48">
        <f t="shared" si="291"/>
        <v>112878</v>
      </c>
      <c r="BQ126" s="48">
        <f t="shared" si="291"/>
        <v>125227</v>
      </c>
      <c r="BR126" s="48">
        <f t="shared" si="291"/>
        <v>137588</v>
      </c>
      <c r="BS126" s="56">
        <f t="shared" si="291"/>
        <v>137588</v>
      </c>
      <c r="BT126" s="48">
        <f t="shared" si="291"/>
        <v>150877</v>
      </c>
      <c r="BU126" s="48">
        <f t="shared" si="291"/>
        <v>161730</v>
      </c>
      <c r="BV126" s="48">
        <f t="shared" si="291"/>
        <v>168589</v>
      </c>
      <c r="BW126" s="48">
        <f t="shared" si="291"/>
        <v>210727</v>
      </c>
      <c r="BX126" s="56">
        <f t="shared" si="291"/>
        <v>210727</v>
      </c>
      <c r="BY126" s="48">
        <f t="shared" si="291"/>
        <v>185462</v>
      </c>
      <c r="BZ126" s="48">
        <f>BZ16</f>
        <v>186352</v>
      </c>
      <c r="CA126" s="48">
        <f>CA16</f>
        <v>299734</v>
      </c>
      <c r="CB126" s="48">
        <f t="shared" ref="CB126" si="292">CB16</f>
        <v>247353</v>
      </c>
      <c r="CC126" s="56">
        <f>CC16</f>
        <v>247353</v>
      </c>
      <c r="CD126" s="48">
        <f t="shared" ref="CD126" si="293">CD16</f>
        <v>142081</v>
      </c>
      <c r="CE126" s="48">
        <f>CE16</f>
        <v>259181</v>
      </c>
      <c r="CF126" s="99">
        <f>CF127*CF115</f>
        <v>258531.80670724536</v>
      </c>
      <c r="CG126" s="99">
        <f>CG127*CG115</f>
        <v>265991.37251569814</v>
      </c>
      <c r="CH126" s="56">
        <f>CH16</f>
        <v>265991.37251569814</v>
      </c>
      <c r="CI126" s="99">
        <f>CI127*CI115</f>
        <v>279021.47992321389</v>
      </c>
      <c r="CJ126" s="99">
        <f>CJ127*CJ115</f>
        <v>282028.03379843564</v>
      </c>
      <c r="CK126" s="99">
        <f>CK127*CK115</f>
        <v>290104.7547353555</v>
      </c>
      <c r="CL126" s="99">
        <f>CL127*CL115</f>
        <v>297947.93430211302</v>
      </c>
      <c r="CM126" s="56">
        <f>CM16</f>
        <v>297947.93430211302</v>
      </c>
      <c r="CN126" s="99">
        <f>CN127*CN115</f>
        <v>298581.17416417535</v>
      </c>
      <c r="CO126" s="99">
        <f>CO127*CO115</f>
        <v>303152.08598112105</v>
      </c>
      <c r="CP126" s="99">
        <f>CP127*CP115</f>
        <v>308063.96136826923</v>
      </c>
      <c r="CQ126" s="99">
        <f>CQ127*CQ115</f>
        <v>319162.06859979266</v>
      </c>
      <c r="CR126" s="56">
        <f>CR16</f>
        <v>319162.06859979266</v>
      </c>
      <c r="CS126" s="99">
        <f>CS127*CS115</f>
        <v>322793.25835816585</v>
      </c>
      <c r="CT126" s="99">
        <f>CT127*CT115</f>
        <v>326307.13591160305</v>
      </c>
      <c r="CU126" s="99">
        <f>CU127*CU115</f>
        <v>329956.93047395442</v>
      </c>
      <c r="CV126" s="99">
        <f>CV127*CV115</f>
        <v>334028.42200369702</v>
      </c>
      <c r="CW126" s="56">
        <f>CW16</f>
        <v>334028.42200369702</v>
      </c>
      <c r="CX126" s="99">
        <f>CX127*CX115</f>
        <v>333635.89533781091</v>
      </c>
      <c r="CY126" s="99">
        <f>CY127*CY115</f>
        <v>334043.3054820617</v>
      </c>
      <c r="CZ126" s="99">
        <f>CZ127*CZ115</f>
        <v>335271.77031423798</v>
      </c>
      <c r="DA126" s="99">
        <f>DA127*DA115</f>
        <v>337301.86909264378</v>
      </c>
      <c r="DB126" s="56">
        <f>DB16</f>
        <v>337301.86909264378</v>
      </c>
    </row>
    <row r="127" spans="1:106" ht="11.5" customHeight="1" x14ac:dyDescent="0.35">
      <c r="A127" s="163" t="s">
        <v>253</v>
      </c>
      <c r="B127" s="24" t="e">
        <f t="shared" ref="B127:AG127" si="294">B126/B115</f>
        <v>#DIV/0!</v>
      </c>
      <c r="C127" s="24" t="e">
        <f t="shared" si="294"/>
        <v>#DIV/0!</v>
      </c>
      <c r="D127" s="24" t="e">
        <f t="shared" si="294"/>
        <v>#DIV/0!</v>
      </c>
      <c r="E127" s="24">
        <f t="shared" si="294"/>
        <v>4.965647017973771E-3</v>
      </c>
      <c r="F127" s="25">
        <f t="shared" si="294"/>
        <v>4.965647017973771E-3</v>
      </c>
      <c r="G127" s="24">
        <f t="shared" si="294"/>
        <v>5.2058206946213508E-3</v>
      </c>
      <c r="H127" s="24">
        <f t="shared" si="294"/>
        <v>5.5542598329709524E-3</v>
      </c>
      <c r="I127" s="24">
        <f t="shared" si="294"/>
        <v>5.7962142892085157E-3</v>
      </c>
      <c r="J127" s="24">
        <f t="shared" si="294"/>
        <v>6.1238090842492682E-3</v>
      </c>
      <c r="K127" s="25">
        <f t="shared" si="294"/>
        <v>6.1238090842492682E-3</v>
      </c>
      <c r="L127" s="24">
        <f t="shared" si="294"/>
        <v>6.938161211012441E-3</v>
      </c>
      <c r="M127" s="24">
        <f t="shared" si="294"/>
        <v>7.3035180078756456E-3</v>
      </c>
      <c r="N127" s="24">
        <f t="shared" si="294"/>
        <v>7.0487911410087494E-3</v>
      </c>
      <c r="O127" s="24">
        <f t="shared" si="294"/>
        <v>6.0966915413013661E-3</v>
      </c>
      <c r="P127" s="25">
        <f t="shared" si="294"/>
        <v>6.0966915413013653E-3</v>
      </c>
      <c r="Q127" s="24">
        <f t="shared" si="294"/>
        <v>6.7632823425871919E-3</v>
      </c>
      <c r="R127" s="24">
        <f t="shared" si="294"/>
        <v>5.7955010133442647E-3</v>
      </c>
      <c r="S127" s="24">
        <f t="shared" si="294"/>
        <v>6.0314598671275697E-3</v>
      </c>
      <c r="T127" s="24">
        <f t="shared" si="294"/>
        <v>5.1578695159704294E-3</v>
      </c>
      <c r="U127" s="25">
        <f t="shared" si="294"/>
        <v>5.1578695159704294E-3</v>
      </c>
      <c r="V127" s="24">
        <f t="shared" si="294"/>
        <v>4.6590497646555925E-3</v>
      </c>
      <c r="W127" s="24">
        <f t="shared" si="294"/>
        <v>5.0950069576217736E-3</v>
      </c>
      <c r="X127" s="24">
        <f t="shared" si="294"/>
        <v>5.0839999137920078E-3</v>
      </c>
      <c r="Y127" s="24">
        <f t="shared" si="294"/>
        <v>5.5420943276206364E-3</v>
      </c>
      <c r="Z127" s="25">
        <f t="shared" si="294"/>
        <v>5.5420943276206364E-3</v>
      </c>
      <c r="AA127" s="24">
        <f t="shared" si="294"/>
        <v>6.537494913222348E-3</v>
      </c>
      <c r="AB127" s="24">
        <f t="shared" si="294"/>
        <v>7.0294871642281069E-3</v>
      </c>
      <c r="AC127" s="24">
        <f t="shared" si="294"/>
        <v>6.8132584531209774E-3</v>
      </c>
      <c r="AD127" s="24">
        <f t="shared" si="294"/>
        <v>7.865266904127503E-3</v>
      </c>
      <c r="AE127" s="25">
        <f t="shared" si="294"/>
        <v>7.8652669041275047E-3</v>
      </c>
      <c r="AF127" s="24">
        <f t="shared" si="294"/>
        <v>8.3973829336976107E-3</v>
      </c>
      <c r="AG127" s="24">
        <f t="shared" si="294"/>
        <v>8.7837025085886217E-3</v>
      </c>
      <c r="AH127" s="24">
        <f t="shared" ref="AH127:BM127" si="295">AH126/AH115</f>
        <v>9.7137308540773577E-3</v>
      </c>
      <c r="AI127" s="24">
        <f t="shared" si="295"/>
        <v>9.3897751230695332E-3</v>
      </c>
      <c r="AJ127" s="25">
        <f t="shared" si="295"/>
        <v>9.3897751230695332E-3</v>
      </c>
      <c r="AK127" s="24">
        <f t="shared" si="295"/>
        <v>8.8159495220609084E-3</v>
      </c>
      <c r="AL127" s="24">
        <f t="shared" si="295"/>
        <v>8.5850819731412824E-3</v>
      </c>
      <c r="AM127" s="24">
        <f t="shared" si="295"/>
        <v>8.3206627939398752E-3</v>
      </c>
      <c r="AN127" s="24">
        <f t="shared" si="295"/>
        <v>7.204899807911079E-3</v>
      </c>
      <c r="AO127" s="25">
        <f t="shared" si="295"/>
        <v>7.204899807911079E-3</v>
      </c>
      <c r="AP127" s="24">
        <f t="shared" si="295"/>
        <v>6.3147737681847E-3</v>
      </c>
      <c r="AQ127" s="24">
        <f t="shared" si="295"/>
        <v>4.7875977814226924E-3</v>
      </c>
      <c r="AR127" s="24">
        <f t="shared" si="295"/>
        <v>3.9260061813599714E-3</v>
      </c>
      <c r="AS127" s="24">
        <f t="shared" si="295"/>
        <v>3.2054754921559078E-3</v>
      </c>
      <c r="AT127" s="25">
        <f t="shared" si="295"/>
        <v>3.2054754921559078E-3</v>
      </c>
      <c r="AU127" s="24">
        <f t="shared" si="295"/>
        <v>3.4131805671085581E-3</v>
      </c>
      <c r="AV127" s="24">
        <f t="shared" si="295"/>
        <v>2.0294132059298009E-3</v>
      </c>
      <c r="AW127" s="24">
        <f t="shared" si="295"/>
        <v>2.9664700290376353E-3</v>
      </c>
      <c r="AX127" s="24">
        <f t="shared" si="295"/>
        <v>5.5568224560850624E-3</v>
      </c>
      <c r="AY127" s="25">
        <f t="shared" si="295"/>
        <v>5.5568224560850624E-3</v>
      </c>
      <c r="AZ127" s="24">
        <f t="shared" si="295"/>
        <v>5.0771357443496626E-3</v>
      </c>
      <c r="BA127" s="24">
        <f t="shared" si="295"/>
        <v>7.4081664300016227E-3</v>
      </c>
      <c r="BB127" s="24">
        <f t="shared" si="295"/>
        <v>7.4575347797244153E-3</v>
      </c>
      <c r="BC127" s="24">
        <f t="shared" si="295"/>
        <v>9.5294713167645602E-3</v>
      </c>
      <c r="BD127" s="25">
        <f t="shared" si="295"/>
        <v>9.5294713167645602E-3</v>
      </c>
      <c r="BE127" s="24">
        <f t="shared" si="295"/>
        <v>1.0041618146222731E-2</v>
      </c>
      <c r="BF127" s="24">
        <f t="shared" si="295"/>
        <v>8.5193336141438768E-3</v>
      </c>
      <c r="BG127" s="24">
        <f t="shared" si="295"/>
        <v>7.7218505894875999E-3</v>
      </c>
      <c r="BH127" s="24">
        <f t="shared" si="295"/>
        <v>1.3363983705953273E-2</v>
      </c>
      <c r="BI127" s="25">
        <f t="shared" si="295"/>
        <v>1.3363983705953273E-2</v>
      </c>
      <c r="BJ127" s="24">
        <f t="shared" si="295"/>
        <v>1.3907467096459521E-2</v>
      </c>
      <c r="BK127" s="24">
        <f t="shared" si="295"/>
        <v>1.4246473046475965E-2</v>
      </c>
      <c r="BL127" s="24">
        <f t="shared" si="295"/>
        <v>9.6390820441707038E-3</v>
      </c>
      <c r="BM127" s="24">
        <f t="shared" si="295"/>
        <v>1.4624489580229763E-2</v>
      </c>
      <c r="BN127" s="25">
        <f t="shared" ref="BN127:BY127" si="296">BN126/BN115</f>
        <v>1.4624489580229763E-2</v>
      </c>
      <c r="BO127" s="24">
        <f t="shared" si="296"/>
        <v>1.5860750950931049E-2</v>
      </c>
      <c r="BP127" s="24">
        <f t="shared" si="296"/>
        <v>1.2524689773486511E-2</v>
      </c>
      <c r="BQ127" s="24">
        <f t="shared" si="296"/>
        <v>8.8125000280707064E-3</v>
      </c>
      <c r="BR127" s="24">
        <f t="shared" si="296"/>
        <v>1.5473391688658049E-2</v>
      </c>
      <c r="BS127" s="25">
        <f t="shared" si="296"/>
        <v>1.5473391688658049E-2</v>
      </c>
      <c r="BT127" s="24">
        <f t="shared" si="296"/>
        <v>1.5891010480582932E-2</v>
      </c>
      <c r="BU127" s="24">
        <f t="shared" si="296"/>
        <v>1.7251643967789703E-2</v>
      </c>
      <c r="BV127" s="24">
        <f t="shared" si="296"/>
        <v>1.0149164802571374E-2</v>
      </c>
      <c r="BW127" s="24">
        <f t="shared" si="296"/>
        <v>1.6692350777715144E-2</v>
      </c>
      <c r="BX127" s="25">
        <f t="shared" si="296"/>
        <v>1.6692350777715144E-2</v>
      </c>
      <c r="BY127" s="24">
        <f t="shared" si="296"/>
        <v>1.3731936953945371E-2</v>
      </c>
      <c r="BZ127" s="24">
        <f>BZ126/BZ115</f>
        <v>1.2948065901292246E-2</v>
      </c>
      <c r="CA127" s="24">
        <f>CA126/CA115</f>
        <v>1.231757814476565E-2</v>
      </c>
      <c r="CB127" s="24">
        <f t="shared" ref="CB127" si="297">CB126/CB115</f>
        <v>1.8790718380581266E-2</v>
      </c>
      <c r="CC127" s="25">
        <f>CC126/CC115</f>
        <v>1.8790718380581266E-2</v>
      </c>
      <c r="CD127" s="24">
        <f t="shared" ref="CD127" si="298">CD126/CD115</f>
        <v>1.086518489887036E-2</v>
      </c>
      <c r="CE127" s="24">
        <f>CE126/CE115</f>
        <v>1.9508063389621178E-2</v>
      </c>
      <c r="CF127" s="503">
        <f>CE127</f>
        <v>1.9508063389621178E-2</v>
      </c>
      <c r="CG127" s="503">
        <f>CF127</f>
        <v>1.9508063389621178E-2</v>
      </c>
      <c r="CH127" s="25">
        <f>CH126/CH115</f>
        <v>1.9508063389621178E-2</v>
      </c>
      <c r="CI127" s="503">
        <f>CG127</f>
        <v>1.9508063389621178E-2</v>
      </c>
      <c r="CJ127" s="503">
        <f>CI127</f>
        <v>1.9508063389621178E-2</v>
      </c>
      <c r="CK127" s="503">
        <f>CJ127</f>
        <v>1.9508063389621178E-2</v>
      </c>
      <c r="CL127" s="503">
        <f>CK127</f>
        <v>1.9508063389621178E-2</v>
      </c>
      <c r="CM127" s="25">
        <f>CM126/CM115</f>
        <v>1.9508063389621178E-2</v>
      </c>
      <c r="CN127" s="503">
        <f>CL127</f>
        <v>1.9508063389621178E-2</v>
      </c>
      <c r="CO127" s="503">
        <f>CN127</f>
        <v>1.9508063389621178E-2</v>
      </c>
      <c r="CP127" s="503">
        <f>CO127</f>
        <v>1.9508063389621178E-2</v>
      </c>
      <c r="CQ127" s="503">
        <f>CP127</f>
        <v>1.9508063389621178E-2</v>
      </c>
      <c r="CR127" s="25">
        <f>CR126/CR115</f>
        <v>1.9508063389621175E-2</v>
      </c>
      <c r="CS127" s="503">
        <f>CQ127</f>
        <v>1.9508063389621178E-2</v>
      </c>
      <c r="CT127" s="503">
        <f>CS127</f>
        <v>1.9508063389621178E-2</v>
      </c>
      <c r="CU127" s="503">
        <f>CT127</f>
        <v>1.9508063389621178E-2</v>
      </c>
      <c r="CV127" s="503">
        <f>CU127</f>
        <v>1.9508063389621178E-2</v>
      </c>
      <c r="CW127" s="25">
        <f>CW126/CW115</f>
        <v>1.9508063389621178E-2</v>
      </c>
      <c r="CX127" s="503">
        <f>CV127</f>
        <v>1.9508063389621178E-2</v>
      </c>
      <c r="CY127" s="503">
        <f>CX127</f>
        <v>1.9508063389621178E-2</v>
      </c>
      <c r="CZ127" s="503">
        <f>CY127</f>
        <v>1.9508063389621178E-2</v>
      </c>
      <c r="DA127" s="503">
        <f>CZ127</f>
        <v>1.9508063389621178E-2</v>
      </c>
      <c r="DB127" s="25">
        <f>DB126/DB115</f>
        <v>1.9508063389621178E-2</v>
      </c>
    </row>
    <row r="128" spans="1:106" s="58" customFormat="1" ht="11.5" customHeight="1" x14ac:dyDescent="0.35">
      <c r="A128" s="16" t="s">
        <v>177</v>
      </c>
      <c r="B128" s="48">
        <f t="shared" ref="B128:AG128" si="299">B37</f>
        <v>120621</v>
      </c>
      <c r="C128" s="48">
        <f t="shared" si="299"/>
        <v>126276</v>
      </c>
      <c r="D128" s="48">
        <f t="shared" si="299"/>
        <v>114030</v>
      </c>
      <c r="E128" s="48">
        <f t="shared" si="299"/>
        <v>118013</v>
      </c>
      <c r="F128" s="56">
        <f t="shared" si="299"/>
        <v>118013</v>
      </c>
      <c r="G128" s="48">
        <f t="shared" si="299"/>
        <v>108978</v>
      </c>
      <c r="H128" s="48">
        <f t="shared" si="299"/>
        <v>108534</v>
      </c>
      <c r="I128" s="48">
        <f t="shared" si="299"/>
        <v>105761</v>
      </c>
      <c r="J128" s="48">
        <f t="shared" si="299"/>
        <v>140967</v>
      </c>
      <c r="K128" s="56">
        <f t="shared" si="299"/>
        <v>140967</v>
      </c>
      <c r="L128" s="48">
        <f t="shared" si="299"/>
        <v>106401</v>
      </c>
      <c r="M128" s="48">
        <f t="shared" si="299"/>
        <v>108912</v>
      </c>
      <c r="N128" s="48">
        <f t="shared" si="299"/>
        <v>113034</v>
      </c>
      <c r="O128" s="48">
        <f t="shared" si="299"/>
        <v>121985</v>
      </c>
      <c r="P128" s="56">
        <f t="shared" si="299"/>
        <v>121985</v>
      </c>
      <c r="Q128" s="48">
        <f t="shared" si="299"/>
        <v>117144</v>
      </c>
      <c r="R128" s="48">
        <f t="shared" si="299"/>
        <v>112303</v>
      </c>
      <c r="S128" s="48">
        <f t="shared" si="299"/>
        <v>107494</v>
      </c>
      <c r="T128" s="48">
        <f t="shared" si="299"/>
        <v>132121</v>
      </c>
      <c r="U128" s="56">
        <f t="shared" si="299"/>
        <v>132121</v>
      </c>
      <c r="V128" s="48">
        <f t="shared" si="299"/>
        <v>125307</v>
      </c>
      <c r="W128" s="48">
        <f t="shared" si="299"/>
        <v>104048</v>
      </c>
      <c r="X128" s="48">
        <f t="shared" si="299"/>
        <v>115640</v>
      </c>
      <c r="Y128" s="48">
        <f t="shared" si="299"/>
        <v>117238</v>
      </c>
      <c r="Z128" s="56">
        <f t="shared" si="299"/>
        <v>117238</v>
      </c>
      <c r="AA128" s="48">
        <f t="shared" si="299"/>
        <v>140955</v>
      </c>
      <c r="AB128" s="48">
        <f t="shared" si="299"/>
        <v>111534</v>
      </c>
      <c r="AC128" s="48">
        <f t="shared" si="299"/>
        <v>112248</v>
      </c>
      <c r="AD128" s="48">
        <f t="shared" si="299"/>
        <v>131162</v>
      </c>
      <c r="AE128" s="56">
        <f t="shared" si="299"/>
        <v>131162</v>
      </c>
      <c r="AF128" s="48">
        <f t="shared" si="299"/>
        <v>120358</v>
      </c>
      <c r="AG128" s="48">
        <f t="shared" si="299"/>
        <v>117610</v>
      </c>
      <c r="AH128" s="48">
        <f t="shared" ref="AH128:BM128" si="300">AH37</f>
        <v>122577</v>
      </c>
      <c r="AI128" s="48">
        <f t="shared" si="300"/>
        <v>123055</v>
      </c>
      <c r="AJ128" s="56">
        <f t="shared" si="300"/>
        <v>123055</v>
      </c>
      <c r="AK128" s="48">
        <f t="shared" si="300"/>
        <v>137659</v>
      </c>
      <c r="AL128" s="48">
        <f t="shared" si="300"/>
        <v>102818</v>
      </c>
      <c r="AM128" s="48">
        <f t="shared" si="300"/>
        <v>97687</v>
      </c>
      <c r="AN128" s="48">
        <f t="shared" si="300"/>
        <v>87844</v>
      </c>
      <c r="AO128" s="56">
        <f t="shared" si="300"/>
        <v>87844</v>
      </c>
      <c r="AP128" s="48">
        <f t="shared" si="300"/>
        <v>60778</v>
      </c>
      <c r="AQ128" s="48">
        <f t="shared" si="300"/>
        <v>68726</v>
      </c>
      <c r="AR128" s="48">
        <f t="shared" si="300"/>
        <v>74975</v>
      </c>
      <c r="AS128" s="48">
        <f t="shared" si="300"/>
        <v>82710</v>
      </c>
      <c r="AT128" s="56">
        <f t="shared" si="300"/>
        <v>82710</v>
      </c>
      <c r="AU128" s="48">
        <f t="shared" si="300"/>
        <v>89115</v>
      </c>
      <c r="AV128" s="48">
        <f t="shared" si="300"/>
        <v>82759</v>
      </c>
      <c r="AW128" s="48">
        <f t="shared" si="300"/>
        <v>75965</v>
      </c>
      <c r="AX128" s="48">
        <f t="shared" si="300"/>
        <v>93092</v>
      </c>
      <c r="AY128" s="56">
        <f t="shared" si="300"/>
        <v>93092</v>
      </c>
      <c r="AZ128" s="48">
        <f t="shared" si="300"/>
        <v>111835</v>
      </c>
      <c r="BA128" s="48">
        <f t="shared" si="300"/>
        <v>111541</v>
      </c>
      <c r="BB128" s="48">
        <f t="shared" si="300"/>
        <v>222645</v>
      </c>
      <c r="BC128" s="48">
        <f t="shared" si="300"/>
        <v>114571</v>
      </c>
      <c r="BD128" s="56">
        <f t="shared" si="300"/>
        <v>114571</v>
      </c>
      <c r="BE128" s="48">
        <f t="shared" si="300"/>
        <v>120137</v>
      </c>
      <c r="BF128" s="48">
        <f t="shared" si="300"/>
        <v>124781</v>
      </c>
      <c r="BG128" s="48">
        <f t="shared" si="300"/>
        <v>137310</v>
      </c>
      <c r="BH128" s="48">
        <f t="shared" si="300"/>
        <v>148053</v>
      </c>
      <c r="BI128" s="56">
        <f t="shared" si="300"/>
        <v>148053</v>
      </c>
      <c r="BJ128" s="48">
        <f t="shared" si="300"/>
        <v>171404</v>
      </c>
      <c r="BK128" s="48">
        <f t="shared" si="300"/>
        <v>169363</v>
      </c>
      <c r="BL128" s="48">
        <f t="shared" si="300"/>
        <v>155012</v>
      </c>
      <c r="BM128" s="48">
        <f t="shared" si="300"/>
        <v>164421</v>
      </c>
      <c r="BN128" s="56">
        <f t="shared" ref="BN128:BY128" si="301">BN37</f>
        <v>164421</v>
      </c>
      <c r="BO128" s="48">
        <f t="shared" si="301"/>
        <v>174176</v>
      </c>
      <c r="BP128" s="48">
        <f t="shared" si="301"/>
        <v>167269</v>
      </c>
      <c r="BQ128" s="48">
        <f t="shared" si="301"/>
        <v>160123</v>
      </c>
      <c r="BR128" s="48">
        <f t="shared" si="301"/>
        <v>148400</v>
      </c>
      <c r="BS128" s="56">
        <f t="shared" si="301"/>
        <v>148400</v>
      </c>
      <c r="BT128" s="48">
        <f t="shared" si="301"/>
        <v>150762</v>
      </c>
      <c r="BU128" s="48">
        <f t="shared" si="301"/>
        <v>152593</v>
      </c>
      <c r="BV128" s="48">
        <f t="shared" si="301"/>
        <v>175745</v>
      </c>
      <c r="BW128" s="48">
        <f t="shared" si="301"/>
        <v>165732</v>
      </c>
      <c r="BX128" s="56">
        <f t="shared" si="301"/>
        <v>165732</v>
      </c>
      <c r="BY128" s="48">
        <f t="shared" si="301"/>
        <v>152880</v>
      </c>
      <c r="BZ128" s="48">
        <f>BZ37</f>
        <v>156042</v>
      </c>
      <c r="CA128" s="48">
        <f>CA37</f>
        <v>85068</v>
      </c>
      <c r="CB128" s="48">
        <f t="shared" ref="CB128" si="302">CB37</f>
        <v>179220</v>
      </c>
      <c r="CC128" s="56">
        <f>CC37</f>
        <v>179220</v>
      </c>
      <c r="CD128" s="48">
        <f t="shared" ref="CD128" si="303">CD37</f>
        <v>138470</v>
      </c>
      <c r="CE128" s="48">
        <f>CE37</f>
        <v>135506</v>
      </c>
      <c r="CF128" s="99">
        <f>CF129*CF115</f>
        <v>135166.58628399452</v>
      </c>
      <c r="CG128" s="99">
        <f>CG129*CG115</f>
        <v>139066.62496136749</v>
      </c>
      <c r="CH128" s="56">
        <f>CH37</f>
        <v>139066.62496136749</v>
      </c>
      <c r="CI128" s="99">
        <f>CI129*CI115</f>
        <v>145879.07546646945</v>
      </c>
      <c r="CJ128" s="99">
        <f>CJ129*CJ115</f>
        <v>147450.9734428481</v>
      </c>
      <c r="CK128" s="99">
        <f>CK129*CK115</f>
        <v>151673.67552084866</v>
      </c>
      <c r="CL128" s="99">
        <f>CL129*CL115</f>
        <v>155774.27660801573</v>
      </c>
      <c r="CM128" s="56">
        <f>CM37</f>
        <v>155774.27660801573</v>
      </c>
      <c r="CN128" s="99">
        <f>CN129*CN115</f>
        <v>156105.34949047476</v>
      </c>
      <c r="CO128" s="99">
        <f>CO129*CO115</f>
        <v>158495.13105882678</v>
      </c>
      <c r="CP128" s="99">
        <f>CP129*CP115</f>
        <v>161063.1765027864</v>
      </c>
      <c r="CQ128" s="99">
        <f>CQ129*CQ115</f>
        <v>166865.53129929857</v>
      </c>
      <c r="CR128" s="56">
        <f>CR37</f>
        <v>166865.53129929857</v>
      </c>
      <c r="CS128" s="99">
        <f>CS129*CS115</f>
        <v>168764.00379303121</v>
      </c>
      <c r="CT128" s="99">
        <f>CT129*CT115</f>
        <v>170601.14267186902</v>
      </c>
      <c r="CU128" s="99">
        <f>CU129*CU115</f>
        <v>172509.34220025258</v>
      </c>
      <c r="CV128" s="99">
        <f>CV129*CV115</f>
        <v>174638.0149472105</v>
      </c>
      <c r="CW128" s="56">
        <f>CW37</f>
        <v>174638.0149472105</v>
      </c>
      <c r="CX128" s="99">
        <f>CX129*CX115</f>
        <v>174432.79265704431</v>
      </c>
      <c r="CY128" s="99">
        <f>CY129*CY115</f>
        <v>174645.7963841958</v>
      </c>
      <c r="CZ128" s="99">
        <f>CZ129*CZ115</f>
        <v>175288.06705816061</v>
      </c>
      <c r="DA128" s="99">
        <f>DA129*DA115</f>
        <v>176349.4510526149</v>
      </c>
      <c r="DB128" s="56">
        <f>DB37</f>
        <v>176349.4510526149</v>
      </c>
    </row>
    <row r="129" spans="1:106" ht="11.5" customHeight="1" x14ac:dyDescent="0.35">
      <c r="A129" s="445" t="s">
        <v>253</v>
      </c>
      <c r="B129" s="443" t="e">
        <f t="shared" ref="B129:AG129" si="304">B128/B115</f>
        <v>#DIV/0!</v>
      </c>
      <c r="C129" s="443" t="e">
        <f t="shared" si="304"/>
        <v>#DIV/0!</v>
      </c>
      <c r="D129" s="443" t="e">
        <f t="shared" si="304"/>
        <v>#DIV/0!</v>
      </c>
      <c r="E129" s="443">
        <f t="shared" si="304"/>
        <v>1.9119442138079562E-2</v>
      </c>
      <c r="F129" s="444">
        <f t="shared" si="304"/>
        <v>1.9119442138079562E-2</v>
      </c>
      <c r="G129" s="443">
        <f t="shared" si="304"/>
        <v>1.7849791638877562E-2</v>
      </c>
      <c r="H129" s="443">
        <f t="shared" si="304"/>
        <v>1.7411646834719813E-2</v>
      </c>
      <c r="I129" s="443">
        <f t="shared" si="304"/>
        <v>1.5887762270396583E-2</v>
      </c>
      <c r="J129" s="443">
        <f t="shared" si="304"/>
        <v>2.1696910930187413E-2</v>
      </c>
      <c r="K129" s="444">
        <f t="shared" si="304"/>
        <v>2.1696910930187413E-2</v>
      </c>
      <c r="L129" s="443">
        <f t="shared" si="304"/>
        <v>1.583668971388898E-2</v>
      </c>
      <c r="M129" s="443">
        <f t="shared" si="304"/>
        <v>1.7111772685247981E-2</v>
      </c>
      <c r="N129" s="443">
        <f t="shared" si="304"/>
        <v>1.6942820095963575E-2</v>
      </c>
      <c r="O129" s="443">
        <f t="shared" si="304"/>
        <v>2.0309818058486185E-2</v>
      </c>
      <c r="P129" s="444">
        <f t="shared" si="304"/>
        <v>2.0309818058486181E-2</v>
      </c>
      <c r="Q129" s="443">
        <f t="shared" si="304"/>
        <v>1.9064390652582752E-2</v>
      </c>
      <c r="R129" s="443">
        <f t="shared" si="304"/>
        <v>1.6016639194349862E-2</v>
      </c>
      <c r="S129" s="443">
        <f t="shared" si="304"/>
        <v>1.6245602419429475E-2</v>
      </c>
      <c r="T129" s="443">
        <f t="shared" si="304"/>
        <v>1.8413934239070718E-2</v>
      </c>
      <c r="U129" s="444">
        <f t="shared" si="304"/>
        <v>1.8413934239070718E-2</v>
      </c>
      <c r="V129" s="443">
        <f t="shared" si="304"/>
        <v>1.7015783994744921E-2</v>
      </c>
      <c r="W129" s="443">
        <f t="shared" si="304"/>
        <v>1.6154968274466868E-2</v>
      </c>
      <c r="X129" s="443">
        <f t="shared" si="304"/>
        <v>1.9044825073887522E-2</v>
      </c>
      <c r="Y129" s="443">
        <f t="shared" si="304"/>
        <v>2.062548583523548E-2</v>
      </c>
      <c r="Z129" s="444">
        <f t="shared" si="304"/>
        <v>2.062548583523548E-2</v>
      </c>
      <c r="AA129" s="443">
        <f t="shared" si="304"/>
        <v>2.9008770241555629E-2</v>
      </c>
      <c r="AB129" s="443">
        <f t="shared" si="304"/>
        <v>2.526185144268004E-2</v>
      </c>
      <c r="AC129" s="443">
        <f t="shared" si="304"/>
        <v>2.5324501965161877E-2</v>
      </c>
      <c r="AD129" s="443">
        <f t="shared" si="304"/>
        <v>3.8695579057733367E-2</v>
      </c>
      <c r="AE129" s="444">
        <f t="shared" si="304"/>
        <v>3.8695579057733374E-2</v>
      </c>
      <c r="AF129" s="443">
        <f t="shared" si="304"/>
        <v>3.7488583647402707E-2</v>
      </c>
      <c r="AG129" s="443">
        <f t="shared" si="304"/>
        <v>3.9797027969608899E-2</v>
      </c>
      <c r="AH129" s="443">
        <f t="shared" ref="AH129:BM129" si="305">AH128/AH115</f>
        <v>4.8654788611484152E-2</v>
      </c>
      <c r="AI129" s="443">
        <f t="shared" si="305"/>
        <v>4.4495485896846938E-2</v>
      </c>
      <c r="AJ129" s="444">
        <f t="shared" si="305"/>
        <v>4.4495485896846938E-2</v>
      </c>
      <c r="AK129" s="443">
        <f t="shared" si="305"/>
        <v>5.0204558609083794E-2</v>
      </c>
      <c r="AL129" s="443">
        <f t="shared" si="305"/>
        <v>3.4973689857539535E-2</v>
      </c>
      <c r="AM129" s="443">
        <f t="shared" si="305"/>
        <v>3.1551144567642436E-2</v>
      </c>
      <c r="AN129" s="443">
        <f t="shared" si="305"/>
        <v>2.6952866822508342E-2</v>
      </c>
      <c r="AO129" s="444">
        <f t="shared" si="305"/>
        <v>2.6952866822508342E-2</v>
      </c>
      <c r="AP129" s="443">
        <f t="shared" si="305"/>
        <v>1.8130252731953785E-2</v>
      </c>
      <c r="AQ129" s="443">
        <f t="shared" si="305"/>
        <v>1.879326280135115E-2</v>
      </c>
      <c r="AR129" s="443">
        <f t="shared" si="305"/>
        <v>1.9374206111200148E-2</v>
      </c>
      <c r="AS129" s="443">
        <f t="shared" si="305"/>
        <v>1.6359674068629836E-2</v>
      </c>
      <c r="AT129" s="444">
        <f t="shared" si="305"/>
        <v>1.6359674068629836E-2</v>
      </c>
      <c r="AU129" s="443">
        <f t="shared" si="305"/>
        <v>1.7086034503869179E-2</v>
      </c>
      <c r="AV129" s="443">
        <f t="shared" si="305"/>
        <v>1.5156773532131068E-2</v>
      </c>
      <c r="AW129" s="443">
        <f t="shared" si="305"/>
        <v>1.3466469209743277E-2</v>
      </c>
      <c r="AX129" s="443">
        <f t="shared" si="305"/>
        <v>2.0284515570616838E-2</v>
      </c>
      <c r="AY129" s="444">
        <f t="shared" si="305"/>
        <v>2.0284515570616838E-2</v>
      </c>
      <c r="AZ129" s="443">
        <f t="shared" si="305"/>
        <v>2.3986206318407591E-2</v>
      </c>
      <c r="BA129" s="443">
        <f t="shared" si="305"/>
        <v>2.8826593119442214E-2</v>
      </c>
      <c r="BB129" s="443">
        <f t="shared" si="305"/>
        <v>4.9946840869709186E-2</v>
      </c>
      <c r="BC129" s="443">
        <f t="shared" si="305"/>
        <v>2.3237720462988092E-2</v>
      </c>
      <c r="BD129" s="444">
        <f t="shared" si="305"/>
        <v>2.3237720462988092E-2</v>
      </c>
      <c r="BE129" s="443">
        <f t="shared" si="305"/>
        <v>2.348668092891442E-2</v>
      </c>
      <c r="BF129" s="443">
        <f t="shared" si="305"/>
        <v>2.0247818515608685E-2</v>
      </c>
      <c r="BG129" s="443">
        <f t="shared" si="305"/>
        <v>1.5450902823288726E-2</v>
      </c>
      <c r="BH129" s="443">
        <f t="shared" si="305"/>
        <v>2.6767924124918824E-2</v>
      </c>
      <c r="BI129" s="444">
        <f t="shared" si="305"/>
        <v>2.6767924124918824E-2</v>
      </c>
      <c r="BJ129" s="443">
        <f t="shared" si="305"/>
        <v>2.9488551055215959E-2</v>
      </c>
      <c r="BK129" s="443">
        <f t="shared" si="305"/>
        <v>2.8829476952317502E-2</v>
      </c>
      <c r="BL129" s="443">
        <f t="shared" si="305"/>
        <v>1.4418069571473957E-2</v>
      </c>
      <c r="BM129" s="443">
        <f t="shared" si="305"/>
        <v>2.0783366909003329E-2</v>
      </c>
      <c r="BN129" s="444">
        <f t="shared" ref="BN129:BY129" si="306">BN128/BN115</f>
        <v>2.0783366909003329E-2</v>
      </c>
      <c r="BO129" s="443">
        <f t="shared" si="306"/>
        <v>2.1389013128334029E-2</v>
      </c>
      <c r="BP129" s="443">
        <f t="shared" si="306"/>
        <v>1.8559793172463326E-2</v>
      </c>
      <c r="BQ129" s="443">
        <f t="shared" si="306"/>
        <v>1.1268208469377736E-2</v>
      </c>
      <c r="BR129" s="443">
        <f t="shared" si="306"/>
        <v>1.6689328477751363E-2</v>
      </c>
      <c r="BS129" s="444">
        <f t="shared" si="306"/>
        <v>1.6689328477751363E-2</v>
      </c>
      <c r="BT129" s="443">
        <f t="shared" si="306"/>
        <v>1.5878898189078814E-2</v>
      </c>
      <c r="BU129" s="443">
        <f t="shared" si="306"/>
        <v>1.6277005552321363E-2</v>
      </c>
      <c r="BV129" s="443">
        <f t="shared" si="306"/>
        <v>1.0579960544447776E-2</v>
      </c>
      <c r="BW129" s="443">
        <f t="shared" si="306"/>
        <v>1.3128154812113713E-2</v>
      </c>
      <c r="BX129" s="444">
        <f t="shared" si="306"/>
        <v>1.3128154812113713E-2</v>
      </c>
      <c r="BY129" s="443">
        <f t="shared" si="306"/>
        <v>1.1319507616218786E-2</v>
      </c>
      <c r="BZ129" s="443">
        <f>BZ128/BZ115</f>
        <v>1.0842073599260779E-2</v>
      </c>
      <c r="CA129" s="443">
        <f>CA128/CA115</f>
        <v>3.4958721320201389E-3</v>
      </c>
      <c r="CB129" s="443">
        <f t="shared" ref="CB129" si="307">CB128/CB115</f>
        <v>1.3614844162665399E-2</v>
      </c>
      <c r="CC129" s="444">
        <f>CC128/CC115</f>
        <v>1.3614844162665399E-2</v>
      </c>
      <c r="CD129" s="443">
        <f t="shared" ref="CD129" si="308">CD128/CD115</f>
        <v>1.0589045354034521E-2</v>
      </c>
      <c r="CE129" s="443">
        <f>CE128/CE115</f>
        <v>1.0199280185175639E-2</v>
      </c>
      <c r="CF129" s="753">
        <f>CE129</f>
        <v>1.0199280185175639E-2</v>
      </c>
      <c r="CG129" s="753">
        <f>CF129</f>
        <v>1.0199280185175639E-2</v>
      </c>
      <c r="CH129" s="444">
        <f>CH128/CH115</f>
        <v>1.0199280185175637E-2</v>
      </c>
      <c r="CI129" s="753">
        <f>CG129</f>
        <v>1.0199280185175639E-2</v>
      </c>
      <c r="CJ129" s="753">
        <f>CI129</f>
        <v>1.0199280185175639E-2</v>
      </c>
      <c r="CK129" s="753">
        <f>CJ129</f>
        <v>1.0199280185175639E-2</v>
      </c>
      <c r="CL129" s="753">
        <f>CK129</f>
        <v>1.0199280185175639E-2</v>
      </c>
      <c r="CM129" s="444">
        <f>CM128/CM115</f>
        <v>1.0199280185175639E-2</v>
      </c>
      <c r="CN129" s="753">
        <f>CL129</f>
        <v>1.0199280185175639E-2</v>
      </c>
      <c r="CO129" s="753">
        <f>CN129</f>
        <v>1.0199280185175639E-2</v>
      </c>
      <c r="CP129" s="753">
        <f>CO129</f>
        <v>1.0199280185175639E-2</v>
      </c>
      <c r="CQ129" s="753">
        <f>CP129</f>
        <v>1.0199280185175639E-2</v>
      </c>
      <c r="CR129" s="444">
        <f>CR128/CR115</f>
        <v>1.0199280185175637E-2</v>
      </c>
      <c r="CS129" s="753">
        <f>CQ129</f>
        <v>1.0199280185175639E-2</v>
      </c>
      <c r="CT129" s="753">
        <f>CS129</f>
        <v>1.0199280185175639E-2</v>
      </c>
      <c r="CU129" s="753">
        <f>CT129</f>
        <v>1.0199280185175639E-2</v>
      </c>
      <c r="CV129" s="753">
        <f>CU129</f>
        <v>1.0199280185175639E-2</v>
      </c>
      <c r="CW129" s="444">
        <f>CW128/CW115</f>
        <v>1.0199280185175639E-2</v>
      </c>
      <c r="CX129" s="753">
        <f>CV129</f>
        <v>1.0199280185175639E-2</v>
      </c>
      <c r="CY129" s="753">
        <f>CX129</f>
        <v>1.0199280185175639E-2</v>
      </c>
      <c r="CZ129" s="753">
        <f>CY129</f>
        <v>1.0199280185175639E-2</v>
      </c>
      <c r="DA129" s="753">
        <f>CZ129</f>
        <v>1.0199280185175639E-2</v>
      </c>
      <c r="DB129" s="444">
        <f>DB128/DB115</f>
        <v>1.0199280185175639E-2</v>
      </c>
    </row>
    <row r="130" spans="1:106" ht="11.5" customHeight="1" x14ac:dyDescent="0.35">
      <c r="A130" s="19"/>
      <c r="F130" s="55"/>
      <c r="K130" s="55"/>
      <c r="P130" s="55"/>
      <c r="U130" s="55"/>
      <c r="Z130" s="55"/>
      <c r="AE130" s="55"/>
      <c r="AJ130" s="55"/>
      <c r="AO130" s="55"/>
      <c r="AT130" s="55"/>
      <c r="AY130" s="55"/>
      <c r="BD130" s="55"/>
      <c r="BI130" s="55"/>
      <c r="BN130" s="55"/>
      <c r="BS130" s="55"/>
      <c r="BX130" s="55"/>
      <c r="CC130" s="55"/>
      <c r="CH130" s="55"/>
      <c r="CM130" s="55"/>
      <c r="CR130" s="55"/>
      <c r="CW130" s="55"/>
      <c r="DB130" s="55"/>
    </row>
    <row r="131" spans="1:106" ht="11.5" customHeight="1" thickBot="1" x14ac:dyDescent="0.4">
      <c r="A131" s="124" t="s">
        <v>227</v>
      </c>
      <c r="B131" s="129" t="str">
        <f>Macro!B$3</f>
        <v>1Q10</v>
      </c>
      <c r="C131" s="129" t="str">
        <f>Macro!C$3</f>
        <v>2Q10</v>
      </c>
      <c r="D131" s="129" t="str">
        <f>Macro!D$3</f>
        <v>3Q10</v>
      </c>
      <c r="E131" s="130" t="str">
        <f>Macro!E$3</f>
        <v>4Q10</v>
      </c>
      <c r="F131" s="131" t="str">
        <f>Macro!F$3</f>
        <v>2010</v>
      </c>
      <c r="G131" s="129" t="str">
        <f>Macro!G$3</f>
        <v>1Q11</v>
      </c>
      <c r="H131" s="129" t="str">
        <f>Macro!H$3</f>
        <v>2Q11</v>
      </c>
      <c r="I131" s="129" t="str">
        <f>Macro!I$3</f>
        <v>3Q11</v>
      </c>
      <c r="J131" s="130" t="str">
        <f>Macro!J$3</f>
        <v>4Q11</v>
      </c>
      <c r="K131" s="131" t="str">
        <f>Macro!K$3</f>
        <v>2011</v>
      </c>
      <c r="L131" s="129" t="str">
        <f>Macro!L$3</f>
        <v>1Q12</v>
      </c>
      <c r="M131" s="129" t="str">
        <f>Macro!M$3</f>
        <v>2Q12</v>
      </c>
      <c r="N131" s="129" t="str">
        <f>Macro!N$3</f>
        <v>3Q12</v>
      </c>
      <c r="O131" s="130" t="str">
        <f>Macro!O$3</f>
        <v>4Q12</v>
      </c>
      <c r="P131" s="131" t="str">
        <f>Macro!P$3</f>
        <v>2012</v>
      </c>
      <c r="Q131" s="129" t="str">
        <f>Macro!Q$3</f>
        <v>1Q13</v>
      </c>
      <c r="R131" s="129" t="str">
        <f>Macro!R$3</f>
        <v>2Q13</v>
      </c>
      <c r="S131" s="129" t="str">
        <f>Macro!S$3</f>
        <v>3Q13</v>
      </c>
      <c r="T131" s="130" t="str">
        <f>Macro!T$3</f>
        <v>4Q13</v>
      </c>
      <c r="U131" s="131" t="str">
        <f>Macro!U$3</f>
        <v>2013</v>
      </c>
      <c r="V131" s="129" t="str">
        <f>Macro!V$3</f>
        <v>1Q14</v>
      </c>
      <c r="W131" s="129" t="str">
        <f>Macro!W$3</f>
        <v>2Q14</v>
      </c>
      <c r="X131" s="129" t="str">
        <f>Macro!X$3</f>
        <v>3Q14</v>
      </c>
      <c r="Y131" s="130" t="str">
        <f>Macro!Y$3</f>
        <v>4Q14</v>
      </c>
      <c r="Z131" s="131" t="str">
        <f>Macro!Z$3</f>
        <v>2014</v>
      </c>
      <c r="AA131" s="129" t="str">
        <f>Macro!AA$3</f>
        <v>1Q15</v>
      </c>
      <c r="AB131" s="129" t="str">
        <f>Macro!AB$3</f>
        <v>2Q15</v>
      </c>
      <c r="AC131" s="129" t="str">
        <f>Macro!AC$3</f>
        <v>3Q15</v>
      </c>
      <c r="AD131" s="130" t="str">
        <f>Macro!AD$3</f>
        <v>4Q15</v>
      </c>
      <c r="AE131" s="131" t="str">
        <f>Macro!AE$3</f>
        <v>2015</v>
      </c>
      <c r="AF131" s="129" t="str">
        <f>Macro!AF$3</f>
        <v>1Q16</v>
      </c>
      <c r="AG131" s="129" t="str">
        <f>Macro!AG$3</f>
        <v>2Q16</v>
      </c>
      <c r="AH131" s="129" t="str">
        <f>Macro!AH$3</f>
        <v>3Q16</v>
      </c>
      <c r="AI131" s="130" t="str">
        <f>Macro!AI$3</f>
        <v>4Q16</v>
      </c>
      <c r="AJ131" s="131" t="str">
        <f>Macro!AJ$3</f>
        <v>2016</v>
      </c>
      <c r="AK131" s="129" t="str">
        <f>Macro!AK$3</f>
        <v>1Q17</v>
      </c>
      <c r="AL131" s="129" t="str">
        <f>Macro!AL$3</f>
        <v>2Q17</v>
      </c>
      <c r="AM131" s="129" t="str">
        <f>Macro!AM$3</f>
        <v>3Q17</v>
      </c>
      <c r="AN131" s="130" t="str">
        <f>Macro!AN$3</f>
        <v>4Q17</v>
      </c>
      <c r="AO131" s="131" t="str">
        <f>Macro!AO$3</f>
        <v>2017</v>
      </c>
      <c r="AP131" s="129" t="str">
        <f>Macro!AP$3</f>
        <v>1Q18</v>
      </c>
      <c r="AQ131" s="129" t="str">
        <f>Macro!AQ$3</f>
        <v>2Q18</v>
      </c>
      <c r="AR131" s="129" t="str">
        <f>Macro!AR$3</f>
        <v>3Q18</v>
      </c>
      <c r="AS131" s="130" t="str">
        <f>Macro!AS$3</f>
        <v>4Q18</v>
      </c>
      <c r="AT131" s="131" t="str">
        <f>Macro!AT$3</f>
        <v>2018</v>
      </c>
      <c r="AU131" s="129" t="str">
        <f>Macro!AU$3</f>
        <v>1Q19</v>
      </c>
      <c r="AV131" s="129" t="str">
        <f>Macro!AV$3</f>
        <v>2Q19</v>
      </c>
      <c r="AW131" s="129" t="str">
        <f>Macro!AW$3</f>
        <v>3Q19</v>
      </c>
      <c r="AX131" s="130" t="str">
        <f>Macro!AX$3</f>
        <v>4Q19</v>
      </c>
      <c r="AY131" s="131" t="str">
        <f>Macro!AY$3</f>
        <v>2019</v>
      </c>
      <c r="AZ131" s="129" t="str">
        <f>Macro!AZ$3</f>
        <v>1Q20</v>
      </c>
      <c r="BA131" s="129" t="str">
        <f>Macro!BA$3</f>
        <v>2Q20</v>
      </c>
      <c r="BB131" s="129" t="str">
        <f>Macro!BB$3</f>
        <v>3Q20</v>
      </c>
      <c r="BC131" s="130" t="str">
        <f>Macro!BC$3</f>
        <v>4Q20</v>
      </c>
      <c r="BD131" s="131" t="str">
        <f>Macro!BD$3</f>
        <v>2020</v>
      </c>
      <c r="BE131" s="129" t="str">
        <f>Macro!BE$3</f>
        <v>1Q21</v>
      </c>
      <c r="BF131" s="129" t="str">
        <f>Macro!BF$3</f>
        <v>2Q21</v>
      </c>
      <c r="BG131" s="129" t="str">
        <f>Macro!BG$3</f>
        <v>3Q21</v>
      </c>
      <c r="BH131" s="130" t="str">
        <f>Macro!BH$3</f>
        <v>4Q21</v>
      </c>
      <c r="BI131" s="131" t="str">
        <f>Macro!BI$3</f>
        <v>2021</v>
      </c>
      <c r="BJ131" s="129" t="str">
        <f>Macro!BJ$3</f>
        <v>1Q22</v>
      </c>
      <c r="BK131" s="129" t="str">
        <f>Macro!BK$3</f>
        <v>2Q22</v>
      </c>
      <c r="BL131" s="129" t="str">
        <f>Macro!BL$3</f>
        <v>3Q22</v>
      </c>
      <c r="BM131" s="130" t="str">
        <f>Macro!BM$3</f>
        <v>4Q22</v>
      </c>
      <c r="BN131" s="131" t="str">
        <f>Macro!BN$3</f>
        <v>2022</v>
      </c>
      <c r="BO131" s="129" t="str">
        <f>Macro!BO$3</f>
        <v>1Q23</v>
      </c>
      <c r="BP131" s="129" t="str">
        <f>Macro!BP$3</f>
        <v>2Q23</v>
      </c>
      <c r="BQ131" s="129" t="str">
        <f>Macro!BQ$3</f>
        <v>3Q23</v>
      </c>
      <c r="BR131" s="130" t="str">
        <f>Macro!BR$3</f>
        <v>4Q23</v>
      </c>
      <c r="BS131" s="131" t="str">
        <f>Macro!BS$3</f>
        <v>2023</v>
      </c>
      <c r="BT131" s="129" t="str">
        <f>Macro!BT$3</f>
        <v>1Q24</v>
      </c>
      <c r="BU131" s="129" t="str">
        <f>Macro!BU$3</f>
        <v>2Q24</v>
      </c>
      <c r="BV131" s="129" t="str">
        <f>Macro!BV$3</f>
        <v>3Q24</v>
      </c>
      <c r="BW131" s="130" t="str">
        <f>Macro!BW$3</f>
        <v>4Q24</v>
      </c>
      <c r="BX131" s="131" t="str">
        <f>Macro!BX$3</f>
        <v>2024</v>
      </c>
      <c r="BY131" s="129" t="str">
        <f>Macro!BY$3</f>
        <v>1Q25</v>
      </c>
      <c r="BZ131" s="129" t="str">
        <f>Macro!BZ$3</f>
        <v>2Q25</v>
      </c>
      <c r="CA131" s="125" t="str">
        <f>Macro!CA$3</f>
        <v>3Q25</v>
      </c>
      <c r="CB131" s="125" t="str">
        <f>Macro!CB$3</f>
        <v>4Q25</v>
      </c>
      <c r="CC131" s="126" t="str">
        <f>Macro!CC$3</f>
        <v>2025</v>
      </c>
      <c r="CD131" s="125" t="str">
        <f>Macro!CD$3</f>
        <v>1Q26</v>
      </c>
      <c r="CE131" s="125" t="str">
        <f>Macro!CE$3</f>
        <v>2Q26</v>
      </c>
      <c r="CF131" s="125" t="str">
        <f>Macro!CF$3</f>
        <v>3Q26E</v>
      </c>
      <c r="CG131" s="125" t="str">
        <f>Macro!CG$3</f>
        <v>4Q26E</v>
      </c>
      <c r="CH131" s="126" t="str">
        <f>Macro!CH$3</f>
        <v>2026E</v>
      </c>
      <c r="CI131" s="125" t="str">
        <f>Macro!CI$3</f>
        <v>1Q27E</v>
      </c>
      <c r="CJ131" s="125" t="str">
        <f>Macro!CJ$3</f>
        <v>2Q27E</v>
      </c>
      <c r="CK131" s="125" t="str">
        <f>Macro!CK$3</f>
        <v>3Q27E</v>
      </c>
      <c r="CL131" s="125" t="str">
        <f>Macro!CL$3</f>
        <v>4Q27E</v>
      </c>
      <c r="CM131" s="126" t="str">
        <f>Macro!CM$3</f>
        <v>2027E</v>
      </c>
      <c r="CN131" s="125" t="str">
        <f>Macro!CN$3</f>
        <v>1Q28E</v>
      </c>
      <c r="CO131" s="125" t="str">
        <f>Macro!CO$3</f>
        <v>2Q28E</v>
      </c>
      <c r="CP131" s="125" t="str">
        <f>Macro!CP$3</f>
        <v>3Q28E</v>
      </c>
      <c r="CQ131" s="125" t="str">
        <f>Macro!CQ$3</f>
        <v>4Q28E</v>
      </c>
      <c r="CR131" s="126" t="str">
        <f>Macro!CR$3</f>
        <v>2028E</v>
      </c>
      <c r="CS131" s="125" t="str">
        <f>Macro!CS$3</f>
        <v>1Q29E</v>
      </c>
      <c r="CT131" s="125" t="str">
        <f>Macro!CT$3</f>
        <v>2Q29E</v>
      </c>
      <c r="CU131" s="125" t="str">
        <f>Macro!CU$3</f>
        <v>3Q29E</v>
      </c>
      <c r="CV131" s="125" t="str">
        <f>Macro!CV$3</f>
        <v>4Q29E</v>
      </c>
      <c r="CW131" s="126" t="str">
        <f>Macro!CW$3</f>
        <v>2029E</v>
      </c>
      <c r="CX131" s="125" t="str">
        <f>Macro!CX$3</f>
        <v>1Q30E</v>
      </c>
      <c r="CY131" s="125" t="str">
        <f>Macro!CY$3</f>
        <v>2Q30E</v>
      </c>
      <c r="CZ131" s="125" t="str">
        <f>Macro!CZ$3</f>
        <v>3Q30E</v>
      </c>
      <c r="DA131" s="125" t="str">
        <f>Macro!DA$3</f>
        <v>4Q30E</v>
      </c>
      <c r="DB131" s="126" t="str">
        <f>Macro!DB$3</f>
        <v>2030E</v>
      </c>
    </row>
    <row r="132" spans="1:106" ht="11.5" customHeight="1" thickTop="1" x14ac:dyDescent="0.35">
      <c r="A132" s="158" t="s">
        <v>220</v>
      </c>
      <c r="B132" s="752">
        <f t="shared" ref="B132:AG132" si="309">B65+B51+B58+B59</f>
        <v>7029264</v>
      </c>
      <c r="C132" s="752">
        <f t="shared" si="309"/>
        <v>7393883</v>
      </c>
      <c r="D132" s="752">
        <f t="shared" si="309"/>
        <v>7811143</v>
      </c>
      <c r="E132" s="752">
        <f t="shared" si="309"/>
        <v>8245045</v>
      </c>
      <c r="F132" s="339">
        <f t="shared" si="309"/>
        <v>8245045</v>
      </c>
      <c r="G132" s="752">
        <f t="shared" si="309"/>
        <v>8576823</v>
      </c>
      <c r="H132" s="752">
        <f t="shared" si="309"/>
        <v>9172611</v>
      </c>
      <c r="I132" s="752">
        <f t="shared" si="309"/>
        <v>9641070</v>
      </c>
      <c r="J132" s="752">
        <f t="shared" si="309"/>
        <v>9691165</v>
      </c>
      <c r="K132" s="339">
        <f t="shared" si="309"/>
        <v>9691165</v>
      </c>
      <c r="L132" s="752">
        <f t="shared" si="309"/>
        <v>9849403</v>
      </c>
      <c r="M132" s="752">
        <f t="shared" si="309"/>
        <v>9822967</v>
      </c>
      <c r="N132" s="752">
        <f t="shared" si="309"/>
        <v>9886408</v>
      </c>
      <c r="O132" s="752">
        <f t="shared" si="309"/>
        <v>9963450</v>
      </c>
      <c r="P132" s="339">
        <f t="shared" si="309"/>
        <v>9963450</v>
      </c>
      <c r="Q132" s="752">
        <f t="shared" si="309"/>
        <v>10318575</v>
      </c>
      <c r="R132" s="752">
        <f t="shared" si="309"/>
        <v>10135888</v>
      </c>
      <c r="S132" s="752">
        <f t="shared" si="309"/>
        <v>10466059</v>
      </c>
      <c r="T132" s="752">
        <f t="shared" si="309"/>
        <v>10577117</v>
      </c>
      <c r="U132" s="339">
        <f t="shared" si="309"/>
        <v>10577117</v>
      </c>
      <c r="V132" s="752">
        <f t="shared" si="309"/>
        <v>10966130</v>
      </c>
      <c r="W132" s="752">
        <f t="shared" si="309"/>
        <v>10751653</v>
      </c>
      <c r="X132" s="752">
        <f t="shared" si="309"/>
        <v>10823294</v>
      </c>
      <c r="Y132" s="752">
        <f t="shared" si="309"/>
        <v>10391547</v>
      </c>
      <c r="Z132" s="339">
        <f t="shared" si="309"/>
        <v>10391547</v>
      </c>
      <c r="AA132" s="752">
        <f t="shared" si="309"/>
        <v>10369633</v>
      </c>
      <c r="AB132" s="752">
        <f t="shared" si="309"/>
        <v>10491017</v>
      </c>
      <c r="AC132" s="752">
        <f t="shared" si="309"/>
        <v>10954944</v>
      </c>
      <c r="AD132" s="752">
        <f t="shared" si="309"/>
        <v>10553310</v>
      </c>
      <c r="AE132" s="339">
        <f t="shared" si="309"/>
        <v>10553310</v>
      </c>
      <c r="AF132" s="752">
        <f t="shared" si="309"/>
        <v>10556148</v>
      </c>
      <c r="AG132" s="752">
        <f t="shared" si="309"/>
        <v>10403098</v>
      </c>
      <c r="AH132" s="752">
        <f t="shared" ref="AH132:BM132" si="310">AH65+AH51+AH58+AH59</f>
        <v>10349370</v>
      </c>
      <c r="AI132" s="752">
        <f t="shared" si="310"/>
        <v>10255218</v>
      </c>
      <c r="AJ132" s="339">
        <f t="shared" si="310"/>
        <v>10255218</v>
      </c>
      <c r="AK132" s="752">
        <f t="shared" si="310"/>
        <v>10409251</v>
      </c>
      <c r="AL132" s="752">
        <f t="shared" si="310"/>
        <v>9763524</v>
      </c>
      <c r="AM132" s="752">
        <f t="shared" si="310"/>
        <v>9458388</v>
      </c>
      <c r="AN132" s="752">
        <f t="shared" si="310"/>
        <v>8989720</v>
      </c>
      <c r="AO132" s="339">
        <f t="shared" si="310"/>
        <v>8989720</v>
      </c>
      <c r="AP132" s="752">
        <f t="shared" si="310"/>
        <v>8205308</v>
      </c>
      <c r="AQ132" s="752">
        <f t="shared" si="310"/>
        <v>8175239</v>
      </c>
      <c r="AR132" s="752">
        <f t="shared" si="310"/>
        <v>8588154</v>
      </c>
      <c r="AS132" s="752">
        <f t="shared" si="310"/>
        <v>7938682</v>
      </c>
      <c r="AT132" s="339">
        <f t="shared" si="310"/>
        <v>7938682</v>
      </c>
      <c r="AU132" s="752">
        <f t="shared" si="310"/>
        <v>7737584</v>
      </c>
      <c r="AV132" s="752">
        <f t="shared" si="310"/>
        <v>7587349</v>
      </c>
      <c r="AW132" s="752">
        <f t="shared" si="310"/>
        <v>7979519</v>
      </c>
      <c r="AX132" s="752">
        <f t="shared" si="310"/>
        <v>7790365</v>
      </c>
      <c r="AY132" s="339">
        <f t="shared" si="310"/>
        <v>7790365</v>
      </c>
      <c r="AZ132" s="752">
        <f t="shared" si="310"/>
        <v>7807627</v>
      </c>
      <c r="BA132" s="752">
        <f t="shared" si="310"/>
        <v>8304239</v>
      </c>
      <c r="BB132" s="752">
        <f t="shared" si="310"/>
        <v>9068274</v>
      </c>
      <c r="BC132" s="752">
        <f t="shared" si="310"/>
        <v>8589426</v>
      </c>
      <c r="BD132" s="339">
        <f t="shared" si="310"/>
        <v>8589426</v>
      </c>
      <c r="BE132" s="752">
        <f t="shared" si="310"/>
        <v>8823897</v>
      </c>
      <c r="BF132" s="752">
        <f t="shared" si="310"/>
        <v>9728788</v>
      </c>
      <c r="BG132" s="752">
        <f t="shared" si="310"/>
        <v>10080156</v>
      </c>
      <c r="BH132" s="752">
        <f t="shared" si="310"/>
        <v>10546212</v>
      </c>
      <c r="BI132" s="339">
        <f t="shared" si="310"/>
        <v>10546212</v>
      </c>
      <c r="BJ132" s="752">
        <f t="shared" si="310"/>
        <v>10757100</v>
      </c>
      <c r="BK132" s="752">
        <f t="shared" si="310"/>
        <v>11216525</v>
      </c>
      <c r="BL132" s="752">
        <f t="shared" si="310"/>
        <v>11310762</v>
      </c>
      <c r="BM132" s="752">
        <f t="shared" si="310"/>
        <v>12783246</v>
      </c>
      <c r="BN132" s="339">
        <f t="shared" ref="BN132:CS132" si="311">BN65+BN51+BN58+BN59</f>
        <v>12783246</v>
      </c>
      <c r="BO132" s="752">
        <f t="shared" si="311"/>
        <v>12766767</v>
      </c>
      <c r="BP132" s="752">
        <f t="shared" si="311"/>
        <v>13287060</v>
      </c>
      <c r="BQ132" s="752">
        <f t="shared" si="311"/>
        <v>13594227</v>
      </c>
      <c r="BR132" s="752">
        <f t="shared" si="311"/>
        <v>13713311</v>
      </c>
      <c r="BS132" s="339">
        <f t="shared" si="311"/>
        <v>13713311</v>
      </c>
      <c r="BT132" s="752">
        <f t="shared" si="311"/>
        <v>13554289</v>
      </c>
      <c r="BU132" s="752">
        <f t="shared" si="311"/>
        <v>14585950</v>
      </c>
      <c r="BV132" s="752">
        <f t="shared" si="311"/>
        <v>15400589</v>
      </c>
      <c r="BW132" s="752">
        <f t="shared" si="311"/>
        <v>16053010</v>
      </c>
      <c r="BX132" s="339">
        <f t="shared" si="311"/>
        <v>16053010</v>
      </c>
      <c r="BY132" s="752">
        <f t="shared" si="311"/>
        <v>16285247</v>
      </c>
      <c r="BZ132" s="752">
        <f>BZ65+BZ51+BZ58+BZ59</f>
        <v>17986718</v>
      </c>
      <c r="CA132" s="752">
        <f>CA65+CA51+CA58+CA59</f>
        <v>19213371</v>
      </c>
      <c r="CB132" s="752">
        <f t="shared" ref="CB132" si="312">CB65+CB51+CB58+CB59</f>
        <v>20312553</v>
      </c>
      <c r="CC132" s="339">
        <f t="shared" si="311"/>
        <v>20312553</v>
      </c>
      <c r="CD132" s="752">
        <f t="shared" ref="CD132" si="313">CD65+CD51+CD58+CD59</f>
        <v>20854098</v>
      </c>
      <c r="CE132" s="752">
        <f>CE65+CE51+CE58+CE59</f>
        <v>21506374</v>
      </c>
      <c r="CF132" s="752">
        <f t="shared" ca="1" si="311"/>
        <v>22229762.624287695</v>
      </c>
      <c r="CG132" s="752">
        <f t="shared" ca="1" si="311"/>
        <v>23003479.496619083</v>
      </c>
      <c r="CH132" s="339">
        <f t="shared" ca="1" si="311"/>
        <v>23003479.496619083</v>
      </c>
      <c r="CI132" s="752">
        <f t="shared" ca="1" si="311"/>
        <v>22853383.935932089</v>
      </c>
      <c r="CJ132" s="752">
        <f t="shared" ca="1" si="311"/>
        <v>23443257.912143521</v>
      </c>
      <c r="CK132" s="752">
        <f t="shared" ca="1" si="311"/>
        <v>24122249.141176462</v>
      </c>
      <c r="CL132" s="752">
        <f t="shared" ca="1" si="311"/>
        <v>24867439.536215447</v>
      </c>
      <c r="CM132" s="339">
        <f t="shared" ca="1" si="311"/>
        <v>24867439.536215447</v>
      </c>
      <c r="CN132" s="752">
        <f t="shared" ca="1" si="311"/>
        <v>23731372.687992781</v>
      </c>
      <c r="CO132" s="752">
        <f t="shared" ca="1" si="311"/>
        <v>24425273.11489737</v>
      </c>
      <c r="CP132" s="752">
        <f t="shared" ca="1" si="311"/>
        <v>25187174.457028441</v>
      </c>
      <c r="CQ132" s="752">
        <f t="shared" ca="1" si="311"/>
        <v>26016088.921508484</v>
      </c>
      <c r="CR132" s="339">
        <f t="shared" ca="1" si="311"/>
        <v>26016088.921508484</v>
      </c>
      <c r="CS132" s="752">
        <f t="shared" ca="1" si="311"/>
        <v>24638219.141591311</v>
      </c>
      <c r="CT132" s="752">
        <f t="shared" ref="CT132:DB132" ca="1" si="314">CT65+CT51+CT58+CT59</f>
        <v>25337426.916820146</v>
      </c>
      <c r="CU132" s="752">
        <f t="shared" ca="1" si="314"/>
        <v>26098450.414245695</v>
      </c>
      <c r="CV132" s="752">
        <f t="shared" ca="1" si="314"/>
        <v>26993017.64289422</v>
      </c>
      <c r="CW132" s="339">
        <f t="shared" ca="1" si="314"/>
        <v>26993017.64289422</v>
      </c>
      <c r="CX132" s="752">
        <f t="shared" ca="1" si="314"/>
        <v>25603941.919584163</v>
      </c>
      <c r="CY132" s="752">
        <f t="shared" ca="1" si="314"/>
        <v>26363861.717439201</v>
      </c>
      <c r="CZ132" s="752">
        <f t="shared" ca="1" si="314"/>
        <v>27186548.238779631</v>
      </c>
      <c r="DA132" s="752">
        <f t="shared" ca="1" si="314"/>
        <v>28144601.559411809</v>
      </c>
      <c r="DB132" s="339">
        <f t="shared" ca="1" si="314"/>
        <v>28144601.559411809</v>
      </c>
    </row>
    <row r="133" spans="1:106" ht="11.5" customHeight="1" x14ac:dyDescent="0.35">
      <c r="A133" s="167" t="s">
        <v>31</v>
      </c>
      <c r="B133" s="449">
        <f>(IS!B63+IS!B71)/B132*4</f>
        <v>0.12010531970345686</v>
      </c>
      <c r="C133" s="449">
        <f>(IS!C63+IS!C71)/C132*4</f>
        <v>0.10790000328650047</v>
      </c>
      <c r="D133" s="449">
        <f>(IS!D63+IS!D71)/D132*4</f>
        <v>0.10596502970179908</v>
      </c>
      <c r="E133" s="449">
        <f>(IS!E63+IS!E71)/E132*4</f>
        <v>7.0652373637742433E-2</v>
      </c>
      <c r="F133" s="450">
        <f>(IS!F63+IS!F71)/AVERAGE(B132:E132)</f>
        <v>0.1001429985267067</v>
      </c>
      <c r="G133" s="449">
        <f>(IS!G63+IS!G71)/G132*4</f>
        <v>6.0113167777859002E-2</v>
      </c>
      <c r="H133" s="449">
        <f>(IS!H63+IS!H71)/H132*4</f>
        <v>6.3028073467849013E-2</v>
      </c>
      <c r="I133" s="449">
        <f>(IS!I63+IS!I71)/I132*4</f>
        <v>9.7631486961509459E-2</v>
      </c>
      <c r="J133" s="449">
        <f>(IS!J63+IS!J71)/J132*4</f>
        <v>0.13028196300444786</v>
      </c>
      <c r="K133" s="450">
        <f>(IS!K63+IS!K71)/AVERAGE(G132:J132)</f>
        <v>8.8927173153937597E-2</v>
      </c>
      <c r="L133" s="449">
        <f>(IS!L63+IS!L71)/L132*4</f>
        <v>9.2409661783561914E-2</v>
      </c>
      <c r="M133" s="449">
        <f>(IS!M63+IS!M71)/M132*4</f>
        <v>6.608145990921073E-2</v>
      </c>
      <c r="N133" s="449">
        <f>(IS!N63+IS!N71)/N132*4</f>
        <v>8.510269857363767E-2</v>
      </c>
      <c r="O133" s="449">
        <f>(IS!O63+IS!O71)/O132*4</f>
        <v>0.14892231104687634</v>
      </c>
      <c r="P133" s="450">
        <f>(IS!P63+IS!P71)/AVERAGE(L132:O132)</f>
        <v>9.8284843658105511E-2</v>
      </c>
      <c r="Q133" s="449">
        <f>(IS!Q63+IS!Q71)/Q132*4</f>
        <v>8.0211075657249178E-2</v>
      </c>
      <c r="R133" s="449">
        <f>(IS!R63+IS!R71)/R132*4</f>
        <v>9.2647037930963724E-2</v>
      </c>
      <c r="S133" s="449">
        <f>(IS!S63+IS!S71)/S132*4</f>
        <v>9.6290685921032931E-2</v>
      </c>
      <c r="T133" s="449">
        <f>(IS!T63+IS!T71)/T132*4</f>
        <v>9.5390832870620598E-2</v>
      </c>
      <c r="U133" s="450">
        <f>(IS!U63+IS!U71)/AVERAGE(Q132:T132)</f>
        <v>9.1173090594382972E-2</v>
      </c>
      <c r="V133" s="449">
        <f>(IS!V63+IS!V71)/V132*4</f>
        <v>8.1030591466634078E-2</v>
      </c>
      <c r="W133" s="449">
        <f>(IS!W63+IS!W71)/W132*4</f>
        <v>8.4073397830082497E-2</v>
      </c>
      <c r="X133" s="449">
        <f>(IS!X63+IS!X71)/X132*4</f>
        <v>8.9312920816897332E-2</v>
      </c>
      <c r="Y133" s="449">
        <f>(IS!Y63+IS!Y71)/Y132*4</f>
        <v>8.2574038302477962E-2</v>
      </c>
      <c r="Z133" s="450">
        <f>(IS!Z63+IS!Z71)/AVERAGE(V132:Y132)</f>
        <v>8.4254156000341376E-2</v>
      </c>
      <c r="AA133" s="449">
        <f>(IS!AA63+IS!AA71)/AA132*4</f>
        <v>5.5699174695960793E-2</v>
      </c>
      <c r="AB133" s="449">
        <f>(IS!AB63+IS!AB71)/AB132*4</f>
        <v>8.3849258846878244E-2</v>
      </c>
      <c r="AC133" s="449">
        <f>(IS!AC63+IS!AC71)/AC132*4</f>
        <v>6.4231455678824101E-2</v>
      </c>
      <c r="AD133" s="449">
        <f>(IS!AD63+IS!AD71)/AD132*4</f>
        <v>5.0290193313756539E-2</v>
      </c>
      <c r="AE133" s="450">
        <f>(IS!AE63+IS!AE71)/AVERAGE(AA132:AD132)</f>
        <v>6.352828952101286E-2</v>
      </c>
      <c r="AF133" s="449">
        <f>(IS!AF63+IS!AF71)/AF132*4</f>
        <v>4.2471931996406267E-2</v>
      </c>
      <c r="AG133" s="449">
        <f>(IS!AG63+IS!AG71)/AG132*4</f>
        <v>2.53320693508799E-2</v>
      </c>
      <c r="AH133" s="449">
        <f>(IS!AH63+IS!AH71)/AH132*4</f>
        <v>2.8654884306967478E-2</v>
      </c>
      <c r="AI133" s="449">
        <f>(IS!AI63+IS!AI71)/AI132*4</f>
        <v>2.19966069955802E-2</v>
      </c>
      <c r="AJ133" s="450">
        <f>(IS!AJ63+IS!AJ71)/AVERAGE(AF132:AI132)</f>
        <v>2.9689561362409446E-2</v>
      </c>
      <c r="AK133" s="449">
        <f>(IS!AK63+IS!AK71)/AK132*4</f>
        <v>2.4750291831756196E-2</v>
      </c>
      <c r="AL133" s="449">
        <f>(IS!AL63+IS!AL71)/AL132*4</f>
        <v>-5.153016472331097E-2</v>
      </c>
      <c r="AM133" s="449">
        <f>(IS!AM63+IS!AM71)/AM132*4</f>
        <v>7.0929634098326269E-3</v>
      </c>
      <c r="AN133" s="449">
        <f>(IS!AN63+IS!AN71)/AN132*4</f>
        <v>1.9065777354578341E-2</v>
      </c>
      <c r="AO133" s="450">
        <f>(IS!AO63+IS!AO71)/AVERAGE(AK132:AN132)</f>
        <v>-1.8124909262173005E-4</v>
      </c>
      <c r="AP133" s="449">
        <f>(IS!AP63+IS!AP71)/AP132*4</f>
        <v>-1.0704777931553574E-2</v>
      </c>
      <c r="AQ133" s="449">
        <f>(IS!AQ63+IS!AQ71)/AQ132*4</f>
        <v>-4.2313136044096079E-3</v>
      </c>
      <c r="AR133" s="449">
        <f>(IS!AR63+IS!AR71)/AR132*4</f>
        <v>-3.8710065050067806E-2</v>
      </c>
      <c r="AS133" s="449">
        <f>(IS!AS63+IS!AS71)/AS132*4</f>
        <v>4.0153768597860448E-2</v>
      </c>
      <c r="AT133" s="450">
        <f>(IS!AT63+IS!AT71)/AVERAGE(AP132:AS132)</f>
        <v>-4.136093107130397E-3</v>
      </c>
      <c r="AU133" s="449">
        <f>(IS!AU63+IS!AU71)/AU132*4</f>
        <v>4.353503625938019E-2</v>
      </c>
      <c r="AV133" s="449">
        <f>(IS!AV63+IS!AV71)/AV132*4</f>
        <v>4.807318076445409E-2</v>
      </c>
      <c r="AW133" s="449">
        <f>(IS!AW63+IS!AW71)/AW132*4</f>
        <v>4.8417956019654818E-2</v>
      </c>
      <c r="AX133" s="449">
        <f>(IS!AX63+IS!AX71)/AX132*4</f>
        <v>0.10727610323778154</v>
      </c>
      <c r="AY133" s="450">
        <f>(IS!AY63+IS!AY71)/AVERAGE(AU132:AX132)</f>
        <v>6.1864843906301169E-2</v>
      </c>
      <c r="AZ133" s="449">
        <f>(IS!AZ63+IS!AZ71)/AZ132*4</f>
        <v>2.353391113586753E-2</v>
      </c>
      <c r="BA133" s="449">
        <f>(IS!BA63+IS!BA71)/BA132*4</f>
        <v>3.9393374877577582E-2</v>
      </c>
      <c r="BB133" s="449">
        <f>(IS!BB63+IS!BB71)/BB132*4</f>
        <v>8.4188457472723036E-2</v>
      </c>
      <c r="BC133" s="449">
        <f>(IS!BC63+IS!BC71)/BC132*4</f>
        <v>8.6178983322052025E-2</v>
      </c>
      <c r="BD133" s="450">
        <f>(IS!BD63+IS!BD71)/AVERAGE(AZ132:BC132)</f>
        <v>5.9655726697820162E-2</v>
      </c>
      <c r="BE133" s="449">
        <f>(IS!BE63+IS!BE71)/BE132*4</f>
        <v>5.7706929262660252E-2</v>
      </c>
      <c r="BF133" s="449">
        <f>(IS!BF63+IS!BF71)/BF132*4</f>
        <v>8.9232081118429146E-2</v>
      </c>
      <c r="BG133" s="449">
        <f>(IS!BG63+IS!BG71)/BG132*4</f>
        <v>7.5656765629420808E-2</v>
      </c>
      <c r="BH133" s="449">
        <f>(IS!BH63+IS!BH71)/BH132*4</f>
        <v>7.1461108500379095E-2</v>
      </c>
      <c r="BI133" s="450">
        <f>(IS!BI63+IS!BI71)/AVERAGE(BE132:BH132)</f>
        <v>7.3855690182200173E-2</v>
      </c>
      <c r="BJ133" s="449">
        <f>(IS!BJ63+IS!BJ71)/BJ132*4</f>
        <v>4.3601714216656907E-2</v>
      </c>
      <c r="BK133" s="449">
        <f>(IS!BK63+IS!BK71)/BK132*4</f>
        <v>4.1688490865040645E-2</v>
      </c>
      <c r="BL133" s="449">
        <f>(IS!BL63+IS!BL71)/BL132*4</f>
        <v>9.3949461583578545E-2</v>
      </c>
      <c r="BM133" s="449">
        <f>(IS!BM63+IS!BM71)/BM132*4</f>
        <v>4.8618637238147494E-2</v>
      </c>
      <c r="BN133" s="450">
        <f>(IS!BN63+IS!BN71)/AVERAGE(BJ132:BM132)</f>
        <v>5.6889660469423294E-2</v>
      </c>
      <c r="BO133" s="449">
        <f>(IS!BO63+IS!BO71)/BO132*4</f>
        <v>3.8540689275522927E-2</v>
      </c>
      <c r="BP133" s="449">
        <f>(IS!BP63+IS!BP71)/BP132*4</f>
        <v>8.3149169191679723E-2</v>
      </c>
      <c r="BQ133" s="449">
        <f>(IS!BQ63+IS!BQ71)/BQ132*4</f>
        <v>6.3888296112754331E-2</v>
      </c>
      <c r="BR133" s="449">
        <f>(IS!BR63+IS!BR71)/BR132*4</f>
        <v>5.9858921014771707E-2</v>
      </c>
      <c r="BS133" s="450">
        <f>(IS!BS63+IS!BS71)/AVERAGE(BO132:BR132)</f>
        <v>6.1584331660181478E-2</v>
      </c>
      <c r="BT133" s="449">
        <f>(IS!BT63+IS!BT71)/BT132*4</f>
        <v>6.7254283865424438E-2</v>
      </c>
      <c r="BU133" s="449">
        <f>(IS!BU63+IS!BU71)/BU132*4</f>
        <v>9.6525491997435889E-2</v>
      </c>
      <c r="BV133" s="449">
        <f>(IS!BV63+IS!BV71)/BV132*4</f>
        <v>8.0449390604476229E-2</v>
      </c>
      <c r="BW133" s="449">
        <f>(IS!BW63+IS!BW71)/BW132*4</f>
        <v>0.13725999049399459</v>
      </c>
      <c r="BX133" s="450">
        <f>(IS!BX63+IS!BX71)/AVERAGE(BT132:BW132)</f>
        <v>9.6686237929498681E-2</v>
      </c>
      <c r="BY133" s="449">
        <f>(IS!BY63+IS!BY71)/BY132*4</f>
        <v>6.3554209524731189E-2</v>
      </c>
      <c r="BZ133" s="449">
        <f>(IS!BZ63+IS!BZ71)/BZ132*4</f>
        <v>7.0836491682362501E-2</v>
      </c>
      <c r="CA133" s="449">
        <f>(IS!CA63+IS!CA71)/CA132*4</f>
        <v>6.8742127552733984E-2</v>
      </c>
      <c r="CB133" s="449">
        <f>(IS!CB63+IS!CB71)/CB132*4</f>
        <v>0.11575187028435077</v>
      </c>
      <c r="CC133" s="450">
        <f>(IS!CC63+IS!CC71)/AVERAGE(BY132:CB132)</f>
        <v>8.1046979541650577E-2</v>
      </c>
      <c r="CD133" s="449">
        <f>(IS!CD63+IS!CD71)/CD132*4</f>
        <v>4.9766525504963098E-2</v>
      </c>
      <c r="CE133" s="449">
        <f>(IS!CE63+IS!CE71)/CE132*4</f>
        <v>7.7306197688183045E-2</v>
      </c>
      <c r="CF133" s="449">
        <f ca="1">(IS!CF63+IS!CF71)/CF132*4</f>
        <v>7.6920872923998157E-2</v>
      </c>
      <c r="CG133" s="449">
        <f ca="1">(IS!CG63+IS!CG71)/CG132*4</f>
        <v>8.5567384727911991E-2</v>
      </c>
      <c r="CH133" s="450">
        <f ca="1">(IS!CH63+IS!CH71)/AVERAGE(CD132:CG132)</f>
        <v>7.2821347857412705E-2</v>
      </c>
      <c r="CI133" s="449">
        <f ca="1">(IS!CI63+IS!CI71)/CI132*4</f>
        <v>8.0200050079874796E-2</v>
      </c>
      <c r="CJ133" s="449">
        <f ca="1">(IS!CJ63+IS!CJ71)/CJ132*4</f>
        <v>7.7635596532705978E-2</v>
      </c>
      <c r="CK133" s="449">
        <f ca="1">(IS!CK63+IS!CK71)/CK132*4</f>
        <v>7.5644069096725081E-2</v>
      </c>
      <c r="CL133" s="449">
        <f ca="1">(IS!CL63+IS!CL71)/CL132*4</f>
        <v>8.1762452297486618E-2</v>
      </c>
      <c r="CM133" s="450">
        <f ca="1">(IS!CM63+IS!CM71)/AVERAGE(CI132:CL132)</f>
        <v>7.8823496791832856E-2</v>
      </c>
      <c r="CN133" s="449">
        <f ca="1">(IS!CN63+IS!CN71)/CN132*4</f>
        <v>9.1449324008926372E-2</v>
      </c>
      <c r="CO133" s="449">
        <f ca="1">(IS!CO63+IS!CO71)/CO132*4</f>
        <v>8.5129855279709968E-2</v>
      </c>
      <c r="CP133" s="449">
        <f ca="1">(IS!CP63+IS!CP71)/CP132*4</f>
        <v>8.1517200146459884E-2</v>
      </c>
      <c r="CQ133" s="449">
        <f ca="1">(IS!CQ63+IS!CQ71)/CQ132*4</f>
        <v>8.6437433456266824E-2</v>
      </c>
      <c r="CR133" s="450">
        <f ca="1">(IS!CR63+IS!CR71)/AVERAGE(CN132:CQ132)</f>
        <v>8.6065797787992893E-2</v>
      </c>
      <c r="CS133" s="449">
        <f ca="1">(IS!CS63+IS!CS71)/CS132*4</f>
        <v>9.8407912298267397E-2</v>
      </c>
      <c r="CT133" s="449">
        <f ca="1">(IS!CT63+IS!CT71)/CT132*4</f>
        <v>9.1356887516137283E-2</v>
      </c>
      <c r="CU133" s="449">
        <f ca="1">(IS!CU63+IS!CU71)/CU132*4</f>
        <v>8.7039196159253041E-2</v>
      </c>
      <c r="CV133" s="449">
        <f ca="1">(IS!CV63+IS!CV71)/CV132*4</f>
        <v>9.118720382329247E-2</v>
      </c>
      <c r="CW133" s="450">
        <f ca="1">(IS!CW63+IS!CW71)/AVERAGE(CS132:CV132)</f>
        <v>9.190467975368144E-2</v>
      </c>
      <c r="CX133" s="449">
        <f ca="1">(IS!CX63+IS!CX71)/CX132*4</f>
        <v>0.10516614057147886</v>
      </c>
      <c r="CY133" s="449">
        <f ca="1">(IS!CY63+IS!CY71)/CY132*4</f>
        <v>9.7075152866656952E-2</v>
      </c>
      <c r="CZ133" s="449">
        <f ca="1">(IS!CZ63+IS!CZ71)/CZ132*4</f>
        <v>9.2031724728918726E-2</v>
      </c>
      <c r="DA133" s="449">
        <f ca="1">(IS!DA63+IS!DA71)/DA132*4</f>
        <v>9.5428184320907078E-2</v>
      </c>
      <c r="DB133" s="450">
        <f ca="1">(IS!DB63+IS!DB71)/AVERAGE(CX132:DA132)</f>
        <v>9.7295979842608599E-2</v>
      </c>
    </row>
    <row r="134" spans="1:106" ht="11.5" customHeight="1" x14ac:dyDescent="0.35">
      <c r="A134" s="19" t="s">
        <v>258</v>
      </c>
      <c r="B134" s="97">
        <f t="shared" ref="B134:AG134" si="315">B43</f>
        <v>4030946</v>
      </c>
      <c r="C134" s="97">
        <f t="shared" si="315"/>
        <v>4201735</v>
      </c>
      <c r="D134" s="97">
        <f t="shared" si="315"/>
        <v>4380731</v>
      </c>
      <c r="E134" s="97">
        <f t="shared" si="315"/>
        <v>4326480</v>
      </c>
      <c r="F134" s="98">
        <f t="shared" si="315"/>
        <v>4326480</v>
      </c>
      <c r="G134" s="97">
        <f t="shared" si="315"/>
        <v>4395026</v>
      </c>
      <c r="H134" s="97">
        <f t="shared" si="315"/>
        <v>4482831</v>
      </c>
      <c r="I134" s="97">
        <f t="shared" si="315"/>
        <v>4504168</v>
      </c>
      <c r="J134" s="97">
        <f t="shared" si="315"/>
        <v>4544719</v>
      </c>
      <c r="K134" s="98">
        <f t="shared" si="315"/>
        <v>4544719</v>
      </c>
      <c r="L134" s="97">
        <f t="shared" si="315"/>
        <v>4669478</v>
      </c>
      <c r="M134" s="97">
        <f t="shared" si="315"/>
        <v>4826557</v>
      </c>
      <c r="N134" s="97">
        <f t="shared" si="315"/>
        <v>4983144</v>
      </c>
      <c r="O134" s="97">
        <f t="shared" si="315"/>
        <v>5062249</v>
      </c>
      <c r="P134" s="98">
        <f t="shared" si="315"/>
        <v>5062249</v>
      </c>
      <c r="Q134" s="97">
        <f t="shared" si="315"/>
        <v>5246475</v>
      </c>
      <c r="R134" s="97">
        <f t="shared" si="315"/>
        <v>5376670</v>
      </c>
      <c r="S134" s="97">
        <f t="shared" si="315"/>
        <v>5554561</v>
      </c>
      <c r="T134" s="97">
        <f t="shared" si="315"/>
        <v>5461622</v>
      </c>
      <c r="U134" s="98">
        <f t="shared" si="315"/>
        <v>5461622</v>
      </c>
      <c r="V134" s="97">
        <f t="shared" si="315"/>
        <v>5580385</v>
      </c>
      <c r="W134" s="97">
        <f t="shared" si="315"/>
        <v>5651694</v>
      </c>
      <c r="X134" s="97">
        <f t="shared" si="315"/>
        <v>5753468</v>
      </c>
      <c r="Y134" s="97">
        <f t="shared" si="315"/>
        <v>5659091</v>
      </c>
      <c r="Z134" s="98">
        <f t="shared" si="315"/>
        <v>5659091</v>
      </c>
      <c r="AA134" s="97">
        <f t="shared" si="315"/>
        <v>5698877</v>
      </c>
      <c r="AB134" s="97">
        <f t="shared" si="315"/>
        <v>5576378</v>
      </c>
      <c r="AC134" s="97">
        <f t="shared" si="315"/>
        <v>5927716</v>
      </c>
      <c r="AD134" s="97">
        <f t="shared" si="315"/>
        <v>5887043</v>
      </c>
      <c r="AE134" s="98">
        <f t="shared" si="315"/>
        <v>5887043</v>
      </c>
      <c r="AF134" s="97">
        <f t="shared" si="315"/>
        <v>5952499</v>
      </c>
      <c r="AG134" s="97">
        <f t="shared" si="315"/>
        <v>6000892</v>
      </c>
      <c r="AH134" s="97">
        <f t="shared" ref="AH134:BM134" si="316">AH43</f>
        <v>6016677</v>
      </c>
      <c r="AI134" s="97">
        <f t="shared" si="316"/>
        <v>6013556</v>
      </c>
      <c r="AJ134" s="98">
        <f t="shared" si="316"/>
        <v>6013556</v>
      </c>
      <c r="AK134" s="97">
        <f t="shared" si="316"/>
        <v>6019290</v>
      </c>
      <c r="AL134" s="97">
        <f t="shared" si="316"/>
        <v>5879869</v>
      </c>
      <c r="AM134" s="97">
        <f t="shared" si="316"/>
        <v>5874383</v>
      </c>
      <c r="AN134" s="97">
        <f t="shared" si="316"/>
        <v>5924591</v>
      </c>
      <c r="AO134" s="98">
        <f t="shared" si="316"/>
        <v>5924591</v>
      </c>
      <c r="AP134" s="97">
        <f t="shared" si="316"/>
        <v>5678489</v>
      </c>
      <c r="AQ134" s="97">
        <f t="shared" si="316"/>
        <v>5443279</v>
      </c>
      <c r="AR134" s="97">
        <f t="shared" si="316"/>
        <v>5321921</v>
      </c>
      <c r="AS134" s="97">
        <f t="shared" si="316"/>
        <v>5148548</v>
      </c>
      <c r="AT134" s="98">
        <f t="shared" si="316"/>
        <v>5148548</v>
      </c>
      <c r="AU134" s="97">
        <f t="shared" si="316"/>
        <v>5194536</v>
      </c>
      <c r="AV134" s="97">
        <f t="shared" si="316"/>
        <v>5145533</v>
      </c>
      <c r="AW134" s="97">
        <f t="shared" si="316"/>
        <v>5112185</v>
      </c>
      <c r="AX134" s="97">
        <f t="shared" si="316"/>
        <v>4762376</v>
      </c>
      <c r="AY134" s="98">
        <f t="shared" si="316"/>
        <v>4762376</v>
      </c>
      <c r="AZ134" s="97">
        <f t="shared" si="316"/>
        <v>4790397</v>
      </c>
      <c r="BA134" s="97">
        <f t="shared" si="316"/>
        <v>4857675</v>
      </c>
      <c r="BB134" s="97">
        <f t="shared" si="316"/>
        <v>6261196</v>
      </c>
      <c r="BC134" s="97">
        <f t="shared" si="316"/>
        <v>5504733</v>
      </c>
      <c r="BD134" s="98">
        <f t="shared" si="316"/>
        <v>5504733</v>
      </c>
      <c r="BE134" s="97">
        <f t="shared" si="316"/>
        <v>5696173</v>
      </c>
      <c r="BF134" s="97">
        <f t="shared" si="316"/>
        <v>5962214</v>
      </c>
      <c r="BG134" s="97">
        <f t="shared" si="316"/>
        <v>6198685</v>
      </c>
      <c r="BH134" s="97">
        <f t="shared" si="316"/>
        <v>6198052</v>
      </c>
      <c r="BI134" s="98">
        <f t="shared" si="316"/>
        <v>6198052</v>
      </c>
      <c r="BJ134" s="97">
        <f t="shared" si="316"/>
        <v>6357095</v>
      </c>
      <c r="BK134" s="97">
        <f t="shared" si="316"/>
        <v>6484399</v>
      </c>
      <c r="BL134" s="97">
        <f t="shared" si="316"/>
        <v>6131611</v>
      </c>
      <c r="BM134" s="97">
        <f t="shared" si="316"/>
        <v>7121744</v>
      </c>
      <c r="BN134" s="98">
        <f t="shared" ref="BN134:CS134" si="317">BN43</f>
        <v>7121744</v>
      </c>
      <c r="BO134" s="97">
        <f t="shared" si="317"/>
        <v>7222283</v>
      </c>
      <c r="BP134" s="97">
        <f t="shared" si="317"/>
        <v>7519980</v>
      </c>
      <c r="BQ134" s="97">
        <f t="shared" si="317"/>
        <v>7782356</v>
      </c>
      <c r="BR134" s="97">
        <f t="shared" si="317"/>
        <v>7690341</v>
      </c>
      <c r="BS134" s="98">
        <f t="shared" si="317"/>
        <v>7690341</v>
      </c>
      <c r="BT134" s="97">
        <f t="shared" si="317"/>
        <v>7718495</v>
      </c>
      <c r="BU134" s="97">
        <f t="shared" si="317"/>
        <v>8498776</v>
      </c>
      <c r="BV134" s="97">
        <f t="shared" si="317"/>
        <v>8944691</v>
      </c>
      <c r="BW134" s="97">
        <f t="shared" si="317"/>
        <v>8894662</v>
      </c>
      <c r="BX134" s="98">
        <f t="shared" si="317"/>
        <v>8894662</v>
      </c>
      <c r="BY134" s="97">
        <f t="shared" si="317"/>
        <v>9022596</v>
      </c>
      <c r="BZ134" s="97">
        <f>BZ43</f>
        <v>9786076</v>
      </c>
      <c r="CA134" s="97">
        <f>CA43</f>
        <v>10433784</v>
      </c>
      <c r="CB134" s="97">
        <f t="shared" ref="CB134" si="318">CB43</f>
        <v>10227310</v>
      </c>
      <c r="CC134" s="98">
        <f t="shared" si="317"/>
        <v>10227310</v>
      </c>
      <c r="CD134" s="97">
        <f t="shared" ref="CD134" si="319">CD43</f>
        <v>10621011</v>
      </c>
      <c r="CE134" s="97">
        <f>CE43</f>
        <v>11168036</v>
      </c>
      <c r="CF134" s="97">
        <f t="shared" ca="1" si="317"/>
        <v>11694625.594370537</v>
      </c>
      <c r="CG134" s="97">
        <f t="shared" ca="1" si="317"/>
        <v>12306546.17306352</v>
      </c>
      <c r="CH134" s="98">
        <f t="shared" ca="1" si="317"/>
        <v>12306546.17306352</v>
      </c>
      <c r="CI134" s="97">
        <f t="shared" ca="1" si="317"/>
        <v>11961286.551040493</v>
      </c>
      <c r="CJ134" s="97">
        <f t="shared" ca="1" si="317"/>
        <v>12511275.978608236</v>
      </c>
      <c r="CK134" s="97">
        <f t="shared" ca="1" si="317"/>
        <v>13082225.245518699</v>
      </c>
      <c r="CL134" s="97">
        <f t="shared" ca="1" si="317"/>
        <v>13724766.22244646</v>
      </c>
      <c r="CM134" s="98">
        <f t="shared" ca="1" si="317"/>
        <v>13724766.22244646</v>
      </c>
      <c r="CN134" s="97">
        <f t="shared" ca="1" si="317"/>
        <v>12523292.626105195</v>
      </c>
      <c r="CO134" s="97">
        <f t="shared" ca="1" si="317"/>
        <v>13144050.454047259</v>
      </c>
      <c r="CP134" s="97">
        <f t="shared" ca="1" si="317"/>
        <v>13765688.307990558</v>
      </c>
      <c r="CQ134" s="97">
        <f t="shared" ca="1" si="317"/>
        <v>14456789.208225617</v>
      </c>
      <c r="CR134" s="98">
        <f t="shared" ca="1" si="317"/>
        <v>14456789.208225617</v>
      </c>
      <c r="CS134" s="97">
        <f t="shared" ca="1" si="317"/>
        <v>13099837.381189875</v>
      </c>
      <c r="CT134" s="97">
        <f t="shared" ref="CT134:DB134" ca="1" si="320">CT43</f>
        <v>13769260.486596094</v>
      </c>
      <c r="CU134" s="97">
        <f t="shared" ca="1" si="320"/>
        <v>14442006.869901903</v>
      </c>
      <c r="CV134" s="97">
        <f t="shared" ca="1" si="320"/>
        <v>15182174.728329677</v>
      </c>
      <c r="CW134" s="98">
        <f t="shared" ca="1" si="320"/>
        <v>15182174.728329677</v>
      </c>
      <c r="CX134" s="97">
        <f t="shared" ca="1" si="320"/>
        <v>13740518.066286137</v>
      </c>
      <c r="CY134" s="97">
        <f t="shared" ca="1" si="320"/>
        <v>14474442.825316418</v>
      </c>
      <c r="CZ134" s="97">
        <f t="shared" ca="1" si="320"/>
        <v>15215351.639656847</v>
      </c>
      <c r="DA134" s="97">
        <f t="shared" ca="1" si="320"/>
        <v>16031778.093784764</v>
      </c>
      <c r="DB134" s="98">
        <f t="shared" ca="1" si="320"/>
        <v>16031778.093784764</v>
      </c>
    </row>
    <row r="135" spans="1:106" ht="11.5" customHeight="1" x14ac:dyDescent="0.35">
      <c r="A135" s="19" t="s">
        <v>301</v>
      </c>
      <c r="B135" s="451">
        <f>B134/IS!B48</f>
        <v>9.5429366881233708</v>
      </c>
      <c r="C135" s="451">
        <f>C134/IS!C48</f>
        <v>9.9352617052922074</v>
      </c>
      <c r="D135" s="451">
        <f>D134/IS!D48</f>
        <v>10.357709294847545</v>
      </c>
      <c r="E135" s="451">
        <f>E134/IS!E48</f>
        <v>10.227991120091055</v>
      </c>
      <c r="F135" s="452">
        <f>F134/IS!F48</f>
        <v>10.227991120091055</v>
      </c>
      <c r="G135" s="451">
        <f>G134/IS!G48</f>
        <v>10.390036912355843</v>
      </c>
      <c r="H135" s="451">
        <f>H134/IS!H48</f>
        <v>10.597611837075153</v>
      </c>
      <c r="I135" s="451">
        <f>I134/IS!I48</f>
        <v>10.893397289217765</v>
      </c>
      <c r="J135" s="451">
        <f>J134/IS!J48</f>
        <v>11.066652991057955</v>
      </c>
      <c r="K135" s="452">
        <f>K134/IS!K48</f>
        <v>11.066652991057955</v>
      </c>
      <c r="L135" s="451">
        <f>L134/IS!L48</f>
        <v>11.370448354536181</v>
      </c>
      <c r="M135" s="451">
        <f>M134/IS!M48</f>
        <v>11.737564626975287</v>
      </c>
      <c r="N135" s="451">
        <f>N134/IS!N48</f>
        <v>12.118364031653234</v>
      </c>
      <c r="O135" s="451">
        <f>O134/IS!O48</f>
        <v>12.283821920035331</v>
      </c>
      <c r="P135" s="452">
        <f>P134/IS!P48</f>
        <v>12.283821920035331</v>
      </c>
      <c r="Q135" s="451">
        <f>Q134/IS!Q48</f>
        <v>12.730516502555094</v>
      </c>
      <c r="R135" s="451">
        <f>R134/IS!R48</f>
        <v>12.974088838268793</v>
      </c>
      <c r="S135" s="451">
        <f>S134/IS!S48</f>
        <v>13.402084665403963</v>
      </c>
      <c r="T135" s="451">
        <f>T134/IS!T48</f>
        <v>13.410639488443227</v>
      </c>
      <c r="U135" s="452">
        <f>U134/IS!U48</f>
        <v>13.410639488443227</v>
      </c>
      <c r="V135" s="451">
        <f>V134/IS!V48</f>
        <v>13.822003210050232</v>
      </c>
      <c r="W135" s="451">
        <f>W134/IS!W48</f>
        <v>14.343636506683653</v>
      </c>
      <c r="X135" s="451">
        <f>X134/IS!X48</f>
        <v>14.832539733690819</v>
      </c>
      <c r="Y135" s="451">
        <f>Y134/IS!Y48</f>
        <v>14.778163975181231</v>
      </c>
      <c r="Z135" s="452">
        <f>Z134/IS!Z48</f>
        <v>14.778163975181231</v>
      </c>
      <c r="AA135" s="451">
        <f>AA134/IS!AA48</f>
        <v>15.053415817654004</v>
      </c>
      <c r="AB135" s="451">
        <f>AB134/IS!AB48</f>
        <v>14.725287435237949</v>
      </c>
      <c r="AC135" s="451">
        <f>AC134/IS!AC48</f>
        <v>15.648876041130427</v>
      </c>
      <c r="AD135" s="451">
        <f>AD134/IS!AD48</f>
        <v>15.52978419252514</v>
      </c>
      <c r="AE135" s="452">
        <f>AE134/IS!AE48</f>
        <v>15.52978419252514</v>
      </c>
      <c r="AF135" s="451">
        <f>AF134/IS!AF48</f>
        <v>15.625243467715261</v>
      </c>
      <c r="AG135" s="451">
        <f>AG134/IS!AG48</f>
        <v>15.743017697768497</v>
      </c>
      <c r="AH135" s="451">
        <f>AH134/IS!AH48</f>
        <v>15.766312209131693</v>
      </c>
      <c r="AI135" s="451">
        <f>AI134/IS!AI48</f>
        <v>15.736155269279784</v>
      </c>
      <c r="AJ135" s="452">
        <f>AJ134/IS!AJ48</f>
        <v>15.736155269279784</v>
      </c>
      <c r="AK135" s="451">
        <f>AK134/IS!AK48</f>
        <v>15.75115988789713</v>
      </c>
      <c r="AL135" s="451">
        <f>AL134/IS!AL48</f>
        <v>15.369755411555282</v>
      </c>
      <c r="AM135" s="451">
        <f>AM134/IS!AM48</f>
        <v>15.351482651655912</v>
      </c>
      <c r="AN135" s="451">
        <f>AN134/IS!AN48</f>
        <v>15.48070852974069</v>
      </c>
      <c r="AO135" s="452">
        <f>AO134/IS!AO48</f>
        <v>15.48070852974069</v>
      </c>
      <c r="AP135" s="451">
        <f>AP134/IS!AP48</f>
        <v>14.83033034993745</v>
      </c>
      <c r="AQ135" s="451">
        <f>AQ134/IS!AQ48</f>
        <v>14.169412505824441</v>
      </c>
      <c r="AR135" s="451">
        <f>AR134/IS!AR48</f>
        <v>13.853505207506306</v>
      </c>
      <c r="AS135" s="451">
        <f>AS134/IS!AS48</f>
        <v>13.399686124680855</v>
      </c>
      <c r="AT135" s="452">
        <f>AT134/IS!AT48</f>
        <v>13.399686124680855</v>
      </c>
      <c r="AU135" s="451">
        <f>AU134/IS!AU48</f>
        <v>13.51476740555729</v>
      </c>
      <c r="AV135" s="451">
        <f>AV134/IS!AV48</f>
        <v>13.385429212851802</v>
      </c>
      <c r="AW135" s="451">
        <f>AW134/IS!AW48</f>
        <v>13.298194455644374</v>
      </c>
      <c r="AX135" s="451">
        <f>AX134/IS!AX48</f>
        <v>12.388245362578591</v>
      </c>
      <c r="AY135" s="452">
        <f>AY134/IS!AY48</f>
        <v>12.388245362578591</v>
      </c>
      <c r="AZ135" s="451">
        <f>AZ134/IS!AZ48</f>
        <v>12.461135664248349</v>
      </c>
      <c r="BA135" s="451">
        <f>BA134/IS!BA48</f>
        <v>12.63614418342104</v>
      </c>
      <c r="BB135" s="451">
        <f>BB134/IS!BB48</f>
        <v>16.283825395834633</v>
      </c>
      <c r="BC135" s="451">
        <f>BC134/IS!BC48</f>
        <v>14.316451844454154</v>
      </c>
      <c r="BD135" s="452">
        <f>BD134/IS!BD48</f>
        <v>14.316451844454154</v>
      </c>
      <c r="BE135" s="451">
        <f>BE134/IS!BE48</f>
        <v>14.81434003287352</v>
      </c>
      <c r="BF135" s="451">
        <f>BF134/IS!BF48</f>
        <v>15.506247009133846</v>
      </c>
      <c r="BG135" s="451">
        <f>BG134/IS!BG48</f>
        <v>16.121249713917152</v>
      </c>
      <c r="BH135" s="451">
        <f>BH134/IS!BH48</f>
        <v>16.119603437155401</v>
      </c>
      <c r="BI135" s="452">
        <f>BI134/IS!BI48</f>
        <v>16.119603437155401</v>
      </c>
      <c r="BJ135" s="451">
        <f>BJ134/IS!BJ48</f>
        <v>16.533235024863199</v>
      </c>
      <c r="BK135" s="451">
        <f>BK134/IS!BK48</f>
        <v>16.938285117220662</v>
      </c>
      <c r="BL135" s="451">
        <f>BL134/IS!BL48</f>
        <v>16.179631159112439</v>
      </c>
      <c r="BM135" s="451">
        <f>BM134/IS!BM48</f>
        <v>18.954368950126554</v>
      </c>
      <c r="BN135" s="452">
        <f>BN134/IS!BN48</f>
        <v>18.954368950126554</v>
      </c>
      <c r="BO135" s="451">
        <f>BO134/IS!BO48</f>
        <v>19.263479506349338</v>
      </c>
      <c r="BP135" s="451">
        <f>BP134/IS!BP48</f>
        <v>20.057505447814339</v>
      </c>
      <c r="BQ135" s="451">
        <f>BQ134/IS!BQ48</f>
        <v>20.757322209212074</v>
      </c>
      <c r="BR135" s="451">
        <f>BR134/IS!BR48</f>
        <v>20.511897173004446</v>
      </c>
      <c r="BS135" s="452">
        <f>BS134/IS!BS48</f>
        <v>20.511897173004446</v>
      </c>
      <c r="BT135" s="451">
        <f>BT134/IS!BT48</f>
        <v>20.586990325962002</v>
      </c>
      <c r="BU135" s="451">
        <f>BU134/IS!BU48</f>
        <v>22.668178096185596</v>
      </c>
      <c r="BV135" s="451">
        <f>BV134/IS!BV48</f>
        <v>23.857535320774243</v>
      </c>
      <c r="BW135" s="451">
        <f>BW134/IS!BW48</f>
        <v>19.545485908916113</v>
      </c>
      <c r="BX135" s="452">
        <f>BX134/IS!BX48</f>
        <v>19.545485908916113</v>
      </c>
      <c r="BY135" s="451">
        <f>BY134/IS!BY48</f>
        <v>20.547415118273058</v>
      </c>
      <c r="BZ135" s="451">
        <f>BZ134/IS!BZ48</f>
        <v>22.286109890209993</v>
      </c>
      <c r="CA135" s="451">
        <f>CA134/IS!CA48</f>
        <v>23.761153785717053</v>
      </c>
      <c r="CB135" s="451">
        <f>CB134/IS!CB48</f>
        <v>23.290944658639845</v>
      </c>
      <c r="CC135" s="452">
        <f>CC134/IS!CC48</f>
        <v>23.290944658639845</v>
      </c>
      <c r="CD135" s="451">
        <f>CD134/IS!CD48</f>
        <v>24.373701397797397</v>
      </c>
      <c r="CE135" s="451">
        <f>CE134/IS!CE48</f>
        <v>25.629019079306619</v>
      </c>
      <c r="CF135" s="451">
        <f ca="1">CF134/IS!CF48</f>
        <v>26.837465646016003</v>
      </c>
      <c r="CG135" s="451">
        <f ca="1">CG134/IS!CG48</f>
        <v>28.241734416849372</v>
      </c>
      <c r="CH135" s="452">
        <f ca="1">CH134/IS!CH48</f>
        <v>28.241734416849372</v>
      </c>
      <c r="CI135" s="451">
        <f ca="1">CI134/IS!CI48</f>
        <v>27.449413776036401</v>
      </c>
      <c r="CJ135" s="451">
        <f ca="1">CJ134/IS!CJ48</f>
        <v>28.711559558208897</v>
      </c>
      <c r="CK135" s="451">
        <f ca="1">CK134/IS!CK48</f>
        <v>30.021805124659828</v>
      </c>
      <c r="CL135" s="451">
        <f ca="1">CL134/IS!CL48</f>
        <v>31.496343258036003</v>
      </c>
      <c r="CM135" s="452">
        <f ca="1">CM134/IS!CM48</f>
        <v>31.496343258036003</v>
      </c>
      <c r="CN135" s="451">
        <f ca="1">CN134/IS!CN48</f>
        <v>28.739136017307782</v>
      </c>
      <c r="CO135" s="451">
        <f ca="1">CO134/IS!CO48</f>
        <v>30.163684990462603</v>
      </c>
      <c r="CP135" s="451">
        <f ca="1">CP134/IS!CP48</f>
        <v>31.590253495357469</v>
      </c>
      <c r="CQ135" s="451">
        <f ca="1">CQ134/IS!CQ48</f>
        <v>33.176229593379567</v>
      </c>
      <c r="CR135" s="452">
        <f ca="1">CR134/IS!CR48</f>
        <v>33.176229593379567</v>
      </c>
      <c r="CS135" s="451">
        <f ca="1">CS134/IS!CS48</f>
        <v>30.062222415680729</v>
      </c>
      <c r="CT135" s="451">
        <f ca="1">CT134/IS!CT48</f>
        <v>31.598451125955723</v>
      </c>
      <c r="CU135" s="451">
        <f ca="1">CU134/IS!CU48</f>
        <v>33.14230627589248</v>
      </c>
      <c r="CV135" s="451">
        <f ca="1">CV134/IS!CV48</f>
        <v>34.840883909912904</v>
      </c>
      <c r="CW135" s="452">
        <f ca="1">CW134/IS!CW48</f>
        <v>34.840883909912904</v>
      </c>
      <c r="CX135" s="451">
        <f ca="1">CX134/IS!CX48</f>
        <v>31.53249144974145</v>
      </c>
      <c r="CY135" s="451">
        <f ca="1">CY134/IS!CY48</f>
        <v>33.216742078228194</v>
      </c>
      <c r="CZ135" s="451">
        <f ca="1">CZ134/IS!CZ48</f>
        <v>34.917020098352531</v>
      </c>
      <c r="DA135" s="451">
        <f ca="1">DA134/IS!DA48</f>
        <v>36.790600123497057</v>
      </c>
      <c r="DB135" s="452">
        <f ca="1">DB134/IS!DB48</f>
        <v>36.790600123497057</v>
      </c>
    </row>
    <row r="136" spans="1:106" ht="11.5" customHeight="1" x14ac:dyDescent="0.35">
      <c r="A136" s="19" t="s">
        <v>16</v>
      </c>
      <c r="B136" s="451"/>
      <c r="C136" s="451">
        <f>IS!C52</f>
        <v>0.40538387682103155</v>
      </c>
      <c r="D136" s="451">
        <f>IS!D52</f>
        <v>0.42813939455624844</v>
      </c>
      <c r="E136" s="451">
        <f>IS!E52</f>
        <v>0.1951089452866025</v>
      </c>
      <c r="F136" s="452">
        <f>IS!F52</f>
        <v>1.4525570562944994</v>
      </c>
      <c r="G136" s="451">
        <f>IS!G52</f>
        <v>0.17536718285522515</v>
      </c>
      <c r="H136" s="451">
        <f>IS!H52</f>
        <v>0.25738061362069709</v>
      </c>
      <c r="I136" s="451">
        <f>IS!I52</f>
        <v>0.35088194388075677</v>
      </c>
      <c r="J136" s="451">
        <f>IS!J52</f>
        <v>0.49647587767146362</v>
      </c>
      <c r="K136" s="452">
        <f>IS!K52</f>
        <v>1.2798615327442533</v>
      </c>
      <c r="L136" s="451">
        <f>IS!L52</f>
        <v>0.3309389516497549</v>
      </c>
      <c r="M136" s="451">
        <f>IS!M52</f>
        <v>0.34736472896358123</v>
      </c>
      <c r="N136" s="451">
        <f>IS!N52</f>
        <v>0.36574125863922219</v>
      </c>
      <c r="O136" s="451">
        <f>IS!O52</f>
        <v>0.60512101715872335</v>
      </c>
      <c r="P136" s="452">
        <f>IS!P52</f>
        <v>1.6488047780069619</v>
      </c>
      <c r="Q136" s="451">
        <f>IS!Q52</f>
        <v>0.41961600291182627</v>
      </c>
      <c r="R136" s="451">
        <f>IS!R52</f>
        <v>0.45679185611239226</v>
      </c>
      <c r="S136" s="451">
        <f>IS!S52</f>
        <v>0.42130560726578681</v>
      </c>
      <c r="T136" s="451">
        <f>IS!T52</f>
        <v>0.44424628445248621</v>
      </c>
      <c r="U136" s="452">
        <f>IS!U52</f>
        <v>1.7444738959615071</v>
      </c>
      <c r="V136" s="451">
        <f>IS!V52</f>
        <v>0.40309380469263845</v>
      </c>
      <c r="W136" s="451">
        <f>IS!W52</f>
        <v>0.42342429298291578</v>
      </c>
      <c r="X136" s="451">
        <f>IS!X52</f>
        <v>0.45817965101110603</v>
      </c>
      <c r="Y136" s="451">
        <f>IS!Y52</f>
        <v>0.38925004313526573</v>
      </c>
      <c r="Z136" s="452">
        <f>IS!Z52</f>
        <v>1.6868691762761829</v>
      </c>
      <c r="AA136" s="451">
        <f>IS!AA52</f>
        <v>0.26405589924269185</v>
      </c>
      <c r="AB136" s="451">
        <f>IS!AB52</f>
        <v>0.31166121507359978</v>
      </c>
      <c r="AC136" s="451">
        <f>IS!AC52</f>
        <v>0.34649216028219554</v>
      </c>
      <c r="AD136" s="451">
        <f>IS!AD52</f>
        <v>0.25867299135118577</v>
      </c>
      <c r="AE136" s="452">
        <f>IS!AE52</f>
        <v>1.1821956797732045</v>
      </c>
      <c r="AF136" s="451">
        <f>IS!AF52</f>
        <v>0.16123472262222036</v>
      </c>
      <c r="AG136" s="451">
        <f>IS!AG52</f>
        <v>0.11731038717702445</v>
      </c>
      <c r="AH136" s="451">
        <f>IS!AH52</f>
        <v>3.7871299459618195E-2</v>
      </c>
      <c r="AI136" s="451">
        <f>IS!AI52</f>
        <v>8.1001355128868177E-2</v>
      </c>
      <c r="AJ136" s="452">
        <f>IS!AJ52</f>
        <v>0.39675548218523271</v>
      </c>
      <c r="AK136" s="451">
        <f>IS!AK52</f>
        <v>1.0532540972238578E-2</v>
      </c>
      <c r="AL136" s="451">
        <f>IS!AL52</f>
        <v>-0.36884047547436283</v>
      </c>
      <c r="AM136" s="451">
        <f>IS!AM52</f>
        <v>-1.7675962468309766E-2</v>
      </c>
      <c r="AN136" s="451">
        <f>IS!AN52</f>
        <v>0.12742122406636294</v>
      </c>
      <c r="AO136" s="452">
        <f>IS!AO52</f>
        <v>-0.24836397122497755</v>
      </c>
      <c r="AP136" s="451">
        <f>IS!AP52</f>
        <v>-0.13396986696795346</v>
      </c>
      <c r="AQ136" s="451">
        <f>IS!AQ52</f>
        <v>-7.4146018402876462E-2</v>
      </c>
      <c r="AR136" s="451">
        <f>IS!AR52</f>
        <v>-0.31433242137980044</v>
      </c>
      <c r="AS136" s="451">
        <f>IS!AS52</f>
        <v>0.25016332936831226</v>
      </c>
      <c r="AT136" s="452">
        <f>IS!AT52</f>
        <v>-0.27187776793622676</v>
      </c>
      <c r="AU136" s="451">
        <f>IS!AU52</f>
        <v>0.12597109768680009</v>
      </c>
      <c r="AV136" s="451">
        <f>IS!AV52</f>
        <v>0.29614723722087016</v>
      </c>
      <c r="AW136" s="451">
        <f>IS!AW52</f>
        <v>0.27153373913948287</v>
      </c>
      <c r="AX136" s="451">
        <f>IS!AX52</f>
        <v>0.38814911543674091</v>
      </c>
      <c r="AY136" s="452">
        <f>IS!AY52</f>
        <v>1.0817786108074325</v>
      </c>
      <c r="AZ136" s="451">
        <f>IS!AZ52</f>
        <v>7.2666592096809021E-2</v>
      </c>
      <c r="BA136" s="451">
        <f>IS!BA52</f>
        <v>0.17639499827015273</v>
      </c>
      <c r="BB136" s="451">
        <f>IS!BB52</f>
        <v>0.65098428857725854</v>
      </c>
      <c r="BC136" s="451">
        <f>IS!BC52</f>
        <v>0.67939735347356589</v>
      </c>
      <c r="BD136" s="452">
        <f>IS!BD52</f>
        <v>1.5794863258211724</v>
      </c>
      <c r="BE136" s="451">
        <f>IS!BE52</f>
        <v>0.50008582485487796</v>
      </c>
      <c r="BF136" s="451">
        <f>IS!BF52</f>
        <v>0.69433347897551134</v>
      </c>
      <c r="BG136" s="451">
        <f>IS!BG52</f>
        <v>0.61780111520296277</v>
      </c>
      <c r="BH136" s="451">
        <f>IS!BH52</f>
        <v>0.56579125314691137</v>
      </c>
      <c r="BI136" s="452">
        <f>IS!BI52</f>
        <v>2.3780116721802633</v>
      </c>
      <c r="BJ136" s="451">
        <f>IS!BJ52</f>
        <v>0.42067442731415017</v>
      </c>
      <c r="BK136" s="451">
        <f>IS!BK52</f>
        <v>0.39304392248957098</v>
      </c>
      <c r="BL136" s="451">
        <f>IS!BL52</f>
        <v>0.75609024526015911</v>
      </c>
      <c r="BM136" s="451">
        <f>IS!BM52</f>
        <v>0.5504265259665404</v>
      </c>
      <c r="BN136" s="452">
        <f>IS!BN52</f>
        <v>2.1257911304040458</v>
      </c>
      <c r="BO136" s="451">
        <f>IS!BO52</f>
        <v>0.4358237905181096</v>
      </c>
      <c r="BP136" s="451">
        <f>IS!BP52</f>
        <v>0.74437955270884515</v>
      </c>
      <c r="BQ136" s="451">
        <f>IS!BQ52</f>
        <v>0.67032521517866428</v>
      </c>
      <c r="BR136" s="451">
        <f>IS!BR52</f>
        <v>0.66096591015173867</v>
      </c>
      <c r="BS136" s="452">
        <f>IS!BS52</f>
        <v>2.5127693567444873</v>
      </c>
      <c r="BT136" s="451">
        <f>IS!BT52</f>
        <v>0.71283817124140814</v>
      </c>
      <c r="BU136" s="451">
        <f>IS!BU52</f>
        <v>1.0989115040235142</v>
      </c>
      <c r="BV136" s="451">
        <f>IS!BV52</f>
        <v>1.0164834725182106</v>
      </c>
      <c r="BW136" s="451">
        <f>IS!BW52</f>
        <v>1.4183971970949258</v>
      </c>
      <c r="BX136" s="452">
        <f>IS!BX52</f>
        <v>4.1751014977485035</v>
      </c>
      <c r="BY136" s="451">
        <f>IS!BY52</f>
        <v>0.73280503161534627</v>
      </c>
      <c r="BZ136" s="451">
        <f>IS!BZ52</f>
        <v>0.88316393804755522</v>
      </c>
      <c r="CA136" s="451">
        <f>IS!CA52</f>
        <v>0.90208398332084594</v>
      </c>
      <c r="CB136" s="451">
        <f>IS!CB52</f>
        <v>1.3941850693788131</v>
      </c>
      <c r="CC136" s="452">
        <f>IS!CC52</f>
        <v>3.9255586856170761</v>
      </c>
      <c r="CD136" s="451">
        <f>IS!CD52</f>
        <v>0.67844749150729022</v>
      </c>
      <c r="CE136" s="451">
        <f>IS!CE52</f>
        <v>1.0363706534068369</v>
      </c>
      <c r="CF136" s="451">
        <f ca="1">IS!CF52</f>
        <v>1.2084465667093858</v>
      </c>
      <c r="CG136" s="451">
        <f ca="1">IS!CG52</f>
        <v>1.4042687708333685</v>
      </c>
      <c r="CH136" s="452">
        <f ca="1">IS!CH52</f>
        <v>4.3301443502681582</v>
      </c>
      <c r="CI136" s="451">
        <f ca="1">IS!CI52</f>
        <v>1.3727509753619471</v>
      </c>
      <c r="CJ136" s="451">
        <f ca="1">IS!CJ52</f>
        <v>1.2621457821724926</v>
      </c>
      <c r="CK136" s="451">
        <f ca="1">IS!CK52</f>
        <v>1.3102455664509347</v>
      </c>
      <c r="CL136" s="451">
        <f ca="1">IS!CL52</f>
        <v>1.4745381333761702</v>
      </c>
      <c r="CM136" s="452">
        <f ca="1">IS!CM52</f>
        <v>5.4196804573615438</v>
      </c>
      <c r="CN136" s="451">
        <f ca="1">IS!CN52</f>
        <v>1.5785371251610192</v>
      </c>
      <c r="CO136" s="451">
        <f ca="1">IS!CO52</f>
        <v>1.4245489731548249</v>
      </c>
      <c r="CP136" s="451">
        <f ca="1">IS!CP52</f>
        <v>1.426568504894864</v>
      </c>
      <c r="CQ136" s="451">
        <f ca="1">IS!CQ52</f>
        <v>1.5859760980220978</v>
      </c>
      <c r="CR136" s="452">
        <f ca="1">IS!CR52</f>
        <v>6.0156307012328059</v>
      </c>
      <c r="CS136" s="451">
        <f ca="1">IS!CS52</f>
        <v>1.6984973832874102</v>
      </c>
      <c r="CT136" s="451">
        <f ca="1">IS!CT52</f>
        <v>1.5362287102749892</v>
      </c>
      <c r="CU136" s="451">
        <f ca="1">IS!CU52</f>
        <v>1.5438551499367574</v>
      </c>
      <c r="CV136" s="451">
        <f ca="1">IS!CV52</f>
        <v>1.6985776340204255</v>
      </c>
      <c r="CW136" s="452">
        <f ca="1">IS!CW52</f>
        <v>6.4771588775195825</v>
      </c>
      <c r="CX136" s="451">
        <f ca="1">IS!CX52</f>
        <v>1.8733346418442138</v>
      </c>
      <c r="CY136" s="451">
        <f ca="1">IS!CY52</f>
        <v>1.6842506284867447</v>
      </c>
      <c r="CZ136" s="451">
        <f ca="1">IS!CZ52</f>
        <v>1.700278020124335</v>
      </c>
      <c r="DA136" s="451">
        <f ca="1">IS!DA52</f>
        <v>1.8735800251445329</v>
      </c>
      <c r="DB136" s="452">
        <f ca="1">IS!DB52</f>
        <v>7.1314433155998262</v>
      </c>
    </row>
    <row r="137" spans="1:106" ht="11.5" customHeight="1" x14ac:dyDescent="0.35">
      <c r="A137" s="16" t="s">
        <v>224</v>
      </c>
      <c r="B137" s="61"/>
      <c r="C137" s="218">
        <f>C136/AVERAGE(B135:C135)*4</f>
        <v>0.16649748344613546</v>
      </c>
      <c r="D137" s="218">
        <f>D136/AVERAGE(C135:D135)*4</f>
        <v>0.16878332681924199</v>
      </c>
      <c r="E137" s="218">
        <f>E136/AVERAGE(D135:E135)*4</f>
        <v>7.5823097141748411E-2</v>
      </c>
      <c r="F137" s="219">
        <f>F136/AVERAGE(B135:E135)</f>
        <v>0.1450240340554784</v>
      </c>
      <c r="G137" s="218">
        <f>G136/AVERAGE(F135:G135)*4</f>
        <v>6.8044211630422541E-2</v>
      </c>
      <c r="H137" s="218">
        <f>H136/AVERAGE(G135:H135)*4</f>
        <v>9.8107459942191014E-2</v>
      </c>
      <c r="I137" s="218">
        <f>I136/AVERAGE(H135:I135)*4</f>
        <v>0.13061534405156414</v>
      </c>
      <c r="J137" s="218">
        <f>J136/AVERAGE(I135:J135)*4</f>
        <v>0.18086511509216094</v>
      </c>
      <c r="K137" s="219">
        <f>K136/AVERAGE(G135:J135)</f>
        <v>0.1192018721989254</v>
      </c>
      <c r="L137" s="218">
        <f>L136/AVERAGE(K135:L135)*4</f>
        <v>0.11799704304129811</v>
      </c>
      <c r="M137" s="218">
        <f>M136/AVERAGE(L135:M135)*4</f>
        <v>0.12025775794448615</v>
      </c>
      <c r="N137" s="218">
        <f>N136/AVERAGE(M135:N135)*4</f>
        <v>0.12265001756934284</v>
      </c>
      <c r="O137" s="218">
        <f>O136/AVERAGE(N135:O135)*4</f>
        <v>0.19838256076131594</v>
      </c>
      <c r="P137" s="219">
        <f>P136/AVERAGE(L135:O135)</f>
        <v>0.13881691216028821</v>
      </c>
      <c r="Q137" s="218">
        <f>Q136/AVERAGE(P135:Q135)*4</f>
        <v>0.13420015219203124</v>
      </c>
      <c r="R137" s="218">
        <f>R136/AVERAGE(Q135:R135)*4</f>
        <v>0.14216654177122676</v>
      </c>
      <c r="S137" s="218">
        <f>S136/AVERAGE(R135:S135)*4</f>
        <v>0.12778369302343937</v>
      </c>
      <c r="T137" s="218">
        <f>T136/AVERAGE(S135:T135)*4</f>
        <v>0.13254789984142482</v>
      </c>
      <c r="U137" s="219">
        <f>U136/AVERAGE(Q135:T135)</f>
        <v>0.13286843887509692</v>
      </c>
      <c r="V137" s="218">
        <f>V136/AVERAGE(U135:V135)*4</f>
        <v>0.11841489176221244</v>
      </c>
      <c r="W137" s="218">
        <f>W136/AVERAGE(V135:W135)*4</f>
        <v>0.1202669059865448</v>
      </c>
      <c r="X137" s="218">
        <f>X136/AVERAGE(W135:X135)*4</f>
        <v>0.12563117174403943</v>
      </c>
      <c r="Y137" s="218">
        <f>Y136/AVERAGE(X135:Y135)*4</f>
        <v>0.10516468557108621</v>
      </c>
      <c r="Z137" s="219">
        <f>Z136/AVERAGE(V135:Y135)</f>
        <v>0.11678614991952423</v>
      </c>
      <c r="AA137" s="218">
        <f>AA136/AVERAGE(Z135:AA135)*4</f>
        <v>7.0812448036992312E-2</v>
      </c>
      <c r="AB137" s="218">
        <f>AB136/AVERAGE(AA135:AB135)*4</f>
        <v>8.3727276483963858E-2</v>
      </c>
      <c r="AC137" s="218">
        <f>AC136/AVERAGE(AB135:AC135)*4</f>
        <v>9.1259707758344674E-2</v>
      </c>
      <c r="AD137" s="218">
        <f>AD136/AVERAGE(AC135:AD135)*4</f>
        <v>6.6371804153909905E-2</v>
      </c>
      <c r="AE137" s="219">
        <f>AE136/AVERAGE(AA135:AD135)</f>
        <v>7.7575250119477315E-2</v>
      </c>
      <c r="AF137" s="218">
        <f>AF136/AVERAGE(AE135:AF135)*4</f>
        <v>4.1401914164367323E-2</v>
      </c>
      <c r="AG137" s="218">
        <f>AG136/AVERAGE(AF135:AG135)*4</f>
        <v>2.9918237815772228E-2</v>
      </c>
      <c r="AH137" s="218">
        <f>AH136/AVERAGE(AG135:AH135)*4</f>
        <v>9.6152598792841482E-3</v>
      </c>
      <c r="AI137" s="218">
        <f>AI136/AVERAGE(AH135:AI135)*4</f>
        <v>2.0570161415927969E-2</v>
      </c>
      <c r="AJ137" s="219">
        <f>AJ136/AVERAGE(AF135:AI135)</f>
        <v>2.5242620261806542E-2</v>
      </c>
      <c r="AK137" s="218">
        <f>AK136/AVERAGE(AJ135:AK135)*4</f>
        <v>2.676008651652319E-3</v>
      </c>
      <c r="AL137" s="218">
        <f>AL136/AVERAGE(AK135:AL135)*4</f>
        <v>-9.4814814262446256E-2</v>
      </c>
      <c r="AM137" s="218">
        <f>AM136/AVERAGE(AL135:AM135)*4</f>
        <v>-4.6029297209806922E-3</v>
      </c>
      <c r="AN137" s="218">
        <f>AN136/AVERAGE(AM135:AN135)*4</f>
        <v>3.3061866622894016E-2</v>
      </c>
      <c r="AO137" s="219">
        <f>AO136/AVERAGE(AK135:AN135)</f>
        <v>-1.6035610501743087E-2</v>
      </c>
      <c r="AP137" s="218">
        <f>AP136/AVERAGE(AO135:AP135)*4</f>
        <v>-3.5358700175142539E-2</v>
      </c>
      <c r="AQ137" s="218">
        <f>AQ136/AVERAGE(AP135:AQ135)*4</f>
        <v>-2.0454255410928809E-2</v>
      </c>
      <c r="AR137" s="218">
        <f>AR136/AVERAGE(AQ135:AR135)*4</f>
        <v>-8.9735815405194513E-2</v>
      </c>
      <c r="AS137" s="218">
        <f>AS136/AVERAGE(AR135:AS135)*4</f>
        <v>7.3433845253303279E-2</v>
      </c>
      <c r="AT137" s="219">
        <f>AT136/AVERAGE(AP135:AS135)</f>
        <v>-1.9332521715425151E-2</v>
      </c>
      <c r="AU137" s="218">
        <f>AU136/AVERAGE(AT135:AU135)*4</f>
        <v>3.7443404911126348E-2</v>
      </c>
      <c r="AV137" s="218">
        <f>AV136/AVERAGE(AU135:AV135)*4</f>
        <v>8.8072884052662267E-2</v>
      </c>
      <c r="AW137" s="218">
        <f>AW136/AVERAGE(AV135:AW135)*4</f>
        <v>8.1408355180804678E-2</v>
      </c>
      <c r="AX137" s="218">
        <f>AX136/AVERAGE(AW135:AX135)*4</f>
        <v>0.12088841215320864</v>
      </c>
      <c r="AY137" s="219">
        <f>AY136/AVERAGE(AU135:AX135)</f>
        <v>8.2285438591304272E-2</v>
      </c>
      <c r="AZ137" s="218">
        <f>AZ136/AVERAGE(AY135:AZ135)*4</f>
        <v>2.3394254212886666E-2</v>
      </c>
      <c r="BA137" s="218">
        <f>BA136/AVERAGE(AZ135:BA135)*4</f>
        <v>5.6227606924989779E-2</v>
      </c>
      <c r="BB137" s="218">
        <f>BB136/AVERAGE(BA135:BB135)*4</f>
        <v>0.18007883080048889</v>
      </c>
      <c r="BC137" s="218">
        <f>BC136/AVERAGE(BB135:BC135)*4</f>
        <v>0.17761861388080788</v>
      </c>
      <c r="BD137" s="219">
        <f>BD136/AVERAGE(AZ135:BC135)</f>
        <v>0.11343307738447708</v>
      </c>
      <c r="BE137" s="218">
        <f>BE136/AVERAGE(BD135:BE135)*4</f>
        <v>0.1373353191250779</v>
      </c>
      <c r="BF137" s="218">
        <f>BF136/AVERAGE(BE135:BF135)*4</f>
        <v>0.18319789864584182</v>
      </c>
      <c r="BG137" s="218">
        <f>BG136/AVERAGE(BF135:BG135)*4</f>
        <v>0.15626936791432935</v>
      </c>
      <c r="BH137" s="218">
        <f>BH136/AVERAGE(BG135:BH135)*4</f>
        <v>0.14039113679672319</v>
      </c>
      <c r="BI137" s="219">
        <f>BI136/AVERAGE(BE135:BH135)</f>
        <v>0.1520432819219722</v>
      </c>
      <c r="BJ137" s="218">
        <f>BJ136/AVERAGE(BI135:BJ135)*4</f>
        <v>0.1030659378181713</v>
      </c>
      <c r="BK137" s="218">
        <f>BK136/AVERAGE(BJ135:BK135)*4</f>
        <v>9.3941098777977627E-2</v>
      </c>
      <c r="BL137" s="218">
        <f>BL136/AVERAGE(BK135:BL135)*4</f>
        <v>0.18264198482812885</v>
      </c>
      <c r="BM137" s="218">
        <f>BM136/AVERAGE(BL135:BM135)*4</f>
        <v>0.12533193470829362</v>
      </c>
      <c r="BN137" s="219">
        <f>BN136/AVERAGE(BJ135:BM135)</f>
        <v>0.12394286189313206</v>
      </c>
      <c r="BO137" s="218">
        <f>BO136/AVERAGE(BN135:BO135)*4</f>
        <v>9.1229372268707226E-2</v>
      </c>
      <c r="BP137" s="218">
        <f>BP136/AVERAGE(BO135:BP135)*4</f>
        <v>0.15144677653961428</v>
      </c>
      <c r="BQ137" s="218">
        <f>BQ136/AVERAGE(BP135:BQ135)*4</f>
        <v>0.13138856707890872</v>
      </c>
      <c r="BR137" s="218">
        <f>BR136/AVERAGE(BQ135:BR135)*4</f>
        <v>0.12812763023796045</v>
      </c>
      <c r="BS137" s="219">
        <f>BS136/AVERAGE(BO135:BR135)</f>
        <v>0.12471835143915463</v>
      </c>
      <c r="BT137" s="218">
        <f>BT136/AVERAGE(BS135:BT135)*4</f>
        <v>0.13875571133341932</v>
      </c>
      <c r="BU137" s="218">
        <f>BU136/AVERAGE(BT135:BU135)*4</f>
        <v>0.20324258008637827</v>
      </c>
      <c r="BV137" s="218">
        <f>BV136/AVERAGE(BU135:BV135)*4</f>
        <v>0.17478222649201564</v>
      </c>
      <c r="BW137" s="218">
        <f>BW136/AVERAGE(BV135:BW135)*4</f>
        <v>0.26143750493104462</v>
      </c>
      <c r="BX137" s="219">
        <f>BX136/AVERAGE(BT135:BW135)</f>
        <v>0.19271584206974965</v>
      </c>
      <c r="BY137" s="218">
        <f>BY136/AVERAGE(BX135:BY135)*4</f>
        <v>0.14622140335884229</v>
      </c>
      <c r="BZ137" s="218">
        <f>BZ136/AVERAGE(BY135:BZ135)*4</f>
        <v>0.16494816858946768</v>
      </c>
      <c r="CA137" s="218">
        <f>CA136/AVERAGE(BZ135:CA135)*4</f>
        <v>0.15672314249455732</v>
      </c>
      <c r="CB137" s="218">
        <f>CB136/AVERAGE(CA135:CB135)*4</f>
        <v>0.23704533748309745</v>
      </c>
      <c r="CC137" s="219">
        <f>CC136/AVERAGE(BY135:CB135)</f>
        <v>0.17469128142284904</v>
      </c>
      <c r="CD137" s="218">
        <f>CD136/AVERAGE(CC135:CD135)*4</f>
        <v>0.11387014026353631</v>
      </c>
      <c r="CE137" s="218">
        <f>CE136/AVERAGE(CD135:CE135)*4</f>
        <v>0.16581028288352997</v>
      </c>
      <c r="CF137" s="218">
        <f ca="1">CF136/AVERAGE(CE135:CF135)*4</f>
        <v>0.18426186896811655</v>
      </c>
      <c r="CG137" s="218">
        <f ca="1">CG136/AVERAGE(CF135:CG135)*4</f>
        <v>0.20396356798654849</v>
      </c>
      <c r="CH137" s="219">
        <f ca="1">CH136/AVERAGE(CD135:CG135)</f>
        <v>0.1648292809273933</v>
      </c>
      <c r="CI137" s="218">
        <f ca="1">CI136/AVERAGE(CH135:CI135)*4</f>
        <v>0.19719485338782197</v>
      </c>
      <c r="CJ137" s="218">
        <f ca="1">CJ136/AVERAGE(CI135:CJ135)*4</f>
        <v>0.17978973044655172</v>
      </c>
      <c r="CK137" s="218">
        <f ca="1">CK136/AVERAGE(CJ135:CK135)*4</f>
        <v>0.1784669512500251</v>
      </c>
      <c r="CL137" s="218">
        <f ca="1">CL136/AVERAGE(CK135:CL135)*4</f>
        <v>0.19175325293645368</v>
      </c>
      <c r="CM137" s="219">
        <f ca="1">CM136/AVERAGE(CI135:CL135)</f>
        <v>0.18421892951912897</v>
      </c>
      <c r="CN137" s="218">
        <f ca="1">CN136/AVERAGE(CM135:CN135)*4</f>
        <v>0.2096488174944646</v>
      </c>
      <c r="CO137" s="218">
        <f ca="1">CO136/AVERAGE(CN135:CO135)*4</f>
        <v>0.1934778604871098</v>
      </c>
      <c r="CP137" s="218">
        <f ca="1">CP136/AVERAGE(CO135:CP135)*4</f>
        <v>0.18480680453732451</v>
      </c>
      <c r="CQ137" s="218">
        <f ca="1">CQ136/AVERAGE(CP135:CQ135)*4</f>
        <v>0.19590084529976906</v>
      </c>
      <c r="CR137" s="219">
        <f ca="1">CR136/AVERAGE(CN135:CQ135)</f>
        <v>0.19457150649245691</v>
      </c>
      <c r="CS137" s="218">
        <f ca="1">CS136/AVERAGE(CR135:CS135)*4</f>
        <v>0.21486893866966422</v>
      </c>
      <c r="CT137" s="218">
        <f ca="1">CT136/AVERAGE(CS135:CT135)*4</f>
        <v>0.19931390587067119</v>
      </c>
      <c r="CU137" s="218">
        <f ca="1">CU136/AVERAGE(CT135:CU135)*4</f>
        <v>0.19077381382537659</v>
      </c>
      <c r="CV137" s="218">
        <f ca="1">CV136/AVERAGE(CU135:CV135)*4</f>
        <v>0.19988207430431315</v>
      </c>
      <c r="CW137" s="219">
        <f ca="1">CW136/AVERAGE(CS135:CV135)</f>
        <v>0.19984467266840816</v>
      </c>
      <c r="CX137" s="218">
        <f ca="1">CX136/AVERAGE(CW135:CX135)*4</f>
        <v>0.22579350610913027</v>
      </c>
      <c r="CY137" s="218">
        <f ca="1">CY136/AVERAGE(CX135:CY135)*4</f>
        <v>0.2080952050509387</v>
      </c>
      <c r="CZ137" s="218">
        <f ca="1">CZ136/AVERAGE(CY135:CZ135)*4</f>
        <v>0.19963999823967016</v>
      </c>
      <c r="DA137" s="218">
        <f ca="1">DA136/AVERAGE(CZ135:DA135)*4</f>
        <v>0.209024370837915</v>
      </c>
      <c r="DB137" s="219">
        <f ca="1">DB136/AVERAGE(CX135:DA135)</f>
        <v>0.20904610122917403</v>
      </c>
    </row>
    <row r="138" spans="1:106" ht="11.5" customHeight="1" outlineLevel="1" x14ac:dyDescent="0.35">
      <c r="A138" s="163" t="s">
        <v>221</v>
      </c>
      <c r="B138" s="453">
        <f>IS!B83</f>
        <v>0.15826510356325413</v>
      </c>
      <c r="C138" s="453">
        <f>IS!C83</f>
        <v>0.14209075039288127</v>
      </c>
      <c r="D138" s="453">
        <f>IS!D83</f>
        <v>0.15575429508777694</v>
      </c>
      <c r="E138" s="453">
        <f>IS!E83</f>
        <v>5.9402291702206837E-2</v>
      </c>
      <c r="F138" s="454">
        <f>IS!F83</f>
        <v>0.12559300873907617</v>
      </c>
      <c r="G138" s="453">
        <f>IS!G83</f>
        <v>6.1779299799623898E-2</v>
      </c>
      <c r="H138" s="453">
        <f>IS!H83</f>
        <v>7.8728946173359446E-2</v>
      </c>
      <c r="I138" s="453">
        <f>IS!I83</f>
        <v>9.4096442553933637E-2</v>
      </c>
      <c r="J138" s="453">
        <f>IS!J83</f>
        <v>0.10314017321442885</v>
      </c>
      <c r="K138" s="454">
        <f>IS!K83</f>
        <v>8.722214813945528E-2</v>
      </c>
      <c r="L138" s="453">
        <f>IS!L83</f>
        <v>9.2683635411360099E-2</v>
      </c>
      <c r="M138" s="453">
        <f>IS!M83</f>
        <v>0.10304541448086031</v>
      </c>
      <c r="N138" s="453">
        <f>IS!N83</f>
        <v>0.11140766486512113</v>
      </c>
      <c r="O138" s="453">
        <f>IS!O83</f>
        <v>0.1740607537727418</v>
      </c>
      <c r="P138" s="454">
        <f>IS!P83</f>
        <v>0.12039528615069313</v>
      </c>
      <c r="Q138" s="453">
        <f>IS!Q83</f>
        <v>0.14228506545331873</v>
      </c>
      <c r="R138" s="453">
        <f>IS!R83</f>
        <v>0.1375505585393382</v>
      </c>
      <c r="S138" s="453">
        <f>IS!S83</f>
        <v>0.12521370463437861</v>
      </c>
      <c r="T138" s="453">
        <f>IS!T83</f>
        <v>0.13134433614340352</v>
      </c>
      <c r="U138" s="454">
        <f>IS!U83</f>
        <v>0.1338138105044005</v>
      </c>
      <c r="V138" s="453">
        <f>IS!V83</f>
        <v>0.12426465109984931</v>
      </c>
      <c r="W138" s="453">
        <f>IS!W83</f>
        <v>0.12433935469337003</v>
      </c>
      <c r="X138" s="453">
        <f>IS!X83</f>
        <v>0.11100541861664155</v>
      </c>
      <c r="Y138" s="453">
        <f>IS!Y83</f>
        <v>9.8019781279523932E-2</v>
      </c>
      <c r="Z138" s="454">
        <f>IS!Z83</f>
        <v>0.1137001203349578</v>
      </c>
      <c r="AA138" s="453">
        <f>IS!AA83</f>
        <v>9.7120981748701235E-2</v>
      </c>
      <c r="AB138" s="453">
        <f>IS!AB83</f>
        <v>0.10372485129864822</v>
      </c>
      <c r="AC138" s="453">
        <f>IS!AC83</f>
        <v>0.11534516446301549</v>
      </c>
      <c r="AD138" s="453">
        <f>IS!AD83</f>
        <v>9.5114860550732913E-2</v>
      </c>
      <c r="AE138" s="454">
        <f>IS!AE83</f>
        <v>0.10315158260972122</v>
      </c>
      <c r="AF138" s="453">
        <f>IS!AF83</f>
        <v>7.5578569789788164E-2</v>
      </c>
      <c r="AG138" s="453">
        <f>IS!AG83</f>
        <v>6.9735879432104117E-2</v>
      </c>
      <c r="AH138" s="453">
        <f>IS!AH83</f>
        <v>1.7511975528820681E-2</v>
      </c>
      <c r="AI138" s="453">
        <f>IS!AI83</f>
        <v>3.366805839149118E-2</v>
      </c>
      <c r="AJ138" s="454">
        <f>IS!AJ83</f>
        <v>4.7366922145269164E-2</v>
      </c>
      <c r="AK138" s="453">
        <f>IS!AK83</f>
        <v>5.813222951904065E-3</v>
      </c>
      <c r="AL138" s="453">
        <f>IS!AL83</f>
        <v>-0.24537020927141256</v>
      </c>
      <c r="AM138" s="453">
        <f>IS!AM83</f>
        <v>-1.1312637267972173E-2</v>
      </c>
      <c r="AN138" s="453">
        <f>IS!AN83</f>
        <v>6.0289317507418401E-2</v>
      </c>
      <c r="AO138" s="454">
        <f>IS!AO83</f>
        <v>-3.5531852029157332E-2</v>
      </c>
      <c r="AP138" s="453">
        <f>IS!AP83</f>
        <v>-0.11380713768968226</v>
      </c>
      <c r="AQ138" s="453">
        <f>IS!AQ83</f>
        <v>-4.446484108084104E-2</v>
      </c>
      <c r="AR138" s="453">
        <f>IS!AR83</f>
        <v>-0.16659607491463457</v>
      </c>
      <c r="AS138" s="453">
        <f>IS!AS83</f>
        <v>8.9225387612551763E-2</v>
      </c>
      <c r="AT138" s="454">
        <f>IS!AT83</f>
        <v>-3.6084832185804577E-2</v>
      </c>
      <c r="AU138" s="453">
        <f>IS!AU83</f>
        <v>5.8591007896049069E-2</v>
      </c>
      <c r="AV138" s="453">
        <f>IS!AV83</f>
        <v>0.12153782422364626</v>
      </c>
      <c r="AW138" s="453">
        <f>IS!AW83</f>
        <v>0.11166835515892332</v>
      </c>
      <c r="AX138" s="453">
        <f>IS!AX83</f>
        <v>0.12099762732260466</v>
      </c>
      <c r="AY138" s="454">
        <f>IS!AY83</f>
        <v>0.10579031414032125</v>
      </c>
      <c r="AZ138" s="453">
        <f>IS!AZ83</f>
        <v>3.6528038391380246E-2</v>
      </c>
      <c r="BA138" s="453">
        <f>IS!BA83</f>
        <v>8.0842099741537998E-2</v>
      </c>
      <c r="BB138" s="453">
        <f>IS!BB83</f>
        <v>0.21510988798481825</v>
      </c>
      <c r="BC138" s="453">
        <f>IS!BC83</f>
        <v>0.24723034553249482</v>
      </c>
      <c r="BD138" s="454">
        <f>IS!BD83</f>
        <v>0.15881440365552074</v>
      </c>
      <c r="BE138" s="453">
        <f>IS!BE83</f>
        <v>0.19157006053408679</v>
      </c>
      <c r="BF138" s="453">
        <f>IS!BF83</f>
        <v>0.22586269763853203</v>
      </c>
      <c r="BG138" s="453">
        <f>IS!BG83</f>
        <v>0.18438237141000932</v>
      </c>
      <c r="BH138" s="453">
        <f>IS!BH83</f>
        <v>0.16521751017472658</v>
      </c>
      <c r="BI138" s="454">
        <f>IS!BI83</f>
        <v>0.19085511851488041</v>
      </c>
      <c r="BJ138" s="453">
        <f>IS!BJ83</f>
        <v>0.13132849213901329</v>
      </c>
      <c r="BK138" s="453">
        <f>IS!BK83</f>
        <v>0.12062959019521104</v>
      </c>
      <c r="BL138" s="453">
        <f>IS!BL83</f>
        <v>0.1850601804001426</v>
      </c>
      <c r="BM138" s="453">
        <f>IS!BM83</f>
        <v>0.15150745924622661</v>
      </c>
      <c r="BN138" s="454">
        <f>IS!BN83</f>
        <v>0.14945231181966245</v>
      </c>
      <c r="BO138" s="453">
        <f>IS!BO83</f>
        <v>0.12745261510986999</v>
      </c>
      <c r="BP138" s="453">
        <f>IS!BP83</f>
        <v>0.17108119444844172</v>
      </c>
      <c r="BQ138" s="453">
        <f>IS!BQ83</f>
        <v>0.15456396637857497</v>
      </c>
      <c r="BR138" s="453">
        <f>IS!BR83</f>
        <v>0.14489855463969487</v>
      </c>
      <c r="BS138" s="454">
        <f>IS!BS83</f>
        <v>0.1506693349543933</v>
      </c>
      <c r="BT138" s="453">
        <f>IS!BT83</f>
        <v>0.16991298299776655</v>
      </c>
      <c r="BU138" s="453">
        <f>IS!BU83</f>
        <v>0.22188299906777958</v>
      </c>
      <c r="BV138" s="453">
        <f>IS!BV83</f>
        <v>0.18776676384265079</v>
      </c>
      <c r="BW138" s="453">
        <f>IS!BW83</f>
        <v>0.23486385539620847</v>
      </c>
      <c r="BX138" s="454">
        <f>IS!BX83</f>
        <v>0.20701237608101145</v>
      </c>
      <c r="BY138" s="453">
        <f>IS!BY83</f>
        <v>0.16778031324126461</v>
      </c>
      <c r="BZ138" s="453">
        <f>IS!BZ83</f>
        <v>0.18404512298719111</v>
      </c>
      <c r="CA138" s="453">
        <f>IS!CA83</f>
        <v>0.1861052617731434</v>
      </c>
      <c r="CB138" s="453">
        <f>IS!CB83</f>
        <v>0.1892330984361274</v>
      </c>
      <c r="CC138" s="454">
        <f>IS!CC83</f>
        <v>0.18292111185086976</v>
      </c>
      <c r="CD138" s="453">
        <f>IS!CD83</f>
        <v>0.14655366110083146</v>
      </c>
      <c r="CE138" s="453">
        <f>IS!CE83</f>
        <v>0.18203526100309125</v>
      </c>
      <c r="CF138" s="453">
        <f ca="1">IS!CF83</f>
        <v>0.19818558608646031</v>
      </c>
      <c r="CG138" s="453">
        <f ca="1">IS!CG83</f>
        <v>0.21394799555433003</v>
      </c>
      <c r="CH138" s="454">
        <f ca="1">IS!CH83</f>
        <v>0.1882544635125965</v>
      </c>
      <c r="CI138" s="453">
        <f ca="1">IS!CI83</f>
        <v>0.2219781630245812</v>
      </c>
      <c r="CJ138" s="453">
        <f ca="1">IS!CJ83</f>
        <v>0.20019284794377082</v>
      </c>
      <c r="CK138" s="453">
        <f ca="1">IS!CK83</f>
        <v>0.19777245658443024</v>
      </c>
      <c r="CL138" s="453">
        <f ca="1">IS!CL83</f>
        <v>0.21103160354771328</v>
      </c>
      <c r="CM138" s="454">
        <f ca="1">IS!CM83</f>
        <v>0.20764166456728142</v>
      </c>
      <c r="CN138" s="453">
        <f ca="1">IS!CN83</f>
        <v>0.22708927264617085</v>
      </c>
      <c r="CO138" s="453">
        <f ca="1">IS!CO83</f>
        <v>0.20266685705115828</v>
      </c>
      <c r="CP138" s="453">
        <f ca="1">IS!CP83</f>
        <v>0.19497735172489172</v>
      </c>
      <c r="CQ138" s="453">
        <f ca="1">IS!CQ83</f>
        <v>0.20306665678550734</v>
      </c>
      <c r="CR138" s="454">
        <f ca="1">IS!CR83</f>
        <v>0.20667367383978724</v>
      </c>
      <c r="CS138" s="453">
        <f ca="1">IS!CS83</f>
        <v>0.22288780998792265</v>
      </c>
      <c r="CT138" s="453">
        <f ca="1">IS!CT83</f>
        <v>0.20055706592372874</v>
      </c>
      <c r="CU138" s="453">
        <f ca="1">IS!CU83</f>
        <v>0.1948909912881292</v>
      </c>
      <c r="CV138" s="453">
        <f ca="1">IS!CV83</f>
        <v>0.20204585550224483</v>
      </c>
      <c r="CW138" s="454">
        <f ca="1">IS!CW83</f>
        <v>0.20491665126314504</v>
      </c>
      <c r="CX138" s="453">
        <f ca="1">IS!CX83</f>
        <v>0.22843834002977842</v>
      </c>
      <c r="CY138" s="453">
        <f ca="1">IS!CY83</f>
        <v>0.20493369582753929</v>
      </c>
      <c r="CZ138" s="453">
        <f ca="1">IS!CZ83</f>
        <v>0.20058647246345476</v>
      </c>
      <c r="DA138" s="453">
        <f ca="1">IS!DA83</f>
        <v>0.20903848443453346</v>
      </c>
      <c r="DB138" s="454">
        <f ca="1">IS!DB83</f>
        <v>0.21062484175053298</v>
      </c>
    </row>
    <row r="139" spans="1:106" ht="11.5" customHeight="1" outlineLevel="1" x14ac:dyDescent="0.35">
      <c r="A139" s="163" t="s">
        <v>222</v>
      </c>
      <c r="B139" s="455">
        <f>IS!B59/'BS &amp; FCF'!B4*4</f>
        <v>0.41635487638288099</v>
      </c>
      <c r="C139" s="455">
        <f>IS!C59/'BS &amp; FCF'!C4*4</f>
        <v>0.42942363978321108</v>
      </c>
      <c r="D139" s="455">
        <f>IS!D59/'BS &amp; FCF'!D4*4</f>
        <v>0.40078940981463451</v>
      </c>
      <c r="E139" s="455">
        <f>IS!E59/'BS &amp; FCF'!E4*4</f>
        <v>0.46145433683084519</v>
      </c>
      <c r="F139" s="456">
        <f>IS!F59/'BS &amp; FCF'!F4</f>
        <v>0.40606852645379998</v>
      </c>
      <c r="G139" s="455">
        <f>IS!G59/'BS &amp; FCF'!G4*4</f>
        <v>0.38457466583297562</v>
      </c>
      <c r="H139" s="455">
        <f>IS!H59/'BS &amp; FCF'!H4*4</f>
        <v>0.42774160167714753</v>
      </c>
      <c r="I139" s="455">
        <f>IS!I59/'BS &amp; FCF'!I4*4</f>
        <v>0.46221837863982429</v>
      </c>
      <c r="J139" s="455">
        <f>IS!J59/'BS &amp; FCF'!J4*4</f>
        <v>0.58148771128843868</v>
      </c>
      <c r="K139" s="456">
        <f>IS!K59/'BS &amp; FCF'!K4</f>
        <v>0.44902352763645487</v>
      </c>
      <c r="L139" s="455">
        <f>IS!L59/'BS &amp; FCF'!L4*4</f>
        <v>0.43346187329379093</v>
      </c>
      <c r="M139" s="455">
        <f>IS!M59/'BS &amp; FCF'!M4*4</f>
        <v>0.40732385081133943</v>
      </c>
      <c r="N139" s="455">
        <f>IS!N59/'BS &amp; FCF'!N4*4</f>
        <v>0.39655271808733178</v>
      </c>
      <c r="O139" s="455">
        <f>IS!O59/'BS &amp; FCF'!O4*4</f>
        <v>0.42067348657614623</v>
      </c>
      <c r="P139" s="456">
        <f>IS!P59/'BS &amp; FCF'!P4</f>
        <v>0.41392703930943658</v>
      </c>
      <c r="Q139" s="455">
        <f>IS!Q59/'BS &amp; FCF'!Q4*4</f>
        <v>0.34978971878057252</v>
      </c>
      <c r="R139" s="455">
        <f>IS!R59/'BS &amp; FCF'!R4*4</f>
        <v>0.4030473647516406</v>
      </c>
      <c r="S139" s="455">
        <f>IS!S59/'BS &amp; FCF'!S4*4</f>
        <v>0.39729354513520559</v>
      </c>
      <c r="T139" s="455">
        <f>IS!T59/'BS &amp; FCF'!T4*4</f>
        <v>0.38635863977859608</v>
      </c>
      <c r="U139" s="456">
        <f>IS!U59/'BS &amp; FCF'!U4</f>
        <v>0.37338187497006869</v>
      </c>
      <c r="V139" s="455">
        <f>IS!V59/'BS &amp; FCF'!V4*4</f>
        <v>0.36496144092071492</v>
      </c>
      <c r="W139" s="455">
        <f>IS!W59/'BS &amp; FCF'!W4*4</f>
        <v>0.39097282962034435</v>
      </c>
      <c r="X139" s="455">
        <f>IS!X59/'BS &amp; FCF'!X4*4</f>
        <v>0.46219719789569003</v>
      </c>
      <c r="Y139" s="455">
        <f>IS!Y59/'BS &amp; FCF'!Y4*4</f>
        <v>0.45617532195998217</v>
      </c>
      <c r="Z139" s="456">
        <f>IS!Z59/'BS &amp; FCF'!Z4</f>
        <v>0.43350683262432443</v>
      </c>
      <c r="AA139" s="455">
        <f>IS!AA59/'BS &amp; FCF'!AA4*4</f>
        <v>0.31072932156147776</v>
      </c>
      <c r="AB139" s="455">
        <f>IS!AB59/'BS &amp; FCF'!AB4*4</f>
        <v>0.34179093525470555</v>
      </c>
      <c r="AC139" s="455">
        <f>IS!AC59/'BS &amp; FCF'!AC4*4</f>
        <v>0.33919923486361359</v>
      </c>
      <c r="AD139" s="455">
        <f>IS!AD59/'BS &amp; FCF'!AD4*4</f>
        <v>0.3238294907894898</v>
      </c>
      <c r="AE139" s="456">
        <f>IS!AE59/'BS &amp; FCF'!AE4</f>
        <v>0.34103099016244676</v>
      </c>
      <c r="AF139" s="455">
        <f>IS!AF59/'BS &amp; FCF'!AF4*4</f>
        <v>0.25600883692891457</v>
      </c>
      <c r="AG139" s="455">
        <f>IS!AG59/'BS &amp; FCF'!AG4*4</f>
        <v>0.20942744145603712</v>
      </c>
      <c r="AH139" s="455">
        <f>IS!AH59/'BS &amp; FCF'!AH4*4</f>
        <v>0.27312805964658232</v>
      </c>
      <c r="AI139" s="455">
        <f>IS!AI59/'BS &amp; FCF'!AI4*4</f>
        <v>0.30935598620806809</v>
      </c>
      <c r="AJ139" s="456">
        <f>IS!AJ59/'BS &amp; FCF'!AJ4</f>
        <v>0.2689723030861304</v>
      </c>
      <c r="AK139" s="455">
        <f>IS!AK59/'BS &amp; FCF'!AK4*4</f>
        <v>0.23193737841189924</v>
      </c>
      <c r="AL139" s="455">
        <f>IS!AL59/'BS &amp; FCF'!AL4*4</f>
        <v>0.20273270963326573</v>
      </c>
      <c r="AM139" s="455">
        <f>IS!AM59/'BS &amp; FCF'!AM4*4</f>
        <v>0.21875615772784895</v>
      </c>
      <c r="AN139" s="455">
        <f>IS!AN59/'BS &amp; FCF'!AN4*4</f>
        <v>0.31103083668083414</v>
      </c>
      <c r="AO139" s="456">
        <f>IS!AO59/'BS &amp; FCF'!AO4</f>
        <v>0.25705518057372462</v>
      </c>
      <c r="AP139" s="455">
        <f>IS!AP59/'BS &amp; FCF'!AP4*4</f>
        <v>0.18674241258713364</v>
      </c>
      <c r="AQ139" s="455">
        <f>IS!AQ59/'BS &amp; FCF'!AQ4*4</f>
        <v>0.25555822730927685</v>
      </c>
      <c r="AR139" s="455">
        <f>IS!AR59/'BS &amp; FCF'!AR4*4</f>
        <v>0.27613432892681627</v>
      </c>
      <c r="AS139" s="455">
        <f>IS!AS59/'BS &amp; FCF'!AS4*4</f>
        <v>0.43835247955391998</v>
      </c>
      <c r="AT139" s="456">
        <f>IS!AT59/'BS &amp; FCF'!AT4</f>
        <v>0.29423930652821756</v>
      </c>
      <c r="AU139" s="455">
        <f>IS!AU59/'BS &amp; FCF'!AU4*4</f>
        <v>0.33922862107541502</v>
      </c>
      <c r="AV139" s="455">
        <f>IS!AV59/'BS &amp; FCF'!AV4*4</f>
        <v>0.38337702982491489</v>
      </c>
      <c r="AW139" s="455">
        <f>IS!AW59/'BS &amp; FCF'!AW4*4</f>
        <v>0.37497708439721233</v>
      </c>
      <c r="AX139" s="455">
        <f>IS!AX59/'BS &amp; FCF'!AX4*4</f>
        <v>0.49388602750281396</v>
      </c>
      <c r="AY139" s="456">
        <f>IS!AY59/'BS &amp; FCF'!AY4</f>
        <v>0.39356331308124792</v>
      </c>
      <c r="AZ139" s="455">
        <f>IS!AZ59/'BS &amp; FCF'!AZ4*4</f>
        <v>0.29725705152473697</v>
      </c>
      <c r="BA139" s="455">
        <f>IS!BA59/'BS &amp; FCF'!BA4*4</f>
        <v>0.30757322165759776</v>
      </c>
      <c r="BB139" s="455">
        <f>IS!BB59/'BS &amp; FCF'!BB4*4</f>
        <v>0.40854113881909443</v>
      </c>
      <c r="BC139" s="455">
        <f>IS!BC59/'BS &amp; FCF'!BC4*4</f>
        <v>0.3696473109936167</v>
      </c>
      <c r="BD139" s="456">
        <f>IS!BD59/'BS &amp; FCF'!BD4</f>
        <v>0.33441671740747664</v>
      </c>
      <c r="BE139" s="455">
        <f>IS!BE59/'BS &amp; FCF'!BE4*4</f>
        <v>0.34441987757819842</v>
      </c>
      <c r="BF139" s="455">
        <f>IS!BF59/'BS &amp; FCF'!BF4*4</f>
        <v>0.38201556510650936</v>
      </c>
      <c r="BG139" s="455">
        <f>IS!BG59/'BS &amp; FCF'!BG4*4</f>
        <v>0.39150413428826497</v>
      </c>
      <c r="BH139" s="455">
        <f>IS!BH59/'BS &amp; FCF'!BH4*4</f>
        <v>0.38052939166269906</v>
      </c>
      <c r="BI139" s="456">
        <f>IS!BI59/'BS &amp; FCF'!BI4</f>
        <v>0.34612919283557675</v>
      </c>
      <c r="BJ139" s="455">
        <f>IS!BJ59/'BS &amp; FCF'!BJ4*4</f>
        <v>0.34652727007489437</v>
      </c>
      <c r="BK139" s="455">
        <f>IS!BK59/'BS &amp; FCF'!BK4*4</f>
        <v>0.339160492433764</v>
      </c>
      <c r="BL139" s="455">
        <f>IS!BL59/'BS &amp; FCF'!BL4*4</f>
        <v>0.39772845215930414</v>
      </c>
      <c r="BM139" s="455">
        <f>IS!BM59/'BS &amp; FCF'!BM4*4</f>
        <v>0.33113635096903477</v>
      </c>
      <c r="BN139" s="456">
        <f>IS!BN59/'BS &amp; FCF'!BN4</f>
        <v>0.32682666492110968</v>
      </c>
      <c r="BO139" s="455">
        <f>IS!BO59/'BS &amp; FCF'!BO4*4</f>
        <v>0.31454322430908627</v>
      </c>
      <c r="BP139" s="455">
        <f>IS!BP59/'BS &amp; FCF'!BP4*4</f>
        <v>0.38824143548446438</v>
      </c>
      <c r="BQ139" s="455">
        <f>IS!BQ59/'BS &amp; FCF'!BQ4*4</f>
        <v>0.38206267205514061</v>
      </c>
      <c r="BR139" s="455">
        <f>IS!BR59/'BS &amp; FCF'!BR4*4</f>
        <v>0.39380837247858524</v>
      </c>
      <c r="BS139" s="456">
        <f>IS!BS59/'BS &amp; FCF'!BS4</f>
        <v>0.35994629041171594</v>
      </c>
      <c r="BT139" s="455">
        <f>IS!BT59/'BS &amp; FCF'!BT4*4</f>
        <v>0.36029129355386258</v>
      </c>
      <c r="BU139" s="455">
        <f>IS!BU59/'BS &amp; FCF'!BU4*4</f>
        <v>0.40675867232682344</v>
      </c>
      <c r="BV139" s="455">
        <f>IS!BV59/'BS &amp; FCF'!BV4*4</f>
        <v>0.41476458190339688</v>
      </c>
      <c r="BW139" s="455">
        <f>IS!BW59/'BS &amp; FCF'!BW4*4</f>
        <v>0.47196901910563183</v>
      </c>
      <c r="BX139" s="456">
        <f>IS!BX59/'BS &amp; FCF'!BX4</f>
        <v>0.37501540655267873</v>
      </c>
      <c r="BY139" s="455">
        <f>IS!BY59/'BS &amp; FCF'!BY4*4</f>
        <v>0.35751912728630891</v>
      </c>
      <c r="BZ139" s="455">
        <f>IS!BZ59/'BS &amp; FCF'!BZ4*4</f>
        <v>0.35996569176563509</v>
      </c>
      <c r="CA139" s="455">
        <f>IS!CA59/'BS &amp; FCF'!CA4*4</f>
        <v>0.34122816559276331</v>
      </c>
      <c r="CB139" s="455">
        <f>IS!CB59/'BS &amp; FCF'!CB4*4</f>
        <v>0.49562568745694385</v>
      </c>
      <c r="CC139" s="456">
        <f>IS!CC59/'BS &amp; FCF'!CC4</f>
        <v>0.36091765790621971</v>
      </c>
      <c r="CD139" s="455">
        <f>IS!CD59/'BS &amp; FCF'!CD4*4</f>
        <v>0.30321571874617476</v>
      </c>
      <c r="CE139" s="455">
        <f>IS!CE59/'BS &amp; FCF'!CE4*4</f>
        <v>0.35772039799004324</v>
      </c>
      <c r="CF139" s="455">
        <f ca="1">IS!CF59/'BS &amp; FCF'!CF4*4</f>
        <v>0.37220786868899242</v>
      </c>
      <c r="CG139" s="455">
        <f ca="1">IS!CG59/'BS &amp; FCF'!CG4*4</f>
        <v>0.38961466982633874</v>
      </c>
      <c r="CH139" s="456">
        <f ca="1">IS!CH59/'BS &amp; FCF'!CH4</f>
        <v>0.34134242817961052</v>
      </c>
      <c r="CI139" s="455">
        <f ca="1">IS!CI59/'BS &amp; FCF'!CI4*4</f>
        <v>0.35645019040781484</v>
      </c>
      <c r="CJ139" s="455">
        <f ca="1">IS!CJ59/'BS &amp; FCF'!CJ4*4</f>
        <v>0.36721360659992447</v>
      </c>
      <c r="CK139" s="455">
        <f ca="1">IS!CK59/'BS &amp; FCF'!CK4*4</f>
        <v>0.37689941779431851</v>
      </c>
      <c r="CL139" s="455">
        <f ca="1">IS!CL59/'BS &amp; FCF'!CL4*4</f>
        <v>0.38785722487618735</v>
      </c>
      <c r="CM139" s="456">
        <f ca="1">IS!CM59/'BS &amp; FCF'!CM4</f>
        <v>0.36221177511564395</v>
      </c>
      <c r="CN139" s="455">
        <f ca="1">IS!CN59/'BS &amp; FCF'!CN4*4</f>
        <v>0.3764471900191097</v>
      </c>
      <c r="CO139" s="455">
        <f ca="1">IS!CO59/'BS &amp; FCF'!CO4*4</f>
        <v>0.39480880946053049</v>
      </c>
      <c r="CP139" s="455">
        <f ca="1">IS!CP59/'BS &amp; FCF'!CP4*4</f>
        <v>0.40067292186008818</v>
      </c>
      <c r="CQ139" s="455">
        <f ca="1">IS!CQ59/'BS &amp; FCF'!CQ4*4</f>
        <v>0.41657237907082384</v>
      </c>
      <c r="CR139" s="456">
        <f ca="1">IS!CR59/'BS &amp; FCF'!CR4</f>
        <v>0.38812218508458984</v>
      </c>
      <c r="CS139" s="455">
        <f ca="1">IS!CS59/'BS &amp; FCF'!CS4*4</f>
        <v>0.39735468189105999</v>
      </c>
      <c r="CT139" s="455">
        <f ca="1">IS!CT59/'BS &amp; FCF'!CT4*4</f>
        <v>0.41625468118955228</v>
      </c>
      <c r="CU139" s="455">
        <f ca="1">IS!CU59/'BS &amp; FCF'!CU4*4</f>
        <v>0.42001599206277357</v>
      </c>
      <c r="CV139" s="455">
        <f ca="1">IS!CV59/'BS &amp; FCF'!CV4*4</f>
        <v>0.43382675642675189</v>
      </c>
      <c r="CW139" s="456">
        <f ca="1">IS!CW59/'BS &amp; FCF'!CW4</f>
        <v>0.40778212759475702</v>
      </c>
      <c r="CX139" s="455">
        <f ca="1">IS!CX59/'BS &amp; FCF'!CX4*4</f>
        <v>0.41195934235711151</v>
      </c>
      <c r="CY139" s="455">
        <f ca="1">IS!CY59/'BS &amp; FCF'!CY4*4</f>
        <v>0.43174460555128563</v>
      </c>
      <c r="CZ139" s="455">
        <f ca="1">IS!CZ59/'BS &amp; FCF'!CZ4*4</f>
        <v>0.43647444926937645</v>
      </c>
      <c r="DA139" s="455">
        <f ca="1">IS!DA59/'BS &amp; FCF'!DA4*4</f>
        <v>0.45324655917177359</v>
      </c>
      <c r="DB139" s="456">
        <f ca="1">IS!DB59/'BS &amp; FCF'!DB4</f>
        <v>0.42805183935128904</v>
      </c>
    </row>
    <row r="140" spans="1:106" ht="11.5" customHeight="1" outlineLevel="1" x14ac:dyDescent="0.35">
      <c r="A140" s="163" t="s">
        <v>223</v>
      </c>
      <c r="B140" s="221">
        <f t="shared" ref="B140:AG140" si="321">B4/B43</f>
        <v>2.6990294585935906</v>
      </c>
      <c r="C140" s="221">
        <f t="shared" si="321"/>
        <v>2.673211185379373</v>
      </c>
      <c r="D140" s="221">
        <f t="shared" si="321"/>
        <v>2.6485515773509034</v>
      </c>
      <c r="E140" s="221">
        <f t="shared" si="321"/>
        <v>2.7834546790924724</v>
      </c>
      <c r="F140" s="220">
        <f t="shared" si="321"/>
        <v>2.7834546790924724</v>
      </c>
      <c r="G140" s="221">
        <f t="shared" si="321"/>
        <v>2.8416302884215021</v>
      </c>
      <c r="H140" s="221">
        <f t="shared" si="321"/>
        <v>2.8847745989085913</v>
      </c>
      <c r="I140" s="221">
        <f t="shared" si="321"/>
        <v>2.9964841453515945</v>
      </c>
      <c r="J140" s="221">
        <f t="shared" si="321"/>
        <v>3.0023147745768219</v>
      </c>
      <c r="K140" s="220">
        <f t="shared" si="321"/>
        <v>3.0023147745768219</v>
      </c>
      <c r="L140" s="221">
        <f t="shared" si="321"/>
        <v>2.897852822092748</v>
      </c>
      <c r="M140" s="221">
        <f t="shared" si="321"/>
        <v>2.8184799226446513</v>
      </c>
      <c r="N140" s="221">
        <f t="shared" si="321"/>
        <v>2.732586696270467</v>
      </c>
      <c r="O140" s="221">
        <f t="shared" si="321"/>
        <v>2.6881141168678191</v>
      </c>
      <c r="P140" s="220">
        <f t="shared" si="321"/>
        <v>2.6881141168678191</v>
      </c>
      <c r="Q140" s="221">
        <f t="shared" si="321"/>
        <v>2.6490725677716944</v>
      </c>
      <c r="R140" s="221">
        <f t="shared" si="321"/>
        <v>2.5332452986699945</v>
      </c>
      <c r="S140" s="221">
        <f t="shared" si="321"/>
        <v>2.5275576233657349</v>
      </c>
      <c r="T140" s="221">
        <f t="shared" si="321"/>
        <v>2.634217270986531</v>
      </c>
      <c r="U140" s="220">
        <f t="shared" si="321"/>
        <v>2.634217270986531</v>
      </c>
      <c r="V140" s="221">
        <f t="shared" si="321"/>
        <v>2.5834147643934959</v>
      </c>
      <c r="W140" s="221">
        <f t="shared" si="321"/>
        <v>2.4588972792936064</v>
      </c>
      <c r="X140" s="221">
        <f t="shared" si="321"/>
        <v>2.4273069738112736</v>
      </c>
      <c r="Y140" s="221">
        <f t="shared" si="321"/>
        <v>2.3715137289716668</v>
      </c>
      <c r="Z140" s="220">
        <f t="shared" si="321"/>
        <v>2.3715137289716668</v>
      </c>
      <c r="AA140" s="221">
        <f t="shared" si="321"/>
        <v>2.3383989512319707</v>
      </c>
      <c r="AB140" s="221">
        <f t="shared" si="321"/>
        <v>2.3876381766085442</v>
      </c>
      <c r="AC140" s="221">
        <f t="shared" si="321"/>
        <v>2.2633832322601148</v>
      </c>
      <c r="AD140" s="221">
        <f t="shared" si="321"/>
        <v>2.1623059318574707</v>
      </c>
      <c r="AE140" s="220">
        <f t="shared" si="321"/>
        <v>2.1623059318574707</v>
      </c>
      <c r="AF140" s="221">
        <f t="shared" si="321"/>
        <v>2.1279875897501199</v>
      </c>
      <c r="AG140" s="221">
        <f t="shared" si="321"/>
        <v>2.0402856775292739</v>
      </c>
      <c r="AH140" s="221">
        <f t="shared" ref="AH140:BM140" si="322">AH4/AH43</f>
        <v>2.0076560533330938</v>
      </c>
      <c r="AI140" s="221">
        <f t="shared" si="322"/>
        <v>1.9754865507197406</v>
      </c>
      <c r="AJ140" s="220">
        <f t="shared" si="322"/>
        <v>1.9754865507197406</v>
      </c>
      <c r="AK140" s="221">
        <f t="shared" si="322"/>
        <v>1.9837771564420388</v>
      </c>
      <c r="AL140" s="221">
        <f t="shared" si="322"/>
        <v>1.9286438184252064</v>
      </c>
      <c r="AM140" s="221">
        <f t="shared" si="322"/>
        <v>1.8608568763732294</v>
      </c>
      <c r="AN140" s="221">
        <f t="shared" si="322"/>
        <v>1.7556555380784935</v>
      </c>
      <c r="AO140" s="220">
        <f t="shared" si="322"/>
        <v>1.7556555380784935</v>
      </c>
      <c r="AP140" s="221">
        <f t="shared" si="322"/>
        <v>1.6997953152678469</v>
      </c>
      <c r="AQ140" s="221">
        <f t="shared" si="322"/>
        <v>1.838978123296638</v>
      </c>
      <c r="AR140" s="221">
        <f t="shared" si="322"/>
        <v>1.9728966288676588</v>
      </c>
      <c r="AS140" s="221">
        <f t="shared" si="322"/>
        <v>1.9091339927296007</v>
      </c>
      <c r="AT140" s="220">
        <f t="shared" si="322"/>
        <v>1.9091339927296007</v>
      </c>
      <c r="AU140" s="221">
        <f t="shared" si="322"/>
        <v>1.8755336376531031</v>
      </c>
      <c r="AV140" s="221">
        <f t="shared" si="322"/>
        <v>1.8991877031980944</v>
      </c>
      <c r="AW140" s="221">
        <f t="shared" si="322"/>
        <v>1.9505107894178322</v>
      </c>
      <c r="AX140" s="221">
        <f t="shared" si="322"/>
        <v>2.0972258385310192</v>
      </c>
      <c r="AY140" s="220">
        <f t="shared" si="322"/>
        <v>2.0972258385310192</v>
      </c>
      <c r="AZ140" s="221">
        <f t="shared" si="322"/>
        <v>2.1482194482002224</v>
      </c>
      <c r="BA140" s="221">
        <f t="shared" si="322"/>
        <v>2.2456681437107258</v>
      </c>
      <c r="BB140" s="221">
        <f t="shared" si="322"/>
        <v>1.8194260329815581</v>
      </c>
      <c r="BC140" s="221">
        <f t="shared" si="322"/>
        <v>2.0771081903518298</v>
      </c>
      <c r="BD140" s="220">
        <f t="shared" si="322"/>
        <v>2.0771081903518298</v>
      </c>
      <c r="BE140" s="221">
        <f t="shared" si="322"/>
        <v>2.046474712056674</v>
      </c>
      <c r="BF140" s="221">
        <f t="shared" si="322"/>
        <v>2.0758493405302123</v>
      </c>
      <c r="BG140" s="221">
        <f t="shared" si="322"/>
        <v>2.1235095830809279</v>
      </c>
      <c r="BH140" s="221">
        <f t="shared" si="322"/>
        <v>2.233148415018138</v>
      </c>
      <c r="BI140" s="220">
        <f t="shared" si="322"/>
        <v>2.233148415018138</v>
      </c>
      <c r="BJ140" s="221">
        <f t="shared" si="322"/>
        <v>2.2364123864752692</v>
      </c>
      <c r="BK140" s="221">
        <f t="shared" si="322"/>
        <v>2.2736512666786854</v>
      </c>
      <c r="BL140" s="221">
        <f t="shared" si="322"/>
        <v>2.5581394514426958</v>
      </c>
      <c r="BM140" s="221">
        <f t="shared" si="322"/>
        <v>2.3252926530355484</v>
      </c>
      <c r="BN140" s="220">
        <f t="shared" ref="BN140:CS140" si="323">BN4/BN43</f>
        <v>2.3252926530355484</v>
      </c>
      <c r="BO140" s="221">
        <f t="shared" si="323"/>
        <v>2.2598311364979744</v>
      </c>
      <c r="BP140" s="221">
        <f t="shared" si="323"/>
        <v>2.2373927856191105</v>
      </c>
      <c r="BQ140" s="221">
        <f t="shared" si="323"/>
        <v>2.1874158673800066</v>
      </c>
      <c r="BR140" s="221">
        <f t="shared" si="323"/>
        <v>2.2588335159650268</v>
      </c>
      <c r="BS140" s="220">
        <f t="shared" si="323"/>
        <v>2.2588335159650268</v>
      </c>
      <c r="BT140" s="221">
        <f t="shared" si="323"/>
        <v>2.2624435204013218</v>
      </c>
      <c r="BU140" s="221">
        <f t="shared" si="323"/>
        <v>2.1485489204563106</v>
      </c>
      <c r="BV140" s="221">
        <f t="shared" si="323"/>
        <v>2.1883377525282874</v>
      </c>
      <c r="BW140" s="221">
        <f t="shared" si="323"/>
        <v>2.3880572415230619</v>
      </c>
      <c r="BX140" s="220">
        <f t="shared" si="323"/>
        <v>2.3880572415230619</v>
      </c>
      <c r="BY140" s="221">
        <f t="shared" si="323"/>
        <v>2.4214444490255356</v>
      </c>
      <c r="BZ140" s="221">
        <f>BZ4/BZ43</f>
        <v>2.3926635149778113</v>
      </c>
      <c r="CA140" s="221">
        <f>CA4/CA43</f>
        <v>2.3913101900518545</v>
      </c>
      <c r="CB140" s="221">
        <f t="shared" ref="CB140" si="324">CB4/CB43</f>
        <v>2.5529505803578849</v>
      </c>
      <c r="CC140" s="220">
        <f t="shared" si="323"/>
        <v>2.5529505803578849</v>
      </c>
      <c r="CD140" s="221">
        <f t="shared" ref="CD140" si="325">CD4/CD43</f>
        <v>2.5152115933219541</v>
      </c>
      <c r="CE140" s="221">
        <f>CE4/CE43</f>
        <v>2.4839546541576336</v>
      </c>
      <c r="CF140" s="221">
        <f t="shared" ca="1" si="323"/>
        <v>2.4416776424028379</v>
      </c>
      <c r="CG140" s="221">
        <f t="shared" ca="1" si="323"/>
        <v>2.3860269344250291</v>
      </c>
      <c r="CH140" s="220">
        <f t="shared" ca="1" si="323"/>
        <v>2.3860269344250291</v>
      </c>
      <c r="CI140" s="221">
        <f t="shared" ca="1" si="323"/>
        <v>2.5281892147554381</v>
      </c>
      <c r="CJ140" s="221">
        <f t="shared" ca="1" si="323"/>
        <v>2.391913145008508</v>
      </c>
      <c r="CK140" s="221">
        <f t="shared" ca="1" si="323"/>
        <v>2.3419877220972891</v>
      </c>
      <c r="CL140" s="221">
        <f t="shared" ca="1" si="323"/>
        <v>2.2878970594186443</v>
      </c>
      <c r="CM140" s="220">
        <f t="shared" ca="1" si="323"/>
        <v>2.2878970594186443</v>
      </c>
      <c r="CN140" s="221">
        <f t="shared" ca="1" si="323"/>
        <v>2.5700430900699667</v>
      </c>
      <c r="CO140" s="221">
        <f t="shared" ca="1" si="323"/>
        <v>2.3609316352650254</v>
      </c>
      <c r="CP140" s="221">
        <f t="shared" ca="1" si="323"/>
        <v>2.3121997595091197</v>
      </c>
      <c r="CQ140" s="221">
        <f t="shared" ca="1" si="323"/>
        <v>2.2604791830534956</v>
      </c>
      <c r="CR140" s="220">
        <f t="shared" ca="1" si="323"/>
        <v>2.2604791830534956</v>
      </c>
      <c r="CS140" s="221">
        <f t="shared" ca="1" si="323"/>
        <v>2.5517559629415754</v>
      </c>
      <c r="CT140" s="221">
        <f t="shared" ref="CT140:DB140" ca="1" si="326">CT4/CT43</f>
        <v>2.3294477599697294</v>
      </c>
      <c r="CU140" s="221">
        <f t="shared" ca="1" si="326"/>
        <v>2.2762828415620544</v>
      </c>
      <c r="CV140" s="221">
        <f t="shared" ca="1" si="326"/>
        <v>2.2247947342770593</v>
      </c>
      <c r="CW140" s="220">
        <f t="shared" ca="1" si="326"/>
        <v>2.2247947342770593</v>
      </c>
      <c r="CX140" s="221">
        <f t="shared" ca="1" si="326"/>
        <v>2.5251880012332832</v>
      </c>
      <c r="CY140" s="221">
        <f t="shared" ca="1" si="326"/>
        <v>2.2922890659263113</v>
      </c>
      <c r="CZ140" s="221">
        <f t="shared" ca="1" si="326"/>
        <v>2.2247555175199976</v>
      </c>
      <c r="DA140" s="221">
        <f t="shared" ca="1" si="326"/>
        <v>2.1499809063643553</v>
      </c>
      <c r="DB140" s="220">
        <f t="shared" ca="1" si="326"/>
        <v>2.1499809063643553</v>
      </c>
    </row>
    <row r="141" spans="1:106" ht="11.5" customHeight="1" outlineLevel="1" x14ac:dyDescent="0.35">
      <c r="A141" s="167" t="s">
        <v>226</v>
      </c>
      <c r="B141" s="222"/>
      <c r="C141" s="222">
        <f>C138*AVERAGE(B139:C139)*AVERAGE(B140:C140)</f>
        <v>0.16140534929587169</v>
      </c>
      <c r="D141" s="222">
        <f>D138*AVERAGE(C139:D139)*AVERAGE(C140:D140)</f>
        <v>0.1720382856369069</v>
      </c>
      <c r="E141" s="222">
        <f>E138*AVERAGE(D139:E139)*AVERAGE(D140:E140)</f>
        <v>6.9555827800506578E-2</v>
      </c>
      <c r="F141" s="223">
        <f>F138*AVERAGE(B139:E139)*AVERAGE(B140:E140)</f>
        <v>0.14485500627541331</v>
      </c>
      <c r="G141" s="222">
        <f>G138*AVERAGE(F139:G139)*AVERAGE(F140:G140)</f>
        <v>6.8689857145397187E-2</v>
      </c>
      <c r="H141" s="222">
        <f>H138*AVERAGE(G139:H139)*AVERAGE(G140:H140)</f>
        <v>9.1554911917321111E-2</v>
      </c>
      <c r="I141" s="222">
        <f>I138*AVERAGE(H139:I139)*AVERAGE(H140:I140)</f>
        <v>0.12312719266180702</v>
      </c>
      <c r="J141" s="222">
        <f>J138*AVERAGE(I139:J139)*AVERAGE(I140:J140)</f>
        <v>0.16143971687526917</v>
      </c>
      <c r="K141" s="223">
        <f>K138*AVERAGE(G139:J139)*AVERAGE(G140:J140)</f>
        <v>0.1186343348152432</v>
      </c>
      <c r="L141" s="222">
        <f>L138*AVERAGE(K139:L139)*AVERAGE(K140:L140)</f>
        <v>0.12064656086942904</v>
      </c>
      <c r="M141" s="222">
        <f>M138*AVERAGE(L139:M139)*AVERAGE(L140:M140)</f>
        <v>0.12381450026873658</v>
      </c>
      <c r="N141" s="222">
        <f>N138*AVERAGE(M139:N139)*AVERAGE(M140:N140)</f>
        <v>0.12428562185807622</v>
      </c>
      <c r="O141" s="222">
        <f>O138*AVERAGE(N139:O139)*AVERAGE(N140:O140)</f>
        <v>0.19276961959102137</v>
      </c>
      <c r="P141" s="223">
        <f>P138*AVERAGE(L139:O139)*AVERAGE(L140:O140)</f>
        <v>0.13894620186239603</v>
      </c>
      <c r="Q141" s="222">
        <f>Q138*AVERAGE(P139:Q139)*AVERAGE(P140:Q140)</f>
        <v>0.14499200012608732</v>
      </c>
      <c r="R141" s="222">
        <f>R138*AVERAGE(Q139:R139)*AVERAGE(Q140:R140)</f>
        <v>0.13416134952042594</v>
      </c>
      <c r="S141" s="222">
        <f>S138*AVERAGE(R139:S139)*AVERAGE(R140:S140)</f>
        <v>0.12679038356321362</v>
      </c>
      <c r="T141" s="222">
        <f>T138*AVERAGE(S139:T139)*AVERAGE(S140:T140)</f>
        <v>0.13282314773726989</v>
      </c>
      <c r="U141" s="223">
        <f>U138*AVERAGE(Q139:T139)*AVERAGE(Q140:T140)</f>
        <v>0.13292384427948728</v>
      </c>
      <c r="V141" s="222">
        <f>V138*AVERAGE(U139:V139)*AVERAGE(U140:V140)</f>
        <v>0.11967940160270248</v>
      </c>
      <c r="W141" s="222">
        <f>W138*AVERAGE(V139:W139)*AVERAGE(V140:W140)</f>
        <v>0.11848472665284607</v>
      </c>
      <c r="X141" s="222">
        <f>X138*AVERAGE(W139:X139)*AVERAGE(W140:X140)</f>
        <v>0.11568882095586987</v>
      </c>
      <c r="Y141" s="222">
        <f>Y138*AVERAGE(X139:Y139)*AVERAGE(X140:Y140)</f>
        <v>0.10799586854245974</v>
      </c>
      <c r="Z141" s="223">
        <f>Z138*AVERAGE(V139:Y139)*AVERAGE(V140:Y140)</f>
        <v>0.11709034086068604</v>
      </c>
      <c r="AA141" s="222">
        <f>AA138*AVERAGE(Z139:AA139)*AVERAGE(Z140:AA140)</f>
        <v>8.5109235963696656E-2</v>
      </c>
      <c r="AB141" s="222">
        <f>AB138*AVERAGE(AA139:AB139)*AVERAGE(AA140:AB140)</f>
        <v>7.9967580673781027E-2</v>
      </c>
      <c r="AC141" s="222">
        <f>AC138*AVERAGE(AB139:AC139)*AVERAGE(AB140:AC140)</f>
        <v>9.1333180826805888E-2</v>
      </c>
      <c r="AD141" s="222">
        <f>AD138*AVERAGE(AC139:AD139)*AVERAGE(AC140:AD140)</f>
        <v>6.9775287881299497E-2</v>
      </c>
      <c r="AE141" s="223">
        <f>AE138*AVERAGE(AA139:AD139)*AVERAGE(AA140:AD140)</f>
        <v>7.761862745545936E-2</v>
      </c>
      <c r="AF141" s="222">
        <f>AF138*AVERAGE(AE139:AF139)*AVERAGE(AE140:AF140)</f>
        <v>4.8398175090861424E-2</v>
      </c>
      <c r="AG141" s="222">
        <f>AG138*AVERAGE(AF139:AG139)*AVERAGE(AF140:AG140)</f>
        <v>3.3823045137448632E-2</v>
      </c>
      <c r="AH141" s="222">
        <f>AH138*AVERAGE(AG139:AH139)*AVERAGE(AG140:AH140)</f>
        <v>8.5517830272874226E-3</v>
      </c>
      <c r="AI141" s="222">
        <f>AI138*AVERAGE(AH139:AI139)*AVERAGE(AH140:AI140)</f>
        <v>1.9528458819587608E-2</v>
      </c>
      <c r="AJ141" s="223">
        <f>AJ138*AVERAGE(AF139:AI139)*AVERAGE(AF140:AI140)</f>
        <v>2.5288117289351129E-2</v>
      </c>
      <c r="AK141" s="222">
        <f>AK138*AVERAGE(AJ139:AK139)*AVERAGE(AJ140:AK140)</f>
        <v>2.8822446580263231E-3</v>
      </c>
      <c r="AL141" s="222">
        <f>AL138*AVERAGE(AK139:AL139)*AVERAGE(AK140:AL140)</f>
        <v>-0.10431990325551446</v>
      </c>
      <c r="AM141" s="222">
        <f>AM138*AVERAGE(AL139:AM139)*AVERAGE(AL140:AM140)</f>
        <v>-4.5172275682174162E-3</v>
      </c>
      <c r="AN141" s="222">
        <f>AN138*AVERAGE(AM139:AN139)*AVERAGE(AM140:AN140)</f>
        <v>2.8878300363731249E-2</v>
      </c>
      <c r="AO141" s="223">
        <f>AO138*AVERAGE(AK139:AN139)*AVERAGE(AK140:AN140)</f>
        <v>-1.6125538395796394E-2</v>
      </c>
      <c r="AP141" s="222">
        <f>AP138*AVERAGE(AO139:AP139)*AVERAGE(AO140:AP140)</f>
        <v>-4.3631402412269003E-2</v>
      </c>
      <c r="AQ141" s="222">
        <f>AQ138*AVERAGE(AP139:AQ139)*AVERAGE(AP140:AQ140)</f>
        <v>-1.7399111838616581E-2</v>
      </c>
      <c r="AR141" s="222">
        <f>AR138*AVERAGE(AQ139:AR139)*AVERAGE(AQ140:AR140)</f>
        <v>-8.4411958415194249E-2</v>
      </c>
      <c r="AS141" s="222">
        <f>AS138*AVERAGE(AR139:AS139)*AVERAGE(AR140:AS140)</f>
        <v>6.1870214773522517E-2</v>
      </c>
      <c r="AT141" s="223">
        <f>AT138*AVERAGE(AP139:AS139)*AVERAGE(AP140:AS140)</f>
        <v>-1.9360173256877819E-2</v>
      </c>
      <c r="AU141" s="222">
        <f>AU138*AVERAGE(AT139:AU139)*AVERAGE(AT140:AU140)</f>
        <v>3.5117480896251087E-2</v>
      </c>
      <c r="AV141" s="222">
        <f>AV138*AVERAGE(AU139:AV139)*AVERAGE(AU140:AV140)</f>
        <v>8.2877704927293377E-2</v>
      </c>
      <c r="AW141" s="222">
        <f>AW138*AVERAGE(AV139:AW139)*AVERAGE(AV140:AW140)</f>
        <v>8.150211746743824E-2</v>
      </c>
      <c r="AX141" s="222">
        <f>AX138*AVERAGE(AW139:AX139)*AVERAGE(AW140:AX140)</f>
        <v>0.10638501740750841</v>
      </c>
      <c r="AY141" s="223">
        <f>AY138*AVERAGE(AU139:AX139)*AVERAGE(AU140:AX140)</f>
        <v>8.2312782182443631E-2</v>
      </c>
      <c r="AZ141" s="222">
        <f>AZ138*AVERAGE(AY139:AZ139)*AVERAGE(AY140:AZ140)</f>
        <v>2.6782723585032489E-2</v>
      </c>
      <c r="BA141" s="222">
        <f>BA138*AVERAGE(AZ139:BA139)*AVERAGE(AZ140:BA140)</f>
        <v>5.3710606505097229E-2</v>
      </c>
      <c r="BB141" s="222">
        <f>BB138*AVERAGE(BA139:BB139)*AVERAGE(BA140:BB140)</f>
        <v>0.15655010998593261</v>
      </c>
      <c r="BC141" s="222">
        <f>BC138*AVERAGE(BB139:BC139)*AVERAGE(BB140:BC140)</f>
        <v>0.1874153076009312</v>
      </c>
      <c r="BD141" s="223">
        <f>BD138*AVERAGE(AZ139:BC139)*AVERAGE(AZ140:BC140)</f>
        <v>0.11380847212302084</v>
      </c>
      <c r="BE141" s="222">
        <f>BE138*AVERAGE(BD139:BE139)*AVERAGE(BD140:BE140)</f>
        <v>0.13406259504974052</v>
      </c>
      <c r="BF141" s="222">
        <f>BF138*AVERAGE(BE139:BF139)*AVERAGE(BE140:BF140)</f>
        <v>0.16909223834694445</v>
      </c>
      <c r="BG141" s="222">
        <f>BG138*AVERAGE(BF139:BG139)*AVERAGE(BF140:BG140)</f>
        <v>0.14973170820910447</v>
      </c>
      <c r="BH141" s="222">
        <f>BH138*AVERAGE(BG139:BH139)*AVERAGE(BG140:BH140)</f>
        <v>0.13892669707876457</v>
      </c>
      <c r="BI141" s="223">
        <f>BI138*AVERAGE(BE139:BH139)*AVERAGE(BE140:BH140)</f>
        <v>0.15155675524007289</v>
      </c>
      <c r="BJ141" s="222">
        <f>BJ138*AVERAGE(BI139:BJ139)*AVERAGE(BI140:BJ140)</f>
        <v>0.1016439905024836</v>
      </c>
      <c r="BK141" s="222">
        <f>BK138*AVERAGE(BJ139:BK139)*AVERAGE(BJ140:BK140)</f>
        <v>9.3261614857399686E-2</v>
      </c>
      <c r="BL141" s="222">
        <f>BL138*AVERAGE(BK139:BL139)*AVERAGE(BK140:BL140)</f>
        <v>0.16472637675397109</v>
      </c>
      <c r="BM141" s="222">
        <f>BM138*AVERAGE(BL139:BM139)*AVERAGE(BL140:BM140)</f>
        <v>0.13481746493455643</v>
      </c>
      <c r="BN141" s="223">
        <f>BN138*AVERAGE(BJ139:BM139)*AVERAGE(BJ140:BM140)</f>
        <v>0.12411634817002908</v>
      </c>
      <c r="BO141" s="222">
        <f>BO138*AVERAGE(BN139:BO139)*AVERAGE(BN140:BO140)</f>
        <v>9.3701898840503423E-2</v>
      </c>
      <c r="BP141" s="222">
        <f>BP138*AVERAGE(BO139:BP139)*AVERAGE(BO140:BP140)</f>
        <v>0.13517894970829186</v>
      </c>
      <c r="BQ141" s="222">
        <f>BQ138*AVERAGE(BP139:BQ139)*AVERAGE(BP140:BQ140)</f>
        <v>0.13170582135688313</v>
      </c>
      <c r="BR141" s="222">
        <f>BR138*AVERAGE(BQ139:BR139)*AVERAGE(BQ140:BR140)</f>
        <v>0.12496472113307795</v>
      </c>
      <c r="BS141" s="223">
        <f>BS138*AVERAGE(BO139:BR139)*AVERAGE(BO140:BR140)</f>
        <v>0.12453119819423254</v>
      </c>
      <c r="BT141" s="222">
        <f>BT138*AVERAGE(BS139:BT139)*AVERAGE(BS140:BT140)</f>
        <v>0.13832588968388146</v>
      </c>
      <c r="BU141" s="222">
        <f>BU138*AVERAGE(BT139:BU139)*AVERAGE(BT140:BU140)</f>
        <v>0.18768259712205196</v>
      </c>
      <c r="BV141" s="222">
        <f>BV138*AVERAGE(BU139:BV139)*AVERAGE(BU140:BV140)</f>
        <v>0.16724635633197343</v>
      </c>
      <c r="BW141" s="222">
        <f>BW138*AVERAGE(BV139:BW139)*AVERAGE(BV140:BW140)</f>
        <v>0.23827191857565619</v>
      </c>
      <c r="BX141" s="223">
        <f>BX138*AVERAGE(BT139:BW139)*AVERAGE(BT140:BW140)</f>
        <v>0.19230406459107946</v>
      </c>
      <c r="BY141" s="222">
        <f>BY138*AVERAGE(BX139:BY139)*AVERAGE(BX140:BY140)</f>
        <v>0.14777779927589973</v>
      </c>
      <c r="BZ141" s="222">
        <f>BZ138*AVERAGE(BY139:BZ139)*AVERAGE(BY140:BZ140)</f>
        <v>0.1589252358031745</v>
      </c>
      <c r="CA141" s="222">
        <f>CA138*AVERAGE(BZ139:CA139)*AVERAGE(BZ140:CA140)</f>
        <v>0.15607219834114253</v>
      </c>
      <c r="CB141" s="222">
        <f>CB138*AVERAGE(CA139:CB139)*AVERAGE(CA140:CB140)</f>
        <v>0.19574383710249693</v>
      </c>
      <c r="CC141" s="223">
        <f>CC138*AVERAGE(BY139:CB139)*AVERAGE(BY140:CB140)</f>
        <v>0.17340704070917681</v>
      </c>
      <c r="CD141" s="222">
        <f>CD138*AVERAGE(CC139:CD139)*AVERAGE(CC140:CD140)</f>
        <v>0.1233225484211297</v>
      </c>
      <c r="CE141" s="222">
        <f>CE138*AVERAGE(CD139:CE139)*AVERAGE(CD140:CE140)</f>
        <v>0.15036702018738299</v>
      </c>
      <c r="CF141" s="222">
        <f ca="1">CF138*AVERAGE(CE139:CF139)*AVERAGE(CE140:CF140)</f>
        <v>0.17813704522057594</v>
      </c>
      <c r="CG141" s="222">
        <f ca="1">CG138*AVERAGE(CF139:CG139)*AVERAGE(CF140:CG140)</f>
        <v>0.1967173811501198</v>
      </c>
      <c r="CH141" s="223">
        <f ca="1">CH138*AVERAGE(CD139:CG139)*AVERAGE(CD140:CG140)</f>
        <v>0.16450222747294965</v>
      </c>
      <c r="CI141" s="222">
        <f ca="1">CI138*AVERAGE(CH139:CI139)*AVERAGE(CH140:CI140)</f>
        <v>0.19029653809118763</v>
      </c>
      <c r="CJ141" s="222">
        <f ca="1">CJ138*AVERAGE(CI139:CJ139)*AVERAGE(CI140:CJ140)</f>
        <v>0.17819665654047134</v>
      </c>
      <c r="CK141" s="222">
        <f ca="1">CK138*AVERAGE(CJ139:CK139)*AVERAGE(CJ140:CK140)</f>
        <v>0.1741662022451223</v>
      </c>
      <c r="CL141" s="222">
        <f ca="1">CL138*AVERAGE(CK139:CL139)*AVERAGE(CK140:CL140)</f>
        <v>0.18680175366018986</v>
      </c>
      <c r="CM141" s="223">
        <f ca="1">CM138*AVERAGE(CI139:CL139)*AVERAGE(CI140:CL140)</f>
        <v>0.18446880366650864</v>
      </c>
      <c r="CN141" s="222">
        <f ca="1">CN138*AVERAGE(CM139:CN139)*AVERAGE(CM140:CN140)</f>
        <v>0.20371957484051184</v>
      </c>
      <c r="CO141" s="222">
        <f ca="1">CO138*AVERAGE(CN139:CO139)*AVERAGE(CN140:CO140)</f>
        <v>0.19268773558012758</v>
      </c>
      <c r="CP141" s="222">
        <f ca="1">CP138*AVERAGE(CO139:CP139)*AVERAGE(CO140:CP140)</f>
        <v>0.18120174619288285</v>
      </c>
      <c r="CQ141" s="222">
        <f ca="1">CQ138*AVERAGE(CP139:CQ139)*AVERAGE(CP140:CQ140)</f>
        <v>0.18971504331577493</v>
      </c>
      <c r="CR141" s="223">
        <f ca="1">CR138*AVERAGE(CN139:CQ139)*AVERAGE(CN140:CQ140)</f>
        <v>0.19500392506302366</v>
      </c>
      <c r="CS141" s="222">
        <f ca="1">CS138*AVERAGE(CR139:CS139)*AVERAGE(CR140:CS140)</f>
        <v>0.21062337400923606</v>
      </c>
      <c r="CT141" s="222">
        <f ca="1">CT138*AVERAGE(CS139:CT139)*AVERAGE(CS140:CT140)</f>
        <v>0.19912273453798859</v>
      </c>
      <c r="CU141" s="222">
        <f ca="1">CU138*AVERAGE(CT139:CU139)*AVERAGE(CT140:CU140)</f>
        <v>0.18766235925065333</v>
      </c>
      <c r="CV141" s="222">
        <f ca="1">CV138*AVERAGE(CU139:CV139)*AVERAGE(CU140:CV140)</f>
        <v>0.19412628675947657</v>
      </c>
      <c r="CW141" s="223">
        <f ca="1">CW138*AVERAGE(CS139:CV139)*AVERAGE(CS140:CV140)</f>
        <v>0.2003637204183312</v>
      </c>
      <c r="CX141" s="222">
        <f ca="1">CX138*AVERAGE(CW139:CX139)*AVERAGE(CW140:CX140)</f>
        <v>0.22237089378240696</v>
      </c>
      <c r="CY141" s="222">
        <f ca="1">CY138*AVERAGE(CX139:CY139)*AVERAGE(CX140:CY140)</f>
        <v>0.20823950281964948</v>
      </c>
      <c r="CZ141" s="222">
        <f ca="1">CZ138*AVERAGE(CY139:CZ139)*AVERAGE(CY140:CZ140)</f>
        <v>0.19666421354825026</v>
      </c>
      <c r="DA141" s="222">
        <f ca="1">DA138*AVERAGE(CZ139:DA139)*AVERAGE(CZ140:DA140)</f>
        <v>0.20340985685934893</v>
      </c>
      <c r="DB141" s="223">
        <f ca="1">DB138*AVERAGE(CX139:DA139)*AVERAGE(CX140:DA140)</f>
        <v>0.20975617579424183</v>
      </c>
    </row>
    <row r="142" spans="1:106" s="85" customFormat="1" ht="11.5" customHeight="1" thickBot="1" x14ac:dyDescent="0.4">
      <c r="A142" s="124" t="s">
        <v>228</v>
      </c>
      <c r="B142" s="129" t="str">
        <f>Macro!B$3</f>
        <v>1Q10</v>
      </c>
      <c r="C142" s="129" t="str">
        <f>Macro!C$3</f>
        <v>2Q10</v>
      </c>
      <c r="D142" s="129" t="str">
        <f>Macro!D$3</f>
        <v>3Q10</v>
      </c>
      <c r="E142" s="130" t="str">
        <f>Macro!E$3</f>
        <v>4Q10</v>
      </c>
      <c r="F142" s="131" t="str">
        <f>Macro!F$3</f>
        <v>2010</v>
      </c>
      <c r="G142" s="129" t="str">
        <f>Macro!G$3</f>
        <v>1Q11</v>
      </c>
      <c r="H142" s="129" t="str">
        <f>Macro!H$3</f>
        <v>2Q11</v>
      </c>
      <c r="I142" s="129" t="str">
        <f>Macro!I$3</f>
        <v>3Q11</v>
      </c>
      <c r="J142" s="130" t="str">
        <f>Macro!J$3</f>
        <v>4Q11</v>
      </c>
      <c r="K142" s="131" t="str">
        <f>Macro!K$3</f>
        <v>2011</v>
      </c>
      <c r="L142" s="129" t="str">
        <f>Macro!L$3</f>
        <v>1Q12</v>
      </c>
      <c r="M142" s="129" t="str">
        <f>Macro!M$3</f>
        <v>2Q12</v>
      </c>
      <c r="N142" s="129" t="str">
        <f>Macro!N$3</f>
        <v>3Q12</v>
      </c>
      <c r="O142" s="130" t="str">
        <f>Macro!O$3</f>
        <v>4Q12</v>
      </c>
      <c r="P142" s="131" t="str">
        <f>Macro!P$3</f>
        <v>2012</v>
      </c>
      <c r="Q142" s="129" t="str">
        <f>Macro!Q$3</f>
        <v>1Q13</v>
      </c>
      <c r="R142" s="129" t="str">
        <f>Macro!R$3</f>
        <v>2Q13</v>
      </c>
      <c r="S142" s="129" t="str">
        <f>Macro!S$3</f>
        <v>3Q13</v>
      </c>
      <c r="T142" s="130" t="str">
        <f>Macro!T$3</f>
        <v>4Q13</v>
      </c>
      <c r="U142" s="131" t="str">
        <f>Macro!U$3</f>
        <v>2013</v>
      </c>
      <c r="V142" s="129" t="str">
        <f>Macro!V$3</f>
        <v>1Q14</v>
      </c>
      <c r="W142" s="129" t="str">
        <f>Macro!W$3</f>
        <v>2Q14</v>
      </c>
      <c r="X142" s="129" t="str">
        <f>Macro!X$3</f>
        <v>3Q14</v>
      </c>
      <c r="Y142" s="130" t="str">
        <f>Macro!Y$3</f>
        <v>4Q14</v>
      </c>
      <c r="Z142" s="131" t="str">
        <f>Macro!Z$3</f>
        <v>2014</v>
      </c>
      <c r="AA142" s="129" t="str">
        <f>Macro!AA$3</f>
        <v>1Q15</v>
      </c>
      <c r="AB142" s="129" t="str">
        <f>Macro!AB$3</f>
        <v>2Q15</v>
      </c>
      <c r="AC142" s="129" t="str">
        <f>Macro!AC$3</f>
        <v>3Q15</v>
      </c>
      <c r="AD142" s="130" t="str">
        <f>Macro!AD$3</f>
        <v>4Q15</v>
      </c>
      <c r="AE142" s="131" t="str">
        <f>Macro!AE$3</f>
        <v>2015</v>
      </c>
      <c r="AF142" s="129" t="str">
        <f>Macro!AF$3</f>
        <v>1Q16</v>
      </c>
      <c r="AG142" s="129" t="str">
        <f>Macro!AG$3</f>
        <v>2Q16</v>
      </c>
      <c r="AH142" s="129" t="str">
        <f>Macro!AH$3</f>
        <v>3Q16</v>
      </c>
      <c r="AI142" s="130" t="str">
        <f>Macro!AI$3</f>
        <v>4Q16</v>
      </c>
      <c r="AJ142" s="131" t="str">
        <f>Macro!AJ$3</f>
        <v>2016</v>
      </c>
      <c r="AK142" s="129" t="str">
        <f>Macro!AK$3</f>
        <v>1Q17</v>
      </c>
      <c r="AL142" s="129" t="str">
        <f>Macro!AL$3</f>
        <v>2Q17</v>
      </c>
      <c r="AM142" s="129" t="str">
        <f>Macro!AM$3</f>
        <v>3Q17</v>
      </c>
      <c r="AN142" s="130" t="str">
        <f>Macro!AN$3</f>
        <v>4Q17</v>
      </c>
      <c r="AO142" s="131" t="str">
        <f>Macro!AO$3</f>
        <v>2017</v>
      </c>
      <c r="AP142" s="129" t="str">
        <f>Macro!AP$3</f>
        <v>1Q18</v>
      </c>
      <c r="AQ142" s="129" t="str">
        <f>Macro!AQ$3</f>
        <v>2Q18</v>
      </c>
      <c r="AR142" s="129" t="str">
        <f>Macro!AR$3</f>
        <v>3Q18</v>
      </c>
      <c r="AS142" s="130" t="str">
        <f>Macro!AS$3</f>
        <v>4Q18</v>
      </c>
      <c r="AT142" s="131" t="str">
        <f>Macro!AT$3</f>
        <v>2018</v>
      </c>
      <c r="AU142" s="129" t="str">
        <f>Macro!AU$3</f>
        <v>1Q19</v>
      </c>
      <c r="AV142" s="129" t="str">
        <f>Macro!AV$3</f>
        <v>2Q19</v>
      </c>
      <c r="AW142" s="129" t="str">
        <f>Macro!AW$3</f>
        <v>3Q19</v>
      </c>
      <c r="AX142" s="130" t="str">
        <f>Macro!AX$3</f>
        <v>4Q19</v>
      </c>
      <c r="AY142" s="131" t="str">
        <f>Macro!AY$3</f>
        <v>2019</v>
      </c>
      <c r="AZ142" s="129" t="str">
        <f>Macro!AZ$3</f>
        <v>1Q20</v>
      </c>
      <c r="BA142" s="129" t="str">
        <f>Macro!BA$3</f>
        <v>2Q20</v>
      </c>
      <c r="BB142" s="129" t="str">
        <f>Macro!BB$3</f>
        <v>3Q20</v>
      </c>
      <c r="BC142" s="130" t="str">
        <f>Macro!BC$3</f>
        <v>4Q20</v>
      </c>
      <c r="BD142" s="131" t="str">
        <f>Macro!BD$3</f>
        <v>2020</v>
      </c>
      <c r="BE142" s="129" t="str">
        <f>Macro!BE$3</f>
        <v>1Q21</v>
      </c>
      <c r="BF142" s="129" t="str">
        <f>Macro!BF$3</f>
        <v>2Q21</v>
      </c>
      <c r="BG142" s="129" t="str">
        <f>Macro!BG$3</f>
        <v>3Q21</v>
      </c>
      <c r="BH142" s="130" t="str">
        <f>Macro!BH$3</f>
        <v>4Q21</v>
      </c>
      <c r="BI142" s="131" t="str">
        <f>Macro!BI$3</f>
        <v>2021</v>
      </c>
      <c r="BJ142" s="129" t="str">
        <f>Macro!BJ$3</f>
        <v>1Q22</v>
      </c>
      <c r="BK142" s="129" t="str">
        <f>Macro!BK$3</f>
        <v>2Q22</v>
      </c>
      <c r="BL142" s="129" t="str">
        <f>Macro!BL$3</f>
        <v>3Q22</v>
      </c>
      <c r="BM142" s="130" t="str">
        <f>Macro!BM$3</f>
        <v>4Q22</v>
      </c>
      <c r="BN142" s="131" t="str">
        <f>Macro!BN$3</f>
        <v>2022</v>
      </c>
      <c r="BO142" s="129" t="str">
        <f>Macro!BO$3</f>
        <v>1Q23</v>
      </c>
      <c r="BP142" s="129" t="str">
        <f>Macro!BP$3</f>
        <v>2Q23</v>
      </c>
      <c r="BQ142" s="129" t="str">
        <f>Macro!BQ$3</f>
        <v>3Q23</v>
      </c>
      <c r="BR142" s="130" t="str">
        <f>Macro!BR$3</f>
        <v>4Q23</v>
      </c>
      <c r="BS142" s="131" t="str">
        <f>Macro!BS$3</f>
        <v>2023</v>
      </c>
      <c r="BT142" s="129" t="str">
        <f>Macro!BT$3</f>
        <v>1Q24</v>
      </c>
      <c r="BU142" s="129" t="str">
        <f>Macro!BU$3</f>
        <v>2Q24</v>
      </c>
      <c r="BV142" s="129" t="str">
        <f>Macro!BV$3</f>
        <v>3Q24</v>
      </c>
      <c r="BW142" s="130" t="str">
        <f>Macro!BW$3</f>
        <v>4Q24</v>
      </c>
      <c r="BX142" s="131" t="str">
        <f>Macro!BX$3</f>
        <v>2024</v>
      </c>
      <c r="BY142" s="129" t="str">
        <f>Macro!BY$3</f>
        <v>1Q25</v>
      </c>
      <c r="BZ142" s="129" t="str">
        <f>Macro!BZ$3</f>
        <v>2Q25</v>
      </c>
      <c r="CA142" s="129" t="str">
        <f>Macro!CA$3</f>
        <v>3Q25</v>
      </c>
      <c r="CB142" s="130" t="str">
        <f>Macro!CB$3</f>
        <v>4Q25</v>
      </c>
      <c r="CC142" s="126" t="str">
        <f>Macro!CC$3</f>
        <v>2025</v>
      </c>
      <c r="CD142" s="129" t="str">
        <f>Macro!CD$3</f>
        <v>1Q26</v>
      </c>
      <c r="CE142" s="129" t="str">
        <f>Macro!CE$3</f>
        <v>2Q26</v>
      </c>
      <c r="CF142" s="125" t="str">
        <f>Macro!CF$3</f>
        <v>3Q26E</v>
      </c>
      <c r="CG142" s="125" t="str">
        <f>Macro!CG$3</f>
        <v>4Q26E</v>
      </c>
      <c r="CH142" s="126" t="str">
        <f>Macro!CH$3</f>
        <v>2026E</v>
      </c>
      <c r="CI142" s="125" t="str">
        <f>Macro!CI$3</f>
        <v>1Q27E</v>
      </c>
      <c r="CJ142" s="125" t="str">
        <f>Macro!CJ$3</f>
        <v>2Q27E</v>
      </c>
      <c r="CK142" s="125" t="str">
        <f>Macro!CK$3</f>
        <v>3Q27E</v>
      </c>
      <c r="CL142" s="125" t="str">
        <f>Macro!CL$3</f>
        <v>4Q27E</v>
      </c>
      <c r="CM142" s="126" t="str">
        <f>Macro!CM$3</f>
        <v>2027E</v>
      </c>
      <c r="CN142" s="125" t="str">
        <f>Macro!CN$3</f>
        <v>1Q28E</v>
      </c>
      <c r="CO142" s="125" t="str">
        <f>Macro!CO$3</f>
        <v>2Q28E</v>
      </c>
      <c r="CP142" s="125" t="str">
        <f>Macro!CP$3</f>
        <v>3Q28E</v>
      </c>
      <c r="CQ142" s="125" t="str">
        <f>Macro!CQ$3</f>
        <v>4Q28E</v>
      </c>
      <c r="CR142" s="126" t="str">
        <f>Macro!CR$3</f>
        <v>2028E</v>
      </c>
      <c r="CS142" s="125" t="str">
        <f>Macro!CS$3</f>
        <v>1Q29E</v>
      </c>
      <c r="CT142" s="125" t="str">
        <f>Macro!CT$3</f>
        <v>2Q29E</v>
      </c>
      <c r="CU142" s="125" t="str">
        <f>Macro!CU$3</f>
        <v>3Q29E</v>
      </c>
      <c r="CV142" s="125" t="str">
        <f>Macro!CV$3</f>
        <v>4Q29E</v>
      </c>
      <c r="CW142" s="126" t="str">
        <f>Macro!CW$3</f>
        <v>2029E</v>
      </c>
      <c r="CX142" s="125" t="str">
        <f>Macro!CX$3</f>
        <v>1Q30E</v>
      </c>
      <c r="CY142" s="125" t="str">
        <f>Macro!CY$3</f>
        <v>2Q30E</v>
      </c>
      <c r="CZ142" s="125" t="str">
        <f>Macro!CZ$3</f>
        <v>3Q30E</v>
      </c>
      <c r="DA142" s="125" t="str">
        <f>Macro!DA$3</f>
        <v>4Q30E</v>
      </c>
      <c r="DB142" s="126" t="str">
        <f>Macro!DB$3</f>
        <v>2030E</v>
      </c>
    </row>
    <row r="143" spans="1:106" ht="11.5" customHeight="1" thickTop="1" x14ac:dyDescent="0.35">
      <c r="A143" s="158" t="s">
        <v>32</v>
      </c>
      <c r="B143" s="524">
        <v>56881</v>
      </c>
      <c r="C143" s="524">
        <v>53623</v>
      </c>
      <c r="D143" s="524">
        <v>45195</v>
      </c>
      <c r="E143" s="558">
        <v>36919</v>
      </c>
      <c r="F143" s="154">
        <f>E143</f>
        <v>36919</v>
      </c>
      <c r="G143" s="524">
        <v>29887</v>
      </c>
      <c r="H143" s="524">
        <v>27278</v>
      </c>
      <c r="I143" s="524">
        <v>25980</v>
      </c>
      <c r="J143" s="558">
        <v>19861</v>
      </c>
      <c r="K143" s="154">
        <f>J143</f>
        <v>19861</v>
      </c>
      <c r="L143" s="524">
        <v>17386</v>
      </c>
      <c r="M143" s="524">
        <v>14844</v>
      </c>
      <c r="N143" s="524">
        <v>11268</v>
      </c>
      <c r="O143" s="558">
        <v>9703</v>
      </c>
      <c r="P143" s="154">
        <f>O143</f>
        <v>9703</v>
      </c>
      <c r="Q143" s="524">
        <v>16234</v>
      </c>
      <c r="R143" s="524">
        <v>16234</v>
      </c>
      <c r="S143" s="524">
        <v>16716</v>
      </c>
      <c r="T143" s="558">
        <v>16316</v>
      </c>
      <c r="U143" s="154">
        <f>T143</f>
        <v>16316</v>
      </c>
      <c r="V143" s="524">
        <v>15651</v>
      </c>
      <c r="W143" s="524">
        <v>14482</v>
      </c>
      <c r="X143" s="524">
        <v>16550</v>
      </c>
      <c r="Y143" s="558">
        <v>28723</v>
      </c>
      <c r="Z143" s="154">
        <f>Y143</f>
        <v>28723</v>
      </c>
      <c r="AA143" s="524">
        <v>28083</v>
      </c>
      <c r="AB143" s="524">
        <v>32415</v>
      </c>
      <c r="AC143" s="524">
        <v>25029</v>
      </c>
      <c r="AD143" s="558">
        <v>18174</v>
      </c>
      <c r="AE143" s="154">
        <f>AD143</f>
        <v>18174</v>
      </c>
      <c r="AF143" s="524">
        <v>13995</v>
      </c>
      <c r="AG143" s="524">
        <v>14246</v>
      </c>
      <c r="AH143" s="524">
        <v>13518</v>
      </c>
      <c r="AI143" s="558">
        <v>13069</v>
      </c>
      <c r="AJ143" s="154">
        <f>AI143</f>
        <v>13069</v>
      </c>
      <c r="AK143" s="524">
        <v>13029</v>
      </c>
      <c r="AL143" s="524">
        <v>2129</v>
      </c>
      <c r="AM143" s="524">
        <v>2650</v>
      </c>
      <c r="AN143" s="558">
        <v>2775</v>
      </c>
      <c r="AO143" s="154">
        <f>AN143</f>
        <v>2775</v>
      </c>
      <c r="AP143" s="524">
        <v>2888</v>
      </c>
      <c r="AQ143" s="524">
        <v>3170</v>
      </c>
      <c r="AR143" s="524">
        <v>4948</v>
      </c>
      <c r="AS143" s="558">
        <v>4422</v>
      </c>
      <c r="AT143" s="154">
        <f>AS143</f>
        <v>4422</v>
      </c>
      <c r="AU143" s="524">
        <v>4225</v>
      </c>
      <c r="AV143" s="524">
        <v>3910</v>
      </c>
      <c r="AW143" s="524">
        <v>3636</v>
      </c>
      <c r="AX143" s="558">
        <v>3418</v>
      </c>
      <c r="AY143" s="154">
        <f>AX143</f>
        <v>3418</v>
      </c>
      <c r="AZ143" s="524">
        <v>3360</v>
      </c>
      <c r="BA143" s="524">
        <v>3223</v>
      </c>
      <c r="BB143" s="524">
        <v>3103</v>
      </c>
      <c r="BC143" s="558">
        <v>3072</v>
      </c>
      <c r="BD143" s="154">
        <f>BC143</f>
        <v>3072</v>
      </c>
      <c r="BE143" s="524">
        <v>3037</v>
      </c>
      <c r="BF143" s="524">
        <v>2996</v>
      </c>
      <c r="BG143" s="524">
        <v>17832</v>
      </c>
      <c r="BH143" s="558">
        <v>21079</v>
      </c>
      <c r="BI143" s="154">
        <f>BH143</f>
        <v>21079</v>
      </c>
      <c r="BJ143" s="524">
        <v>27648</v>
      </c>
      <c r="BK143" s="524">
        <v>77151</v>
      </c>
      <c r="BL143" s="524">
        <v>213022</v>
      </c>
      <c r="BM143" s="558">
        <v>202080</v>
      </c>
      <c r="BN143" s="154">
        <f>BM143</f>
        <v>202080</v>
      </c>
      <c r="BO143" s="524">
        <v>191548</v>
      </c>
      <c r="BP143" s="524">
        <v>186784</v>
      </c>
      <c r="BQ143" s="524">
        <v>184270</v>
      </c>
      <c r="BR143" s="558">
        <v>181854</v>
      </c>
      <c r="BS143" s="154">
        <f>BR143</f>
        <v>181854</v>
      </c>
      <c r="BT143" s="524">
        <v>192760</v>
      </c>
      <c r="BU143" s="524">
        <v>187464</v>
      </c>
      <c r="BV143" s="524">
        <v>165717</v>
      </c>
      <c r="BW143" s="558">
        <v>141949</v>
      </c>
      <c r="BX143" s="154">
        <f>BW143</f>
        <v>141949</v>
      </c>
      <c r="BY143" s="524">
        <v>133050</v>
      </c>
      <c r="BZ143" s="524">
        <v>123003</v>
      </c>
      <c r="CA143" s="524">
        <v>106675</v>
      </c>
      <c r="CB143" s="558">
        <v>101661</v>
      </c>
      <c r="CC143" s="154">
        <f>CB143</f>
        <v>101661</v>
      </c>
      <c r="CD143" s="524">
        <v>12182</v>
      </c>
      <c r="CE143" s="524">
        <v>12183</v>
      </c>
      <c r="CF143" s="152">
        <f>CE143</f>
        <v>12183</v>
      </c>
      <c r="CG143" s="152">
        <f>CF143</f>
        <v>12183</v>
      </c>
      <c r="CH143" s="154">
        <f>CG143</f>
        <v>12183</v>
      </c>
      <c r="CI143" s="152">
        <f>CG143</f>
        <v>12183</v>
      </c>
      <c r="CJ143" s="152">
        <f>CI143</f>
        <v>12183</v>
      </c>
      <c r="CK143" s="152">
        <f>CJ143</f>
        <v>12183</v>
      </c>
      <c r="CL143" s="152">
        <f>CK143</f>
        <v>12183</v>
      </c>
      <c r="CM143" s="154">
        <f>CL143</f>
        <v>12183</v>
      </c>
      <c r="CN143" s="152">
        <f>CL143</f>
        <v>12183</v>
      </c>
      <c r="CO143" s="152">
        <f>CN143</f>
        <v>12183</v>
      </c>
      <c r="CP143" s="152">
        <f>CO143</f>
        <v>12183</v>
      </c>
      <c r="CQ143" s="152">
        <f>CP143</f>
        <v>12183</v>
      </c>
      <c r="CR143" s="154">
        <f>CQ143</f>
        <v>12183</v>
      </c>
      <c r="CS143" s="152">
        <f>CQ143</f>
        <v>12183</v>
      </c>
      <c r="CT143" s="152">
        <f>CS143</f>
        <v>12183</v>
      </c>
      <c r="CU143" s="152">
        <f>CT143</f>
        <v>12183</v>
      </c>
      <c r="CV143" s="152">
        <f>CU143</f>
        <v>12183</v>
      </c>
      <c r="CW143" s="154">
        <f>CV143</f>
        <v>12183</v>
      </c>
      <c r="CX143" s="152">
        <f>CV143</f>
        <v>12183</v>
      </c>
      <c r="CY143" s="152">
        <f>CX143</f>
        <v>12183</v>
      </c>
      <c r="CZ143" s="152">
        <f>CY143</f>
        <v>12183</v>
      </c>
      <c r="DA143" s="152">
        <f>CZ143</f>
        <v>12183</v>
      </c>
      <c r="DB143" s="154">
        <f>DA143</f>
        <v>12183</v>
      </c>
    </row>
    <row r="144" spans="1:106" ht="11.5" customHeight="1" x14ac:dyDescent="0.35">
      <c r="A144" s="19" t="s">
        <v>33</v>
      </c>
      <c r="B144" s="404">
        <v>51131</v>
      </c>
      <c r="C144" s="404">
        <v>54513</v>
      </c>
      <c r="D144" s="404">
        <v>63976</v>
      </c>
      <c r="E144" s="395">
        <v>114510</v>
      </c>
      <c r="F144" s="57">
        <f>E144</f>
        <v>114510</v>
      </c>
      <c r="G144" s="404">
        <v>121956</v>
      </c>
      <c r="H144" s="404">
        <v>135328</v>
      </c>
      <c r="I144" s="404">
        <v>134935</v>
      </c>
      <c r="J144" s="395">
        <v>177509</v>
      </c>
      <c r="K144" s="57">
        <f>J144</f>
        <v>177509</v>
      </c>
      <c r="L144" s="404">
        <v>174167</v>
      </c>
      <c r="M144" s="404">
        <v>174669</v>
      </c>
      <c r="N144" s="404">
        <v>168776</v>
      </c>
      <c r="O144" s="395">
        <v>161933</v>
      </c>
      <c r="P144" s="57">
        <f>O144</f>
        <v>161933</v>
      </c>
      <c r="Q144" s="404">
        <v>173844</v>
      </c>
      <c r="R144" s="404">
        <v>177435</v>
      </c>
      <c r="S144" s="404">
        <v>180455</v>
      </c>
      <c r="T144" s="395">
        <v>163151</v>
      </c>
      <c r="U144" s="57">
        <f>T144</f>
        <v>163151</v>
      </c>
      <c r="V144" s="404">
        <v>166899</v>
      </c>
      <c r="W144" s="404">
        <v>166001</v>
      </c>
      <c r="X144" s="404">
        <v>173127</v>
      </c>
      <c r="Y144" s="395">
        <v>166293</v>
      </c>
      <c r="Z144" s="57">
        <f>Y144</f>
        <v>166293</v>
      </c>
      <c r="AA144" s="404">
        <v>174258</v>
      </c>
      <c r="AB144" s="404">
        <v>188077</v>
      </c>
      <c r="AC144" s="404">
        <v>197869</v>
      </c>
      <c r="AD144" s="395">
        <v>201655</v>
      </c>
      <c r="AE144" s="57">
        <f>AD144</f>
        <v>201655</v>
      </c>
      <c r="AF144" s="404">
        <v>198555</v>
      </c>
      <c r="AG144" s="404">
        <v>211916</v>
      </c>
      <c r="AH144" s="404">
        <v>215734</v>
      </c>
      <c r="AI144" s="395">
        <v>219194</v>
      </c>
      <c r="AJ144" s="57">
        <f>AI144</f>
        <v>219194</v>
      </c>
      <c r="AK144" s="404">
        <v>223725</v>
      </c>
      <c r="AL144" s="404">
        <v>222839</v>
      </c>
      <c r="AM144" s="404">
        <v>226266</v>
      </c>
      <c r="AN144" s="395">
        <v>217916</v>
      </c>
      <c r="AO144" s="57">
        <f>AN144</f>
        <v>217916</v>
      </c>
      <c r="AP144" s="404">
        <v>211954</v>
      </c>
      <c r="AQ144" s="404">
        <v>201510</v>
      </c>
      <c r="AR144" s="404">
        <v>195200</v>
      </c>
      <c r="AS144" s="395">
        <v>179676</v>
      </c>
      <c r="AT144" s="57">
        <f>AS144</f>
        <v>179676</v>
      </c>
      <c r="AU144" s="404">
        <v>168481</v>
      </c>
      <c r="AV144" s="404">
        <v>157535</v>
      </c>
      <c r="AW144" s="404">
        <v>140832</v>
      </c>
      <c r="AX144" s="395">
        <v>127328</v>
      </c>
      <c r="AY144" s="57">
        <f>AX144</f>
        <v>127328</v>
      </c>
      <c r="AZ144" s="404">
        <v>121053</v>
      </c>
      <c r="BA144" s="404">
        <v>115012</v>
      </c>
      <c r="BB144" s="404">
        <v>91495</v>
      </c>
      <c r="BC144" s="395">
        <v>74272</v>
      </c>
      <c r="BD144" s="57">
        <f>BC144</f>
        <v>74272</v>
      </c>
      <c r="BE144" s="404">
        <v>70229</v>
      </c>
      <c r="BF144" s="404">
        <v>67150</v>
      </c>
      <c r="BG144" s="404">
        <v>63939</v>
      </c>
      <c r="BH144" s="395">
        <v>83935</v>
      </c>
      <c r="BI144" s="57">
        <f>BH144</f>
        <v>83935</v>
      </c>
      <c r="BJ144" s="404">
        <v>87627</v>
      </c>
      <c r="BK144" s="404">
        <v>89204</v>
      </c>
      <c r="BL144" s="404">
        <v>91840</v>
      </c>
      <c r="BM144" s="395">
        <v>94046</v>
      </c>
      <c r="BN144" s="57">
        <f>BM144</f>
        <v>94046</v>
      </c>
      <c r="BO144" s="404">
        <v>98085</v>
      </c>
      <c r="BP144" s="404">
        <v>101959</v>
      </c>
      <c r="BQ144" s="404">
        <v>106351</v>
      </c>
      <c r="BR144" s="395">
        <v>113981</v>
      </c>
      <c r="BS144" s="57">
        <f>BR144</f>
        <v>113981</v>
      </c>
      <c r="BT144" s="404">
        <v>114064</v>
      </c>
      <c r="BU144" s="404">
        <v>117766</v>
      </c>
      <c r="BV144" s="404">
        <v>118583</v>
      </c>
      <c r="BW144" s="395">
        <v>124331</v>
      </c>
      <c r="BX144" s="57">
        <f>BW144</f>
        <v>124331</v>
      </c>
      <c r="BY144" s="404">
        <v>135324</v>
      </c>
      <c r="BZ144" s="404">
        <v>156539</v>
      </c>
      <c r="CA144" s="404">
        <v>165401</v>
      </c>
      <c r="CB144" s="395">
        <v>164750</v>
      </c>
      <c r="CC144" s="57">
        <f>CB144</f>
        <v>164750</v>
      </c>
      <c r="CD144" s="404">
        <v>173181</v>
      </c>
      <c r="CE144" s="404">
        <v>182523</v>
      </c>
      <c r="CF144" s="448">
        <f>CE144+IS!CF13+IS!CF94</f>
        <v>200073.74844639967</v>
      </c>
      <c r="CG144" s="448">
        <f>CF144+IS!CG13+IS!CG94</f>
        <v>213714.36951653793</v>
      </c>
      <c r="CH144" s="57">
        <f>CG144</f>
        <v>213714.36951653793</v>
      </c>
      <c r="CI144" s="448">
        <f>CG144+IS!CI13+IS!CI94</f>
        <v>247897.82992035407</v>
      </c>
      <c r="CJ144" s="448">
        <f>CI144+IS!CJ13+IS!CJ94</f>
        <v>278039.85311932303</v>
      </c>
      <c r="CK144" s="448">
        <f>CJ144+IS!CK13+IS!CK94</f>
        <v>299832.78186552465</v>
      </c>
      <c r="CL144" s="448">
        <f>CK144+IS!CL13+IS!CL94</f>
        <v>314365.82792015001</v>
      </c>
      <c r="CM144" s="57">
        <f>CL144</f>
        <v>314365.82792015001</v>
      </c>
      <c r="CN144" s="448">
        <f>CL144+IS!CN13+IS!CN94</f>
        <v>338372.36921800597</v>
      </c>
      <c r="CO144" s="448">
        <f>CN144+IS!CO13+IS!CO94</f>
        <v>361098.04209326039</v>
      </c>
      <c r="CP144" s="448">
        <f>CO144+IS!CP13+IS!CP94</f>
        <v>380699.45078737143</v>
      </c>
      <c r="CQ144" s="448">
        <f>CP144+IS!CQ13+IS!CQ94</f>
        <v>394618.60810667003</v>
      </c>
      <c r="CR144" s="57">
        <f>CQ144</f>
        <v>394618.60810667003</v>
      </c>
      <c r="CS144" s="448">
        <f>CQ144+IS!CS13+IS!CS94</f>
        <v>401273.76757764193</v>
      </c>
      <c r="CT144" s="448">
        <f>CS144+IS!CT13+IS!CT94</f>
        <v>408429.87496684957</v>
      </c>
      <c r="CU144" s="448">
        <f>CT144+IS!CU13+IS!CU94</f>
        <v>413782.61029881064</v>
      </c>
      <c r="CV144" s="448">
        <f>CU144+IS!CV13+IS!CV94</f>
        <v>413842.60522886174</v>
      </c>
      <c r="CW144" s="57">
        <f>CV144</f>
        <v>413842.60522886174</v>
      </c>
      <c r="CX144" s="448">
        <f>CV144+IS!CX13+IS!CX94</f>
        <v>419434.54539478535</v>
      </c>
      <c r="CY144" s="448">
        <f>CX144+IS!CY13+IS!CY94</f>
        <v>425947.3966327064</v>
      </c>
      <c r="CZ144" s="448">
        <f>CY144+IS!CZ13+IS!CZ94</f>
        <v>430680.53888777073</v>
      </c>
      <c r="DA144" s="448">
        <f>CZ144+IS!DA13+IS!DA94</f>
        <v>430180.07972074405</v>
      </c>
      <c r="DB144" s="57">
        <f>DA144</f>
        <v>430180.07972074405</v>
      </c>
    </row>
    <row r="145" spans="1:106" ht="11.5" customHeight="1" x14ac:dyDescent="0.35">
      <c r="A145" s="72" t="s">
        <v>229</v>
      </c>
      <c r="B145" s="457">
        <v>0</v>
      </c>
      <c r="C145" s="457">
        <v>0</v>
      </c>
      <c r="D145" s="457">
        <v>0</v>
      </c>
      <c r="E145" s="457">
        <v>0</v>
      </c>
      <c r="F145" s="107">
        <f>E145</f>
        <v>0</v>
      </c>
      <c r="G145" s="457">
        <v>0</v>
      </c>
      <c r="H145" s="457">
        <v>0</v>
      </c>
      <c r="I145" s="457">
        <v>0</v>
      </c>
      <c r="J145" s="457">
        <v>0</v>
      </c>
      <c r="K145" s="107">
        <f>J145</f>
        <v>0</v>
      </c>
      <c r="L145" s="457">
        <v>0</v>
      </c>
      <c r="M145" s="457">
        <v>0</v>
      </c>
      <c r="N145" s="457">
        <v>0</v>
      </c>
      <c r="O145" s="457">
        <v>0</v>
      </c>
      <c r="P145" s="107">
        <f>O145</f>
        <v>0</v>
      </c>
      <c r="Q145" s="457">
        <v>0</v>
      </c>
      <c r="R145" s="457">
        <v>0</v>
      </c>
      <c r="S145" s="457">
        <v>0</v>
      </c>
      <c r="T145" s="457">
        <v>0</v>
      </c>
      <c r="U145" s="107">
        <f>T145</f>
        <v>0</v>
      </c>
      <c r="V145" s="457">
        <v>0</v>
      </c>
      <c r="W145" s="457">
        <v>0</v>
      </c>
      <c r="X145" s="457">
        <v>0</v>
      </c>
      <c r="Y145" s="457">
        <v>0</v>
      </c>
      <c r="Z145" s="107">
        <f>Y145</f>
        <v>0</v>
      </c>
      <c r="AA145" s="457">
        <v>0</v>
      </c>
      <c r="AB145" s="457">
        <v>0</v>
      </c>
      <c r="AC145" s="457">
        <v>0</v>
      </c>
      <c r="AD145" s="457">
        <v>0</v>
      </c>
      <c r="AE145" s="107">
        <f>AD145</f>
        <v>0</v>
      </c>
      <c r="AF145" s="457">
        <v>0</v>
      </c>
      <c r="AG145" s="457">
        <v>0</v>
      </c>
      <c r="AH145" s="457">
        <v>0</v>
      </c>
      <c r="AI145" s="457">
        <v>0</v>
      </c>
      <c r="AJ145" s="107">
        <f>AI145</f>
        <v>0</v>
      </c>
      <c r="AK145" s="457">
        <v>0</v>
      </c>
      <c r="AL145" s="457">
        <v>0</v>
      </c>
      <c r="AM145" s="457">
        <v>0</v>
      </c>
      <c r="AN145" s="457">
        <v>0</v>
      </c>
      <c r="AO145" s="107">
        <f>AN145</f>
        <v>0</v>
      </c>
      <c r="AP145" s="457">
        <v>0</v>
      </c>
      <c r="AQ145" s="457">
        <v>0</v>
      </c>
      <c r="AR145" s="457">
        <v>0</v>
      </c>
      <c r="AS145" s="457">
        <v>0</v>
      </c>
      <c r="AT145" s="107">
        <f>AS145</f>
        <v>0</v>
      </c>
      <c r="AU145" s="457">
        <v>0</v>
      </c>
      <c r="AV145" s="457">
        <v>0</v>
      </c>
      <c r="AW145" s="457">
        <v>0</v>
      </c>
      <c r="AX145" s="457">
        <v>0</v>
      </c>
      <c r="AY145" s="107">
        <f>AX145</f>
        <v>0</v>
      </c>
      <c r="AZ145" s="457">
        <v>0</v>
      </c>
      <c r="BA145" s="457">
        <v>0</v>
      </c>
      <c r="BB145" s="457">
        <v>0</v>
      </c>
      <c r="BC145" s="457">
        <v>0</v>
      </c>
      <c r="BD145" s="107">
        <f>BC145</f>
        <v>0</v>
      </c>
      <c r="BE145" s="457">
        <v>0</v>
      </c>
      <c r="BF145" s="457">
        <v>0</v>
      </c>
      <c r="BG145" s="457">
        <v>0</v>
      </c>
      <c r="BH145" s="457">
        <v>0</v>
      </c>
      <c r="BI145" s="107">
        <f>BH145</f>
        <v>0</v>
      </c>
      <c r="BJ145" s="457">
        <v>0</v>
      </c>
      <c r="BK145" s="457">
        <v>0</v>
      </c>
      <c r="BL145" s="457">
        <v>0</v>
      </c>
      <c r="BM145" s="457">
        <v>0</v>
      </c>
      <c r="BN145" s="107">
        <f>BM145</f>
        <v>0</v>
      </c>
      <c r="BO145" s="457">
        <v>0</v>
      </c>
      <c r="BP145" s="457">
        <v>0</v>
      </c>
      <c r="BQ145" s="457">
        <v>0</v>
      </c>
      <c r="BR145" s="457">
        <v>0</v>
      </c>
      <c r="BS145" s="107">
        <f>BR145</f>
        <v>0</v>
      </c>
      <c r="BT145" s="457">
        <v>0</v>
      </c>
      <c r="BU145" s="457">
        <v>0</v>
      </c>
      <c r="BV145" s="457">
        <v>0</v>
      </c>
      <c r="BW145" s="457">
        <v>0</v>
      </c>
      <c r="BX145" s="107">
        <f>BW145</f>
        <v>0</v>
      </c>
      <c r="BY145" s="457">
        <v>0</v>
      </c>
      <c r="BZ145" s="457">
        <v>0</v>
      </c>
      <c r="CA145" s="457">
        <v>0</v>
      </c>
      <c r="CB145" s="457">
        <f ca="1">CB146-'Joint-Ventures'!CB6</f>
        <v>57346.781500000507</v>
      </c>
      <c r="CC145" s="107">
        <f ca="1">CB145</f>
        <v>57346.781500000507</v>
      </c>
      <c r="CD145" s="457">
        <v>0</v>
      </c>
      <c r="CE145" s="457">
        <v>0</v>
      </c>
      <c r="CF145" s="505">
        <f>CE145</f>
        <v>0</v>
      </c>
      <c r="CG145" s="505">
        <f>CF145</f>
        <v>0</v>
      </c>
      <c r="CH145" s="107">
        <f>CG145</f>
        <v>0</v>
      </c>
      <c r="CI145" s="505">
        <f>CH145</f>
        <v>0</v>
      </c>
      <c r="CJ145" s="505">
        <f>CI145</f>
        <v>0</v>
      </c>
      <c r="CK145" s="505">
        <f>CJ145</f>
        <v>0</v>
      </c>
      <c r="CL145" s="505">
        <f>CK145</f>
        <v>0</v>
      </c>
      <c r="CM145" s="107">
        <f>CL145</f>
        <v>0</v>
      </c>
      <c r="CN145" s="505">
        <f>CM145</f>
        <v>0</v>
      </c>
      <c r="CO145" s="505">
        <f>CN145</f>
        <v>0</v>
      </c>
      <c r="CP145" s="505">
        <f>CO145</f>
        <v>0</v>
      </c>
      <c r="CQ145" s="505">
        <f>CP145</f>
        <v>0</v>
      </c>
      <c r="CR145" s="107">
        <f>CQ145</f>
        <v>0</v>
      </c>
      <c r="CS145" s="505">
        <f>CR145</f>
        <v>0</v>
      </c>
      <c r="CT145" s="505">
        <f>CS145</f>
        <v>0</v>
      </c>
      <c r="CU145" s="505">
        <f>CT145</f>
        <v>0</v>
      </c>
      <c r="CV145" s="505">
        <f>CU145</f>
        <v>0</v>
      </c>
      <c r="CW145" s="107">
        <f>CV145</f>
        <v>0</v>
      </c>
      <c r="CX145" s="505">
        <f>CW145</f>
        <v>0</v>
      </c>
      <c r="CY145" s="505">
        <f>CX145</f>
        <v>0</v>
      </c>
      <c r="CZ145" s="505">
        <f>CY145</f>
        <v>0</v>
      </c>
      <c r="DA145" s="505">
        <f>CZ145</f>
        <v>0</v>
      </c>
      <c r="DB145" s="107">
        <f>DA145</f>
        <v>0</v>
      </c>
    </row>
    <row r="146" spans="1:106" s="58" customFormat="1" ht="11.5" customHeight="1" x14ac:dyDescent="0.35">
      <c r="A146" s="16" t="s">
        <v>230</v>
      </c>
      <c r="B146" s="48">
        <f t="shared" ref="B146:AG146" si="327">B134-SUM(B143:B145)</f>
        <v>3922934</v>
      </c>
      <c r="C146" s="48">
        <f t="shared" si="327"/>
        <v>4093599</v>
      </c>
      <c r="D146" s="48">
        <f t="shared" si="327"/>
        <v>4271560</v>
      </c>
      <c r="E146" s="48">
        <f t="shared" si="327"/>
        <v>4175051</v>
      </c>
      <c r="F146" s="96">
        <f t="shared" si="327"/>
        <v>4175051</v>
      </c>
      <c r="G146" s="48">
        <f t="shared" si="327"/>
        <v>4243183</v>
      </c>
      <c r="H146" s="48">
        <f t="shared" si="327"/>
        <v>4320225</v>
      </c>
      <c r="I146" s="48">
        <f t="shared" si="327"/>
        <v>4343253</v>
      </c>
      <c r="J146" s="48">
        <f t="shared" si="327"/>
        <v>4347349</v>
      </c>
      <c r="K146" s="96">
        <f t="shared" si="327"/>
        <v>4347349</v>
      </c>
      <c r="L146" s="48">
        <f t="shared" si="327"/>
        <v>4477925</v>
      </c>
      <c r="M146" s="48">
        <f t="shared" si="327"/>
        <v>4637044</v>
      </c>
      <c r="N146" s="48">
        <f t="shared" si="327"/>
        <v>4803100</v>
      </c>
      <c r="O146" s="48">
        <f t="shared" si="327"/>
        <v>4890613</v>
      </c>
      <c r="P146" s="96">
        <f t="shared" si="327"/>
        <v>4890613</v>
      </c>
      <c r="Q146" s="48">
        <f t="shared" si="327"/>
        <v>5056397</v>
      </c>
      <c r="R146" s="48">
        <f t="shared" si="327"/>
        <v>5183001</v>
      </c>
      <c r="S146" s="48">
        <f t="shared" si="327"/>
        <v>5357390</v>
      </c>
      <c r="T146" s="48">
        <f t="shared" si="327"/>
        <v>5282155</v>
      </c>
      <c r="U146" s="96">
        <f t="shared" si="327"/>
        <v>5282155</v>
      </c>
      <c r="V146" s="48">
        <f t="shared" si="327"/>
        <v>5397835</v>
      </c>
      <c r="W146" s="48">
        <f t="shared" si="327"/>
        <v>5471211</v>
      </c>
      <c r="X146" s="48">
        <f t="shared" si="327"/>
        <v>5563791</v>
      </c>
      <c r="Y146" s="48">
        <f t="shared" si="327"/>
        <v>5464075</v>
      </c>
      <c r="Z146" s="96">
        <f t="shared" si="327"/>
        <v>5464075</v>
      </c>
      <c r="AA146" s="48">
        <f t="shared" si="327"/>
        <v>5496536</v>
      </c>
      <c r="AB146" s="48">
        <f t="shared" si="327"/>
        <v>5355886</v>
      </c>
      <c r="AC146" s="48">
        <f t="shared" si="327"/>
        <v>5704818</v>
      </c>
      <c r="AD146" s="48">
        <f t="shared" si="327"/>
        <v>5667214</v>
      </c>
      <c r="AE146" s="96">
        <f t="shared" si="327"/>
        <v>5667214</v>
      </c>
      <c r="AF146" s="48">
        <f t="shared" si="327"/>
        <v>5739949</v>
      </c>
      <c r="AG146" s="48">
        <f t="shared" si="327"/>
        <v>5774730</v>
      </c>
      <c r="AH146" s="48">
        <f t="shared" ref="AH146:BM146" si="328">AH134-SUM(AH143:AH145)</f>
        <v>5787425</v>
      </c>
      <c r="AI146" s="48">
        <f t="shared" si="328"/>
        <v>5781293</v>
      </c>
      <c r="AJ146" s="96">
        <f t="shared" si="328"/>
        <v>5781293</v>
      </c>
      <c r="AK146" s="48">
        <f t="shared" si="328"/>
        <v>5782536</v>
      </c>
      <c r="AL146" s="48">
        <f t="shared" si="328"/>
        <v>5654901</v>
      </c>
      <c r="AM146" s="48">
        <f t="shared" si="328"/>
        <v>5645467</v>
      </c>
      <c r="AN146" s="48">
        <f t="shared" si="328"/>
        <v>5703900</v>
      </c>
      <c r="AO146" s="96">
        <f t="shared" si="328"/>
        <v>5703900</v>
      </c>
      <c r="AP146" s="48">
        <f t="shared" si="328"/>
        <v>5463647</v>
      </c>
      <c r="AQ146" s="48">
        <f t="shared" si="328"/>
        <v>5238599</v>
      </c>
      <c r="AR146" s="48">
        <f t="shared" si="328"/>
        <v>5121773</v>
      </c>
      <c r="AS146" s="48">
        <f t="shared" si="328"/>
        <v>4964450</v>
      </c>
      <c r="AT146" s="96">
        <f t="shared" si="328"/>
        <v>4964450</v>
      </c>
      <c r="AU146" s="48">
        <f t="shared" si="328"/>
        <v>5021830</v>
      </c>
      <c r="AV146" s="48">
        <f t="shared" si="328"/>
        <v>4984088</v>
      </c>
      <c r="AW146" s="48">
        <f t="shared" si="328"/>
        <v>4967717</v>
      </c>
      <c r="AX146" s="48">
        <f t="shared" si="328"/>
        <v>4631630</v>
      </c>
      <c r="AY146" s="96">
        <f t="shared" si="328"/>
        <v>4631630</v>
      </c>
      <c r="AZ146" s="48">
        <f t="shared" si="328"/>
        <v>4665984</v>
      </c>
      <c r="BA146" s="48">
        <f t="shared" si="328"/>
        <v>4739440</v>
      </c>
      <c r="BB146" s="48">
        <f t="shared" si="328"/>
        <v>6166598</v>
      </c>
      <c r="BC146" s="48">
        <f t="shared" si="328"/>
        <v>5427389</v>
      </c>
      <c r="BD146" s="96">
        <f t="shared" si="328"/>
        <v>5427389</v>
      </c>
      <c r="BE146" s="48">
        <f t="shared" si="328"/>
        <v>5622907</v>
      </c>
      <c r="BF146" s="48">
        <f t="shared" si="328"/>
        <v>5892068</v>
      </c>
      <c r="BG146" s="48">
        <f t="shared" si="328"/>
        <v>6116914</v>
      </c>
      <c r="BH146" s="48">
        <f t="shared" si="328"/>
        <v>6093038</v>
      </c>
      <c r="BI146" s="96">
        <f t="shared" si="328"/>
        <v>6093038</v>
      </c>
      <c r="BJ146" s="48">
        <f t="shared" si="328"/>
        <v>6241820</v>
      </c>
      <c r="BK146" s="48">
        <f t="shared" si="328"/>
        <v>6318044</v>
      </c>
      <c r="BL146" s="48">
        <f t="shared" si="328"/>
        <v>5826749</v>
      </c>
      <c r="BM146" s="48">
        <f t="shared" si="328"/>
        <v>6825618</v>
      </c>
      <c r="BN146" s="96">
        <f t="shared" ref="BN146:CS146" si="329">BN134-SUM(BN143:BN145)</f>
        <v>6825618</v>
      </c>
      <c r="BO146" s="48">
        <f t="shared" si="329"/>
        <v>6932650</v>
      </c>
      <c r="BP146" s="48">
        <f t="shared" si="329"/>
        <v>7231237</v>
      </c>
      <c r="BQ146" s="48">
        <f t="shared" si="329"/>
        <v>7491735</v>
      </c>
      <c r="BR146" s="48">
        <f t="shared" si="329"/>
        <v>7394506</v>
      </c>
      <c r="BS146" s="96">
        <f t="shared" si="329"/>
        <v>7394506</v>
      </c>
      <c r="BT146" s="48">
        <f t="shared" si="329"/>
        <v>7411671</v>
      </c>
      <c r="BU146" s="48">
        <f t="shared" si="329"/>
        <v>8193546</v>
      </c>
      <c r="BV146" s="48">
        <f t="shared" si="329"/>
        <v>8660391</v>
      </c>
      <c r="BW146" s="48">
        <f t="shared" si="329"/>
        <v>8628382</v>
      </c>
      <c r="BX146" s="96">
        <f t="shared" si="329"/>
        <v>8628382</v>
      </c>
      <c r="BY146" s="48">
        <f t="shared" si="329"/>
        <v>8754222</v>
      </c>
      <c r="BZ146" s="48">
        <f>BZ134-SUM(BZ143:BZ145)</f>
        <v>9506534</v>
      </c>
      <c r="CA146" s="48">
        <f>CA134-SUM(CA143:CA145)</f>
        <v>10161708</v>
      </c>
      <c r="CB146" s="48">
        <f ca="1">CB134-SUM(CB143:CB145)</f>
        <v>9903552.2184999995</v>
      </c>
      <c r="CC146" s="96">
        <f t="shared" ca="1" si="329"/>
        <v>9903552.2184999995</v>
      </c>
      <c r="CD146" s="48">
        <f t="shared" ref="CD146" si="330">CD134-SUM(CD143:CD145)</f>
        <v>10435648</v>
      </c>
      <c r="CE146" s="48">
        <f>CE134-SUM(CE143:CE145)</f>
        <v>10973330</v>
      </c>
      <c r="CF146" s="48">
        <f t="shared" ca="1" si="329"/>
        <v>11482368.845924137</v>
      </c>
      <c r="CG146" s="48">
        <f t="shared" ca="1" si="329"/>
        <v>12080648.803546982</v>
      </c>
      <c r="CH146" s="96">
        <f t="shared" ca="1" si="329"/>
        <v>12080648.803546982</v>
      </c>
      <c r="CI146" s="48">
        <f t="shared" ca="1" si="329"/>
        <v>11701205.72112014</v>
      </c>
      <c r="CJ146" s="48">
        <f t="shared" ca="1" si="329"/>
        <v>12221053.125488913</v>
      </c>
      <c r="CK146" s="48">
        <f t="shared" ca="1" si="329"/>
        <v>12770209.463653175</v>
      </c>
      <c r="CL146" s="48">
        <f t="shared" ca="1" si="329"/>
        <v>13398217.39452631</v>
      </c>
      <c r="CM146" s="96">
        <f t="shared" ca="1" si="329"/>
        <v>13398217.39452631</v>
      </c>
      <c r="CN146" s="48">
        <f t="shared" ca="1" si="329"/>
        <v>12172737.256887188</v>
      </c>
      <c r="CO146" s="48">
        <f t="shared" ca="1" si="329"/>
        <v>12770769.411953999</v>
      </c>
      <c r="CP146" s="48">
        <f t="shared" ca="1" si="329"/>
        <v>13372805.857203187</v>
      </c>
      <c r="CQ146" s="48">
        <f t="shared" ca="1" si="329"/>
        <v>14049987.600118946</v>
      </c>
      <c r="CR146" s="96">
        <f t="shared" ca="1" si="329"/>
        <v>14049987.600118946</v>
      </c>
      <c r="CS146" s="48">
        <f t="shared" ca="1" si="329"/>
        <v>12686380.613612233</v>
      </c>
      <c r="CT146" s="48">
        <f t="shared" ref="CT146:DB146" ca="1" si="331">CT134-SUM(CT143:CT145)</f>
        <v>13348647.611629244</v>
      </c>
      <c r="CU146" s="48">
        <f t="shared" ca="1" si="331"/>
        <v>14016041.259603092</v>
      </c>
      <c r="CV146" s="48">
        <f t="shared" ca="1" si="331"/>
        <v>14756149.123100815</v>
      </c>
      <c r="CW146" s="96">
        <f t="shared" ca="1" si="331"/>
        <v>14756149.123100815</v>
      </c>
      <c r="CX146" s="48">
        <f t="shared" ca="1" si="331"/>
        <v>13308900.520891352</v>
      </c>
      <c r="CY146" s="48">
        <f t="shared" ca="1" si="331"/>
        <v>14036312.428683711</v>
      </c>
      <c r="CZ146" s="48">
        <f t="shared" ca="1" si="331"/>
        <v>14772488.100769076</v>
      </c>
      <c r="DA146" s="48">
        <f t="shared" ca="1" si="331"/>
        <v>15589415.01406402</v>
      </c>
      <c r="DB146" s="96">
        <f t="shared" ca="1" si="331"/>
        <v>15589415.01406402</v>
      </c>
    </row>
    <row r="147" spans="1:106" s="58" customFormat="1" ht="11.5" customHeight="1" x14ac:dyDescent="0.35">
      <c r="A147" s="16" t="s">
        <v>34</v>
      </c>
      <c r="B147" s="458">
        <f>B146/IS!B48</f>
        <v>9.2872270662238012</v>
      </c>
      <c r="C147" s="458">
        <f>C146/IS!C48</f>
        <v>9.6795674599950914</v>
      </c>
      <c r="D147" s="458">
        <f>D146/IS!D48</f>
        <v>10.09958765226602</v>
      </c>
      <c r="E147" s="458">
        <f>E146/IS!E48</f>
        <v>9.8700062299900342</v>
      </c>
      <c r="F147" s="459">
        <f>F146/IS!F48</f>
        <v>9.8700062299900342</v>
      </c>
      <c r="G147" s="458">
        <f>G146/IS!G48</f>
        <v>10.031073307844096</v>
      </c>
      <c r="H147" s="458">
        <f>H146/IS!H48</f>
        <v>10.213204021929</v>
      </c>
      <c r="I147" s="458">
        <f>I146/IS!I48</f>
        <v>10.504221968760252</v>
      </c>
      <c r="J147" s="458">
        <f>J146/IS!J48</f>
        <v>10.586045652992585</v>
      </c>
      <c r="K147" s="459">
        <f>K146/IS!K48</f>
        <v>10.586045652992585</v>
      </c>
      <c r="L147" s="458">
        <f>L146/IS!L48</f>
        <v>10.904005747106298</v>
      </c>
      <c r="M147" s="458">
        <f>M146/IS!M48</f>
        <v>11.276693433461574</v>
      </c>
      <c r="N147" s="458">
        <f>N146/IS!N48</f>
        <v>11.68052022587219</v>
      </c>
      <c r="O147" s="458">
        <f>O146/IS!O48</f>
        <v>11.867337851577382</v>
      </c>
      <c r="P147" s="459">
        <f>P146/IS!P48</f>
        <v>11.867337851577382</v>
      </c>
      <c r="Q147" s="458">
        <f>Q146/IS!Q48</f>
        <v>12.269294231263862</v>
      </c>
      <c r="R147" s="458">
        <f>R146/IS!R48</f>
        <v>12.506758908922436</v>
      </c>
      <c r="S147" s="458">
        <f>S146/IS!S48</f>
        <v>12.926349060814806</v>
      </c>
      <c r="T147" s="458">
        <f>T146/IS!T48</f>
        <v>12.96997053752124</v>
      </c>
      <c r="U147" s="459">
        <f>U146/IS!U48</f>
        <v>12.96997053752124</v>
      </c>
      <c r="V147" s="458">
        <f>V146/IS!V48</f>
        <v>13.36984682908464</v>
      </c>
      <c r="W147" s="458">
        <f>W146/IS!W48</f>
        <v>13.885582240540479</v>
      </c>
      <c r="X147" s="458">
        <f>X146/IS!X48</f>
        <v>14.343549156343856</v>
      </c>
      <c r="Y147" s="458">
        <f>Y146/IS!Y48</f>
        <v>14.26889871936825</v>
      </c>
      <c r="Z147" s="459">
        <f>Z146/IS!Z48</f>
        <v>14.26889871936825</v>
      </c>
      <c r="AA147" s="458">
        <f>AA146/IS!AA48</f>
        <v>14.518938023176263</v>
      </c>
      <c r="AB147" s="458">
        <f>AB146/IS!AB48</f>
        <v>14.143044252087437</v>
      </c>
      <c r="AC147" s="458">
        <f>AC146/IS!AC48</f>
        <v>15.060436383795984</v>
      </c>
      <c r="AD147" s="458">
        <f>AD146/IS!AD48</f>
        <v>14.94988407471411</v>
      </c>
      <c r="AE147" s="459">
        <f>AE146/IS!AE48</f>
        <v>14.94988407471411</v>
      </c>
      <c r="AF147" s="458">
        <f>AF146/IS!AF48</f>
        <v>15.067302088966121</v>
      </c>
      <c r="AG147" s="458">
        <f>AG146/IS!AG48</f>
        <v>15.149693843820996</v>
      </c>
      <c r="AH147" s="458">
        <f>AH146/IS!AH48</f>
        <v>15.165572198230683</v>
      </c>
      <c r="AI147" s="458">
        <f>AI146/IS!AI48</f>
        <v>15.128374011184119</v>
      </c>
      <c r="AJ147" s="459">
        <f>AJ146/IS!AJ48</f>
        <v>15.128374011184119</v>
      </c>
      <c r="AK147" s="458">
        <f>AK146/IS!AK48</f>
        <v>15.131626669178775</v>
      </c>
      <c r="AL147" s="458">
        <f>AL146/IS!AL48</f>
        <v>14.781697559343478</v>
      </c>
      <c r="AM147" s="458">
        <f>AM146/IS!AM48</f>
        <v>14.753258122767267</v>
      </c>
      <c r="AN147" s="458">
        <f>AN146/IS!AN48</f>
        <v>14.904052175548982</v>
      </c>
      <c r="AO147" s="459">
        <f>AO146/IS!AO48</f>
        <v>14.904052175548982</v>
      </c>
      <c r="AP147" s="458">
        <f>AP146/IS!AP48</f>
        <v>14.269234284938246</v>
      </c>
      <c r="AQ147" s="458">
        <f>AQ146/IS!AQ48</f>
        <v>13.636609511215466</v>
      </c>
      <c r="AR147" s="458">
        <f>AR146/IS!AR48</f>
        <v>13.332499472871769</v>
      </c>
      <c r="AS147" s="458">
        <f>AS146/IS!AS48</f>
        <v>12.920549984514443</v>
      </c>
      <c r="AT147" s="459">
        <f>AT146/IS!AT48</f>
        <v>12.920549984514443</v>
      </c>
      <c r="AU147" s="458">
        <f>AU146/IS!AU48</f>
        <v>13.065433447809346</v>
      </c>
      <c r="AV147" s="458">
        <f>AV146/IS!AV48</f>
        <v>12.965451220432191</v>
      </c>
      <c r="AW147" s="458">
        <f>AW146/IS!AW48</f>
        <v>12.922393588379588</v>
      </c>
      <c r="AX147" s="458">
        <f>AX146/IS!AX48</f>
        <v>12.048139178569663</v>
      </c>
      <c r="AY147" s="459">
        <f>AY146/IS!AY48</f>
        <v>12.048139178569663</v>
      </c>
      <c r="AZ147" s="458">
        <f>AZ146/IS!AZ48</f>
        <v>12.13750334914041</v>
      </c>
      <c r="BA147" s="458">
        <f>BA146/IS!BA48</f>
        <v>12.328582539727959</v>
      </c>
      <c r="BB147" s="458">
        <f>BB146/IS!BB48</f>
        <v>16.0377993466908</v>
      </c>
      <c r="BC147" s="458">
        <f>BC146/IS!BC48</f>
        <v>14.115299190645612</v>
      </c>
      <c r="BD147" s="459">
        <f>BD146/IS!BD48</f>
        <v>14.115299190645612</v>
      </c>
      <c r="BE147" s="458">
        <f>BE146/IS!BE48</f>
        <v>14.623793250525353</v>
      </c>
      <c r="BF147" s="458">
        <f>BF146/IS!BF48</f>
        <v>15.323814576701412</v>
      </c>
      <c r="BG147" s="458">
        <f>BG146/IS!BG48</f>
        <v>15.908583525789069</v>
      </c>
      <c r="BH147" s="458">
        <f>BH146/IS!BH48</f>
        <v>15.846487942908267</v>
      </c>
      <c r="BI147" s="459">
        <f>BI146/IS!BI48</f>
        <v>15.846487942908267</v>
      </c>
      <c r="BJ147" s="458">
        <f>(BJ146)/IS!BJ48</f>
        <v>16.233433202255373</v>
      </c>
      <c r="BK147" s="458">
        <f>BK146/IS!BK48</f>
        <v>16.503739306471626</v>
      </c>
      <c r="BL147" s="458">
        <f>BL146/IS!BL48</f>
        <v>15.375184380862915</v>
      </c>
      <c r="BM147" s="458">
        <f>BM146/IS!BM48</f>
        <v>18.166235950720061</v>
      </c>
      <c r="BN147" s="459">
        <f>BN146/IS!BN48</f>
        <v>18.166235950720061</v>
      </c>
      <c r="BO147" s="458">
        <f>(BO146)/IS!BO48</f>
        <v>18.490962096014893</v>
      </c>
      <c r="BP147" s="458">
        <f>BP146/IS!BP48</f>
        <v>19.287361870900803</v>
      </c>
      <c r="BQ147" s="458">
        <f>BQ146/IS!BQ48</f>
        <v>19.982169577057565</v>
      </c>
      <c r="BR147" s="458">
        <f>BR146/IS!BR48</f>
        <v>19.72283761112341</v>
      </c>
      <c r="BS147" s="459">
        <f>BS146/IS!BS48</f>
        <v>19.72283761112341</v>
      </c>
      <c r="BT147" s="458">
        <f>(BT146)/IS!BT48</f>
        <v>19.768620589404168</v>
      </c>
      <c r="BU147" s="458">
        <f>BU146/IS!BU48</f>
        <v>21.854059921956893</v>
      </c>
      <c r="BV147" s="458">
        <f>BV146/IS!BV48</f>
        <v>23.099242240365303</v>
      </c>
      <c r="BW147" s="458">
        <f>BW146/IS!BW48</f>
        <v>18.960351590397188</v>
      </c>
      <c r="BX147" s="459">
        <f>BX146/IS!BX48</f>
        <v>18.960351590397188</v>
      </c>
      <c r="BY147" s="458">
        <f>BY146/IS!BY48</f>
        <v>19.936239356335868</v>
      </c>
      <c r="BZ147" s="458">
        <f>BZ146/IS!BZ48</f>
        <v>21.64950092345671</v>
      </c>
      <c r="CA147" s="458">
        <f>CA146/IS!CA48</f>
        <v>23.141547353630404</v>
      </c>
      <c r="CB147" s="458">
        <f ca="1">CB146/IS!CB48</f>
        <v>22.553641832019693</v>
      </c>
      <c r="CC147" s="459">
        <f ca="1">CC146/IS!CC48</f>
        <v>22.553641832019693</v>
      </c>
      <c r="CD147" s="458">
        <f>CD146/IS!CD48</f>
        <v>23.94831982045039</v>
      </c>
      <c r="CE147" s="458">
        <f>CE146/IS!CE48</f>
        <v>25.182197114472739</v>
      </c>
      <c r="CF147" s="458">
        <f ca="1">CF146/IS!CF48</f>
        <v>26.350367264917988</v>
      </c>
      <c r="CG147" s="458">
        <f ca="1">CG146/IS!CG48</f>
        <v>27.72333279338536</v>
      </c>
      <c r="CH147" s="459">
        <f ca="1">CH146/IS!CH48</f>
        <v>27.72333279338536</v>
      </c>
      <c r="CI147" s="458">
        <f ca="1">CI146/IS!CI48</f>
        <v>26.852566080327804</v>
      </c>
      <c r="CJ147" s="458">
        <f ca="1">CJ146/IS!CJ48</f>
        <v>28.045540301121445</v>
      </c>
      <c r="CK147" s="458">
        <f ca="1">CK146/IS!CK48</f>
        <v>29.305774264222389</v>
      </c>
      <c r="CL147" s="458">
        <f ca="1">CL146/IS!CL48</f>
        <v>30.746961169628449</v>
      </c>
      <c r="CM147" s="459">
        <f ca="1">CM146/IS!CM48</f>
        <v>30.746961169628449</v>
      </c>
      <c r="CN147" s="458">
        <f ca="1">CN146/IS!CN48</f>
        <v>27.93466240654563</v>
      </c>
      <c r="CO147" s="458">
        <f ca="1">CO146/IS!CO48</f>
        <v>29.307059264170924</v>
      </c>
      <c r="CP147" s="458">
        <f ca="1">CP146/IS!CP48</f>
        <v>30.688645385645586</v>
      </c>
      <c r="CQ147" s="458">
        <f ca="1">CQ146/IS!CQ48</f>
        <v>32.242679041101752</v>
      </c>
      <c r="CR147" s="459">
        <f ca="1">CR146/IS!CR48</f>
        <v>32.242679041101752</v>
      </c>
      <c r="CS147" s="458">
        <f ca="1">CS146/IS!CS48</f>
        <v>29.113399239903373</v>
      </c>
      <c r="CT147" s="458">
        <f ca="1">CT146/IS!CT48</f>
        <v>30.63320572403121</v>
      </c>
      <c r="CU147" s="458">
        <f ca="1">CU146/IS!CU48</f>
        <v>32.164777124529003</v>
      </c>
      <c r="CV147" s="458">
        <f ca="1">CV146/IS!CV48</f>
        <v>33.863217078906658</v>
      </c>
      <c r="CW147" s="459">
        <f ca="1">CW146/IS!CW48</f>
        <v>33.863217078906658</v>
      </c>
      <c r="CX147" s="458">
        <f ca="1">CX146/IS!CX48</f>
        <v>30.541991928976433</v>
      </c>
      <c r="CY147" s="458">
        <f ca="1">CY146/IS!CY48</f>
        <v>32.211296510670586</v>
      </c>
      <c r="CZ147" s="458">
        <f ca="1">CZ146/IS!CZ48</f>
        <v>33.900712657394784</v>
      </c>
      <c r="DA147" s="458">
        <f ca="1">DA146/IS!DA48</f>
        <v>35.775441163573952</v>
      </c>
      <c r="DB147" s="459">
        <f ca="1">DB146/IS!DB48</f>
        <v>35.775441163573952</v>
      </c>
    </row>
    <row r="148" spans="1:106" ht="11.5" customHeight="1" x14ac:dyDescent="0.35">
      <c r="A148" s="19" t="s">
        <v>259</v>
      </c>
      <c r="B148" s="23"/>
      <c r="C148" s="23"/>
      <c r="D148" s="23"/>
      <c r="E148" s="23"/>
      <c r="F148" s="57"/>
      <c r="G148" s="23"/>
      <c r="H148" s="23"/>
      <c r="I148" s="23"/>
      <c r="J148" s="23"/>
      <c r="K148" s="57"/>
      <c r="L148" s="23"/>
      <c r="M148" s="23"/>
      <c r="N148" s="23"/>
      <c r="O148" s="23"/>
      <c r="P148" s="57"/>
      <c r="Q148" s="23"/>
      <c r="R148" s="23"/>
      <c r="S148" s="23"/>
      <c r="T148" s="23"/>
      <c r="U148" s="57"/>
      <c r="V148" s="23"/>
      <c r="W148" s="23"/>
      <c r="X148" s="23"/>
      <c r="Y148" s="23"/>
      <c r="Z148" s="57"/>
      <c r="AA148" s="23"/>
      <c r="AB148" s="23"/>
      <c r="AC148" s="23"/>
      <c r="AD148" s="23"/>
      <c r="AE148" s="57"/>
      <c r="AF148" s="23"/>
      <c r="AG148" s="23"/>
      <c r="AH148" s="23"/>
      <c r="AI148" s="23"/>
      <c r="AJ148" s="57"/>
      <c r="AK148" s="23"/>
      <c r="AL148" s="23"/>
      <c r="AM148" s="23"/>
      <c r="AN148" s="23"/>
      <c r="AO148" s="57"/>
      <c r="AP148" s="23"/>
      <c r="AQ148" s="23"/>
      <c r="AR148" s="23"/>
      <c r="AS148" s="23"/>
      <c r="AT148" s="57"/>
      <c r="AU148" s="23"/>
      <c r="AV148" s="23"/>
      <c r="AW148" s="23"/>
      <c r="AX148" s="23"/>
      <c r="AY148" s="57"/>
      <c r="AZ148" s="23"/>
      <c r="BA148" s="23"/>
      <c r="BB148" s="23"/>
      <c r="BC148" s="23"/>
      <c r="BD148" s="57"/>
      <c r="BE148" s="23"/>
      <c r="BF148" s="23"/>
      <c r="BG148" s="23"/>
      <c r="BH148" s="23"/>
      <c r="BI148" s="57"/>
      <c r="BJ148" s="23"/>
      <c r="BK148" s="23"/>
      <c r="BL148" s="23"/>
      <c r="BM148" s="23"/>
      <c r="BN148" s="57"/>
      <c r="BO148" s="23"/>
      <c r="BP148" s="23"/>
      <c r="BQ148" s="23"/>
      <c r="BR148" s="23"/>
      <c r="BS148" s="57"/>
      <c r="BT148" s="23"/>
      <c r="BU148" s="23"/>
      <c r="BV148" s="23"/>
      <c r="BW148" s="23"/>
      <c r="BX148" s="57"/>
      <c r="BY148" s="23"/>
      <c r="BZ148" s="23"/>
      <c r="CA148" s="23"/>
      <c r="CB148" s="23"/>
      <c r="CC148" s="57"/>
      <c r="CD148" s="23"/>
      <c r="CE148" s="23"/>
      <c r="CF148" s="23"/>
      <c r="CG148" s="23"/>
      <c r="CH148" s="57"/>
      <c r="CI148" s="23"/>
      <c r="CJ148" s="23"/>
      <c r="CK148" s="23"/>
      <c r="CL148" s="23"/>
      <c r="CM148" s="57"/>
      <c r="CN148" s="23"/>
      <c r="CO148" s="23"/>
      <c r="CP148" s="23"/>
      <c r="CQ148" s="23"/>
      <c r="CR148" s="57"/>
      <c r="CS148" s="23"/>
      <c r="CT148" s="23"/>
      <c r="CU148" s="23"/>
      <c r="CV148" s="23"/>
      <c r="CW148" s="57"/>
      <c r="CX148" s="23"/>
      <c r="CY148" s="23"/>
      <c r="CZ148" s="23"/>
      <c r="DA148" s="23"/>
      <c r="DB148" s="57"/>
    </row>
    <row r="149" spans="1:106" ht="11.5" customHeight="1" x14ac:dyDescent="0.35">
      <c r="A149" s="19" t="s">
        <v>260</v>
      </c>
      <c r="B149" s="23"/>
      <c r="C149" s="23">
        <f>C144-B144</f>
        <v>3382</v>
      </c>
      <c r="D149" s="23">
        <f>D144-C144</f>
        <v>9463</v>
      </c>
      <c r="E149" s="23">
        <f>E144-D144</f>
        <v>50534</v>
      </c>
      <c r="F149" s="57">
        <f>SUM(B149:E149)</f>
        <v>63379</v>
      </c>
      <c r="G149" s="23">
        <f>G144-F144</f>
        <v>7446</v>
      </c>
      <c r="H149" s="23">
        <f>H144-G144</f>
        <v>13372</v>
      </c>
      <c r="I149" s="23">
        <f>I144-H144</f>
        <v>-393</v>
      </c>
      <c r="J149" s="23">
        <f>J144-I144</f>
        <v>42574</v>
      </c>
      <c r="K149" s="57">
        <f>SUM(G149:J149)</f>
        <v>62999</v>
      </c>
      <c r="L149" s="23">
        <f>L144-K144</f>
        <v>-3342</v>
      </c>
      <c r="M149" s="23">
        <f>M144-L144</f>
        <v>502</v>
      </c>
      <c r="N149" s="23">
        <f>N144-M144</f>
        <v>-5893</v>
      </c>
      <c r="O149" s="23">
        <f>O144-N144</f>
        <v>-6843</v>
      </c>
      <c r="P149" s="57">
        <f>SUM(L149:O149)</f>
        <v>-15576</v>
      </c>
      <c r="Q149" s="23">
        <f>Q144-P144</f>
        <v>11911</v>
      </c>
      <c r="R149" s="23">
        <f>R144-Q144</f>
        <v>3591</v>
      </c>
      <c r="S149" s="23">
        <f>S144-R144</f>
        <v>3020</v>
      </c>
      <c r="T149" s="23">
        <f>T144-S144</f>
        <v>-17304</v>
      </c>
      <c r="U149" s="57">
        <f>SUM(Q149:T149)</f>
        <v>1218</v>
      </c>
      <c r="V149" s="23">
        <f>V144-U144</f>
        <v>3748</v>
      </c>
      <c r="W149" s="23">
        <f>W144-V144</f>
        <v>-898</v>
      </c>
      <c r="X149" s="23">
        <f>X144-W144</f>
        <v>7126</v>
      </c>
      <c r="Y149" s="23">
        <f>Y144-X144</f>
        <v>-6834</v>
      </c>
      <c r="Z149" s="57">
        <f>SUM(V149:Y149)</f>
        <v>3142</v>
      </c>
      <c r="AA149" s="23">
        <f>AA144-Z144</f>
        <v>7965</v>
      </c>
      <c r="AB149" s="23">
        <f>AB144-AA144</f>
        <v>13819</v>
      </c>
      <c r="AC149" s="23">
        <f>AC144-AB144</f>
        <v>9792</v>
      </c>
      <c r="AD149" s="23">
        <f>AD144-AC144</f>
        <v>3786</v>
      </c>
      <c r="AE149" s="57">
        <f>SUM(AA149:AD149)</f>
        <v>35362</v>
      </c>
      <c r="AF149" s="23">
        <f>AF144-AE144</f>
        <v>-3100</v>
      </c>
      <c r="AG149" s="23">
        <f>AG144-AF144</f>
        <v>13361</v>
      </c>
      <c r="AH149" s="23">
        <f>AH144-AG144</f>
        <v>3818</v>
      </c>
      <c r="AI149" s="23">
        <f>AI144-AH144</f>
        <v>3460</v>
      </c>
      <c r="AJ149" s="57">
        <f>SUM(AF149:AI149)</f>
        <v>17539</v>
      </c>
      <c r="AK149" s="23">
        <f>AK144-AJ144</f>
        <v>4531</v>
      </c>
      <c r="AL149" s="23">
        <f>AL144-AK144</f>
        <v>-886</v>
      </c>
      <c r="AM149" s="23">
        <f>AM144-AL144</f>
        <v>3427</v>
      </c>
      <c r="AN149" s="23">
        <f>AN144-AM144</f>
        <v>-8350</v>
      </c>
      <c r="AO149" s="57">
        <f>SUM(AK149:AN149)</f>
        <v>-1278</v>
      </c>
      <c r="AP149" s="23">
        <f>AP144-AO144</f>
        <v>-5962</v>
      </c>
      <c r="AQ149" s="23">
        <f>AQ144-AP144</f>
        <v>-10444</v>
      </c>
      <c r="AR149" s="23">
        <f>AR144-AQ144</f>
        <v>-6310</v>
      </c>
      <c r="AS149" s="23">
        <f>AS144-AR144</f>
        <v>-15524</v>
      </c>
      <c r="AT149" s="57">
        <f>SUM(AP149:AS149)</f>
        <v>-38240</v>
      </c>
      <c r="AU149" s="23">
        <f>AU144-AT144</f>
        <v>-11195</v>
      </c>
      <c r="AV149" s="23">
        <f>AV144-AU144</f>
        <v>-10946</v>
      </c>
      <c r="AW149" s="23">
        <f>AW144-AV144</f>
        <v>-16703</v>
      </c>
      <c r="AX149" s="23">
        <f>AX144-AW144</f>
        <v>-13504</v>
      </c>
      <c r="AY149" s="57">
        <f>SUM(AU149:AX149)</f>
        <v>-52348</v>
      </c>
      <c r="AZ149" s="23">
        <f>AZ144-AY144</f>
        <v>-6275</v>
      </c>
      <c r="BA149" s="23">
        <f>BA144-AZ144</f>
        <v>-6041</v>
      </c>
      <c r="BB149" s="23">
        <f>BB144-BA144</f>
        <v>-23517</v>
      </c>
      <c r="BC149" s="23">
        <f>BC144-BB144</f>
        <v>-17223</v>
      </c>
      <c r="BD149" s="57">
        <f>SUM(AZ149:BC149)</f>
        <v>-53056</v>
      </c>
      <c r="BE149" s="23">
        <f>BE144-BD144</f>
        <v>-4043</v>
      </c>
      <c r="BF149" s="23">
        <f>BF144-BE144</f>
        <v>-3079</v>
      </c>
      <c r="BG149" s="23">
        <f>BG144-BF144</f>
        <v>-3211</v>
      </c>
      <c r="BH149" s="23">
        <f>BH144-BG144</f>
        <v>19996</v>
      </c>
      <c r="BI149" s="57">
        <f>SUM(BE149:BH149)</f>
        <v>9663</v>
      </c>
      <c r="BJ149" s="23">
        <f>BJ144-BI144</f>
        <v>3692</v>
      </c>
      <c r="BK149" s="23">
        <f>BK144-BJ144</f>
        <v>1577</v>
      </c>
      <c r="BL149" s="23">
        <f>BL144-BK144</f>
        <v>2636</v>
      </c>
      <c r="BM149" s="23">
        <f>BM144-BL144</f>
        <v>2206</v>
      </c>
      <c r="BN149" s="57">
        <f>SUM(BJ149:BM149)</f>
        <v>10111</v>
      </c>
      <c r="BO149" s="23">
        <f>BO144-BN144</f>
        <v>4039</v>
      </c>
      <c r="BP149" s="23">
        <f>BP144-BO144</f>
        <v>3874</v>
      </c>
      <c r="BQ149" s="23">
        <f>BQ144-BP144</f>
        <v>4392</v>
      </c>
      <c r="BR149" s="23">
        <f>BR144-BQ144</f>
        <v>7630</v>
      </c>
      <c r="BS149" s="57">
        <f>SUM(BO149:BR149)</f>
        <v>19935</v>
      </c>
      <c r="BT149" s="23">
        <f>BT144-BS144</f>
        <v>83</v>
      </c>
      <c r="BU149" s="23">
        <f>BU144-BT144</f>
        <v>3702</v>
      </c>
      <c r="BV149" s="23">
        <f>BV144-BU144</f>
        <v>817</v>
      </c>
      <c r="BW149" s="23">
        <f>BW144-BV144</f>
        <v>5748</v>
      </c>
      <c r="BX149" s="57">
        <f>SUM(BT149:BW149)</f>
        <v>10350</v>
      </c>
      <c r="BY149" s="23">
        <f>BY144-BX144</f>
        <v>10993</v>
      </c>
      <c r="BZ149" s="23">
        <f>BZ144-BY144</f>
        <v>21215</v>
      </c>
      <c r="CA149" s="23">
        <f>CA144-BZ144</f>
        <v>8862</v>
      </c>
      <c r="CB149" s="23">
        <f>CB144-CA144</f>
        <v>-651</v>
      </c>
      <c r="CC149" s="57">
        <f>SUM(BY149:CB149)</f>
        <v>40419</v>
      </c>
      <c r="CD149" s="23">
        <f>CD144-CC144</f>
        <v>8431</v>
      </c>
      <c r="CE149" s="23">
        <f>CE144-CD144</f>
        <v>9342</v>
      </c>
      <c r="CF149" s="23">
        <f>CF144-CE144</f>
        <v>17550.748446399666</v>
      </c>
      <c r="CG149" s="23">
        <f>CG144-CF144</f>
        <v>13640.621070138266</v>
      </c>
      <c r="CH149" s="57">
        <f>SUM(CD149:CG149)</f>
        <v>48964.369516537932</v>
      </c>
      <c r="CI149" s="23">
        <f>CI144-CH144</f>
        <v>34183.460403816134</v>
      </c>
      <c r="CJ149" s="23">
        <f>CJ144-CI144</f>
        <v>30142.023198968964</v>
      </c>
      <c r="CK149" s="23">
        <f>CK144-CJ144</f>
        <v>21792.928746201622</v>
      </c>
      <c r="CL149" s="23">
        <f>CL144-CK144</f>
        <v>14533.04605462536</v>
      </c>
      <c r="CM149" s="57">
        <f>SUM(CI149:CL149)</f>
        <v>100651.45840361208</v>
      </c>
      <c r="CN149" s="23">
        <f>CN144-CM144</f>
        <v>24006.541297855962</v>
      </c>
      <c r="CO149" s="23">
        <f>CO144-CN144</f>
        <v>22725.672875254415</v>
      </c>
      <c r="CP149" s="23">
        <f>CP144-CO144</f>
        <v>19601.408694111044</v>
      </c>
      <c r="CQ149" s="23">
        <f>CQ144-CP144</f>
        <v>13919.157319298596</v>
      </c>
      <c r="CR149" s="57">
        <f>SUM(CN149:CQ149)</f>
        <v>80252.780186520016</v>
      </c>
      <c r="CS149" s="23">
        <f>CS144-CR144</f>
        <v>6655.1594709719066</v>
      </c>
      <c r="CT149" s="23">
        <f>CT144-CS144</f>
        <v>7156.1073892076383</v>
      </c>
      <c r="CU149" s="23">
        <f>CU144-CT144</f>
        <v>5352.7353319610702</v>
      </c>
      <c r="CV149" s="23">
        <f>CV144-CU144</f>
        <v>59.994930051092524</v>
      </c>
      <c r="CW149" s="57">
        <f>SUM(CS149:CV149)</f>
        <v>19223.997122191708</v>
      </c>
      <c r="CX149" s="23">
        <f>CX144-CW144</f>
        <v>5591.9401659236173</v>
      </c>
      <c r="CY149" s="23">
        <f>CY144-CX144</f>
        <v>6512.8512379210442</v>
      </c>
      <c r="CZ149" s="23">
        <f>CZ144-CY144</f>
        <v>4733.1422550643329</v>
      </c>
      <c r="DA149" s="23">
        <f>DA144-CZ144</f>
        <v>-500.45916702668183</v>
      </c>
      <c r="DB149" s="57">
        <f>SUM(CX149:DA149)</f>
        <v>16337.474491882313</v>
      </c>
    </row>
    <row r="150" spans="1:106" ht="11.5" customHeight="1" x14ac:dyDescent="0.35">
      <c r="A150" s="19" t="s">
        <v>261</v>
      </c>
      <c r="B150" s="448">
        <f>IS!B36+IS!B33</f>
        <v>-4987</v>
      </c>
      <c r="C150" s="448">
        <f>IS!C36+IS!C33</f>
        <v>-3544</v>
      </c>
      <c r="D150" s="448">
        <f>IS!D36+IS!D33</f>
        <v>-5038</v>
      </c>
      <c r="E150" s="448">
        <f>IS!E36+IS!E33</f>
        <v>0</v>
      </c>
      <c r="F150" s="460">
        <f>IS!F36+IS!F33</f>
        <v>-13569</v>
      </c>
      <c r="G150" s="448">
        <f>IS!G36+IS!G33</f>
        <v>0</v>
      </c>
      <c r="H150" s="448">
        <f>IS!H36+IS!H33</f>
        <v>0</v>
      </c>
      <c r="I150" s="448">
        <f>IS!I36+IS!I33</f>
        <v>0</v>
      </c>
      <c r="J150" s="448">
        <f>IS!J36+IS!J33</f>
        <v>-36220</v>
      </c>
      <c r="K150" s="460">
        <f>IS!K36+IS!K33</f>
        <v>-36220</v>
      </c>
      <c r="L150" s="448">
        <f>IS!L36+IS!L33</f>
        <v>-18000</v>
      </c>
      <c r="M150" s="448">
        <f>IS!M36+IS!M33</f>
        <v>0</v>
      </c>
      <c r="N150" s="448">
        <f>IS!N36+IS!N33</f>
        <v>0</v>
      </c>
      <c r="O150" s="448">
        <f>IS!O36+IS!O33</f>
        <v>0</v>
      </c>
      <c r="P150" s="460">
        <f>IS!P36+IS!P33</f>
        <v>-18000</v>
      </c>
      <c r="Q150" s="448">
        <f>IS!Q36+IS!Q33</f>
        <v>0</v>
      </c>
      <c r="R150" s="448">
        <f>IS!R36+IS!R33</f>
        <v>-6000</v>
      </c>
      <c r="S150" s="448">
        <f>IS!S36+IS!S33</f>
        <v>0</v>
      </c>
      <c r="T150" s="448">
        <f>IS!T36+IS!T33</f>
        <v>0</v>
      </c>
      <c r="U150" s="460">
        <f>IS!U36+IS!U33</f>
        <v>-6000</v>
      </c>
      <c r="V150" s="448">
        <f>IS!V36+IS!V33</f>
        <v>0</v>
      </c>
      <c r="W150" s="448">
        <f>IS!W36+IS!W33</f>
        <v>0</v>
      </c>
      <c r="X150" s="448">
        <f>IS!X36+IS!X33</f>
        <v>0</v>
      </c>
      <c r="Y150" s="448">
        <f>IS!Y36+IS!Y33</f>
        <v>0</v>
      </c>
      <c r="Z150" s="460">
        <f>IS!Z36+IS!Z33</f>
        <v>0</v>
      </c>
      <c r="AA150" s="448">
        <f>IS!AA36+IS!AA33</f>
        <v>0</v>
      </c>
      <c r="AB150" s="448">
        <f>IS!AB36+IS!AB33</f>
        <v>0</v>
      </c>
      <c r="AC150" s="448">
        <f>IS!AC36+IS!AC33</f>
        <v>0</v>
      </c>
      <c r="AD150" s="448">
        <f>IS!AD36+IS!AD33</f>
        <v>0</v>
      </c>
      <c r="AE150" s="460">
        <f>IS!AE36+IS!AE33</f>
        <v>0</v>
      </c>
      <c r="AF150" s="448">
        <f>IS!AF36+IS!AF33</f>
        <v>0</v>
      </c>
      <c r="AG150" s="448">
        <f>IS!AG36+IS!AG33</f>
        <v>0</v>
      </c>
      <c r="AH150" s="448">
        <f>IS!AH36+IS!AH33</f>
        <v>0</v>
      </c>
      <c r="AI150" s="448">
        <f>IS!AI36+IS!AI33</f>
        <v>0</v>
      </c>
      <c r="AJ150" s="460">
        <f>IS!AJ36+IS!AJ33</f>
        <v>0</v>
      </c>
      <c r="AK150" s="448">
        <f>IS!AK36+IS!AK33</f>
        <v>0</v>
      </c>
      <c r="AL150" s="448">
        <f>IS!AL36+IS!AL33</f>
        <v>0</v>
      </c>
      <c r="AM150" s="448">
        <f>IS!AM36+IS!AM33</f>
        <v>0</v>
      </c>
      <c r="AN150" s="448">
        <f>IS!AN36+IS!AN33</f>
        <v>0</v>
      </c>
      <c r="AO150" s="460">
        <f>IS!AO36+IS!AO33</f>
        <v>0</v>
      </c>
      <c r="AP150" s="448">
        <f>IS!AP36+IS!AP33</f>
        <v>0</v>
      </c>
      <c r="AQ150" s="448">
        <f>IS!AQ36+IS!AQ33</f>
        <v>0</v>
      </c>
      <c r="AR150" s="448">
        <f>IS!AR36+IS!AR33</f>
        <v>0</v>
      </c>
      <c r="AS150" s="448">
        <f>IS!AS36+IS!AS33</f>
        <v>20000</v>
      </c>
      <c r="AT150" s="460">
        <f>IS!AT36+IS!AT33</f>
        <v>20000</v>
      </c>
      <c r="AU150" s="448">
        <f>IS!AU36+IS!AU33</f>
        <v>0</v>
      </c>
      <c r="AV150" s="448">
        <f>IS!AV36+IS!AV33</f>
        <v>0</v>
      </c>
      <c r="AW150" s="448">
        <f>IS!AW36+IS!AW33</f>
        <v>0</v>
      </c>
      <c r="AX150" s="448">
        <f>IS!AX36+IS!AX33</f>
        <v>0</v>
      </c>
      <c r="AY150" s="460">
        <f>IS!AY36+IS!AY33</f>
        <v>0</v>
      </c>
      <c r="AZ150" s="448">
        <f>IS!AZ36+IS!AZ33</f>
        <v>0</v>
      </c>
      <c r="BA150" s="448">
        <f>IS!BA36+IS!BA33</f>
        <v>0</v>
      </c>
      <c r="BB150" s="448">
        <f>IS!BB36+IS!BB33</f>
        <v>1153000</v>
      </c>
      <c r="BC150" s="448">
        <f>IS!BC36+IS!BC33</f>
        <v>0</v>
      </c>
      <c r="BD150" s="460">
        <f>IS!BD36+IS!BD33</f>
        <v>1153000</v>
      </c>
      <c r="BE150" s="448">
        <f>IS!BE36+IS!BE33</f>
        <v>0</v>
      </c>
      <c r="BF150" s="448">
        <f>IS!BF36+IS!BF33</f>
        <v>0</v>
      </c>
      <c r="BG150" s="448">
        <f>IS!BG36+IS!BG33</f>
        <v>0</v>
      </c>
      <c r="BH150" s="448">
        <f>IS!BH36+IS!BH33</f>
        <v>0</v>
      </c>
      <c r="BI150" s="460">
        <f>IS!BI36+IS!BI33</f>
        <v>0</v>
      </c>
      <c r="BJ150" s="448">
        <f>IS!BJ36+IS!BJ33</f>
        <v>0</v>
      </c>
      <c r="BK150" s="448">
        <f>IS!BK36+IS!BK33</f>
        <v>0</v>
      </c>
      <c r="BL150" s="448">
        <f>IS!BL36+IS!BL33</f>
        <v>0</v>
      </c>
      <c r="BM150" s="448">
        <f>IS!BM36+IS!BM33</f>
        <v>0</v>
      </c>
      <c r="BN150" s="460">
        <f>IS!BN36+IS!BN33</f>
        <v>0</v>
      </c>
      <c r="BO150" s="448">
        <f>IS!BO36+IS!BO33</f>
        <v>0</v>
      </c>
      <c r="BP150" s="448">
        <f>IS!BP36+IS!BP33</f>
        <v>0</v>
      </c>
      <c r="BQ150" s="448">
        <f>IS!BQ36+IS!BQ33</f>
        <v>0</v>
      </c>
      <c r="BR150" s="448">
        <f>IS!BR36+IS!BR33</f>
        <v>0</v>
      </c>
      <c r="BS150" s="460">
        <f>IS!BS36+IS!BS33</f>
        <v>0</v>
      </c>
      <c r="BT150" s="448">
        <f>IS!BT36+IS!BT33</f>
        <v>0</v>
      </c>
      <c r="BU150" s="448">
        <f>IS!BU36+IS!BU33</f>
        <v>0</v>
      </c>
      <c r="BV150" s="448">
        <f>IS!BV36+IS!BV33</f>
        <v>92000</v>
      </c>
      <c r="BW150" s="448">
        <f>IS!BW36+IS!BW33</f>
        <v>0</v>
      </c>
      <c r="BX150" s="460">
        <f>IS!BX36+IS!BX33</f>
        <v>92000</v>
      </c>
      <c r="BY150" s="448">
        <f>IS!BY36+IS!BY33</f>
        <v>0</v>
      </c>
      <c r="BZ150" s="448">
        <f>IS!BZ36+IS!BZ33</f>
        <v>0</v>
      </c>
      <c r="CA150" s="448">
        <f>IS!CA36+IS!CA33</f>
        <v>213000</v>
      </c>
      <c r="CB150" s="448">
        <f>IS!CB36+IS!CB33</f>
        <v>70000</v>
      </c>
      <c r="CC150" s="460">
        <f>IS!CC36+IS!CC33</f>
        <v>283000</v>
      </c>
      <c r="CD150" s="448">
        <f>IS!CD36+IS!CD33</f>
        <v>0</v>
      </c>
      <c r="CE150" s="448">
        <f>IS!CE36+IS!CE33</f>
        <v>0</v>
      </c>
      <c r="CF150" s="448">
        <f>IS!CF36+IS!CF33</f>
        <v>0</v>
      </c>
      <c r="CG150" s="448">
        <f>IS!CG36+IS!CG33</f>
        <v>0</v>
      </c>
      <c r="CH150" s="460">
        <f>IS!CH36+IS!CH33</f>
        <v>0</v>
      </c>
      <c r="CI150" s="448">
        <f>IS!CI36+IS!CI33</f>
        <v>0</v>
      </c>
      <c r="CJ150" s="448">
        <f>IS!CJ36+IS!CJ33</f>
        <v>0</v>
      </c>
      <c r="CK150" s="448">
        <f>IS!CK36+IS!CK33</f>
        <v>0</v>
      </c>
      <c r="CL150" s="448">
        <f>IS!CL36+IS!CL33</f>
        <v>0</v>
      </c>
      <c r="CM150" s="460">
        <f>IS!CM36+IS!CM33</f>
        <v>0</v>
      </c>
      <c r="CN150" s="448">
        <f>IS!CN36+IS!CN33</f>
        <v>0</v>
      </c>
      <c r="CO150" s="448">
        <f>IS!CO36+IS!CO33</f>
        <v>0</v>
      </c>
      <c r="CP150" s="448">
        <f>IS!CP36+IS!CP33</f>
        <v>0</v>
      </c>
      <c r="CQ150" s="448">
        <f>IS!CQ36+IS!CQ33</f>
        <v>0</v>
      </c>
      <c r="CR150" s="460">
        <f>IS!CR36+IS!CR33</f>
        <v>0</v>
      </c>
      <c r="CS150" s="448">
        <f>IS!CS36+IS!CS33</f>
        <v>0</v>
      </c>
      <c r="CT150" s="448">
        <f>IS!CT36+IS!CT33</f>
        <v>0</v>
      </c>
      <c r="CU150" s="448">
        <f>IS!CU36+IS!CU33</f>
        <v>0</v>
      </c>
      <c r="CV150" s="448">
        <f>IS!CV36+IS!CV33</f>
        <v>0</v>
      </c>
      <c r="CW150" s="460">
        <f>IS!CW36+IS!CW33</f>
        <v>0</v>
      </c>
      <c r="CX150" s="448">
        <f>IS!CX36+IS!CX33</f>
        <v>0</v>
      </c>
      <c r="CY150" s="448">
        <f>IS!CY36+IS!CY33</f>
        <v>0</v>
      </c>
      <c r="CZ150" s="448">
        <f>IS!CZ36+IS!CZ33</f>
        <v>0</v>
      </c>
      <c r="DA150" s="448">
        <f>IS!DA36+IS!DA33</f>
        <v>0</v>
      </c>
      <c r="DB150" s="460">
        <f>IS!DB36+IS!DB33</f>
        <v>0</v>
      </c>
    </row>
    <row r="151" spans="1:106" ht="11.5" customHeight="1" x14ac:dyDescent="0.35">
      <c r="A151" s="16" t="s">
        <v>262</v>
      </c>
      <c r="B151" s="461">
        <f>IS!B45-SUM(B148:B149)-B150</f>
        <v>179227</v>
      </c>
      <c r="C151" s="461">
        <f>IS!C45-SUM(C148:C149)-C150</f>
        <v>167956</v>
      </c>
      <c r="D151" s="461">
        <f>IS!D45-SUM(D148:D149)-D150</f>
        <v>171609</v>
      </c>
      <c r="E151" s="461">
        <f>IS!E45-SUM(E148:E149)-E150</f>
        <v>31992</v>
      </c>
      <c r="F151" s="462">
        <f>SUM(B151:E151)</f>
        <v>550784</v>
      </c>
      <c r="G151" s="461">
        <f>IS!G45-SUM(G148:G149)-G150</f>
        <v>66735</v>
      </c>
      <c r="H151" s="461">
        <f>IS!H45-SUM(H148:H149)-H150</f>
        <v>95501</v>
      </c>
      <c r="I151" s="461">
        <f>IS!I45-SUM(I148:I149)-I150</f>
        <v>147146</v>
      </c>
      <c r="J151" s="461">
        <f>IS!J45-SUM(J148:J149)-J150</f>
        <v>162010</v>
      </c>
      <c r="K151" s="462">
        <f>SUM(G151:J151)</f>
        <v>471392</v>
      </c>
      <c r="L151" s="461">
        <f>IS!L45-SUM(L148:L149)-L150</f>
        <v>139248</v>
      </c>
      <c r="M151" s="461">
        <f>IS!M45-SUM(M148:M149)-M150</f>
        <v>142243</v>
      </c>
      <c r="N151" s="461">
        <f>IS!N45-SUM(N148:N149)-N150</f>
        <v>156288</v>
      </c>
      <c r="O151" s="461">
        <f>IS!O45-SUM(O148:O149)-O150</f>
        <v>255945</v>
      </c>
      <c r="P151" s="462">
        <f>SUM(L151:O151)</f>
        <v>693724</v>
      </c>
      <c r="Q151" s="461">
        <f>IS!Q45-SUM(Q148:Q149)-Q150</f>
        <v>161018</v>
      </c>
      <c r="R151" s="461">
        <f>IS!R45-SUM(R148:R149)-R150</f>
        <v>185186</v>
      </c>
      <c r="S151" s="461">
        <f>IS!S45-SUM(S148:S149)-S150</f>
        <v>171584</v>
      </c>
      <c r="T151" s="461">
        <f>IS!T45-SUM(T148:T149)-T150</f>
        <v>199826</v>
      </c>
      <c r="U151" s="462">
        <f>SUM(Q151:T151)</f>
        <v>717614</v>
      </c>
      <c r="V151" s="461">
        <f>IS!V45-SUM(V148:V149)-V150</f>
        <v>159705</v>
      </c>
      <c r="W151" s="461">
        <f>IS!W45-SUM(W148:W149)-W150</f>
        <v>169792</v>
      </c>
      <c r="X151" s="461">
        <f>IS!X45-SUM(X148:X149)-X150</f>
        <v>172003</v>
      </c>
      <c r="Y151" s="461">
        <f>IS!Y45-SUM(Y148:Y149)-Y150</f>
        <v>156857</v>
      </c>
      <c r="Z151" s="462">
        <f>SUM(V151:Y151)</f>
        <v>658357</v>
      </c>
      <c r="AA151" s="461">
        <f>IS!AA45-SUM(AA148:AA149)-AA150</f>
        <v>92576</v>
      </c>
      <c r="AB151" s="461">
        <f>IS!AB45-SUM(AB148:AB149)-AB150</f>
        <v>104187</v>
      </c>
      <c r="AC151" s="461">
        <f>IS!AC45-SUM(AC148:AC149)-AC150</f>
        <v>121440</v>
      </c>
      <c r="AD151" s="461">
        <f>IS!AD45-SUM(AD148:AD149)-AD150</f>
        <v>94235</v>
      </c>
      <c r="AE151" s="462">
        <f>SUM(AA151:AD151)</f>
        <v>412438</v>
      </c>
      <c r="AF151" s="461">
        <f>IS!AF45-SUM(AF148:AF149)-AF150</f>
        <v>64372</v>
      </c>
      <c r="AG151" s="461">
        <f>IS!AG45-SUM(AG148:AG149)-AG150</f>
        <v>31342</v>
      </c>
      <c r="AH151" s="461">
        <f>IS!AH45-SUM(AH148:AH149)-AH150</f>
        <v>10626</v>
      </c>
      <c r="AI151" s="461">
        <f>IS!AI45-SUM(AI148:AI149)-AI150</f>
        <v>27473</v>
      </c>
      <c r="AJ151" s="462">
        <f>SUM(AF151:AI151)</f>
        <v>133813</v>
      </c>
      <c r="AK151" s="461">
        <f>IS!AK45-SUM(AK148:AK149)-AK150</f>
        <v>-506</v>
      </c>
      <c r="AL151" s="461">
        <f>IS!AL45-SUM(AL148:AL149)-AL150</f>
        <v>-140142</v>
      </c>
      <c r="AM151" s="461">
        <f>IS!AM45-SUM(AM148:AM149)-AM150</f>
        <v>-10190</v>
      </c>
      <c r="AN151" s="461">
        <f>IS!AN45-SUM(AN148:AN149)-AN150</f>
        <v>57112</v>
      </c>
      <c r="AO151" s="462">
        <f>SUM(AK151:AN151)</f>
        <v>-93726</v>
      </c>
      <c r="AP151" s="461">
        <f>IS!AP45-SUM(AP148:AP149)-AP150</f>
        <v>-45322</v>
      </c>
      <c r="AQ151" s="461">
        <f>IS!AQ45-SUM(AQ148:AQ149)-AQ150</f>
        <v>-17993</v>
      </c>
      <c r="AR151" s="461">
        <f>IS!AR45-SUM(AR148:AR149)-AR150</f>
        <v>-114443</v>
      </c>
      <c r="AS151" s="461">
        <f>IS!AS45-SUM(AS148:AS149)-AS150</f>
        <v>111635</v>
      </c>
      <c r="AT151" s="462">
        <f>SUM(AP151:AS151)</f>
        <v>-66123</v>
      </c>
      <c r="AU151" s="461">
        <f>IS!AU45-SUM(AU148:AU149)-AU150</f>
        <v>59605</v>
      </c>
      <c r="AV151" s="461">
        <f>IS!AV45-SUM(AV148:AV149)-AV150</f>
        <v>124781</v>
      </c>
      <c r="AW151" s="461">
        <f>IS!AW45-SUM(AW148:AW149)-AW150</f>
        <v>121086</v>
      </c>
      <c r="AX151" s="461">
        <f>IS!AX45-SUM(AX148:AX149)-AX150</f>
        <v>162719</v>
      </c>
      <c r="AY151" s="462">
        <f>SUM(AU151:AX151)</f>
        <v>468191</v>
      </c>
      <c r="AZ151" s="461">
        <f>IS!AZ45-SUM(AZ148:AZ149)-AZ150</f>
        <v>34210</v>
      </c>
      <c r="BA151" s="461">
        <f>IS!BA45-SUM(BA148:BA149)-BA150</f>
        <v>73852</v>
      </c>
      <c r="BB151" s="461">
        <f>IS!BB45-SUM(BB148:BB149)-BB150</f>
        <v>273798</v>
      </c>
      <c r="BC151" s="461">
        <f>IS!BC45-SUM(BC148:BC149)-BC150</f>
        <v>278454</v>
      </c>
      <c r="BD151" s="462">
        <f>SUM(AZ151:BC151)</f>
        <v>660314</v>
      </c>
      <c r="BE151" s="461">
        <f>IS!BE45-SUM(BE148:BE149)-BE150</f>
        <v>196328</v>
      </c>
      <c r="BF151" s="461">
        <f>IS!BF45-SUM(BF148:BF149)-BF150</f>
        <v>270053</v>
      </c>
      <c r="BG151" s="461">
        <f>IS!BG45-SUM(BG148:BG149)-BG150</f>
        <v>240758</v>
      </c>
      <c r="BH151" s="461">
        <f>IS!BH45-SUM(BH148:BH149)-BH150</f>
        <v>197553</v>
      </c>
      <c r="BI151" s="462">
        <f>SUM(BE151:BH151)</f>
        <v>904692</v>
      </c>
      <c r="BJ151" s="461">
        <f>IS!BJ45-SUM(BJ148:BJ149)-BJ150</f>
        <v>158059</v>
      </c>
      <c r="BK151" s="461">
        <f>IS!BK45-SUM(BK148:BK149)-BK150</f>
        <v>149220</v>
      </c>
      <c r="BL151" s="461">
        <f>IS!BL45-SUM(BL148:BL149)-BL150</f>
        <v>285992</v>
      </c>
      <c r="BM151" s="461">
        <f>IS!BM45-SUM(BM148:BM149)-BM150</f>
        <v>205498</v>
      </c>
      <c r="BN151" s="462">
        <f>SUM(BJ151:BM151)</f>
        <v>798769</v>
      </c>
      <c r="BO151" s="461">
        <f>IS!BO45-SUM(BO148:BO149)-BO150</f>
        <v>159537</v>
      </c>
      <c r="BP151" s="461">
        <f>IS!BP45-SUM(BP148:BP149)-BP150</f>
        <v>275511</v>
      </c>
      <c r="BQ151" s="461">
        <f>IS!BQ45-SUM(BQ148:BQ149)-BQ150</f>
        <v>246927</v>
      </c>
      <c r="BR151" s="461">
        <f>IS!BR45-SUM(BR148:BR149)-BR150</f>
        <v>240180</v>
      </c>
      <c r="BS151" s="462">
        <f>SUM(BO151:BR151)</f>
        <v>922155</v>
      </c>
      <c r="BT151" s="461">
        <f>IS!BT45-SUM(BT148:BT149)-BT150</f>
        <v>267175</v>
      </c>
      <c r="BU151" s="461">
        <f>IS!BU45-SUM(BU148:BU149)-BU150</f>
        <v>408303</v>
      </c>
      <c r="BV151" s="461">
        <f>IS!BV45-SUM(BV148:BV149)-BV150</f>
        <v>380284</v>
      </c>
      <c r="BW151" s="461">
        <f>IS!BW45-SUM(BW148:BW149)-BW150</f>
        <v>582884</v>
      </c>
      <c r="BX151" s="462">
        <f>SUM(BT151:BW151)</f>
        <v>1638646</v>
      </c>
      <c r="BY151" s="461">
        <f>IS!BY45-SUM(BY148:BY149)-BY150</f>
        <v>316639</v>
      </c>
      <c r="BZ151" s="461">
        <f>IS!BZ45-SUM(BZ148:BZ149)-BZ150</f>
        <v>366592</v>
      </c>
      <c r="CA151" s="461">
        <f>IS!CA45-SUM(CA148:CA149)-CA150</f>
        <v>387253</v>
      </c>
      <c r="CB151" s="461">
        <f>IS!CB45-SUM(CB148:CB149)-CB150</f>
        <v>612853</v>
      </c>
      <c r="CC151" s="462">
        <f>SUM(BY151:CB151)</f>
        <v>1683337</v>
      </c>
      <c r="CD151" s="461">
        <f>IS!CD45-SUM(CD148:CD149)-CD150</f>
        <v>288345</v>
      </c>
      <c r="CE151" s="461">
        <f>IS!CE45-SUM(CE148:CE149)-CE150</f>
        <v>442264</v>
      </c>
      <c r="CF151" s="461">
        <f ca="1">IS!CF45-SUM(CF148:CF149)-CF150</f>
        <v>509038.84592413716</v>
      </c>
      <c r="CG151" s="461">
        <f ca="1">IS!CG45-SUM(CG148:CG149)-CG150</f>
        <v>598279.95762284473</v>
      </c>
      <c r="CH151" s="462">
        <f ca="1">SUM(CD151:CG151)</f>
        <v>1837927.8035469819</v>
      </c>
      <c r="CI151" s="461">
        <f ca="1">IS!CI45-SUM(CI148:CI149)-CI150</f>
        <v>564003.0041049188</v>
      </c>
      <c r="CJ151" s="461">
        <f ca="1">IS!CJ45-SUM(CJ148:CJ149)-CJ150</f>
        <v>519847.40436877194</v>
      </c>
      <c r="CK151" s="461">
        <f ca="1">IS!CK45-SUM(CK148:CK149)-CK150</f>
        <v>549156.33816426317</v>
      </c>
      <c r="CL151" s="461">
        <f ca="1">IS!CL45-SUM(CL148:CL149)-CL150</f>
        <v>628007.93087313441</v>
      </c>
      <c r="CM151" s="462">
        <f ca="1">SUM(CI151:CL151)</f>
        <v>2261014.6775110886</v>
      </c>
      <c r="CN151" s="461">
        <f ca="1">IS!CN45-SUM(CN148:CN149)-CN150</f>
        <v>663852.7710926407</v>
      </c>
      <c r="CO151" s="461">
        <f ca="1">IS!CO45-SUM(CO148:CO149)-CO150</f>
        <v>598032.15506681055</v>
      </c>
      <c r="CP151" s="461">
        <f ca="1">IS!CP45-SUM(CP148:CP149)-CP150</f>
        <v>602036.44524918741</v>
      </c>
      <c r="CQ151" s="461">
        <f ca="1">IS!CQ45-SUM(CQ148:CQ149)-CQ150</f>
        <v>677181.74291576084</v>
      </c>
      <c r="CR151" s="462">
        <f ca="1">SUM(CN151:CQ151)</f>
        <v>2541103.1143243993</v>
      </c>
      <c r="CS151" s="461">
        <f ca="1">IS!CS45-SUM(CS148:CS149)-CS150</f>
        <v>733477.7291020226</v>
      </c>
      <c r="CT151" s="461">
        <f ca="1">IS!CT45-SUM(CT148:CT149)-CT150</f>
        <v>662266.99801701051</v>
      </c>
      <c r="CU151" s="461">
        <f ca="1">IS!CU45-SUM(CU148:CU149)-CU150</f>
        <v>667393.64797384804</v>
      </c>
      <c r="CV151" s="461">
        <f ca="1">IS!CV45-SUM(CV148:CV149)-CV150</f>
        <v>740107.86349772289</v>
      </c>
      <c r="CW151" s="462">
        <f ca="1">SUM(CS151:CV151)</f>
        <v>2803246.2385906042</v>
      </c>
      <c r="CX151" s="461">
        <f ca="1">IS!CX45-SUM(CX148:CX149)-CX150</f>
        <v>810727.58636077424</v>
      </c>
      <c r="CY151" s="461">
        <f ca="1">IS!CY45-SUM(CY148:CY149)-CY150</f>
        <v>727411.90779236017</v>
      </c>
      <c r="CZ151" s="461">
        <f ca="1">IS!CZ45-SUM(CZ148:CZ149)-CZ150</f>
        <v>736175.67208536458</v>
      </c>
      <c r="DA151" s="461">
        <f ca="1">IS!DA45-SUM(DA148:DA149)-DA150</f>
        <v>816926.91329494421</v>
      </c>
      <c r="DB151" s="462">
        <f ca="1">SUM(CX151:DA151)</f>
        <v>3091242.0795334429</v>
      </c>
    </row>
    <row r="152" spans="1:106" ht="11.5" customHeight="1" x14ac:dyDescent="0.35">
      <c r="A152" s="32" t="s">
        <v>263</v>
      </c>
      <c r="B152" s="235"/>
      <c r="C152" s="235"/>
      <c r="D152" s="235"/>
      <c r="E152" s="235"/>
      <c r="F152" s="236">
        <f>F151/AVERAGE(B146:E146)</f>
        <v>0.13382231243315371</v>
      </c>
      <c r="G152" s="235"/>
      <c r="H152" s="235"/>
      <c r="I152" s="235"/>
      <c r="J152" s="235"/>
      <c r="K152" s="236">
        <f>K151/AVERAGE(G146:J146)</f>
        <v>0.10928288554370839</v>
      </c>
      <c r="L152" s="235"/>
      <c r="M152" s="235"/>
      <c r="N152" s="235"/>
      <c r="O152" s="235"/>
      <c r="P152" s="236">
        <f>P151/AVERAGE(L146:O146)</f>
        <v>0.1475327191985063</v>
      </c>
      <c r="Q152" s="235"/>
      <c r="R152" s="235"/>
      <c r="S152" s="235"/>
      <c r="T152" s="235"/>
      <c r="U152" s="236">
        <f>U151/AVERAGE(Q146:T146)</f>
        <v>0.13748090600180288</v>
      </c>
      <c r="V152" s="235"/>
      <c r="W152" s="235"/>
      <c r="X152" s="235"/>
      <c r="Y152" s="235"/>
      <c r="Z152" s="236">
        <f>Z151/AVERAGE(V146:Y146)</f>
        <v>0.12026481176889234</v>
      </c>
      <c r="AA152" s="235"/>
      <c r="AB152" s="235"/>
      <c r="AC152" s="235"/>
      <c r="AD152" s="235"/>
      <c r="AE152" s="236">
        <f>AE151/AVERAGE(AA146:AD146)</f>
        <v>7.4231384942010273E-2</v>
      </c>
      <c r="AF152" s="235"/>
      <c r="AG152" s="235"/>
      <c r="AH152" s="235"/>
      <c r="AI152" s="235"/>
      <c r="AJ152" s="236">
        <f>AJ151/AVERAGE(AF146:AI146)</f>
        <v>2.3187748319712216E-2</v>
      </c>
      <c r="AK152" s="235"/>
      <c r="AL152" s="235"/>
      <c r="AM152" s="235"/>
      <c r="AN152" s="235"/>
      <c r="AO152" s="236">
        <f>AO151/AVERAGE(AK146:AN146)</f>
        <v>-1.6452680244232583E-2</v>
      </c>
      <c r="AP152" s="235"/>
      <c r="AQ152" s="235"/>
      <c r="AR152" s="235"/>
      <c r="AS152" s="235"/>
      <c r="AT152" s="236">
        <f>AT151/AVERAGE(AP146:AS146)</f>
        <v>-1.2723014859824454E-2</v>
      </c>
      <c r="AU152" s="235"/>
      <c r="AV152" s="235"/>
      <c r="AW152" s="235"/>
      <c r="AX152" s="235"/>
      <c r="AY152" s="236">
        <f>AY151/AVERAGE(AU146:AX146)</f>
        <v>9.5523523910541377E-2</v>
      </c>
      <c r="AZ152" s="235"/>
      <c r="BA152" s="235"/>
      <c r="BB152" s="235"/>
      <c r="BC152" s="235"/>
      <c r="BD152" s="236">
        <f>BD151/AVERAGE(AZ146:BC146)</f>
        <v>0.12577762300094988</v>
      </c>
      <c r="BE152" s="235"/>
      <c r="BF152" s="235"/>
      <c r="BG152" s="235"/>
      <c r="BH152" s="235"/>
      <c r="BI152" s="236">
        <f>BI151/AVERAGE(BE146:BH146)</f>
        <v>0.15253020588851549</v>
      </c>
      <c r="BJ152" s="235"/>
      <c r="BK152" s="235"/>
      <c r="BL152" s="235"/>
      <c r="BM152" s="235"/>
      <c r="BN152" s="236">
        <f>BN151/AVERAGE(BJ146:BM146)</f>
        <v>0.12672722219624277</v>
      </c>
      <c r="BO152" s="235"/>
      <c r="BP152" s="235"/>
      <c r="BQ152" s="235"/>
      <c r="BR152" s="235"/>
      <c r="BS152" s="236">
        <f>BS151/AVERAGE(BO146:BR146)</f>
        <v>0.12697431143849006</v>
      </c>
      <c r="BT152" s="235"/>
      <c r="BU152" s="235"/>
      <c r="BV152" s="235"/>
      <c r="BW152" s="235"/>
      <c r="BX152" s="236">
        <f>BX151/AVERAGE(BT146:BW146)</f>
        <v>0.19926387768707901</v>
      </c>
      <c r="BY152" s="235"/>
      <c r="BZ152" s="235"/>
      <c r="CA152" s="235"/>
      <c r="CB152" s="235"/>
      <c r="CC152" s="236">
        <f ca="1">CC151/AVERAGE(BY146:CB146)</f>
        <v>0.17568609170367691</v>
      </c>
      <c r="CD152" s="235"/>
      <c r="CE152" s="235"/>
      <c r="CF152" s="235"/>
      <c r="CG152" s="235"/>
      <c r="CH152" s="236">
        <f ca="1">CH151/AVERAGE(CD146:CG146)</f>
        <v>0.16347309271062746</v>
      </c>
      <c r="CI152" s="235"/>
      <c r="CJ152" s="235"/>
      <c r="CK152" s="235"/>
      <c r="CL152" s="235"/>
      <c r="CM152" s="236">
        <f ca="1">CM151/AVERAGE(CI146:CL146)</f>
        <v>0.18055370140760055</v>
      </c>
      <c r="CN152" s="235"/>
      <c r="CO152" s="235"/>
      <c r="CP152" s="235"/>
      <c r="CQ152" s="235"/>
      <c r="CR152" s="236">
        <f ca="1">CR151/AVERAGE(CN146:CQ146)</f>
        <v>0.19410216938773645</v>
      </c>
      <c r="CS152" s="235"/>
      <c r="CT152" s="235"/>
      <c r="CU152" s="235"/>
      <c r="CV152" s="235"/>
      <c r="CW152" s="236">
        <f ca="1">CW151/AVERAGE(CS146:CV146)</f>
        <v>0.20458956391443067</v>
      </c>
      <c r="CX152" s="235"/>
      <c r="CY152" s="235"/>
      <c r="CZ152" s="235"/>
      <c r="DA152" s="235"/>
      <c r="DB152" s="236">
        <f ca="1">DB151/AVERAGE(CX146:DA146)</f>
        <v>0.21427111873573726</v>
      </c>
    </row>
    <row r="153" spans="1:106" ht="11.5" customHeight="1" x14ac:dyDescent="0.35">
      <c r="CB153" s="84">
        <f>22.32/CB135</f>
        <v>0.95831235388386582</v>
      </c>
      <c r="CD153" s="84">
        <f>21.16/CD135</f>
        <v>0.86814881558827117</v>
      </c>
      <c r="CG153" s="84">
        <f ca="1">21.16/CG135</f>
        <v>0.74924576825478817</v>
      </c>
    </row>
    <row r="154" spans="1:106" ht="11.5" customHeight="1" x14ac:dyDescent="0.35">
      <c r="BZ154" s="678">
        <f>21.13/BZ147</f>
        <v>0.97600402312767198</v>
      </c>
      <c r="CB154" s="84">
        <f ca="1">22.32/CB147</f>
        <v>0.98964061619139543</v>
      </c>
      <c r="CD154" s="84">
        <f>21.15/CD147</f>
        <v>0.88315172665846897</v>
      </c>
      <c r="CE154" s="678">
        <f>21.13/CE147</f>
        <v>0.83908484648689141</v>
      </c>
      <c r="CG154" s="84">
        <f ca="1">21.15/CG147</f>
        <v>0.76289528959686537</v>
      </c>
      <c r="CI154" s="678"/>
    </row>
  </sheetData>
  <pageMargins left="0.7" right="0.7" top="0.75" bottom="0.75" header="0.3" footer="0.3"/>
  <pageSetup paperSize="9" orientation="portrait" r:id="rId1"/>
  <headerFooter>
    <oddFooter>&amp;L_x000D_&amp;1#&amp;"Calibri"&amp;9&amp;K000000 Corporativo | Interno</oddFooter>
  </headerFooter>
  <ignoredErrors>
    <ignoredError sqref="A1:XFD1 A101:CC121 A100:CC100 CH100 CM100 CR100 DC100:XFD100 A3:CD3 A2:CC2 CG2:XFD2 A70:XFD70 A69:CA69 CC69:XFD69 A76:XFD76 A74:CA74 CC74 A155:XFD1048576 A154:BY154 CC154 CH154 A152:CD152 A145:CA145 CC145 A146:CA146 CC146 A130:XFD131 A122:CC122 CF122:XFD122 A58:CC68 A56:CC56 CH56:XFD56 A57:CC57 CH57:XFD57 CJ154:XFD154 A153:CA153 CC153 CH153:XFD153 CF154 CE153:CF153 A25:XFD25 A4:CC6 CF4:XFD24 CE2 A50:XFD50 A26:CC48 CF26:XFD48 CF58:XFD68 CF57 A51:CC55 CF51:XFD55 A71:CC73 CF71:XFD73 A75:CC75 CF75:CG75 CF74:XFD74 A91:XFD92 A77:CC90 CF77:XFD90 CF101:XFD121 A123:CC129 CF123:XFD129 A93:CC99 CF93:XFD99 A147:CC151 CF148:XFD151 CF145:XFD145 CF146:XFD146 A132:CC144 CF132:XFD144 CI75:XFD75 CF3:XFD3 A8:CC12 A7:CA7 CC7 A14:CC24 A13:CA13 CC13 CF147:XFD147 CF152:XFD152 A49:CC49 CF49:XFD49 CA154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4501-928D-4865-93DB-A784C741FE15}">
  <sheetPr>
    <tabColor rgb="FFFFFF99"/>
  </sheetPr>
  <dimension ref="A1:DB50"/>
  <sheetViews>
    <sheetView showGridLines="0" zoomScaleNormal="100" workbookViewId="0">
      <pane xSplit="1" ySplit="3" topLeftCell="BX4" activePane="bottomRight" state="frozen"/>
      <selection pane="topRight" activeCell="B1" sqref="B1"/>
      <selection pane="bottomLeft" activeCell="A4" sqref="A4"/>
      <selection pane="bottomRight" activeCell="CK18" sqref="CK18"/>
    </sheetView>
  </sheetViews>
  <sheetFormatPr defaultColWidth="11" defaultRowHeight="11.25" customHeight="1" outlineLevelRow="1" outlineLevelCol="1" x14ac:dyDescent="0.35"/>
  <cols>
    <col min="1" max="1" width="30.54296875" style="7" customWidth="1"/>
    <col min="2" max="5" width="0" style="7" hidden="1" customWidth="1" outlineLevel="1"/>
    <col min="6" max="6" width="11" style="8" collapsed="1"/>
    <col min="7" max="10" width="0" style="7" hidden="1" customWidth="1" outlineLevel="1"/>
    <col min="11" max="11" width="11" style="8" collapsed="1"/>
    <col min="12" max="15" width="0" style="7" hidden="1" customWidth="1" outlineLevel="1"/>
    <col min="16" max="16" width="11" style="8" collapsed="1"/>
    <col min="17" max="20" width="0" style="7" hidden="1" customWidth="1" outlineLevel="1"/>
    <col min="21" max="21" width="11" style="8" collapsed="1"/>
    <col min="22" max="25" width="0" style="7" hidden="1" customWidth="1" outlineLevel="1"/>
    <col min="26" max="26" width="11" style="8" collapsed="1"/>
    <col min="27" max="30" width="0" style="7" hidden="1" customWidth="1" outlineLevel="1"/>
    <col min="31" max="31" width="11" style="8" collapsed="1"/>
    <col min="32" max="35" width="0" style="7" hidden="1" customWidth="1" outlineLevel="1"/>
    <col min="36" max="36" width="11" style="8" collapsed="1"/>
    <col min="37" max="40" width="0" style="7" hidden="1" customWidth="1" outlineLevel="1"/>
    <col min="41" max="41" width="11" style="8" collapsed="1"/>
    <col min="42" max="45" width="0" style="7" hidden="1" customWidth="1" outlineLevel="1"/>
    <col min="46" max="46" width="11" style="8" collapsed="1"/>
    <col min="47" max="50" width="0" style="7" hidden="1" customWidth="1" outlineLevel="1"/>
    <col min="51" max="51" width="11" style="8" collapsed="1"/>
    <col min="52" max="55" width="0" style="7" hidden="1" customWidth="1" outlineLevel="1"/>
    <col min="56" max="56" width="11" style="7" collapsed="1"/>
    <col min="57" max="60" width="0" style="7" hidden="1" customWidth="1" outlineLevel="1"/>
    <col min="61" max="61" width="11" style="7" collapsed="1"/>
    <col min="62" max="65" width="0" style="7" hidden="1" customWidth="1" outlineLevel="1"/>
    <col min="66" max="66" width="11" style="7" collapsed="1"/>
    <col min="67" max="70" width="0" style="7" hidden="1" customWidth="1" outlineLevel="1"/>
    <col min="71" max="71" width="11" style="7" collapsed="1"/>
    <col min="72" max="75" width="11" style="7" hidden="1" customWidth="1" outlineLevel="1"/>
    <col min="76" max="76" width="11" style="7" collapsed="1"/>
    <col min="77" max="80" width="11" style="7" customWidth="1" outlineLevel="1"/>
    <col min="81" max="81" width="11" style="7"/>
    <col min="82" max="85" width="11" style="7" customWidth="1" outlineLevel="1"/>
    <col min="86" max="86" width="11" style="7"/>
    <col min="87" max="90" width="11" style="7" customWidth="1" outlineLevel="1"/>
    <col min="91" max="91" width="11" style="7"/>
    <col min="92" max="95" width="11" style="7" hidden="1" customWidth="1" outlineLevel="1"/>
    <col min="96" max="96" width="11" style="7" collapsed="1"/>
    <col min="97" max="100" width="11" style="7" hidden="1" customWidth="1" outlineLevel="1"/>
    <col min="101" max="101" width="11" style="7" collapsed="1"/>
    <col min="102" max="105" width="0" style="7" hidden="1" customWidth="1" outlineLevel="1"/>
    <col min="106" max="106" width="11" style="7" collapsed="1"/>
    <col min="107" max="16384" width="11" style="7"/>
  </cols>
  <sheetData>
    <row r="1" spans="1:106" ht="45.75" customHeight="1" x14ac:dyDescent="0.35">
      <c r="BD1" s="8"/>
      <c r="BI1" s="8"/>
      <c r="BN1" s="8"/>
      <c r="BS1" s="8"/>
      <c r="BX1" s="8"/>
      <c r="BY1" s="9"/>
      <c r="BZ1" s="9"/>
      <c r="CA1" s="9"/>
      <c r="CB1" s="9"/>
      <c r="CC1" s="10"/>
      <c r="CD1" s="9"/>
      <c r="CE1" s="9"/>
      <c r="CG1" s="9"/>
      <c r="CH1" s="10"/>
      <c r="CI1" s="9"/>
      <c r="CJ1" s="81"/>
      <c r="CK1" s="76"/>
      <c r="CL1" s="9"/>
      <c r="CM1" s="10"/>
      <c r="CN1" s="9"/>
      <c r="CO1" s="9"/>
      <c r="CP1" s="9"/>
      <c r="CQ1" s="9"/>
      <c r="CR1" s="10"/>
      <c r="CS1" s="9"/>
      <c r="CT1" s="9"/>
      <c r="CU1" s="9"/>
      <c r="CV1" s="9"/>
      <c r="CW1" s="10"/>
      <c r="CX1" s="9"/>
      <c r="CY1" s="9"/>
      <c r="CZ1" s="9"/>
      <c r="DA1" s="9"/>
      <c r="DB1" s="10"/>
    </row>
    <row r="2" spans="1:106" ht="11.25" customHeight="1" x14ac:dyDescent="0.35">
      <c r="A2" s="11" t="str">
        <f ca="1">Valuation!$A$2</f>
        <v>CYRE3 | TP R$35/sh</v>
      </c>
      <c r="D2" s="115"/>
      <c r="F2" s="79"/>
      <c r="G2" s="115"/>
      <c r="I2" s="75"/>
      <c r="J2" s="115"/>
      <c r="K2" s="79"/>
      <c r="N2" s="65"/>
      <c r="P2" s="79"/>
      <c r="Q2" s="115"/>
      <c r="R2" s="115"/>
      <c r="S2" s="115"/>
      <c r="T2" s="115"/>
      <c r="U2" s="79"/>
      <c r="V2" s="115"/>
      <c r="W2" s="115"/>
      <c r="X2" s="115"/>
      <c r="Z2" s="79"/>
      <c r="AB2" s="115"/>
      <c r="AC2" s="115"/>
      <c r="AE2" s="79"/>
      <c r="AF2" s="115"/>
      <c r="AG2" s="115"/>
      <c r="AH2" s="115"/>
      <c r="AI2" s="115"/>
      <c r="AJ2" s="79"/>
      <c r="AK2" s="65"/>
      <c r="AL2" s="115"/>
      <c r="AM2" s="115"/>
      <c r="AN2" s="115"/>
      <c r="AO2" s="79"/>
      <c r="AP2" s="116"/>
      <c r="AQ2" s="117"/>
      <c r="AR2" s="116"/>
      <c r="AS2" s="80"/>
      <c r="AT2" s="79"/>
      <c r="AU2" s="117"/>
      <c r="AV2" s="117"/>
      <c r="AW2" s="117"/>
      <c r="AX2" s="117"/>
      <c r="AY2" s="79"/>
      <c r="AZ2" s="76"/>
      <c r="BA2" s="67"/>
      <c r="BB2" s="67"/>
      <c r="BC2" s="81"/>
      <c r="BD2" s="79"/>
      <c r="BI2" s="79"/>
      <c r="BL2" s="118"/>
      <c r="BM2" s="76"/>
      <c r="BN2" s="79"/>
      <c r="BQ2" s="118"/>
      <c r="BR2" s="76"/>
      <c r="BS2" s="79"/>
      <c r="BT2" s="76"/>
      <c r="BU2" s="76"/>
      <c r="BV2" s="118"/>
      <c r="BW2" s="76"/>
      <c r="BX2" s="597"/>
      <c r="BY2" s="76"/>
      <c r="BZ2" s="76"/>
      <c r="CA2" s="76"/>
      <c r="CB2" s="76"/>
      <c r="CC2" s="597"/>
      <c r="CD2" s="765"/>
      <c r="CE2" s="81"/>
      <c r="CH2" s="79"/>
      <c r="CJ2" s="81"/>
      <c r="CM2" s="79"/>
      <c r="CR2" s="79"/>
      <c r="CW2" s="79"/>
      <c r="DB2" s="79"/>
    </row>
    <row r="3" spans="1:106" s="15" customFormat="1" ht="11.25" customHeight="1" thickBot="1" x14ac:dyDescent="0.4">
      <c r="A3" s="124" t="s">
        <v>37</v>
      </c>
      <c r="B3" s="129" t="str">
        <f>Macro!B$3</f>
        <v>1Q10</v>
      </c>
      <c r="C3" s="129" t="str">
        <f>Macro!C$3</f>
        <v>2Q10</v>
      </c>
      <c r="D3" s="129" t="str">
        <f>Macro!D$3</f>
        <v>3Q10</v>
      </c>
      <c r="E3" s="130" t="str">
        <f>Macro!E$3</f>
        <v>4Q10</v>
      </c>
      <c r="F3" s="131" t="str">
        <f>Macro!F$3</f>
        <v>2010</v>
      </c>
      <c r="G3" s="129" t="str">
        <f>Macro!G$3</f>
        <v>1Q11</v>
      </c>
      <c r="H3" s="129" t="str">
        <f>Macro!H$3</f>
        <v>2Q11</v>
      </c>
      <c r="I3" s="129" t="str">
        <f>Macro!I$3</f>
        <v>3Q11</v>
      </c>
      <c r="J3" s="130" t="str">
        <f>Macro!J$3</f>
        <v>4Q11</v>
      </c>
      <c r="K3" s="131" t="str">
        <f>Macro!K$3</f>
        <v>2011</v>
      </c>
      <c r="L3" s="125" t="str">
        <f>Macro!L$3</f>
        <v>1Q12</v>
      </c>
      <c r="M3" s="125" t="str">
        <f>Macro!M$3</f>
        <v>2Q12</v>
      </c>
      <c r="N3" s="125" t="str">
        <f>Macro!N$3</f>
        <v>3Q12</v>
      </c>
      <c r="O3" s="125" t="str">
        <f>Macro!O$3</f>
        <v>4Q12</v>
      </c>
      <c r="P3" s="126" t="str">
        <f>Macro!P$3</f>
        <v>2012</v>
      </c>
      <c r="Q3" s="125" t="str">
        <f>Macro!Q$3</f>
        <v>1Q13</v>
      </c>
      <c r="R3" s="125" t="str">
        <f>Macro!R$3</f>
        <v>2Q13</v>
      </c>
      <c r="S3" s="125" t="str">
        <f>Macro!S$3</f>
        <v>3Q13</v>
      </c>
      <c r="T3" s="125" t="str">
        <f>Macro!T$3</f>
        <v>4Q13</v>
      </c>
      <c r="U3" s="126" t="str">
        <f>Macro!U$3</f>
        <v>2013</v>
      </c>
      <c r="V3" s="125" t="str">
        <f>Macro!V$3</f>
        <v>1Q14</v>
      </c>
      <c r="W3" s="125" t="str">
        <f>Macro!W$3</f>
        <v>2Q14</v>
      </c>
      <c r="X3" s="125" t="str">
        <f>Macro!X$3</f>
        <v>3Q14</v>
      </c>
      <c r="Y3" s="125" t="str">
        <f>Macro!Y$3</f>
        <v>4Q14</v>
      </c>
      <c r="Z3" s="126" t="str">
        <f>Macro!Z$3</f>
        <v>2014</v>
      </c>
      <c r="AA3" s="125" t="str">
        <f>Macro!AA$3</f>
        <v>1Q15</v>
      </c>
      <c r="AB3" s="125" t="str">
        <f>Macro!AB$3</f>
        <v>2Q15</v>
      </c>
      <c r="AC3" s="125" t="str">
        <f>Macro!AC$3</f>
        <v>3Q15</v>
      </c>
      <c r="AD3" s="125" t="str">
        <f>Macro!AD$3</f>
        <v>4Q15</v>
      </c>
      <c r="AE3" s="126" t="str">
        <f>Macro!AE$3</f>
        <v>2015</v>
      </c>
      <c r="AF3" s="125" t="str">
        <f>Macro!AF$3</f>
        <v>1Q16</v>
      </c>
      <c r="AG3" s="125" t="str">
        <f>Macro!AG$3</f>
        <v>2Q16</v>
      </c>
      <c r="AH3" s="125" t="str">
        <f>Macro!AH$3</f>
        <v>3Q16</v>
      </c>
      <c r="AI3" s="125" t="str">
        <f>Macro!AI$3</f>
        <v>4Q16</v>
      </c>
      <c r="AJ3" s="126" t="str">
        <f>Macro!AJ$3</f>
        <v>2016</v>
      </c>
      <c r="AK3" s="125" t="str">
        <f>Macro!AK$3</f>
        <v>1Q17</v>
      </c>
      <c r="AL3" s="125" t="str">
        <f>Macro!AL$3</f>
        <v>2Q17</v>
      </c>
      <c r="AM3" s="125" t="str">
        <f>Macro!AM$3</f>
        <v>3Q17</v>
      </c>
      <c r="AN3" s="125" t="str">
        <f>Macro!AN$3</f>
        <v>4Q17</v>
      </c>
      <c r="AO3" s="126" t="str">
        <f>Macro!AO$3</f>
        <v>2017</v>
      </c>
      <c r="AP3" s="125" t="str">
        <f>Macro!AP$3</f>
        <v>1Q18</v>
      </c>
      <c r="AQ3" s="125" t="str">
        <f>Macro!AQ$3</f>
        <v>2Q18</v>
      </c>
      <c r="AR3" s="125" t="str">
        <f>Macro!AR$3</f>
        <v>3Q18</v>
      </c>
      <c r="AS3" s="125" t="str">
        <f>Macro!AS$3</f>
        <v>4Q18</v>
      </c>
      <c r="AT3" s="126" t="str">
        <f>Macro!AT$3</f>
        <v>2018</v>
      </c>
      <c r="AU3" s="125" t="str">
        <f>Macro!AU$3</f>
        <v>1Q19</v>
      </c>
      <c r="AV3" s="125" t="str">
        <f>Macro!AV$3</f>
        <v>2Q19</v>
      </c>
      <c r="AW3" s="125" t="str">
        <f>Macro!AW$3</f>
        <v>3Q19</v>
      </c>
      <c r="AX3" s="125" t="str">
        <f>Macro!AX$3</f>
        <v>4Q19</v>
      </c>
      <c r="AY3" s="126" t="str">
        <f>Macro!AY$3</f>
        <v>2019</v>
      </c>
      <c r="AZ3" s="125" t="str">
        <f>Macro!AZ$3</f>
        <v>1Q20</v>
      </c>
      <c r="BA3" s="125" t="str">
        <f>Macro!BA$3</f>
        <v>2Q20</v>
      </c>
      <c r="BB3" s="125" t="str">
        <f>Macro!BB$3</f>
        <v>3Q20</v>
      </c>
      <c r="BC3" s="125" t="str">
        <f>Macro!BC$3</f>
        <v>4Q20</v>
      </c>
      <c r="BD3" s="126" t="str">
        <f>Macro!BD$3</f>
        <v>2020</v>
      </c>
      <c r="BE3" s="125" t="str">
        <f>Macro!BE$3</f>
        <v>1Q21</v>
      </c>
      <c r="BF3" s="125" t="str">
        <f>Macro!BF$3</f>
        <v>2Q21</v>
      </c>
      <c r="BG3" s="125" t="str">
        <f>Macro!BG$3</f>
        <v>3Q21</v>
      </c>
      <c r="BH3" s="125" t="str">
        <f>Macro!BH$3</f>
        <v>4Q21</v>
      </c>
      <c r="BI3" s="126" t="str">
        <f>Macro!BI$3</f>
        <v>2021</v>
      </c>
      <c r="BJ3" s="125" t="str">
        <f>Macro!BJ$3</f>
        <v>1Q22</v>
      </c>
      <c r="BK3" s="125" t="str">
        <f>Macro!BK$3</f>
        <v>2Q22</v>
      </c>
      <c r="BL3" s="125" t="str">
        <f>Macro!BL$3</f>
        <v>3Q22</v>
      </c>
      <c r="BM3" s="125" t="str">
        <f>Macro!BM$3</f>
        <v>4Q22</v>
      </c>
      <c r="BN3" s="126" t="str">
        <f>Macro!BN$3</f>
        <v>2022</v>
      </c>
      <c r="BO3" s="125" t="str">
        <f>Macro!BO$3</f>
        <v>1Q23</v>
      </c>
      <c r="BP3" s="125" t="str">
        <f>Macro!BP$3</f>
        <v>2Q23</v>
      </c>
      <c r="BQ3" s="125" t="str">
        <f>Macro!BQ$3</f>
        <v>3Q23</v>
      </c>
      <c r="BR3" s="125" t="str">
        <f>Macro!BR$3</f>
        <v>4Q23</v>
      </c>
      <c r="BS3" s="126" t="str">
        <f>Macro!BS$3</f>
        <v>2023</v>
      </c>
      <c r="BT3" s="125" t="str">
        <f>Macro!BT$3</f>
        <v>1Q24</v>
      </c>
      <c r="BU3" s="125" t="str">
        <f>Macro!BU$3</f>
        <v>2Q24</v>
      </c>
      <c r="BV3" s="125" t="str">
        <f>Macro!BV$3</f>
        <v>3Q24</v>
      </c>
      <c r="BW3" s="125" t="str">
        <f>Macro!BW$3</f>
        <v>4Q24</v>
      </c>
      <c r="BX3" s="126" t="str">
        <f>Macro!BX$3</f>
        <v>2024</v>
      </c>
      <c r="BY3" s="125" t="str">
        <f>Macro!BY$3</f>
        <v>1Q25</v>
      </c>
      <c r="BZ3" s="125" t="str">
        <f>Macro!BZ$3</f>
        <v>2Q25</v>
      </c>
      <c r="CA3" s="125" t="str">
        <f>Macro!CA$3</f>
        <v>3Q25</v>
      </c>
      <c r="CB3" s="125" t="str">
        <f>Macro!CB$3</f>
        <v>4Q25</v>
      </c>
      <c r="CC3" s="126" t="str">
        <f>Macro!CC$3</f>
        <v>2025</v>
      </c>
      <c r="CD3" s="125" t="str">
        <f>Macro!CD$3</f>
        <v>1Q26</v>
      </c>
      <c r="CE3" s="125" t="str">
        <f>Macro!CE$3</f>
        <v>2Q26</v>
      </c>
      <c r="CF3" s="125" t="str">
        <f>Macro!CF$3</f>
        <v>3Q26E</v>
      </c>
      <c r="CG3" s="125" t="str">
        <f>Macro!CG$3</f>
        <v>4Q26E</v>
      </c>
      <c r="CH3" s="126" t="str">
        <f>Macro!CH$3</f>
        <v>2026E</v>
      </c>
      <c r="CI3" s="125" t="str">
        <f>Macro!CI$3</f>
        <v>1Q27E</v>
      </c>
      <c r="CJ3" s="125" t="str">
        <f>Macro!CJ$3</f>
        <v>2Q27E</v>
      </c>
      <c r="CK3" s="125" t="str">
        <f>Macro!CK$3</f>
        <v>3Q27E</v>
      </c>
      <c r="CL3" s="125" t="str">
        <f>Macro!CL$3</f>
        <v>4Q27E</v>
      </c>
      <c r="CM3" s="126" t="str">
        <f>Macro!CM$3</f>
        <v>2027E</v>
      </c>
      <c r="CN3" s="125" t="str">
        <f>Macro!CN$3</f>
        <v>1Q28E</v>
      </c>
      <c r="CO3" s="125" t="str">
        <f>Macro!CO$3</f>
        <v>2Q28E</v>
      </c>
      <c r="CP3" s="125" t="str">
        <f>Macro!CP$3</f>
        <v>3Q28E</v>
      </c>
      <c r="CQ3" s="125" t="str">
        <f>Macro!CQ$3</f>
        <v>4Q28E</v>
      </c>
      <c r="CR3" s="126" t="str">
        <f>Macro!CR$3</f>
        <v>2028E</v>
      </c>
      <c r="CS3" s="125" t="str">
        <f>Macro!CS$3</f>
        <v>1Q29E</v>
      </c>
      <c r="CT3" s="125" t="str">
        <f>Macro!CT$3</f>
        <v>2Q29E</v>
      </c>
      <c r="CU3" s="125" t="str">
        <f>Macro!CU$3</f>
        <v>3Q29E</v>
      </c>
      <c r="CV3" s="125" t="str">
        <f>Macro!CV$3</f>
        <v>4Q29E</v>
      </c>
      <c r="CW3" s="126" t="str">
        <f>Macro!CW$3</f>
        <v>2029E</v>
      </c>
      <c r="CX3" s="125" t="str">
        <f>Macro!CX$3</f>
        <v>1Q30E</v>
      </c>
      <c r="CY3" s="125" t="str">
        <f>Macro!CY$3</f>
        <v>2Q30E</v>
      </c>
      <c r="CZ3" s="125" t="str">
        <f>Macro!CZ$3</f>
        <v>3Q30E</v>
      </c>
      <c r="DA3" s="125" t="str">
        <f>Macro!DA$3</f>
        <v>4Q30E</v>
      </c>
      <c r="DB3" s="126" t="str">
        <f>Macro!DB$3</f>
        <v>2030E</v>
      </c>
    </row>
    <row r="4" spans="1:106" ht="11.25" customHeight="1" thickTop="1" x14ac:dyDescent="0.35">
      <c r="A4" s="224" t="s">
        <v>63</v>
      </c>
      <c r="B4" s="396">
        <v>596293.6658005967</v>
      </c>
      <c r="C4" s="463">
        <v>1127458.1773679666</v>
      </c>
      <c r="D4" s="463">
        <v>1423792.6609870028</v>
      </c>
      <c r="E4" s="463">
        <v>4526728.2062344737</v>
      </c>
      <c r="F4" s="96">
        <f>SUM(B4:E4)</f>
        <v>7674272.7103900397</v>
      </c>
      <c r="G4" s="396">
        <v>1054163.7774441945</v>
      </c>
      <c r="H4" s="463">
        <v>1617131.1070508626</v>
      </c>
      <c r="I4" s="463">
        <v>1816660.5731280386</v>
      </c>
      <c r="J4" s="463">
        <v>3510170.3580929111</v>
      </c>
      <c r="K4" s="96">
        <f>SUM(G4:J4)</f>
        <v>7998125.8157160077</v>
      </c>
      <c r="L4" s="396">
        <v>889940.44652818958</v>
      </c>
      <c r="M4" s="463">
        <v>1089428.0057811809</v>
      </c>
      <c r="N4" s="463">
        <v>1517708.85644772</v>
      </c>
      <c r="O4" s="463">
        <v>2100154.1508541671</v>
      </c>
      <c r="P4" s="96">
        <f>SUM(L4:O4)</f>
        <v>5597231.4596112575</v>
      </c>
      <c r="Q4" s="396">
        <v>955212.7809059798</v>
      </c>
      <c r="R4" s="463">
        <v>1762242.5131535232</v>
      </c>
      <c r="S4" s="463">
        <v>1234204.5567800822</v>
      </c>
      <c r="T4" s="463">
        <v>2694636.3374531888</v>
      </c>
      <c r="U4" s="96">
        <f>SUM(Q4:T4)</f>
        <v>6646296.1882927734</v>
      </c>
      <c r="V4" s="396">
        <v>1914837.366531854</v>
      </c>
      <c r="W4" s="463">
        <v>890249.3360760822</v>
      </c>
      <c r="X4" s="463">
        <v>782557.97279838903</v>
      </c>
      <c r="Y4" s="463">
        <v>2260480.8647585004</v>
      </c>
      <c r="Z4" s="96">
        <f>SUM(V4:Y4)</f>
        <v>5848125.5401648255</v>
      </c>
      <c r="AA4" s="396">
        <v>462501.15655349585</v>
      </c>
      <c r="AB4" s="463">
        <v>1066074.723182953</v>
      </c>
      <c r="AC4" s="463">
        <v>610082.68219711829</v>
      </c>
      <c r="AD4" s="463">
        <v>759785.37348608265</v>
      </c>
      <c r="AE4" s="96">
        <f>SUM(AA4:AD4)</f>
        <v>2898443.9354196498</v>
      </c>
      <c r="AF4" s="396">
        <v>613118.67573000002</v>
      </c>
      <c r="AG4" s="463">
        <v>598109.20183458237</v>
      </c>
      <c r="AH4" s="463">
        <v>451942.172678195</v>
      </c>
      <c r="AI4" s="463">
        <v>1274032.6797842127</v>
      </c>
      <c r="AJ4" s="96">
        <f>SUM(AF4:AI4)</f>
        <v>2937202.7300269902</v>
      </c>
      <c r="AK4" s="396">
        <v>611746.26828999992</v>
      </c>
      <c r="AL4" s="463">
        <v>640393.78623307229</v>
      </c>
      <c r="AM4" s="463">
        <v>531864.83985467546</v>
      </c>
      <c r="AN4" s="463">
        <v>1269213.0024258064</v>
      </c>
      <c r="AO4" s="96">
        <f>SUM(AK4:AN4)</f>
        <v>3053217.8968035541</v>
      </c>
      <c r="AP4" s="396">
        <v>434247.65205999999</v>
      </c>
      <c r="AQ4" s="463">
        <v>981369.66408103239</v>
      </c>
      <c r="AR4" s="463">
        <v>918301.52013851039</v>
      </c>
      <c r="AS4" s="463">
        <v>2705197.1986900307</v>
      </c>
      <c r="AT4" s="96">
        <f>SUM(AP4:AS4)</f>
        <v>5039116.0349695738</v>
      </c>
      <c r="AU4" s="396">
        <v>442402.66038540658</v>
      </c>
      <c r="AV4" s="463">
        <v>1527973.2757022949</v>
      </c>
      <c r="AW4" s="463">
        <v>988720.62907639169</v>
      </c>
      <c r="AX4" s="463">
        <v>1397707.1620498428</v>
      </c>
      <c r="AY4" s="96">
        <f>SUM(AU4:AX4)</f>
        <v>4356803.7272139359</v>
      </c>
      <c r="AZ4" s="396">
        <v>1064567.3180079178</v>
      </c>
      <c r="BA4" s="463">
        <v>254197.20162803109</v>
      </c>
      <c r="BB4" s="463">
        <v>1651152.9175326496</v>
      </c>
      <c r="BC4" s="463">
        <v>2873345.7930750027</v>
      </c>
      <c r="BD4" s="96">
        <f>SUM(AZ4:BC4)</f>
        <v>5843263.2302436009</v>
      </c>
      <c r="BE4" s="396">
        <v>421347.91319726425</v>
      </c>
      <c r="BF4" s="463">
        <v>1929075.841066546</v>
      </c>
      <c r="BG4" s="463">
        <v>2199698.7583918041</v>
      </c>
      <c r="BH4" s="463">
        <v>2554858.9026813549</v>
      </c>
      <c r="BI4" s="96">
        <f>SUM(BE4:BH4)</f>
        <v>7104981.4153369684</v>
      </c>
      <c r="BJ4" s="396">
        <v>1037664.5885269934</v>
      </c>
      <c r="BK4" s="463">
        <v>2326305.5201217961</v>
      </c>
      <c r="BL4" s="463">
        <v>2927761.3345602378</v>
      </c>
      <c r="BM4" s="463">
        <v>2821365.0558654917</v>
      </c>
      <c r="BN4" s="96">
        <f>SUM(BJ4:BM4)</f>
        <v>9113096.4990745187</v>
      </c>
      <c r="BO4" s="396">
        <v>1344738.7063083784</v>
      </c>
      <c r="BP4" s="463">
        <v>3514478.6321650636</v>
      </c>
      <c r="BQ4" s="463">
        <v>2164572.6195704201</v>
      </c>
      <c r="BR4" s="463">
        <v>2743630.7115199501</v>
      </c>
      <c r="BS4" s="96">
        <f>SUM(BO4:BR4)</f>
        <v>9767420.6695638113</v>
      </c>
      <c r="BT4" s="396">
        <v>1699946.4189411299</v>
      </c>
      <c r="BU4" s="463">
        <v>1461460.7218448</v>
      </c>
      <c r="BV4" s="463">
        <v>3122581.4100104054</v>
      </c>
      <c r="BW4" s="463">
        <v>6736937.9777078573</v>
      </c>
      <c r="BX4" s="96">
        <f>SUM(BT4:BW4)</f>
        <v>13020926.528504193</v>
      </c>
      <c r="BY4" s="396">
        <v>4862218.0768698482</v>
      </c>
      <c r="BZ4" s="463">
        <v>4126457.514775834</v>
      </c>
      <c r="CA4" s="463">
        <v>5049983.4757867297</v>
      </c>
      <c r="CB4" s="463">
        <v>4531000</v>
      </c>
      <c r="CC4" s="39">
        <f>SUM(BY4:CB4)</f>
        <v>18569659.067432411</v>
      </c>
      <c r="CD4" s="396">
        <v>2428000</v>
      </c>
      <c r="CE4" s="463">
        <v>4967000</v>
      </c>
      <c r="CF4" s="507">
        <f>CC4*(1+Macro!CH8)*26%*0.85</f>
        <v>4228530.9182690745</v>
      </c>
      <c r="CG4" s="507">
        <f>CC4*(1+Macro!CH8)*25%*0.85</f>
        <v>4065895.1137202634</v>
      </c>
      <c r="CH4" s="39">
        <f>SUM(CD4:CG4)</f>
        <v>15689426.03198934</v>
      </c>
      <c r="CI4" s="507">
        <f>CH4*(1+Macro!CM8)*20%</f>
        <v>3255124.0871529863</v>
      </c>
      <c r="CJ4" s="507">
        <f>CH4*(1+Macro!CM8)*22%</f>
        <v>3580636.4958682847</v>
      </c>
      <c r="CK4" s="507">
        <f>CH4*(1+Macro!CM8)*28%</f>
        <v>4557173.7220141813</v>
      </c>
      <c r="CL4" s="507">
        <f>CH4*(1+Macro!CM8)*30%</f>
        <v>4882686.1307294788</v>
      </c>
      <c r="CM4" s="39">
        <f>SUM(CI4:CL4)</f>
        <v>16275620.435764931</v>
      </c>
      <c r="CN4" s="507">
        <f>CM4*(1+Macro!CR8)*15%</f>
        <v>2526790.0726525052</v>
      </c>
      <c r="CO4" s="507">
        <f>CM4*(1+Macro!CR8)*22%</f>
        <v>3705958.7732236744</v>
      </c>
      <c r="CP4" s="507">
        <f>CM4*(1+Macro!CR8)*28%</f>
        <v>4716674.8022846766</v>
      </c>
      <c r="CQ4" s="507">
        <f>CM4*(1+Macro!CR8)*35%</f>
        <v>5895843.5028558448</v>
      </c>
      <c r="CR4" s="39">
        <f>SUM(CN4:CQ4)</f>
        <v>16845267.151016701</v>
      </c>
      <c r="CS4" s="507">
        <f>CR4*(1+Macro!CW8)*15%</f>
        <v>2615227.7251953422</v>
      </c>
      <c r="CT4" s="507">
        <f>CR4*(1+Macro!CW8)*22%</f>
        <v>3835667.3302865024</v>
      </c>
      <c r="CU4" s="507">
        <f>CR4*(1+Macro!CW8)*28%</f>
        <v>4881758.4203646397</v>
      </c>
      <c r="CV4" s="507">
        <f>CR4*(1+Macro!CW8)*35%</f>
        <v>6102198.025455799</v>
      </c>
      <c r="CW4" s="39">
        <f>SUM(CS4:CV4)</f>
        <v>17434851.501302283</v>
      </c>
      <c r="CX4" s="507">
        <f>CW4*(1+Macro!DB8)*15%</f>
        <v>2706760.6955771791</v>
      </c>
      <c r="CY4" s="507">
        <f>CW4*(1+Macro!DB8)*22%</f>
        <v>3969915.6868465291</v>
      </c>
      <c r="CZ4" s="507">
        <f>CW4*(1+Macro!DB8)*28%</f>
        <v>5052619.9650774011</v>
      </c>
      <c r="DA4" s="507">
        <f>CW4*(1+Macro!DB8)*35%</f>
        <v>6315774.9563467512</v>
      </c>
      <c r="DB4" s="39">
        <f>SUM(CX4:DA4)</f>
        <v>18045071.303847861</v>
      </c>
    </row>
    <row r="5" spans="1:106" ht="11.25" customHeight="1" outlineLevel="1" x14ac:dyDescent="0.35">
      <c r="A5" s="7" t="s">
        <v>64</v>
      </c>
      <c r="B5" s="395">
        <v>481569.9696708484</v>
      </c>
      <c r="C5" s="464">
        <v>794092.74458278751</v>
      </c>
      <c r="D5" s="464">
        <v>1037749.0217563898</v>
      </c>
      <c r="E5" s="395">
        <v>3622285.3949093828</v>
      </c>
      <c r="F5" s="98">
        <f>SUM(B5:E5)</f>
        <v>5935697.1309194081</v>
      </c>
      <c r="G5" s="395">
        <v>791673.19479220535</v>
      </c>
      <c r="H5" s="464">
        <v>1283973.6533313792</v>
      </c>
      <c r="I5" s="464">
        <v>1478633.041154176</v>
      </c>
      <c r="J5" s="395">
        <v>2787153.3942973288</v>
      </c>
      <c r="K5" s="98">
        <f>SUM(G5:J5)</f>
        <v>6341433.2835750896</v>
      </c>
      <c r="L5" s="395">
        <v>683704.65298772999</v>
      </c>
      <c r="M5" s="464">
        <v>854100.14599177451</v>
      </c>
      <c r="N5" s="464">
        <v>913514.75758109114</v>
      </c>
      <c r="O5" s="395">
        <v>1431487.5343428031</v>
      </c>
      <c r="P5" s="98">
        <f>SUM(L5:O5)</f>
        <v>3882807.0909033986</v>
      </c>
      <c r="Q5" s="395">
        <v>561196.38112930628</v>
      </c>
      <c r="R5" s="464">
        <v>1250698.5843851236</v>
      </c>
      <c r="S5" s="464">
        <v>911726.27918653633</v>
      </c>
      <c r="T5" s="395">
        <v>1921552.7780771109</v>
      </c>
      <c r="U5" s="98">
        <f>SUM(Q5:T5)</f>
        <v>4645174.0227780771</v>
      </c>
      <c r="V5" s="395">
        <v>1719609.2036103362</v>
      </c>
      <c r="W5" s="464">
        <v>812445.7587298078</v>
      </c>
      <c r="X5" s="464">
        <v>508545.12102300732</v>
      </c>
      <c r="Y5" s="395">
        <v>1812844.8984675875</v>
      </c>
      <c r="Z5" s="98">
        <f>SUM(V5:Y5)</f>
        <v>4853444.9818307385</v>
      </c>
      <c r="AA5" s="395">
        <v>333175.61058149586</v>
      </c>
      <c r="AB5" s="464">
        <v>861458.68591695314</v>
      </c>
      <c r="AC5" s="464">
        <v>505388.04399616458</v>
      </c>
      <c r="AD5" s="395">
        <v>659183.46509228274</v>
      </c>
      <c r="AE5" s="98">
        <f>SUM(AA5:AD5)</f>
        <v>2359205.8055868964</v>
      </c>
      <c r="AF5" s="395">
        <v>409837.31503300002</v>
      </c>
      <c r="AG5" s="464">
        <v>493960.61420451733</v>
      </c>
      <c r="AH5" s="464">
        <v>258874.73480509748</v>
      </c>
      <c r="AI5" s="395">
        <v>1038146.6302440669</v>
      </c>
      <c r="AJ5" s="98">
        <f>SUM(AF5:AI5)</f>
        <v>2200819.2942866818</v>
      </c>
      <c r="AK5" s="395">
        <v>537147.01829000004</v>
      </c>
      <c r="AL5" s="464">
        <v>447751.68233094137</v>
      </c>
      <c r="AM5" s="464">
        <v>379617.45105869765</v>
      </c>
      <c r="AN5" s="395">
        <v>785760.30656523874</v>
      </c>
      <c r="AO5" s="98">
        <f>SUM(AK5:AN5)</f>
        <v>2150276.4582448779</v>
      </c>
      <c r="AP5" s="395">
        <v>258757.28556000002</v>
      </c>
      <c r="AQ5" s="464">
        <v>641318.33947128663</v>
      </c>
      <c r="AR5" s="464">
        <v>711182.6780621853</v>
      </c>
      <c r="AS5" s="395">
        <v>1823388.2607979877</v>
      </c>
      <c r="AT5" s="98">
        <f>SUM(AP5:AS5)</f>
        <v>3434646.5638914597</v>
      </c>
      <c r="AU5" s="395">
        <v>371944.62601480703</v>
      </c>
      <c r="AV5" s="464">
        <v>1387463.9782219885</v>
      </c>
      <c r="AW5" s="464">
        <v>870293.566233875</v>
      </c>
      <c r="AX5" s="395">
        <v>1192120.6505395812</v>
      </c>
      <c r="AY5" s="98">
        <f>SUM(AU5:AX5)</f>
        <v>3821822.821010252</v>
      </c>
      <c r="AZ5" s="395">
        <v>839094.32542583498</v>
      </c>
      <c r="BA5" s="464">
        <v>217971.058388818</v>
      </c>
      <c r="BB5" s="464">
        <v>1531547.6030607154</v>
      </c>
      <c r="BC5" s="395">
        <v>2580581.0500145601</v>
      </c>
      <c r="BD5" s="98">
        <f>SUM(AZ5:BC5)</f>
        <v>5169194.0368899284</v>
      </c>
      <c r="BE5" s="395">
        <v>381041.80977402761</v>
      </c>
      <c r="BF5" s="464">
        <v>1617168.6114531984</v>
      </c>
      <c r="BG5" s="464">
        <v>1986951.4159092936</v>
      </c>
      <c r="BH5" s="395">
        <v>2407899.9297673902</v>
      </c>
      <c r="BI5" s="98">
        <f>SUM(BE5:BH5)</f>
        <v>6393061.7669039099</v>
      </c>
      <c r="BJ5" s="395">
        <v>886569.27700222842</v>
      </c>
      <c r="BK5" s="464">
        <v>1821469.4791339329</v>
      </c>
      <c r="BL5" s="464">
        <v>2149310.4600261548</v>
      </c>
      <c r="BM5" s="395">
        <v>1642170.1691949852</v>
      </c>
      <c r="BN5" s="98">
        <f>SUM(BJ5:BM5)</f>
        <v>6499519.3853573017</v>
      </c>
      <c r="BO5" s="395">
        <v>933713.6368974559</v>
      </c>
      <c r="BP5" s="464">
        <v>2732173.329466471</v>
      </c>
      <c r="BQ5" s="464">
        <v>1552110.0100062317</v>
      </c>
      <c r="BR5" s="395">
        <v>1750976.7804381</v>
      </c>
      <c r="BS5" s="98">
        <f>SUM(BO5:BR5)</f>
        <v>6968973.7568082586</v>
      </c>
      <c r="BT5" s="395">
        <v>1323060.2237212299</v>
      </c>
      <c r="BU5" s="464">
        <v>1079020.3291039199</v>
      </c>
      <c r="BV5" s="464">
        <v>2550576.5407380033</v>
      </c>
      <c r="BW5" s="395">
        <v>4981754.2161162477</v>
      </c>
      <c r="BX5" s="98">
        <f>SUM(BT5:BW5)</f>
        <v>9934411.3096794002</v>
      </c>
      <c r="BY5" s="395">
        <v>3623665.9085595375</v>
      </c>
      <c r="BZ5" s="464">
        <v>2864000</v>
      </c>
      <c r="CA5" s="464">
        <v>3484194.6550740344</v>
      </c>
      <c r="CB5" s="395">
        <f>CB4*76%</f>
        <v>3443560</v>
      </c>
      <c r="CC5" s="29">
        <f>SUM(BY5:CB5)</f>
        <v>13415420.563633572</v>
      </c>
      <c r="CD5" s="395">
        <v>1747000</v>
      </c>
      <c r="CE5" s="464">
        <v>3840000</v>
      </c>
      <c r="CF5" s="138">
        <f>CF4*CF6</f>
        <v>3065684.9157450791</v>
      </c>
      <c r="CG5" s="138">
        <f>CG4*CG6</f>
        <v>2947773.9574471908</v>
      </c>
      <c r="CH5" s="29">
        <f>SUM(CD5:CG5)</f>
        <v>11600458.873192269</v>
      </c>
      <c r="CI5" s="138">
        <f>CI4*CI6</f>
        <v>2441343.0653647399</v>
      </c>
      <c r="CJ5" s="138">
        <f>CJ4*CJ6</f>
        <v>2685477.3719012137</v>
      </c>
      <c r="CK5" s="138">
        <f>CK4*CK6</f>
        <v>3417880.291510636</v>
      </c>
      <c r="CL5" s="138">
        <f>CL4*CL6</f>
        <v>3662014.5980471093</v>
      </c>
      <c r="CM5" s="29">
        <f>SUM(CI5:CL5)</f>
        <v>12206715.326823698</v>
      </c>
      <c r="CN5" s="138">
        <f>CN4*CN6</f>
        <v>1895092.5544893788</v>
      </c>
      <c r="CO5" s="138">
        <f>CO4*CO6</f>
        <v>2779469.0799177559</v>
      </c>
      <c r="CP5" s="138">
        <f>CP4*CP6</f>
        <v>3537506.1017135074</v>
      </c>
      <c r="CQ5" s="138">
        <f>CQ4*CQ6</f>
        <v>4421882.6271418836</v>
      </c>
      <c r="CR5" s="29">
        <f>SUM(CN5:CQ5)</f>
        <v>12633950.363262527</v>
      </c>
      <c r="CS5" s="138">
        <f>CS4*CS6</f>
        <v>1961420.7938965065</v>
      </c>
      <c r="CT5" s="138">
        <f>CT4*CT6</f>
        <v>2876750.4977148767</v>
      </c>
      <c r="CU5" s="138">
        <f>CU4*CU6</f>
        <v>3661318.8152734796</v>
      </c>
      <c r="CV5" s="138">
        <f>CV4*CV6</f>
        <v>4576648.5190918492</v>
      </c>
      <c r="CW5" s="29">
        <f>SUM(CS5:CV5)</f>
        <v>13076138.625976712</v>
      </c>
      <c r="CX5" s="138">
        <f>CX4*CX6</f>
        <v>2030070.5216828843</v>
      </c>
      <c r="CY5" s="138">
        <f>CY4*CY6</f>
        <v>2977436.7651348971</v>
      </c>
      <c r="CZ5" s="138">
        <f>CZ4*CZ6</f>
        <v>3789464.9738080511</v>
      </c>
      <c r="DA5" s="138">
        <f>DA4*DA6</f>
        <v>4736831.2172600636</v>
      </c>
      <c r="DB5" s="29">
        <f>SUM(CX5:DA5)</f>
        <v>13533803.477885894</v>
      </c>
    </row>
    <row r="6" spans="1:106" ht="11.25" customHeight="1" outlineLevel="1" x14ac:dyDescent="0.35">
      <c r="A6" s="7" t="s">
        <v>66</v>
      </c>
      <c r="B6" s="21">
        <f t="shared" ref="B6:BM6" si="0">B5/B4</f>
        <v>0.80760537515400599</v>
      </c>
      <c r="C6" s="21">
        <f t="shared" si="0"/>
        <v>0.70432124270594632</v>
      </c>
      <c r="D6" s="21">
        <f t="shared" si="0"/>
        <v>0.72886246023841739</v>
      </c>
      <c r="E6" s="21">
        <f t="shared" si="0"/>
        <v>0.8001994442521555</v>
      </c>
      <c r="F6" s="22">
        <f>F5/F4</f>
        <v>0.77345402683998832</v>
      </c>
      <c r="G6" s="21">
        <f t="shared" si="0"/>
        <v>0.75099639328492773</v>
      </c>
      <c r="H6" s="21">
        <f t="shared" si="0"/>
        <v>0.79398240979542001</v>
      </c>
      <c r="I6" s="21">
        <f t="shared" si="0"/>
        <v>0.81392917478699622</v>
      </c>
      <c r="J6" s="21">
        <f t="shared" si="0"/>
        <v>0.79402225817085403</v>
      </c>
      <c r="K6" s="22">
        <f t="shared" si="0"/>
        <v>0.79286490731546366</v>
      </c>
      <c r="L6" s="21">
        <f t="shared" si="0"/>
        <v>0.76825888255217434</v>
      </c>
      <c r="M6" s="21">
        <f t="shared" si="0"/>
        <v>0.78398952611773265</v>
      </c>
      <c r="N6" s="21">
        <f t="shared" si="0"/>
        <v>0.60190381949751681</v>
      </c>
      <c r="O6" s="21">
        <f t="shared" si="0"/>
        <v>0.68161069689127041</v>
      </c>
      <c r="P6" s="22">
        <f t="shared" si="0"/>
        <v>0.69370136270424476</v>
      </c>
      <c r="Q6" s="21">
        <f t="shared" si="0"/>
        <v>0.58750928834624128</v>
      </c>
      <c r="R6" s="21">
        <f t="shared" si="0"/>
        <v>0.70971990236860494</v>
      </c>
      <c r="S6" s="21">
        <f t="shared" si="0"/>
        <v>0.73871569682511962</v>
      </c>
      <c r="T6" s="21">
        <f t="shared" si="0"/>
        <v>0.71310282258467916</v>
      </c>
      <c r="U6" s="22">
        <f t="shared" si="0"/>
        <v>0.69891167820061861</v>
      </c>
      <c r="V6" s="21">
        <f t="shared" si="0"/>
        <v>0.89804451995047796</v>
      </c>
      <c r="W6" s="21">
        <f t="shared" si="0"/>
        <v>0.91260473420940003</v>
      </c>
      <c r="X6" s="21">
        <f t="shared" si="0"/>
        <v>0.6498497730519246</v>
      </c>
      <c r="Y6" s="21">
        <f t="shared" si="0"/>
        <v>0.80197312294491097</v>
      </c>
      <c r="Z6" s="22">
        <f>Z5/Z4</f>
        <v>0.82991463649290054</v>
      </c>
      <c r="AA6" s="21">
        <f t="shared" si="0"/>
        <v>0.72037789713712563</v>
      </c>
      <c r="AB6" s="21">
        <f t="shared" si="0"/>
        <v>0.80806595183583119</v>
      </c>
      <c r="AC6" s="21">
        <f t="shared" si="0"/>
        <v>0.8283927060117291</v>
      </c>
      <c r="AD6" s="21">
        <f t="shared" si="0"/>
        <v>0.86759167535403647</v>
      </c>
      <c r="AE6" s="22">
        <f t="shared" si="0"/>
        <v>0.81395599092218418</v>
      </c>
      <c r="AF6" s="21">
        <f t="shared" si="0"/>
        <v>0.66844696019907357</v>
      </c>
      <c r="AG6" s="21">
        <f t="shared" si="0"/>
        <v>0.82587028035915566</v>
      </c>
      <c r="AH6" s="21">
        <f t="shared" si="0"/>
        <v>0.57280499686721864</v>
      </c>
      <c r="AI6" s="21">
        <f t="shared" si="0"/>
        <v>0.81485086428073528</v>
      </c>
      <c r="AJ6" s="22">
        <f t="shared" si="0"/>
        <v>0.74929090586350444</v>
      </c>
      <c r="AK6" s="21">
        <f t="shared" si="0"/>
        <v>0.8780552430527685</v>
      </c>
      <c r="AL6" s="21">
        <f t="shared" si="0"/>
        <v>0.69918180337868152</v>
      </c>
      <c r="AM6" s="21">
        <f t="shared" si="0"/>
        <v>0.71374797244055976</v>
      </c>
      <c r="AN6" s="21">
        <f t="shared" si="0"/>
        <v>0.61909254401226599</v>
      </c>
      <c r="AO6" s="22">
        <f t="shared" si="0"/>
        <v>0.70426564068552877</v>
      </c>
      <c r="AP6" s="21">
        <f t="shared" si="0"/>
        <v>0.59587492144746823</v>
      </c>
      <c r="AQ6" s="21">
        <f t="shared" si="0"/>
        <v>0.65349313611790283</v>
      </c>
      <c r="AR6" s="21">
        <f t="shared" si="0"/>
        <v>0.77445442751190841</v>
      </c>
      <c r="AS6" s="21">
        <f t="shared" si="0"/>
        <v>0.67403154996646764</v>
      </c>
      <c r="AT6" s="22">
        <f t="shared" si="0"/>
        <v>0.68159703806308525</v>
      </c>
      <c r="AU6" s="21">
        <f t="shared" si="0"/>
        <v>0.84073776972946135</v>
      </c>
      <c r="AV6" s="21">
        <f t="shared" si="0"/>
        <v>0.90804204516225928</v>
      </c>
      <c r="AW6" s="21">
        <f t="shared" si="0"/>
        <v>0.88022191571632857</v>
      </c>
      <c r="AX6" s="21">
        <f t="shared" si="0"/>
        <v>0.85291159901566682</v>
      </c>
      <c r="AY6" s="22">
        <f t="shared" si="0"/>
        <v>0.8772079396503385</v>
      </c>
      <c r="AZ6" s="21">
        <f t="shared" si="0"/>
        <v>0.78820222190927158</v>
      </c>
      <c r="BA6" s="21">
        <f t="shared" si="0"/>
        <v>0.85748803288470843</v>
      </c>
      <c r="BB6" s="21">
        <f t="shared" si="0"/>
        <v>0.92756254541786309</v>
      </c>
      <c r="BC6" s="21">
        <f t="shared" si="0"/>
        <v>0.89811016002110522</v>
      </c>
      <c r="BD6" s="22">
        <f t="shared" si="0"/>
        <v>0.88464165196857458</v>
      </c>
      <c r="BE6" s="21">
        <f t="shared" si="0"/>
        <v>0.90434009007571292</v>
      </c>
      <c r="BF6" s="21">
        <f t="shared" si="0"/>
        <v>0.83831261427186776</v>
      </c>
      <c r="BG6" s="21">
        <f t="shared" si="0"/>
        <v>0.9032834192996273</v>
      </c>
      <c r="BH6" s="21">
        <f t="shared" si="0"/>
        <v>0.94247863443271584</v>
      </c>
      <c r="BI6" s="22">
        <f t="shared" si="0"/>
        <v>0.89979992813263476</v>
      </c>
      <c r="BJ6" s="21">
        <f t="shared" si="0"/>
        <v>0.8543890644478378</v>
      </c>
      <c r="BK6" s="21">
        <f t="shared" si="0"/>
        <v>0.78298807417117244</v>
      </c>
      <c r="BL6" s="21">
        <f t="shared" si="0"/>
        <v>0.73411395753301401</v>
      </c>
      <c r="BM6" s="21">
        <f t="shared" si="0"/>
        <v>0.58204809965338833</v>
      </c>
      <c r="BN6" s="22">
        <f t="shared" ref="BN6:BW6" si="1">BN5/BN4</f>
        <v>0.71320647005300131</v>
      </c>
      <c r="BO6" s="21">
        <f t="shared" si="1"/>
        <v>0.69434577328462399</v>
      </c>
      <c r="BP6" s="21">
        <f t="shared" si="1"/>
        <v>0.77740501947036722</v>
      </c>
      <c r="BQ6" s="21">
        <f t="shared" si="1"/>
        <v>0.71705148442386868</v>
      </c>
      <c r="BR6" s="21">
        <f t="shared" si="1"/>
        <v>0.63819696035844142</v>
      </c>
      <c r="BS6" s="22">
        <f t="shared" si="1"/>
        <v>0.71349171829203872</v>
      </c>
      <c r="BT6" s="21">
        <f t="shared" si="1"/>
        <v>0.77829525035579861</v>
      </c>
      <c r="BU6" s="21">
        <f t="shared" si="1"/>
        <v>0.73831633856151391</v>
      </c>
      <c r="BV6" s="21">
        <f t="shared" si="1"/>
        <v>0.81681666731292812</v>
      </c>
      <c r="BW6" s="21">
        <f t="shared" si="1"/>
        <v>0.73946861802803998</v>
      </c>
      <c r="BX6" s="22">
        <f>BX5/BX4</f>
        <v>0.76295732780089942</v>
      </c>
      <c r="BY6" s="21">
        <f>BY5/BY4</f>
        <v>0.74527013212298088</v>
      </c>
      <c r="BZ6" s="21">
        <f>BZ5/BZ4</f>
        <v>0.69405779406299883</v>
      </c>
      <c r="CA6" s="21">
        <f>CA5/CA4</f>
        <v>0.68994179323155835</v>
      </c>
      <c r="CB6" s="21">
        <f t="shared" ref="CB6" si="2">CB5/CB4</f>
        <v>0.76</v>
      </c>
      <c r="CC6" s="22">
        <f>CC5/CC4</f>
        <v>0.72243763414922491</v>
      </c>
      <c r="CD6" s="21">
        <f>CD5/CD4</f>
        <v>0.71952224052718283</v>
      </c>
      <c r="CE6" s="21">
        <f>CE5/CE4</f>
        <v>0.77310247634386953</v>
      </c>
      <c r="CF6" s="839">
        <v>0.72499999999999998</v>
      </c>
      <c r="CG6" s="21">
        <f>CF6</f>
        <v>0.72499999999999998</v>
      </c>
      <c r="CH6" s="22">
        <f>CH5/CH4</f>
        <v>0.73938070452927784</v>
      </c>
      <c r="CI6" s="839">
        <v>0.75</v>
      </c>
      <c r="CJ6" s="21">
        <f>CI6</f>
        <v>0.75</v>
      </c>
      <c r="CK6" s="21">
        <f>CJ6</f>
        <v>0.75</v>
      </c>
      <c r="CL6" s="21">
        <f>CK6</f>
        <v>0.75</v>
      </c>
      <c r="CM6" s="22">
        <f>CM5/CM4</f>
        <v>0.75</v>
      </c>
      <c r="CN6" s="21">
        <f>CL6</f>
        <v>0.75</v>
      </c>
      <c r="CO6" s="21">
        <f>CN6</f>
        <v>0.75</v>
      </c>
      <c r="CP6" s="21">
        <f>CO6</f>
        <v>0.75</v>
      </c>
      <c r="CQ6" s="21">
        <f>CP6</f>
        <v>0.75</v>
      </c>
      <c r="CR6" s="22">
        <f>CR5/CR4</f>
        <v>0.75</v>
      </c>
      <c r="CS6" s="21">
        <f>CQ6</f>
        <v>0.75</v>
      </c>
      <c r="CT6" s="21">
        <f>CS6</f>
        <v>0.75</v>
      </c>
      <c r="CU6" s="21">
        <f>CT6</f>
        <v>0.75</v>
      </c>
      <c r="CV6" s="21">
        <f>CU6</f>
        <v>0.75</v>
      </c>
      <c r="CW6" s="22">
        <f>CW5/CW4</f>
        <v>0.75</v>
      </c>
      <c r="CX6" s="21">
        <f>CV6</f>
        <v>0.75</v>
      </c>
      <c r="CY6" s="21">
        <f>CX6</f>
        <v>0.75</v>
      </c>
      <c r="CZ6" s="21">
        <f>CY6</f>
        <v>0.75</v>
      </c>
      <c r="DA6" s="21">
        <f>CZ6</f>
        <v>0.75</v>
      </c>
      <c r="DB6" s="22">
        <f>DB5/DB4</f>
        <v>0.75</v>
      </c>
    </row>
    <row r="7" spans="1:106" ht="11.25" customHeight="1" x14ac:dyDescent="0.35">
      <c r="A7" s="7" t="s">
        <v>65</v>
      </c>
      <c r="B7" s="395">
        <v>3133.9960000000001</v>
      </c>
      <c r="C7" s="464">
        <v>5361</v>
      </c>
      <c r="D7" s="464">
        <v>6637</v>
      </c>
      <c r="E7" s="395">
        <v>13506</v>
      </c>
      <c r="F7" s="98">
        <f>SUM(B7:E7)</f>
        <v>28637.995999999999</v>
      </c>
      <c r="G7" s="395">
        <v>3659</v>
      </c>
      <c r="H7" s="464">
        <v>6085</v>
      </c>
      <c r="I7" s="464">
        <v>5252.9848866498742</v>
      </c>
      <c r="J7" s="395">
        <v>11507.681780016792</v>
      </c>
      <c r="K7" s="98">
        <f>SUM(G7:J7)</f>
        <v>26504.666666666664</v>
      </c>
      <c r="L7" s="395">
        <v>2195.4</v>
      </c>
      <c r="M7" s="464">
        <v>3148</v>
      </c>
      <c r="N7" s="464">
        <v>5046</v>
      </c>
      <c r="O7" s="395">
        <v>12981</v>
      </c>
      <c r="P7" s="98">
        <f>SUM(L7:O7)</f>
        <v>23370.400000000001</v>
      </c>
      <c r="Q7" s="395">
        <v>3845</v>
      </c>
      <c r="R7" s="464">
        <v>8751</v>
      </c>
      <c r="S7" s="464">
        <v>2416</v>
      </c>
      <c r="T7" s="395">
        <v>12852</v>
      </c>
      <c r="U7" s="98">
        <f>SUM(Q7:T7)</f>
        <v>27864</v>
      </c>
      <c r="V7" s="395">
        <v>2406</v>
      </c>
      <c r="W7" s="464">
        <v>2344</v>
      </c>
      <c r="X7" s="464">
        <v>2220</v>
      </c>
      <c r="Y7" s="395">
        <v>6167.9436000000005</v>
      </c>
      <c r="Z7" s="98">
        <f>SUM(V7:Y7)</f>
        <v>13137.943600000001</v>
      </c>
      <c r="AA7" s="395">
        <v>1606</v>
      </c>
      <c r="AB7" s="464">
        <v>4333</v>
      </c>
      <c r="AC7" s="464">
        <v>1127</v>
      </c>
      <c r="AD7" s="395">
        <v>1298</v>
      </c>
      <c r="AE7" s="98">
        <f>SUM(AA7:AD7)</f>
        <v>8364</v>
      </c>
      <c r="AF7" s="395">
        <v>1530</v>
      </c>
      <c r="AG7" s="464">
        <v>1840</v>
      </c>
      <c r="AH7" s="464">
        <v>1630</v>
      </c>
      <c r="AI7" s="395">
        <v>4726</v>
      </c>
      <c r="AJ7" s="98">
        <f>SUM(AF7:AI7)</f>
        <v>9726</v>
      </c>
      <c r="AK7" s="395">
        <v>711</v>
      </c>
      <c r="AL7" s="464">
        <v>2082</v>
      </c>
      <c r="AM7" s="464">
        <v>2050</v>
      </c>
      <c r="AN7" s="395">
        <v>4125</v>
      </c>
      <c r="AO7" s="98">
        <f>SUM(AK7:AN7)</f>
        <v>8968</v>
      </c>
      <c r="AP7" s="395">
        <v>2111</v>
      </c>
      <c r="AQ7" s="464">
        <v>3138</v>
      </c>
      <c r="AR7" s="464">
        <v>2821</v>
      </c>
      <c r="AS7" s="395">
        <v>7075</v>
      </c>
      <c r="AT7" s="98">
        <f>SUM(AP7:AS7)</f>
        <v>15145</v>
      </c>
      <c r="AU7" s="395">
        <v>1516</v>
      </c>
      <c r="AV7" s="464">
        <v>2935</v>
      </c>
      <c r="AW7" s="464">
        <v>2107</v>
      </c>
      <c r="AX7" s="395">
        <v>3205</v>
      </c>
      <c r="AY7" s="98">
        <f>SUM(AU7:AX7)</f>
        <v>9763</v>
      </c>
      <c r="AZ7" s="395">
        <v>3533</v>
      </c>
      <c r="BA7" s="464">
        <v>804</v>
      </c>
      <c r="BB7" s="464">
        <v>3160</v>
      </c>
      <c r="BC7" s="395">
        <v>7672</v>
      </c>
      <c r="BD7" s="98">
        <f>SUM(AZ7:BC7)</f>
        <v>15169</v>
      </c>
      <c r="BE7" s="395">
        <v>674</v>
      </c>
      <c r="BF7" s="464">
        <v>4403</v>
      </c>
      <c r="BG7" s="464">
        <v>3780</v>
      </c>
      <c r="BH7" s="395">
        <v>7672</v>
      </c>
      <c r="BI7" s="98">
        <f>SUM(BE7:BH7)</f>
        <v>16529</v>
      </c>
      <c r="BJ7" s="395">
        <v>1284</v>
      </c>
      <c r="BK7" s="464">
        <v>3751</v>
      </c>
      <c r="BL7" s="464">
        <v>4453</v>
      </c>
      <c r="BM7" s="395">
        <v>4698</v>
      </c>
      <c r="BN7" s="98">
        <f>SUM(BJ7:BM7)</f>
        <v>14186</v>
      </c>
      <c r="BO7" s="395">
        <v>2123</v>
      </c>
      <c r="BP7" s="464">
        <v>4282</v>
      </c>
      <c r="BQ7" s="464">
        <v>4317</v>
      </c>
      <c r="BR7" s="395">
        <v>3256</v>
      </c>
      <c r="BS7" s="98">
        <f>SUM(BO7:BR7)</f>
        <v>13978</v>
      </c>
      <c r="BT7" s="395">
        <v>3266</v>
      </c>
      <c r="BU7" s="464">
        <v>2965</v>
      </c>
      <c r="BV7" s="464">
        <v>5500</v>
      </c>
      <c r="BW7" s="395">
        <v>8851</v>
      </c>
      <c r="BX7" s="98">
        <f>SUM(BT7:BW7)</f>
        <v>20582</v>
      </c>
      <c r="BY7" s="395">
        <v>6281</v>
      </c>
      <c r="BZ7" s="464">
        <v>6847</v>
      </c>
      <c r="CA7" s="464">
        <v>6760</v>
      </c>
      <c r="CB7" s="395">
        <v>8457</v>
      </c>
      <c r="CC7" s="98">
        <f>SUM(BY7:CB7)</f>
        <v>28345</v>
      </c>
      <c r="CD7" s="395">
        <v>5527</v>
      </c>
      <c r="CE7" s="464">
        <v>7791</v>
      </c>
      <c r="CF7" s="90">
        <f>CF4/CF8*1000</f>
        <v>8211.0101679205982</v>
      </c>
      <c r="CG7" s="90">
        <f>CG4/CG8*1000</f>
        <v>7807.1555218178437</v>
      </c>
      <c r="CH7" s="98">
        <f>SUM(CD7:CG7)</f>
        <v>29336.165689738442</v>
      </c>
      <c r="CI7" s="90">
        <f>CI4/CI8*1000</f>
        <v>7761.2906370455994</v>
      </c>
      <c r="CJ7" s="90">
        <f>CJ4/CJ8*1000</f>
        <v>7689.236237911533</v>
      </c>
      <c r="CK7" s="90">
        <f>CK4/CK8*1000</f>
        <v>8838.901640452048</v>
      </c>
      <c r="CL7" s="90">
        <f>CL4/CL8*1000</f>
        <v>8487.8349896819691</v>
      </c>
      <c r="CM7" s="98">
        <f>SUM(CI7:CL7)</f>
        <v>32777.263505091149</v>
      </c>
      <c r="CN7" s="90">
        <f>CN4/CN8*1000</f>
        <v>5443.549890733454</v>
      </c>
      <c r="CO7" s="90">
        <f>CO4/CO8*1000</f>
        <v>7915.5034395717166</v>
      </c>
      <c r="CP7" s="90">
        <f>CP4/CP8*1000</f>
        <v>9988.0062403833217</v>
      </c>
      <c r="CQ7" s="90">
        <f>CQ4/CQ8*1000</f>
        <v>12378.0926932862</v>
      </c>
      <c r="CR7" s="98">
        <f>SUM(CN7:CQ7)</f>
        <v>35725.152263974691</v>
      </c>
      <c r="CS7" s="90">
        <f>CS4/CS8*1000</f>
        <v>5443.5498907334513</v>
      </c>
      <c r="CT7" s="90">
        <f>CT4/CT8*1000</f>
        <v>7915.5034395717148</v>
      </c>
      <c r="CU7" s="90">
        <f>CU4/CU8*1000</f>
        <v>9988.0062403833199</v>
      </c>
      <c r="CV7" s="90">
        <f>CV4/CV8*1000</f>
        <v>12378.092693286197</v>
      </c>
      <c r="CW7" s="98">
        <f>SUM(CS7:CV7)</f>
        <v>35725.152263974684</v>
      </c>
      <c r="CX7" s="90">
        <f>CX4/CX8*1000</f>
        <v>5443.5498907334504</v>
      </c>
      <c r="CY7" s="90">
        <f>CY4/CY8*1000</f>
        <v>7915.5034395717121</v>
      </c>
      <c r="CZ7" s="90">
        <f>CZ4/CZ8*1000</f>
        <v>9988.0062403833181</v>
      </c>
      <c r="DA7" s="90">
        <f>DA4/DA8*1000</f>
        <v>12378.092693286195</v>
      </c>
      <c r="DB7" s="98">
        <f>SUM(CX7:DA7)</f>
        <v>35725.152263974676</v>
      </c>
    </row>
    <row r="8" spans="1:106" ht="11.25" customHeight="1" x14ac:dyDescent="0.35">
      <c r="A8" s="78" t="s">
        <v>67</v>
      </c>
      <c r="B8" s="93">
        <f>B4*1000/B7</f>
        <v>190266.24979757366</v>
      </c>
      <c r="C8" s="93">
        <f t="shared" ref="C8:J8" si="3">C4*1000/C7</f>
        <v>210307.43841969161</v>
      </c>
      <c r="D8" s="93">
        <f t="shared" si="3"/>
        <v>214523.52885143933</v>
      </c>
      <c r="E8" s="93">
        <f t="shared" si="3"/>
        <v>335164.23857800046</v>
      </c>
      <c r="F8" s="73">
        <f>F4*1000/F7</f>
        <v>267975.20016379777</v>
      </c>
      <c r="G8" s="93">
        <f t="shared" si="3"/>
        <v>288101.60629794875</v>
      </c>
      <c r="H8" s="93">
        <f t="shared" si="3"/>
        <v>265756.96089578676</v>
      </c>
      <c r="I8" s="93">
        <f t="shared" si="3"/>
        <v>345833.96151490283</v>
      </c>
      <c r="J8" s="93">
        <f t="shared" si="3"/>
        <v>305028.45188058278</v>
      </c>
      <c r="K8" s="73">
        <f>K4*1000/K7</f>
        <v>301762.92787619826</v>
      </c>
      <c r="L8" s="93">
        <f>L4*1000/L7</f>
        <v>405365.96817353991</v>
      </c>
      <c r="M8" s="93">
        <f>M4*1000/M7</f>
        <v>346069.88747813879</v>
      </c>
      <c r="N8" s="93">
        <f>N4*1000/N7</f>
        <v>300774.64455959573</v>
      </c>
      <c r="O8" s="93">
        <f t="shared" ref="O8:U8" si="4">O4*1000/O7</f>
        <v>161786.77689347253</v>
      </c>
      <c r="P8" s="73">
        <f t="shared" si="4"/>
        <v>239500.8840076018</v>
      </c>
      <c r="Q8" s="93">
        <f t="shared" si="4"/>
        <v>248429.85199115207</v>
      </c>
      <c r="R8" s="93">
        <f t="shared" si="4"/>
        <v>201376.12994555174</v>
      </c>
      <c r="S8" s="93">
        <f t="shared" si="4"/>
        <v>510846.25694539829</v>
      </c>
      <c r="T8" s="93">
        <f t="shared" si="4"/>
        <v>209666.69292352855</v>
      </c>
      <c r="U8" s="73">
        <f t="shared" si="4"/>
        <v>238526.27721406738</v>
      </c>
      <c r="V8" s="93">
        <f>V4*1000/V7</f>
        <v>795859.25458514295</v>
      </c>
      <c r="W8" s="93">
        <f>W4*1000/W7</f>
        <v>379799.20481061528</v>
      </c>
      <c r="X8" s="93">
        <f>X4*1000/X7</f>
        <v>352503.59135062573</v>
      </c>
      <c r="Y8" s="93">
        <f t="shared" ref="Y8:BW8" si="5">Y4*1000/Y7</f>
        <v>366488.57566701819</v>
      </c>
      <c r="Z8" s="73">
        <f t="shared" si="5"/>
        <v>445132.48939239053</v>
      </c>
      <c r="AA8" s="93">
        <f t="shared" si="5"/>
        <v>287983.28552521532</v>
      </c>
      <c r="AB8" s="93">
        <f t="shared" si="5"/>
        <v>246036.16967065612</v>
      </c>
      <c r="AC8" s="93">
        <f t="shared" si="5"/>
        <v>541333.34711368079</v>
      </c>
      <c r="AD8" s="93">
        <f t="shared" si="5"/>
        <v>585350.82703088038</v>
      </c>
      <c r="AE8" s="73">
        <f t="shared" si="5"/>
        <v>346538.01236485527</v>
      </c>
      <c r="AF8" s="93">
        <f t="shared" si="5"/>
        <v>400731.16060784314</v>
      </c>
      <c r="AG8" s="93">
        <f t="shared" si="5"/>
        <v>325059.34882314259</v>
      </c>
      <c r="AH8" s="93">
        <f t="shared" si="5"/>
        <v>277265.13661238959</v>
      </c>
      <c r="AI8" s="93">
        <f t="shared" si="5"/>
        <v>269579.49212530954</v>
      </c>
      <c r="AJ8" s="73">
        <f t="shared" si="5"/>
        <v>301994.93419977278</v>
      </c>
      <c r="AK8" s="93">
        <f t="shared" si="5"/>
        <v>860402.62769338954</v>
      </c>
      <c r="AL8" s="93">
        <f t="shared" si="5"/>
        <v>307585.87235017883</v>
      </c>
      <c r="AM8" s="93">
        <f t="shared" si="5"/>
        <v>259446.26334374413</v>
      </c>
      <c r="AN8" s="93">
        <f t="shared" si="5"/>
        <v>307688.00058807427</v>
      </c>
      <c r="AO8" s="73">
        <f t="shared" si="5"/>
        <v>340456.94656596275</v>
      </c>
      <c r="AP8" s="93">
        <f t="shared" si="5"/>
        <v>205707.08292752251</v>
      </c>
      <c r="AQ8" s="93">
        <f t="shared" si="5"/>
        <v>312737.30531581654</v>
      </c>
      <c r="AR8" s="93">
        <f t="shared" si="5"/>
        <v>325523.40309766406</v>
      </c>
      <c r="AS8" s="93">
        <f t="shared" si="5"/>
        <v>382360.02808339655</v>
      </c>
      <c r="AT8" s="73">
        <f t="shared" si="5"/>
        <v>332724.72994186688</v>
      </c>
      <c r="AU8" s="93">
        <f t="shared" si="5"/>
        <v>291822.33534657425</v>
      </c>
      <c r="AV8" s="93">
        <f t="shared" si="5"/>
        <v>520604.18252207659</v>
      </c>
      <c r="AW8" s="93">
        <f t="shared" si="5"/>
        <v>469255.16330156225</v>
      </c>
      <c r="AX8" s="93">
        <f t="shared" si="5"/>
        <v>436102.07864269667</v>
      </c>
      <c r="AY8" s="73">
        <f t="shared" si="5"/>
        <v>446256.65545569354</v>
      </c>
      <c r="AZ8" s="93">
        <f t="shared" si="5"/>
        <v>301321.06368749443</v>
      </c>
      <c r="BA8" s="93">
        <f t="shared" si="5"/>
        <v>316165.67366670538</v>
      </c>
      <c r="BB8" s="93">
        <f t="shared" si="5"/>
        <v>522516.74605463591</v>
      </c>
      <c r="BC8" s="93">
        <f t="shared" si="5"/>
        <v>374523.69565628294</v>
      </c>
      <c r="BD8" s="73">
        <f t="shared" si="5"/>
        <v>385210.83988684823</v>
      </c>
      <c r="BE8" s="93">
        <f t="shared" si="5"/>
        <v>625145.27180603007</v>
      </c>
      <c r="BF8" s="93">
        <f t="shared" si="5"/>
        <v>438127.6041486591</v>
      </c>
      <c r="BG8" s="93">
        <f t="shared" si="5"/>
        <v>581930.88846344023</v>
      </c>
      <c r="BH8" s="93">
        <f t="shared" si="5"/>
        <v>333010.80587608903</v>
      </c>
      <c r="BI8" s="73">
        <f t="shared" si="5"/>
        <v>429849.44130540069</v>
      </c>
      <c r="BJ8" s="93">
        <f t="shared" si="5"/>
        <v>808149.99106463662</v>
      </c>
      <c r="BK8" s="93">
        <f t="shared" si="5"/>
        <v>620182.75663071079</v>
      </c>
      <c r="BL8" s="93">
        <f t="shared" si="5"/>
        <v>657480.65002475586</v>
      </c>
      <c r="BM8" s="93">
        <f t="shared" si="5"/>
        <v>600545.98890282924</v>
      </c>
      <c r="BN8" s="73">
        <f t="shared" si="5"/>
        <v>642400.71190430829</v>
      </c>
      <c r="BO8" s="93">
        <f t="shared" si="5"/>
        <v>633414.36943399836</v>
      </c>
      <c r="BP8" s="93">
        <f t="shared" si="5"/>
        <v>820756.33633000089</v>
      </c>
      <c r="BQ8" s="93">
        <f t="shared" si="5"/>
        <v>501406.67583285156</v>
      </c>
      <c r="BR8" s="93">
        <f t="shared" si="5"/>
        <v>842638.4249139895</v>
      </c>
      <c r="BS8" s="73">
        <f t="shared" si="5"/>
        <v>698770.97364170919</v>
      </c>
      <c r="BT8" s="93">
        <f t="shared" si="5"/>
        <v>520497.98497891304</v>
      </c>
      <c r="BU8" s="93">
        <f t="shared" si="5"/>
        <v>492904.12203871837</v>
      </c>
      <c r="BV8" s="93">
        <f t="shared" si="5"/>
        <v>567742.07454734645</v>
      </c>
      <c r="BW8" s="93">
        <f t="shared" si="5"/>
        <v>761149.92404336878</v>
      </c>
      <c r="BX8" s="73">
        <f>BX4*1000/BX7</f>
        <v>632636.60132660542</v>
      </c>
      <c r="BY8" s="93">
        <f>BY4*1000/BY7</f>
        <v>774115.28050785675</v>
      </c>
      <c r="BZ8" s="93">
        <f>BZ4*1000/BZ7</f>
        <v>602666.49843374232</v>
      </c>
      <c r="CA8" s="93">
        <f>CA4*1000/CA7</f>
        <v>747038.97570809617</v>
      </c>
      <c r="CB8" s="93">
        <f t="shared" ref="CB8" si="6">CB4*1000/CB7</f>
        <v>535769.18529029202</v>
      </c>
      <c r="CC8" s="73">
        <f>CC4*1000/CC7</f>
        <v>655129.97239133576</v>
      </c>
      <c r="CD8" s="93">
        <f>CD4*1000/CD7</f>
        <v>439297.99167722091</v>
      </c>
      <c r="CE8" s="93">
        <f>CE4*1000/CE7</f>
        <v>637530.48389166989</v>
      </c>
      <c r="CF8" s="701">
        <f>CE8*(1+Macro!CF8)*0.8</f>
        <v>514983.03275636194</v>
      </c>
      <c r="CG8" s="508">
        <f>CF8*(1+Macro!CG8)</f>
        <v>520790.84403503046</v>
      </c>
      <c r="CH8" s="73">
        <f>CH4*1000/CH7</f>
        <v>534815.1560746528</v>
      </c>
      <c r="CI8" s="701">
        <f>CG8*(1+Macro!CI8)*0.8</f>
        <v>419404.99839239067</v>
      </c>
      <c r="CJ8" s="701">
        <f>CI8*(1+Macro!CJ8)*1.1</f>
        <v>465668.68087809178</v>
      </c>
      <c r="CK8" s="701">
        <f>CJ8*(1+Macro!CK8)*1.1</f>
        <v>515581.44975364982</v>
      </c>
      <c r="CL8" s="701">
        <f>CK8*(1+Macro!CL8)*1.1</f>
        <v>575256.95735897287</v>
      </c>
      <c r="CM8" s="73">
        <f>CM4*1000/CM7</f>
        <v>496552.14301941072</v>
      </c>
      <c r="CN8" s="701">
        <f>CL8*(1+Macro!CN8)*0.8</f>
        <v>464180.566610376</v>
      </c>
      <c r="CO8" s="508">
        <f>CN8*(1+Macro!CO8)</f>
        <v>468189.90118766116</v>
      </c>
      <c r="CP8" s="508">
        <f>CO8*(1+Macro!CP8)</f>
        <v>472233.86617584439</v>
      </c>
      <c r="CQ8" s="508">
        <f>CP8*(1+Macro!CQ8)</f>
        <v>476312.76069322968</v>
      </c>
      <c r="CR8" s="73">
        <f>CR4*1000/CR7</f>
        <v>471524.0127332781</v>
      </c>
      <c r="CS8" s="508">
        <f>CQ8*(1+Macro!CS8)</f>
        <v>480426.88644173928</v>
      </c>
      <c r="CT8" s="508">
        <f>CS8*(1+Macro!CT8)</f>
        <v>484576.54772922938</v>
      </c>
      <c r="CU8" s="508">
        <f>CT8*(1+Macro!CU8)</f>
        <v>488762.05149199901</v>
      </c>
      <c r="CV8" s="508">
        <f>CU8*(1+Macro!CV8)</f>
        <v>492983.70731749281</v>
      </c>
      <c r="CW8" s="73">
        <f>CW4*1000/CW7</f>
        <v>488027.35317894287</v>
      </c>
      <c r="CX8" s="508">
        <f>CV8*(1+Macro!CX8)</f>
        <v>497241.82746720023</v>
      </c>
      <c r="CY8" s="508">
        <f>CX8*(1+Macro!CY8)</f>
        <v>501536.72689975251</v>
      </c>
      <c r="CZ8" s="508">
        <f>CY8*(1+Macro!CZ8)</f>
        <v>505868.72329421906</v>
      </c>
      <c r="DA8" s="508">
        <f>CZ8*(1+Macro!DA8)</f>
        <v>510238.13707360509</v>
      </c>
      <c r="DB8" s="73">
        <f>DB4*1000/DB7</f>
        <v>505108.31054020592</v>
      </c>
    </row>
    <row r="9" spans="1:106" ht="11.25" customHeight="1" x14ac:dyDescent="0.35">
      <c r="A9" s="11" t="s">
        <v>61</v>
      </c>
      <c r="B9" s="396">
        <v>1065751.603876431</v>
      </c>
      <c r="C9" s="463">
        <v>1539901.6260083586</v>
      </c>
      <c r="D9" s="463">
        <v>1025369.4094728953</v>
      </c>
      <c r="E9" s="463">
        <v>2541385.4857181711</v>
      </c>
      <c r="F9" s="96">
        <f>SUM(B9:E9)</f>
        <v>6172408.1250758562</v>
      </c>
      <c r="G9" s="396">
        <v>998624.82912410155</v>
      </c>
      <c r="H9" s="463">
        <v>1668034.0951965526</v>
      </c>
      <c r="I9" s="463">
        <v>1448714.3077739901</v>
      </c>
      <c r="J9" s="463">
        <v>2381726.7676970023</v>
      </c>
      <c r="K9" s="96">
        <f>SUM(G9:J9)</f>
        <v>6497099.9997916464</v>
      </c>
      <c r="L9" s="396">
        <v>1220163.757181434</v>
      </c>
      <c r="M9" s="463">
        <v>1314136.0976600002</v>
      </c>
      <c r="N9" s="463">
        <v>1755471.9449833315</v>
      </c>
      <c r="O9" s="463">
        <v>1716436.6087744539</v>
      </c>
      <c r="P9" s="96">
        <f>SUM(L9:O9)</f>
        <v>6006208.4085992202</v>
      </c>
      <c r="Q9" s="396">
        <v>1358604.9277246709</v>
      </c>
      <c r="R9" s="463">
        <v>2181132.2600047318</v>
      </c>
      <c r="S9" s="463">
        <v>1360632.2304267867</v>
      </c>
      <c r="T9" s="463">
        <v>2274686.0743124131</v>
      </c>
      <c r="U9" s="96">
        <f>SUM(Q9:T9)</f>
        <v>7175055.492468602</v>
      </c>
      <c r="V9" s="396">
        <v>1547712.0291570749</v>
      </c>
      <c r="W9" s="463">
        <v>1257588.9376654772</v>
      </c>
      <c r="X9" s="463">
        <v>992003.62044137646</v>
      </c>
      <c r="Y9" s="463">
        <v>1886828.1859731919</v>
      </c>
      <c r="Z9" s="96">
        <f>SUM(V9:Y9)</f>
        <v>5684132.7732371204</v>
      </c>
      <c r="AA9" s="396">
        <v>722627.01376248465</v>
      </c>
      <c r="AB9" s="463">
        <v>813657.00191834138</v>
      </c>
      <c r="AC9" s="463">
        <v>1009275.0632334041</v>
      </c>
      <c r="AD9" s="463">
        <v>844027.10105500533</v>
      </c>
      <c r="AE9" s="96">
        <f>SUM(AA9:AD9)</f>
        <v>3389586.1799692353</v>
      </c>
      <c r="AF9" s="396">
        <v>543564.8997868353</v>
      </c>
      <c r="AG9" s="463">
        <v>558378.74196366768</v>
      </c>
      <c r="AH9" s="463">
        <v>573349.62622940575</v>
      </c>
      <c r="AI9" s="463">
        <v>1090268.1708877583</v>
      </c>
      <c r="AJ9" s="96">
        <f>SUM(AF9:AI9)</f>
        <v>2765561.4388676668</v>
      </c>
      <c r="AK9" s="396">
        <v>519965.62160416599</v>
      </c>
      <c r="AL9" s="463">
        <v>756283.67619530065</v>
      </c>
      <c r="AM9" s="463">
        <v>729630.11450326815</v>
      </c>
      <c r="AN9" s="463">
        <v>1253291.516655422</v>
      </c>
      <c r="AO9" s="96">
        <f>SUM(AK9:AN9)</f>
        <v>3259170.9289581571</v>
      </c>
      <c r="AP9" s="396">
        <v>613092.14258069231</v>
      </c>
      <c r="AQ9" s="463">
        <v>1060935.0342695655</v>
      </c>
      <c r="AR9" s="463">
        <v>942517.29201412259</v>
      </c>
      <c r="AS9" s="463">
        <v>2439179.7254579803</v>
      </c>
      <c r="AT9" s="96">
        <f>SUM(AP9:AS9)</f>
        <v>5055724.1943223607</v>
      </c>
      <c r="AU9" s="396">
        <v>773031.06656818034</v>
      </c>
      <c r="AV9" s="463">
        <v>1305470.9368501431</v>
      </c>
      <c r="AW9" s="463">
        <v>1123366.3303312066</v>
      </c>
      <c r="AX9" s="463">
        <v>1387445.1095968094</v>
      </c>
      <c r="AY9" s="96">
        <f>SUM(AU9:AX9)</f>
        <v>4589313.4433463393</v>
      </c>
      <c r="AZ9" s="396">
        <v>846188.98344586894</v>
      </c>
      <c r="BA9" s="463">
        <v>512378.08895439724</v>
      </c>
      <c r="BB9" s="463">
        <v>1711627.1025532619</v>
      </c>
      <c r="BC9" s="463">
        <v>1860194.7667020492</v>
      </c>
      <c r="BD9" s="96">
        <f>SUM(AZ9:BC9)</f>
        <v>4930388.9416555772</v>
      </c>
      <c r="BE9" s="396">
        <v>1030911.8944871745</v>
      </c>
      <c r="BF9" s="463">
        <v>1559954.8194156727</v>
      </c>
      <c r="BG9" s="463">
        <v>1365603.6801327136</v>
      </c>
      <c r="BH9" s="463">
        <v>1574515.098491831</v>
      </c>
      <c r="BI9" s="96">
        <f>SUM(BE9:BH9)</f>
        <v>5530985.4925273918</v>
      </c>
      <c r="BJ9" s="396">
        <v>1312487.3405780916</v>
      </c>
      <c r="BK9" s="463">
        <v>1622040.8707555183</v>
      </c>
      <c r="BL9" s="463">
        <v>2285717.5363245821</v>
      </c>
      <c r="BM9" s="463">
        <v>2690936.3394353595</v>
      </c>
      <c r="BN9" s="96">
        <f>SUM(BJ9:BM9)</f>
        <v>7911182.0870935516</v>
      </c>
      <c r="BO9" s="396">
        <v>1544551.4591390237</v>
      </c>
      <c r="BP9" s="463">
        <v>2491233.4593098299</v>
      </c>
      <c r="BQ9" s="463">
        <v>2263188.9775623744</v>
      </c>
      <c r="BR9" s="463">
        <v>2592935.6974654002</v>
      </c>
      <c r="BS9" s="96">
        <f>SUM(BO9:BR9)</f>
        <v>8891909.593476627</v>
      </c>
      <c r="BT9" s="396">
        <v>2147129.3423621999</v>
      </c>
      <c r="BU9" s="463">
        <v>2371504.7187608392</v>
      </c>
      <c r="BV9" s="463">
        <v>3200576.8936927989</v>
      </c>
      <c r="BW9" s="463">
        <v>4904954.6169577716</v>
      </c>
      <c r="BX9" s="96">
        <f>SUM(BT9:BW9)</f>
        <v>12624165.571773611</v>
      </c>
      <c r="BY9" s="396">
        <v>3028851.5868528695</v>
      </c>
      <c r="BZ9" s="463">
        <v>3257882.2354527083</v>
      </c>
      <c r="CA9" s="463">
        <v>3546839.5435546609</v>
      </c>
      <c r="CB9" s="463">
        <v>3330000</v>
      </c>
      <c r="CC9" s="96">
        <f>SUM(BY9:CB9)</f>
        <v>13163573.365860239</v>
      </c>
      <c r="CD9" s="396">
        <v>2942000</v>
      </c>
      <c r="CE9" s="463">
        <v>3467000</v>
      </c>
      <c r="CF9" s="38">
        <f>CF14</f>
        <v>3513561.3405988482</v>
      </c>
      <c r="CG9" s="38">
        <f>CG14</f>
        <v>3712383.7179256608</v>
      </c>
      <c r="CH9" s="96">
        <f>SUM(CD9:CG9)</f>
        <v>13634945.058524508</v>
      </c>
      <c r="CI9" s="38">
        <f>CI14</f>
        <v>3609934.4406092144</v>
      </c>
      <c r="CJ9" s="38">
        <f>CJ14</f>
        <v>3621118.520899483</v>
      </c>
      <c r="CK9" s="38">
        <f>CK14</f>
        <v>3927580.9578006715</v>
      </c>
      <c r="CL9" s="38">
        <f>CL14</f>
        <v>4114431.8049197951</v>
      </c>
      <c r="CM9" s="96">
        <f>SUM(CI9:CL9)</f>
        <v>15273065.724229164</v>
      </c>
      <c r="CN9" s="38">
        <f>CN14</f>
        <v>3642394.8570747045</v>
      </c>
      <c r="CO9" s="38">
        <f>CO14</f>
        <v>3855427.3667164175</v>
      </c>
      <c r="CP9" s="38">
        <f>CP14</f>
        <v>4179367.8875971711</v>
      </c>
      <c r="CQ9" s="38">
        <f>CQ14</f>
        <v>4683330.2655136818</v>
      </c>
      <c r="CR9" s="96">
        <f>SUM(CN9:CQ9)</f>
        <v>16360520.376901977</v>
      </c>
      <c r="CS9" s="38">
        <f>CS14</f>
        <v>3828532.7471281593</v>
      </c>
      <c r="CT9" s="38">
        <f>CT14</f>
        <v>4035551.7328955177</v>
      </c>
      <c r="CU9" s="38">
        <f>CU14</f>
        <v>4366459.475801317</v>
      </c>
      <c r="CV9" s="38">
        <f>CV14</f>
        <v>4892038.4006281449</v>
      </c>
      <c r="CW9" s="96">
        <f>SUM(CS9:CV9)</f>
        <v>17122582.356453139</v>
      </c>
      <c r="CX9" s="38">
        <f>CX14</f>
        <v>3808411.4948005248</v>
      </c>
      <c r="CY9" s="38">
        <f>CY14</f>
        <v>4056435.9250428258</v>
      </c>
      <c r="CZ9" s="38">
        <f>CZ14</f>
        <v>4429431.6328853425</v>
      </c>
      <c r="DA9" s="38">
        <f>DA14</f>
        <v>4996102.9988335101</v>
      </c>
      <c r="DB9" s="96">
        <f>SUM(CX9:DA9)</f>
        <v>17290382.051562205</v>
      </c>
    </row>
    <row r="10" spans="1:106" ht="11.25" customHeight="1" outlineLevel="1" x14ac:dyDescent="0.35">
      <c r="A10" s="7" t="s">
        <v>62</v>
      </c>
      <c r="B10" s="395">
        <v>869002.74541212746</v>
      </c>
      <c r="C10" s="464">
        <v>1108155.7717825125</v>
      </c>
      <c r="D10" s="464">
        <v>806849.43291390303</v>
      </c>
      <c r="E10" s="395">
        <v>1980984.2882064704</v>
      </c>
      <c r="F10" s="98">
        <f>SUM(B10:E10)</f>
        <v>4764992.2383150132</v>
      </c>
      <c r="G10" s="395">
        <v>844044.16704732715</v>
      </c>
      <c r="H10" s="464">
        <v>1269249.5973274847</v>
      </c>
      <c r="I10" s="464">
        <v>1163018.1032423852</v>
      </c>
      <c r="J10" s="395">
        <v>1991841.640066643</v>
      </c>
      <c r="K10" s="98">
        <f>SUM(G10:J10)</f>
        <v>5268153.5076838406</v>
      </c>
      <c r="L10" s="395">
        <v>958493.40606656636</v>
      </c>
      <c r="M10" s="464">
        <v>1061386.6561399999</v>
      </c>
      <c r="N10" s="464">
        <v>1283300.3063552249</v>
      </c>
      <c r="O10" s="395">
        <v>1080657.7062171018</v>
      </c>
      <c r="P10" s="98">
        <f>SUM(L10:O10)</f>
        <v>4383838.074778893</v>
      </c>
      <c r="Q10" s="395">
        <v>949129.65341428248</v>
      </c>
      <c r="R10" s="464">
        <v>1470282.5205509367</v>
      </c>
      <c r="S10" s="464">
        <v>1024932.1367391951</v>
      </c>
      <c r="T10" s="395">
        <v>1641646.1047841087</v>
      </c>
      <c r="U10" s="98">
        <f>SUM(Q10:T10)</f>
        <v>5085990.4154885234</v>
      </c>
      <c r="V10" s="395">
        <v>1362634.5979568979</v>
      </c>
      <c r="W10" s="464">
        <v>1065499.6250674143</v>
      </c>
      <c r="X10" s="464">
        <v>772126.34384141141</v>
      </c>
      <c r="Y10" s="395">
        <v>1473211.7309926809</v>
      </c>
      <c r="Z10" s="98">
        <f>SUM(V10:Y10)</f>
        <v>4673472.297858404</v>
      </c>
      <c r="AA10" s="395">
        <v>579785.63036225084</v>
      </c>
      <c r="AB10" s="464">
        <v>617761.76803719148</v>
      </c>
      <c r="AC10" s="464">
        <v>789881.97857959336</v>
      </c>
      <c r="AD10" s="395">
        <v>649509.94132815162</v>
      </c>
      <c r="AE10" s="98">
        <f>SUM(AA10:AD10)</f>
        <v>2636939.3183071874</v>
      </c>
      <c r="AF10" s="395">
        <v>415139.77505351766</v>
      </c>
      <c r="AG10" s="464">
        <v>441568.16619031457</v>
      </c>
      <c r="AH10" s="464">
        <v>417270.77154156176</v>
      </c>
      <c r="AI10" s="395">
        <v>856186.60574553371</v>
      </c>
      <c r="AJ10" s="98">
        <f>SUM(AF10:AI10)</f>
        <v>2130165.3185309274</v>
      </c>
      <c r="AK10" s="395">
        <v>371496.36271007563</v>
      </c>
      <c r="AL10" s="464">
        <v>563599.52824612998</v>
      </c>
      <c r="AM10" s="464">
        <v>553932.97591904737</v>
      </c>
      <c r="AN10" s="395">
        <v>871929.76317475596</v>
      </c>
      <c r="AO10" s="98">
        <f>SUM(AK10:AN10)</f>
        <v>2360958.6300500091</v>
      </c>
      <c r="AP10" s="395">
        <v>384624.48207061301</v>
      </c>
      <c r="AQ10" s="464">
        <v>698996.70284344954</v>
      </c>
      <c r="AR10" s="464">
        <v>692553.76307844033</v>
      </c>
      <c r="AS10" s="395">
        <v>1720362.1818955992</v>
      </c>
      <c r="AT10" s="98">
        <f>SUM(AP10:AS10)</f>
        <v>3496537.1298881019</v>
      </c>
      <c r="AU10" s="395">
        <v>641022.13331012474</v>
      </c>
      <c r="AV10" s="464">
        <v>1141267.6894440176</v>
      </c>
      <c r="AW10" s="464">
        <v>959706.15684845601</v>
      </c>
      <c r="AX10" s="395">
        <v>1191731.7131492631</v>
      </c>
      <c r="AY10" s="98">
        <f>SUM(AU10:AX10)</f>
        <v>3933727.6927518616</v>
      </c>
      <c r="AZ10" s="395">
        <v>686810.96547813399</v>
      </c>
      <c r="BA10" s="464">
        <v>449625.66864391213</v>
      </c>
      <c r="BB10" s="464">
        <v>1549186.6511380214</v>
      </c>
      <c r="BC10" s="395">
        <v>1692118.221043021</v>
      </c>
      <c r="BD10" s="98">
        <f>SUM(AZ10:BC10)</f>
        <v>4377741.5063030887</v>
      </c>
      <c r="BE10" s="395">
        <v>908178.27309078339</v>
      </c>
      <c r="BF10" s="464">
        <v>1348594.4373938097</v>
      </c>
      <c r="BG10" s="464">
        <v>1236172.4860605719</v>
      </c>
      <c r="BH10" s="395">
        <v>1420217.0904864545</v>
      </c>
      <c r="BI10" s="98">
        <f>SUM(BE10:BH10)</f>
        <v>4913162.2870316198</v>
      </c>
      <c r="BJ10" s="395">
        <v>1192828.5224708416</v>
      </c>
      <c r="BK10" s="464">
        <v>1393439.5958806362</v>
      </c>
      <c r="BL10" s="464">
        <v>1797209.9910056747</v>
      </c>
      <c r="BM10" s="395">
        <v>1739332.7069629251</v>
      </c>
      <c r="BN10" s="98">
        <f>SUM(BJ10:BM10)</f>
        <v>6122810.8163200784</v>
      </c>
      <c r="BO10" s="395">
        <v>1158566.4160503936</v>
      </c>
      <c r="BP10" s="464">
        <v>2013860.0670887462</v>
      </c>
      <c r="BQ10" s="464">
        <v>1743785.2869871957</v>
      </c>
      <c r="BR10" s="395">
        <v>1859926.62945689</v>
      </c>
      <c r="BS10" s="98">
        <f>SUM(BO10:BR10)</f>
        <v>6776138.3995832251</v>
      </c>
      <c r="BT10" s="395">
        <v>1705125.818091817</v>
      </c>
      <c r="BU10" s="464">
        <v>1755390.4741547299</v>
      </c>
      <c r="BV10" s="464">
        <v>2528669.659855119</v>
      </c>
      <c r="BW10" s="395">
        <v>3636092.6394472425</v>
      </c>
      <c r="BX10" s="98">
        <f>SUM(BT10:BW10)</f>
        <v>9625278.5915489085</v>
      </c>
      <c r="BY10" s="395">
        <v>2352381.585101218</v>
      </c>
      <c r="BZ10" s="464">
        <v>2240000</v>
      </c>
      <c r="CA10" s="464">
        <v>2532608.92544627</v>
      </c>
      <c r="CB10" s="395">
        <f>CB9*75%</f>
        <v>2497500</v>
      </c>
      <c r="CC10" s="98">
        <f>SUM(BY10:CB10)</f>
        <v>9622490.5105474889</v>
      </c>
      <c r="CD10" s="395">
        <v>2164000</v>
      </c>
      <c r="CE10" s="464">
        <v>2561000</v>
      </c>
      <c r="CF10" s="97">
        <f>CF9*CF11</f>
        <v>2562054.8331813118</v>
      </c>
      <c r="CG10" s="97">
        <f>CG9*CG11</f>
        <v>2696284.1086750808</v>
      </c>
      <c r="CH10" s="98">
        <f>SUM(CD10:CG10)</f>
        <v>9983338.9418563936</v>
      </c>
      <c r="CI10" s="97">
        <f>CI9*CI11</f>
        <v>2663328.6932562036</v>
      </c>
      <c r="CJ10" s="97">
        <f>CJ9*CJ11</f>
        <v>2666407.0304817455</v>
      </c>
      <c r="CK10" s="97">
        <f>CK9*CK11</f>
        <v>2907535.1166159688</v>
      </c>
      <c r="CL10" s="97">
        <f>CL9*CL11</f>
        <v>3063772.3688562824</v>
      </c>
      <c r="CM10" s="98">
        <f>SUM(CI10:CL10)</f>
        <v>11301043.2092102</v>
      </c>
      <c r="CN10" s="97">
        <f>CN9*CN11</f>
        <v>2713261.9230010021</v>
      </c>
      <c r="CO10" s="97">
        <f>CO9*CO11</f>
        <v>2885721.6789840176</v>
      </c>
      <c r="CP10" s="97">
        <f>CP9*CP11</f>
        <v>3134525.9156978782</v>
      </c>
      <c r="CQ10" s="97">
        <f>CQ9*CQ11</f>
        <v>3512497.6991352616</v>
      </c>
      <c r="CR10" s="98">
        <f>SUM(CN10:CQ10)</f>
        <v>12246007.216818161</v>
      </c>
      <c r="CS10" s="97">
        <f>CS9*CS11</f>
        <v>2871399.5603461196</v>
      </c>
      <c r="CT10" s="97">
        <f>CT9*CT11</f>
        <v>3026663.7996716383</v>
      </c>
      <c r="CU10" s="97">
        <f>CU9*CU11</f>
        <v>3274844.6068509878</v>
      </c>
      <c r="CV10" s="97">
        <f>CV9*CV11</f>
        <v>3669028.8004711084</v>
      </c>
      <c r="CW10" s="98">
        <f>SUM(CS10:CV10)</f>
        <v>12841936.767339854</v>
      </c>
      <c r="CX10" s="97">
        <f>CX9*CX11</f>
        <v>2856308.6211003936</v>
      </c>
      <c r="CY10" s="97">
        <f>CY9*CY11</f>
        <v>3042326.9437821191</v>
      </c>
      <c r="CZ10" s="97">
        <f>CZ9*CZ11</f>
        <v>3322073.7246640068</v>
      </c>
      <c r="DA10" s="97">
        <f>DA9*DA11</f>
        <v>3747077.2491251323</v>
      </c>
      <c r="DB10" s="98">
        <f>SUM(CX10:DA10)</f>
        <v>12967786.538671652</v>
      </c>
    </row>
    <row r="11" spans="1:106" ht="11.25" customHeight="1" outlineLevel="1" x14ac:dyDescent="0.35">
      <c r="A11" s="7" t="s">
        <v>66</v>
      </c>
      <c r="B11" s="21">
        <f t="shared" ref="B11:BM11" si="7">B10/B9</f>
        <v>0.81538957319071914</v>
      </c>
      <c r="C11" s="21">
        <f t="shared" si="7"/>
        <v>0.71962763923758433</v>
      </c>
      <c r="D11" s="21">
        <f t="shared" si="7"/>
        <v>0.78688658493203401</v>
      </c>
      <c r="E11" s="21">
        <f t="shared" si="7"/>
        <v>0.77948988822790233</v>
      </c>
      <c r="F11" s="22">
        <f>F10/F9</f>
        <v>0.77198269164297262</v>
      </c>
      <c r="G11" s="21">
        <f t="shared" si="7"/>
        <v>0.84520647036950025</v>
      </c>
      <c r="H11" s="21">
        <f t="shared" si="7"/>
        <v>0.76092545169343373</v>
      </c>
      <c r="I11" s="21">
        <f t="shared" si="7"/>
        <v>0.8027932746998343</v>
      </c>
      <c r="J11" s="21">
        <f t="shared" si="7"/>
        <v>0.83630148809749638</v>
      </c>
      <c r="K11" s="22">
        <f t="shared" si="7"/>
        <v>0.81084691752517024</v>
      </c>
      <c r="L11" s="21">
        <f t="shared" si="7"/>
        <v>0.78554489135185956</v>
      </c>
      <c r="M11" s="21">
        <f t="shared" si="7"/>
        <v>0.8076687475748856</v>
      </c>
      <c r="N11" s="21">
        <f t="shared" si="7"/>
        <v>0.7310286615645174</v>
      </c>
      <c r="O11" s="21">
        <f t="shared" si="7"/>
        <v>0.62959371799270691</v>
      </c>
      <c r="P11" s="22">
        <f t="shared" si="7"/>
        <v>0.72988444232179095</v>
      </c>
      <c r="Q11" s="21">
        <f t="shared" si="7"/>
        <v>0.69860607307220746</v>
      </c>
      <c r="R11" s="21">
        <f t="shared" si="7"/>
        <v>0.67409141000360384</v>
      </c>
      <c r="S11" s="21">
        <f t="shared" si="7"/>
        <v>0.75327639153285875</v>
      </c>
      <c r="T11" s="21">
        <f t="shared" si="7"/>
        <v>0.72170227062226233</v>
      </c>
      <c r="U11" s="22">
        <f t="shared" si="7"/>
        <v>0.70884335610046567</v>
      </c>
      <c r="V11" s="21">
        <f t="shared" si="7"/>
        <v>0.88041869048405919</v>
      </c>
      <c r="W11" s="21">
        <f t="shared" si="7"/>
        <v>0.84725588239138971</v>
      </c>
      <c r="X11" s="21">
        <f t="shared" si="7"/>
        <v>0.77835032849765795</v>
      </c>
      <c r="Y11" s="21">
        <f t="shared" si="7"/>
        <v>0.78078743043200027</v>
      </c>
      <c r="Z11" s="22">
        <f t="shared" si="7"/>
        <v>0.82219618793261506</v>
      </c>
      <c r="AA11" s="21">
        <f t="shared" si="7"/>
        <v>0.80233041295189755</v>
      </c>
      <c r="AB11" s="21">
        <f t="shared" si="7"/>
        <v>0.7592410150477511</v>
      </c>
      <c r="AC11" s="21">
        <f t="shared" si="7"/>
        <v>0.7826230998406486</v>
      </c>
      <c r="AD11" s="21">
        <f t="shared" si="7"/>
        <v>0.76953683183429322</v>
      </c>
      <c r="AE11" s="22">
        <f t="shared" si="7"/>
        <v>0.77795317136061748</v>
      </c>
      <c r="AF11" s="21">
        <f t="shared" si="7"/>
        <v>0.76373543474996108</v>
      </c>
      <c r="AG11" s="21">
        <f t="shared" si="7"/>
        <v>0.79080404214071298</v>
      </c>
      <c r="AH11" s="21">
        <f t="shared" si="7"/>
        <v>0.72777717548315879</v>
      </c>
      <c r="AI11" s="21">
        <f t="shared" si="7"/>
        <v>0.78529909301890188</v>
      </c>
      <c r="AJ11" s="22">
        <f t="shared" si="7"/>
        <v>0.77024696996176789</v>
      </c>
      <c r="AK11" s="21">
        <f t="shared" si="7"/>
        <v>0.71446331694768184</v>
      </c>
      <c r="AL11" s="21">
        <f t="shared" si="7"/>
        <v>0.74522238941011809</v>
      </c>
      <c r="AM11" s="21">
        <f t="shared" si="7"/>
        <v>0.75919697516345619</v>
      </c>
      <c r="AN11" s="21">
        <f t="shared" si="7"/>
        <v>0.695711852819062</v>
      </c>
      <c r="AO11" s="22">
        <f t="shared" si="7"/>
        <v>0.72440466655878188</v>
      </c>
      <c r="AP11" s="21">
        <f t="shared" si="7"/>
        <v>0.62735183728111565</v>
      </c>
      <c r="AQ11" s="21">
        <f t="shared" si="7"/>
        <v>0.6588496753005203</v>
      </c>
      <c r="AR11" s="21">
        <f t="shared" si="7"/>
        <v>0.73479157246916926</v>
      </c>
      <c r="AS11" s="21">
        <f t="shared" si="7"/>
        <v>0.70530357559961432</v>
      </c>
      <c r="AT11" s="22">
        <f t="shared" si="7"/>
        <v>0.6915996592169239</v>
      </c>
      <c r="AU11" s="21">
        <f t="shared" si="7"/>
        <v>0.82923204646341009</v>
      </c>
      <c r="AV11" s="21">
        <f t="shared" si="7"/>
        <v>0.87421914745776175</v>
      </c>
      <c r="AW11" s="21">
        <f t="shared" si="7"/>
        <v>0.85431273034994915</v>
      </c>
      <c r="AX11" s="21">
        <f t="shared" si="7"/>
        <v>0.85893971942110159</v>
      </c>
      <c r="AY11" s="22">
        <f t="shared" si="7"/>
        <v>0.85714949334198198</v>
      </c>
      <c r="AZ11" s="21">
        <f t="shared" si="7"/>
        <v>0.81165198190277499</v>
      </c>
      <c r="BA11" s="21">
        <f t="shared" si="7"/>
        <v>0.87752711979049869</v>
      </c>
      <c r="BB11" s="21">
        <f t="shared" si="7"/>
        <v>0.90509588731510182</v>
      </c>
      <c r="BC11" s="21">
        <f t="shared" si="7"/>
        <v>0.90964572706705749</v>
      </c>
      <c r="BD11" s="22">
        <f t="shared" si="7"/>
        <v>0.88790997183136733</v>
      </c>
      <c r="BE11" s="21">
        <f t="shared" si="7"/>
        <v>0.8809465463996371</v>
      </c>
      <c r="BF11" s="21">
        <f t="shared" si="7"/>
        <v>0.86450865153836043</v>
      </c>
      <c r="BG11" s="21">
        <f t="shared" si="7"/>
        <v>0.90522052923908114</v>
      </c>
      <c r="BH11" s="21">
        <f t="shared" si="7"/>
        <v>0.90200284001520681</v>
      </c>
      <c r="BI11" s="22">
        <f t="shared" si="7"/>
        <v>0.88829780762750532</v>
      </c>
      <c r="BJ11" s="21">
        <f t="shared" si="7"/>
        <v>0.9088304973253718</v>
      </c>
      <c r="BK11" s="21">
        <f t="shared" si="7"/>
        <v>0.85906565056625017</v>
      </c>
      <c r="BL11" s="21">
        <f t="shared" si="7"/>
        <v>0.78627825286565189</v>
      </c>
      <c r="BM11" s="21">
        <f t="shared" si="7"/>
        <v>0.64636709589640096</v>
      </c>
      <c r="BN11" s="22">
        <f t="shared" ref="BN11:BW11" si="8">BN10/BN9</f>
        <v>0.77394386185459507</v>
      </c>
      <c r="BO11" s="21">
        <f t="shared" si="8"/>
        <v>0.75009894244391895</v>
      </c>
      <c r="BP11" s="21">
        <f t="shared" si="8"/>
        <v>0.80837870074475682</v>
      </c>
      <c r="BQ11" s="21">
        <f t="shared" si="8"/>
        <v>0.77049919572575165</v>
      </c>
      <c r="BR11" s="21">
        <f t="shared" si="8"/>
        <v>0.71730534284940883</v>
      </c>
      <c r="BS11" s="22">
        <f t="shared" si="8"/>
        <v>0.76205660081771465</v>
      </c>
      <c r="BT11" s="21">
        <f t="shared" si="8"/>
        <v>0.79414210613688252</v>
      </c>
      <c r="BU11" s="21">
        <f t="shared" si="8"/>
        <v>0.74020113064415827</v>
      </c>
      <c r="BV11" s="21">
        <f t="shared" si="8"/>
        <v>0.79006683602516448</v>
      </c>
      <c r="BW11" s="21">
        <f t="shared" si="8"/>
        <v>0.74131014930826766</v>
      </c>
      <c r="BX11" s="22">
        <f>BX10/BX9</f>
        <v>0.76244869705052676</v>
      </c>
      <c r="BY11" s="21">
        <f>BY10/BY9</f>
        <v>0.77665792385207677</v>
      </c>
      <c r="BZ11" s="21">
        <f>BZ10/BZ9</f>
        <v>0.68756321994209046</v>
      </c>
      <c r="CA11" s="21">
        <f>CA10/CA9</f>
        <v>0.71404665882011575</v>
      </c>
      <c r="CB11" s="21">
        <f t="shared" ref="CB11" si="9">CB10/CB9</f>
        <v>0.75</v>
      </c>
      <c r="CC11" s="22">
        <f>CC10/CC9</f>
        <v>0.73099379956383592</v>
      </c>
      <c r="CD11" s="21">
        <f>CD10/CD9</f>
        <v>0.73555404486743714</v>
      </c>
      <c r="CE11" s="21">
        <f>CE10/CE9</f>
        <v>0.73867897317565623</v>
      </c>
      <c r="CF11" s="21">
        <f>AVERAGE(BY6:CE6)</f>
        <v>0.7291902957768307</v>
      </c>
      <c r="CG11" s="21">
        <f>AVERAGE(BZ6:CF6)</f>
        <v>0.7262945626164049</v>
      </c>
      <c r="CH11" s="22">
        <f>CH10/CH9</f>
        <v>0.73218769118654081</v>
      </c>
      <c r="CI11" s="21">
        <f>AVERAGE(CB6:CH6)</f>
        <v>0.73777757936422217</v>
      </c>
      <c r="CJ11" s="21">
        <f>AVERAGE(CC6:CI6)</f>
        <v>0.73634900793565083</v>
      </c>
      <c r="CK11" s="21">
        <f>AVERAGE(CD6:CJ6)</f>
        <v>0.74028648877147574</v>
      </c>
      <c r="CL11" s="21">
        <f>AVERAGE(CE6:CK6)</f>
        <v>0.74464045441044957</v>
      </c>
      <c r="CM11" s="22">
        <f>CM10/CM9</f>
        <v>0.73993286045264939</v>
      </c>
      <c r="CN11" s="21">
        <f>AVERAGE(CG6:CM6)</f>
        <v>0.74491152921846826</v>
      </c>
      <c r="CO11" s="21">
        <f>AVERAGE(CH6:CN6)</f>
        <v>0.74848295778989693</v>
      </c>
      <c r="CP11" s="21">
        <f>AVERAGE(CI6:CO6)</f>
        <v>0.75</v>
      </c>
      <c r="CQ11" s="21">
        <f>AVERAGE(CJ6:CP6)</f>
        <v>0.75</v>
      </c>
      <c r="CR11" s="22">
        <f>CR10/CR9</f>
        <v>0.74850963995663944</v>
      </c>
      <c r="CS11" s="21">
        <f>AVERAGE(CL6:CR6)</f>
        <v>0.75</v>
      </c>
      <c r="CT11" s="21">
        <f>AVERAGE(CM6:CS6)</f>
        <v>0.75</v>
      </c>
      <c r="CU11" s="21">
        <f>AVERAGE(CN6:CT6)</f>
        <v>0.75</v>
      </c>
      <c r="CV11" s="21">
        <f>AVERAGE(CO6:CU6)</f>
        <v>0.75</v>
      </c>
      <c r="CW11" s="22">
        <f>CW10/CW9</f>
        <v>0.75</v>
      </c>
      <c r="CX11" s="21">
        <f>AVERAGE(CQ6:CW6)</f>
        <v>0.75</v>
      </c>
      <c r="CY11" s="21">
        <f>AVERAGE(CR6:CX6)</f>
        <v>0.75</v>
      </c>
      <c r="CZ11" s="21">
        <f>AVERAGE(CS6:CY6)</f>
        <v>0.75</v>
      </c>
      <c r="DA11" s="21">
        <f>AVERAGE(CT6:CZ6)</f>
        <v>0.75</v>
      </c>
      <c r="DB11" s="22">
        <f>DB10/DB9</f>
        <v>0.74999999999999989</v>
      </c>
    </row>
    <row r="12" spans="1:106" ht="11.25" customHeight="1" x14ac:dyDescent="0.35">
      <c r="A12" s="7" t="s">
        <v>396</v>
      </c>
      <c r="B12" s="395">
        <v>4681</v>
      </c>
      <c r="C12" s="464">
        <v>5984</v>
      </c>
      <c r="D12" s="464">
        <v>6378</v>
      </c>
      <c r="E12" s="395">
        <v>8742</v>
      </c>
      <c r="F12" s="98">
        <f>SUM(B12:E12)</f>
        <v>25785</v>
      </c>
      <c r="G12" s="395">
        <v>3953</v>
      </c>
      <c r="H12" s="464">
        <v>5582</v>
      </c>
      <c r="I12" s="464">
        <v>3699</v>
      </c>
      <c r="J12" s="395">
        <v>8075</v>
      </c>
      <c r="K12" s="98">
        <f>SUM(G12:J12)</f>
        <v>21309</v>
      </c>
      <c r="L12" s="395">
        <v>3516</v>
      </c>
      <c r="M12" s="464">
        <v>4191</v>
      </c>
      <c r="N12" s="464">
        <v>5470</v>
      </c>
      <c r="O12" s="395">
        <f>10901-7436</f>
        <v>3465</v>
      </c>
      <c r="P12" s="98">
        <f>SUM(L12:O12)</f>
        <v>16642</v>
      </c>
      <c r="Q12" s="395">
        <f>6152-2160</f>
        <v>3992</v>
      </c>
      <c r="R12" s="464">
        <f>9658-288*2-240-140-240-180-120-980-500-1616-780</f>
        <v>4286</v>
      </c>
      <c r="S12" s="464">
        <v>3308</v>
      </c>
      <c r="T12" s="395">
        <f>10921-5436</f>
        <v>5485</v>
      </c>
      <c r="U12" s="98">
        <f>SUM(Q12:T12)</f>
        <v>17071</v>
      </c>
      <c r="V12" s="395">
        <v>2930</v>
      </c>
      <c r="W12" s="464">
        <v>3326</v>
      </c>
      <c r="X12" s="464">
        <v>2611</v>
      </c>
      <c r="Y12" s="395">
        <f>5723-1100</f>
        <v>4623</v>
      </c>
      <c r="Z12" s="98">
        <f>SUM(V12:Y12)</f>
        <v>13490</v>
      </c>
      <c r="AA12" s="395">
        <v>1981</v>
      </c>
      <c r="AB12" s="464">
        <v>2447</v>
      </c>
      <c r="AC12" s="464">
        <v>2594</v>
      </c>
      <c r="AD12" s="395">
        <v>2074</v>
      </c>
      <c r="AE12" s="98">
        <f>SUM(AA12:AD12)</f>
        <v>9096</v>
      </c>
      <c r="AF12" s="395">
        <v>1582</v>
      </c>
      <c r="AG12" s="464">
        <v>1503</v>
      </c>
      <c r="AH12" s="464">
        <v>1850</v>
      </c>
      <c r="AI12" s="395">
        <v>3758</v>
      </c>
      <c r="AJ12" s="98">
        <f>SUM(AF12:AI12)</f>
        <v>8693</v>
      </c>
      <c r="AK12" s="395">
        <v>1384</v>
      </c>
      <c r="AL12" s="464">
        <v>2177</v>
      </c>
      <c r="AM12" s="464">
        <v>2555</v>
      </c>
      <c r="AN12" s="395">
        <v>4216</v>
      </c>
      <c r="AO12" s="98">
        <f>SUM(AK12:AN12)</f>
        <v>10332</v>
      </c>
      <c r="AP12" s="395">
        <v>2297</v>
      </c>
      <c r="AQ12" s="464">
        <v>3257</v>
      </c>
      <c r="AR12" s="464">
        <v>3108</v>
      </c>
      <c r="AS12" s="395">
        <v>5839</v>
      </c>
      <c r="AT12" s="98">
        <f>SUM(AP12:AS12)</f>
        <v>14501</v>
      </c>
      <c r="AU12" s="395">
        <v>1820</v>
      </c>
      <c r="AV12" s="464">
        <v>2726</v>
      </c>
      <c r="AW12" s="464">
        <v>2371</v>
      </c>
      <c r="AX12" s="395">
        <v>2996</v>
      </c>
      <c r="AY12" s="98">
        <f>SUM(AU12:AX12)</f>
        <v>9913</v>
      </c>
      <c r="AZ12" s="395">
        <v>2483</v>
      </c>
      <c r="BA12" s="464">
        <v>1324</v>
      </c>
      <c r="BB12" s="464">
        <v>3003</v>
      </c>
      <c r="BC12" s="395">
        <v>4242</v>
      </c>
      <c r="BD12" s="98">
        <f>SUM(AZ12:BC12)</f>
        <v>11052</v>
      </c>
      <c r="BE12" s="395">
        <v>2521</v>
      </c>
      <c r="BF12" s="464">
        <v>3649</v>
      </c>
      <c r="BG12" s="464">
        <v>2316</v>
      </c>
      <c r="BH12" s="395">
        <v>4242</v>
      </c>
      <c r="BI12" s="98">
        <f>SUM(BE12:BH12)</f>
        <v>12728</v>
      </c>
      <c r="BJ12" s="395">
        <v>2821</v>
      </c>
      <c r="BK12" s="464">
        <v>3359</v>
      </c>
      <c r="BL12" s="464">
        <v>4027</v>
      </c>
      <c r="BM12" s="395">
        <v>5297</v>
      </c>
      <c r="BN12" s="98">
        <f>SUM(BJ12:BM12)</f>
        <v>15504</v>
      </c>
      <c r="BO12" s="395">
        <v>3010</v>
      </c>
      <c r="BP12" s="464">
        <v>4518</v>
      </c>
      <c r="BQ12" s="464">
        <v>4107</v>
      </c>
      <c r="BR12" s="395">
        <v>4061</v>
      </c>
      <c r="BS12" s="98">
        <f>SUM(BO12:BR12)</f>
        <v>15696</v>
      </c>
      <c r="BT12" s="395">
        <v>3694</v>
      </c>
      <c r="BU12" s="464">
        <v>4216</v>
      </c>
      <c r="BV12" s="464">
        <v>5553</v>
      </c>
      <c r="BW12" s="395">
        <v>7230</v>
      </c>
      <c r="BX12" s="98">
        <f>SUM(BT12:BW12)</f>
        <v>20693</v>
      </c>
      <c r="BY12" s="395">
        <v>5246</v>
      </c>
      <c r="BZ12" s="464">
        <v>7086</v>
      </c>
      <c r="CA12" s="464">
        <v>4944</v>
      </c>
      <c r="CB12" s="395">
        <v>6008</v>
      </c>
      <c r="CC12" s="98">
        <f>SUM(BY12:CB12)</f>
        <v>23284</v>
      </c>
      <c r="CD12" s="395">
        <v>6223</v>
      </c>
      <c r="CE12" s="464">
        <v>6508</v>
      </c>
      <c r="CF12" s="90">
        <f>CF9/CF13*1000</f>
        <v>5972.4825224007718</v>
      </c>
      <c r="CG12" s="90">
        <f>CG9/CG13*1000</f>
        <v>6742.6342139832632</v>
      </c>
      <c r="CH12" s="98">
        <f>SUM(CD12:CG12)</f>
        <v>25446.116736384036</v>
      </c>
      <c r="CI12" s="90">
        <f>CI9/CI13*1000</f>
        <v>7062.5563088300378</v>
      </c>
      <c r="CJ12" s="90">
        <f>CJ9/CJ13*1000</f>
        <v>7024.0394791036642</v>
      </c>
      <c r="CK12" s="90">
        <f>CK9/CK13*1000</f>
        <v>7931.1845351048778</v>
      </c>
      <c r="CL12" s="90">
        <f>CL9/CL13*1000</f>
        <v>8143.3097626935441</v>
      </c>
      <c r="CM12" s="98">
        <f>SUM(CI12:CL12)</f>
        <v>30161.090085732125</v>
      </c>
      <c r="CN12" s="90">
        <f>CN9/CN13*1000</f>
        <v>7441.9518397730972</v>
      </c>
      <c r="CO12" s="90">
        <f>CO9/CO13*1000</f>
        <v>7748.4873314998658</v>
      </c>
      <c r="CP12" s="90">
        <f>CP9/CP13*1000</f>
        <v>8381.0996665779548</v>
      </c>
      <c r="CQ12" s="90">
        <f>CQ9/CQ13*1000</f>
        <v>9516.6228552556786</v>
      </c>
      <c r="CR12" s="98">
        <f>SUM(CN12:CQ12)</f>
        <v>33088.161693106595</v>
      </c>
      <c r="CS12" s="90">
        <f>CS9/CS13*1000</f>
        <v>8108.8128824576288</v>
      </c>
      <c r="CT12" s="90">
        <f>CT9/CT13*1000</f>
        <v>8486.1795508087271</v>
      </c>
      <c r="CU12" s="90">
        <f>CU9/CU13*1000</f>
        <v>9116.3015957944262</v>
      </c>
      <c r="CV12" s="90">
        <f>CV9/CV13*1000</f>
        <v>10140.389936389975</v>
      </c>
      <c r="CW12" s="98">
        <f>SUM(CS12:CV12)</f>
        <v>35851.683965450757</v>
      </c>
      <c r="CX12" s="90">
        <f>CX9/CX13*1000</f>
        <v>7793.4262535126891</v>
      </c>
      <c r="CY12" s="90">
        <f>CY9/CY13*1000</f>
        <v>8241.638623808014</v>
      </c>
      <c r="CZ12" s="90">
        <f>CZ9/CZ13*1000</f>
        <v>8935.0482836230294</v>
      </c>
      <c r="DA12" s="90">
        <f>DA9/DA13*1000</f>
        <v>10005.892473533342</v>
      </c>
      <c r="DB12" s="98">
        <f>SUM(CX12:DA12)</f>
        <v>34976.005634477071</v>
      </c>
    </row>
    <row r="13" spans="1:106" ht="11.25" customHeight="1" x14ac:dyDescent="0.35">
      <c r="A13" s="78" t="s">
        <v>68</v>
      </c>
      <c r="B13" s="93">
        <f t="shared" ref="B13:BM13" si="10">B9/B12*1000</f>
        <v>227676.05295373444</v>
      </c>
      <c r="C13" s="93">
        <f t="shared" si="10"/>
        <v>257336.50167251984</v>
      </c>
      <c r="D13" s="93">
        <f t="shared" si="10"/>
        <v>160766.60543632726</v>
      </c>
      <c r="E13" s="93">
        <f t="shared" si="10"/>
        <v>290709.84737110173</v>
      </c>
      <c r="F13" s="73">
        <f>F9/F12*1000</f>
        <v>239379.7993048616</v>
      </c>
      <c r="G13" s="93">
        <f t="shared" si="10"/>
        <v>252624.54569291716</v>
      </c>
      <c r="H13" s="93">
        <f t="shared" si="10"/>
        <v>298823.73615129926</v>
      </c>
      <c r="I13" s="93">
        <f t="shared" si="10"/>
        <v>391650.25892781565</v>
      </c>
      <c r="J13" s="93">
        <f t="shared" si="10"/>
        <v>294950.68330613029</v>
      </c>
      <c r="K13" s="139">
        <f t="shared" si="10"/>
        <v>304899.33829797956</v>
      </c>
      <c r="L13" s="93">
        <f t="shared" si="10"/>
        <v>347031.78531895165</v>
      </c>
      <c r="M13" s="93">
        <f t="shared" si="10"/>
        <v>313561.46448580298</v>
      </c>
      <c r="N13" s="93">
        <f t="shared" si="10"/>
        <v>320927.2294302251</v>
      </c>
      <c r="O13" s="93">
        <f t="shared" si="10"/>
        <v>495364.100656408</v>
      </c>
      <c r="P13" s="139">
        <f t="shared" si="10"/>
        <v>360906.64635255502</v>
      </c>
      <c r="Q13" s="93">
        <f t="shared" si="10"/>
        <v>340331.89572261297</v>
      </c>
      <c r="R13" s="93">
        <f t="shared" si="10"/>
        <v>508896.93420549034</v>
      </c>
      <c r="S13" s="93">
        <f t="shared" si="10"/>
        <v>411315.66820640466</v>
      </c>
      <c r="T13" s="93">
        <f t="shared" si="10"/>
        <v>414710.31436871708</v>
      </c>
      <c r="U13" s="139">
        <f t="shared" si="10"/>
        <v>420306.6892665106</v>
      </c>
      <c r="V13" s="93">
        <f t="shared" si="10"/>
        <v>528229.36148705625</v>
      </c>
      <c r="W13" s="93">
        <f t="shared" si="10"/>
        <v>378108.52004373935</v>
      </c>
      <c r="X13" s="93">
        <f t="shared" si="10"/>
        <v>379932.44750722958</v>
      </c>
      <c r="Y13" s="93">
        <f t="shared" si="10"/>
        <v>408139.34371040273</v>
      </c>
      <c r="Z13" s="139">
        <f t="shared" si="10"/>
        <v>421358.98986190662</v>
      </c>
      <c r="AA13" s="93">
        <f t="shared" si="10"/>
        <v>364778.90649292507</v>
      </c>
      <c r="AB13" s="93">
        <f t="shared" si="10"/>
        <v>332512.05636221549</v>
      </c>
      <c r="AC13" s="93">
        <f t="shared" si="10"/>
        <v>389080.59492421133</v>
      </c>
      <c r="AD13" s="93">
        <f t="shared" si="10"/>
        <v>406956.17215766892</v>
      </c>
      <c r="AE13" s="139">
        <f t="shared" si="10"/>
        <v>372645.79814965208</v>
      </c>
      <c r="AF13" s="93">
        <f t="shared" si="10"/>
        <v>343593.48911936488</v>
      </c>
      <c r="AG13" s="93">
        <f t="shared" si="10"/>
        <v>371509.47569106304</v>
      </c>
      <c r="AH13" s="93">
        <f t="shared" si="10"/>
        <v>309918.71688075986</v>
      </c>
      <c r="AI13" s="93">
        <f t="shared" si="10"/>
        <v>290119.25782005279</v>
      </c>
      <c r="AJ13" s="139">
        <f t="shared" si="10"/>
        <v>318136.59713190689</v>
      </c>
      <c r="AK13" s="93">
        <f t="shared" si="10"/>
        <v>375697.70347121818</v>
      </c>
      <c r="AL13" s="93">
        <f t="shared" si="10"/>
        <v>347397.18704423547</v>
      </c>
      <c r="AM13" s="93">
        <f t="shared" si="10"/>
        <v>285569.51643963525</v>
      </c>
      <c r="AN13" s="93">
        <f t="shared" si="10"/>
        <v>297270.28383667505</v>
      </c>
      <c r="AO13" s="139">
        <f t="shared" si="10"/>
        <v>315444.34078185807</v>
      </c>
      <c r="AP13" s="93">
        <f t="shared" si="10"/>
        <v>266909.94452794618</v>
      </c>
      <c r="AQ13" s="93">
        <f t="shared" si="10"/>
        <v>325739.95525623747</v>
      </c>
      <c r="AR13" s="93">
        <f t="shared" si="10"/>
        <v>303255.24196078588</v>
      </c>
      <c r="AS13" s="93">
        <f t="shared" si="10"/>
        <v>417739.29190922761</v>
      </c>
      <c r="AT13" s="139">
        <f t="shared" si="10"/>
        <v>348646.58949881804</v>
      </c>
      <c r="AU13" s="93">
        <f t="shared" si="10"/>
        <v>424742.34426823095</v>
      </c>
      <c r="AV13" s="93">
        <f t="shared" si="10"/>
        <v>478896.16172052204</v>
      </c>
      <c r="AW13" s="93">
        <f t="shared" si="10"/>
        <v>473794.31899249542</v>
      </c>
      <c r="AX13" s="93">
        <f t="shared" si="10"/>
        <v>463099.16875727946</v>
      </c>
      <c r="AY13" s="139">
        <f t="shared" si="10"/>
        <v>462959.08840374654</v>
      </c>
      <c r="AZ13" s="93">
        <f t="shared" si="10"/>
        <v>340792.98568097822</v>
      </c>
      <c r="BA13" s="93">
        <f t="shared" si="10"/>
        <v>386992.51431601</v>
      </c>
      <c r="BB13" s="93">
        <f t="shared" si="10"/>
        <v>569972.39512263134</v>
      </c>
      <c r="BC13" s="93">
        <f t="shared" si="10"/>
        <v>438518.33255588147</v>
      </c>
      <c r="BD13" s="139">
        <f t="shared" si="10"/>
        <v>446108.30090984231</v>
      </c>
      <c r="BE13" s="93">
        <f t="shared" si="10"/>
        <v>408929.74791240558</v>
      </c>
      <c r="BF13" s="93">
        <f t="shared" si="10"/>
        <v>427502.00586891547</v>
      </c>
      <c r="BG13" s="93">
        <f t="shared" si="10"/>
        <v>589638.89470324421</v>
      </c>
      <c r="BH13" s="93">
        <f t="shared" si="10"/>
        <v>371172.81906926708</v>
      </c>
      <c r="BI13" s="139">
        <f t="shared" si="10"/>
        <v>434552.599978582</v>
      </c>
      <c r="BJ13" s="93">
        <f t="shared" si="10"/>
        <v>465256.0583403373</v>
      </c>
      <c r="BK13" s="93">
        <f t="shared" si="10"/>
        <v>482893.97759914212</v>
      </c>
      <c r="BL13" s="93">
        <f t="shared" si="10"/>
        <v>567598.09692688903</v>
      </c>
      <c r="BM13" s="93">
        <f t="shared" si="10"/>
        <v>508011.39124700008</v>
      </c>
      <c r="BN13" s="139">
        <f t="shared" ref="BN13:BW13" si="11">BN9/BN12*1000</f>
        <v>510267.16248023423</v>
      </c>
      <c r="BO13" s="93">
        <f t="shared" si="11"/>
        <v>513140.01964751619</v>
      </c>
      <c r="BP13" s="93">
        <f t="shared" si="11"/>
        <v>551401.82808982511</v>
      </c>
      <c r="BQ13" s="93">
        <f t="shared" si="11"/>
        <v>551056.48345808976</v>
      </c>
      <c r="BR13" s="93">
        <f t="shared" si="11"/>
        <v>638496.84744284663</v>
      </c>
      <c r="BS13" s="139">
        <f t="shared" si="11"/>
        <v>566508.00162312866</v>
      </c>
      <c r="BT13" s="93">
        <f t="shared" si="11"/>
        <v>581247.79165192205</v>
      </c>
      <c r="BU13" s="93">
        <f t="shared" si="11"/>
        <v>562501.11925067345</v>
      </c>
      <c r="BV13" s="93">
        <f t="shared" si="11"/>
        <v>576368.97059117572</v>
      </c>
      <c r="BW13" s="93">
        <f t="shared" si="11"/>
        <v>678416.95946857147</v>
      </c>
      <c r="BX13" s="139">
        <f>BX9/BX12*1000</f>
        <v>610069.37475347274</v>
      </c>
      <c r="BY13" s="93">
        <f>BY9/BY12*1000</f>
        <v>577364.00816867512</v>
      </c>
      <c r="BZ13" s="93">
        <f>BZ9/BZ12*1000</f>
        <v>459763.22826033138</v>
      </c>
      <c r="CA13" s="93">
        <f>CA9/CA12*1000</f>
        <v>717402.82029827277</v>
      </c>
      <c r="CB13" s="93">
        <f t="shared" ref="CB13" si="12">CB9/CB12*1000</f>
        <v>554260.98535286286</v>
      </c>
      <c r="CC13" s="139">
        <f>CC9/CC12*1000</f>
        <v>565348.45240767219</v>
      </c>
      <c r="CD13" s="93">
        <f>CD9/CD12*1000</f>
        <v>472762.33327976859</v>
      </c>
      <c r="CE13" s="93">
        <f>CE9/CE12*1000</f>
        <v>532728.94898586359</v>
      </c>
      <c r="CF13" s="506">
        <f>AVERAGE(CA8:CF8)</f>
        <v>588291.60695249622</v>
      </c>
      <c r="CG13" s="506">
        <f>AVERAGE(CB8:CG8)</f>
        <v>550583.58500698523</v>
      </c>
      <c r="CH13" s="139">
        <f>CH9/CH12*1000</f>
        <v>535835.98628346436</v>
      </c>
      <c r="CI13" s="506">
        <f>AVERAGE(CD8:CI8)</f>
        <v>511137.08447122108</v>
      </c>
      <c r="CJ13" s="506">
        <f>AVERAGE(CE8:CJ8)</f>
        <v>515532.19933803286</v>
      </c>
      <c r="CK13" s="506">
        <f>AVERAGE(CF8:CK8)</f>
        <v>495207.36031502957</v>
      </c>
      <c r="CL13" s="506">
        <f>AVERAGE(CG8:CL8)</f>
        <v>505253.01441546466</v>
      </c>
      <c r="CM13" s="139">
        <f>CM9/CM12*1000</f>
        <v>506383.08100986626</v>
      </c>
      <c r="CN13" s="506">
        <f>AVERAGE(CI8:CN8)</f>
        <v>489440.79933548189</v>
      </c>
      <c r="CO13" s="506">
        <f>AVERAGE(CJ8:CO8)</f>
        <v>497571.61646802706</v>
      </c>
      <c r="CP13" s="506">
        <f>AVERAGE(CK8:CP8)</f>
        <v>498665.81401765248</v>
      </c>
      <c r="CQ13" s="506">
        <f>AVERAGE(CL8:CQ8)</f>
        <v>492121.03250758251</v>
      </c>
      <c r="CR13" s="139">
        <f>CR9/CR12*1000</f>
        <v>494452.38235493866</v>
      </c>
      <c r="CS13" s="506">
        <f>AVERAGE(CN8:CS8)</f>
        <v>472144.6656403548</v>
      </c>
      <c r="CT13" s="506">
        <f>AVERAGE(CO8:CT8)</f>
        <v>475543.99582683033</v>
      </c>
      <c r="CU13" s="506">
        <f>AVERAGE(CP8:CU8)</f>
        <v>478972.68754421995</v>
      </c>
      <c r="CV13" s="506">
        <f>AVERAGE(CQ8:CV8)</f>
        <v>482430.99440116138</v>
      </c>
      <c r="CW13" s="139">
        <f>CW9/CW12*1000</f>
        <v>477594.9261673087</v>
      </c>
      <c r="CX13" s="506">
        <f>AVERAGE(CS8:CX8)</f>
        <v>488669.72893776727</v>
      </c>
      <c r="CY13" s="506">
        <f>AVERAGE(CT8:CY8)</f>
        <v>492188.03568076942</v>
      </c>
      <c r="CZ13" s="506">
        <f>AVERAGE(CU8:CZ8)</f>
        <v>495736.7316082677</v>
      </c>
      <c r="DA13" s="506">
        <f>AVERAGE(CV8:DA8)</f>
        <v>499316.07920520211</v>
      </c>
      <c r="DB13" s="139">
        <f>DB9/DB12*1000</f>
        <v>494349.81890895142</v>
      </c>
    </row>
    <row r="14" spans="1:106" ht="11.25" customHeight="1" x14ac:dyDescent="0.35">
      <c r="A14" s="11" t="s">
        <v>274</v>
      </c>
      <c r="B14" s="120">
        <f>B15+B17-B19</f>
        <v>1065751.603876431</v>
      </c>
      <c r="C14" s="120">
        <f>C15+C17-C19</f>
        <v>1539901.6260083588</v>
      </c>
      <c r="D14" s="120">
        <f>D15+D17-D19</f>
        <v>1025369.4094728952</v>
      </c>
      <c r="E14" s="120">
        <f>E15+E17-E19</f>
        <v>2541385.4857181711</v>
      </c>
      <c r="F14" s="96">
        <f>SUM(B14:E14)</f>
        <v>6172408.1250758562</v>
      </c>
      <c r="G14" s="120">
        <f>G15+G17-G19</f>
        <v>998624.82912410144</v>
      </c>
      <c r="H14" s="120">
        <f>H15+H17-H19</f>
        <v>1668034.0951965523</v>
      </c>
      <c r="I14" s="120">
        <f>I15+I17-I19</f>
        <v>1448714.3077739901</v>
      </c>
      <c r="J14" s="120">
        <f>J15+J17-J19</f>
        <v>2381726.7676970023</v>
      </c>
      <c r="K14" s="96">
        <f>SUM(G14:J14)</f>
        <v>6497099.9997916464</v>
      </c>
      <c r="L14" s="120">
        <f>L15+L17-L19</f>
        <v>1220163.757181434</v>
      </c>
      <c r="M14" s="120">
        <f>M15+M17-M19</f>
        <v>1314136.0976600002</v>
      </c>
      <c r="N14" s="120">
        <f>N15+N17-N19</f>
        <v>1755471.9449833315</v>
      </c>
      <c r="O14" s="120">
        <f>O15+O17-O19</f>
        <v>1716436.6087744539</v>
      </c>
      <c r="P14" s="96">
        <f>SUM(L14:O14)</f>
        <v>6006208.4085992202</v>
      </c>
      <c r="Q14" s="120">
        <f>Q15+Q17-Q19</f>
        <v>1358604.9277246709</v>
      </c>
      <c r="R14" s="120">
        <f>R15+R17-R19</f>
        <v>2181132.2600047318</v>
      </c>
      <c r="S14" s="120">
        <f>S15+S17-S19</f>
        <v>1360632.2304267867</v>
      </c>
      <c r="T14" s="120">
        <f>T15+T17-T19</f>
        <v>2274686.0743124131</v>
      </c>
      <c r="U14" s="96">
        <f>SUM(Q14:T14)</f>
        <v>7175055.492468602</v>
      </c>
      <c r="V14" s="120">
        <f>V15+V17-V19</f>
        <v>1547712.0291570749</v>
      </c>
      <c r="W14" s="120">
        <f>W15+W17-W19</f>
        <v>1257588.9376654772</v>
      </c>
      <c r="X14" s="120">
        <f>X15+X17-X19</f>
        <v>992003.62044137646</v>
      </c>
      <c r="Y14" s="120">
        <f>Y15+Y17-Y19</f>
        <v>1886828.1859731919</v>
      </c>
      <c r="Z14" s="96">
        <f>SUM(V14:Y14)</f>
        <v>5684132.7732371204</v>
      </c>
      <c r="AA14" s="120">
        <f>AA15+AA17-AA19</f>
        <v>722627.01376248477</v>
      </c>
      <c r="AB14" s="120">
        <f>AB15+AB17-AB19</f>
        <v>813657.0019183415</v>
      </c>
      <c r="AC14" s="120">
        <f>AC15+AC17-AC19</f>
        <v>1009275.063233404</v>
      </c>
      <c r="AD14" s="120">
        <f>AD15+AD17-AD19</f>
        <v>844027.10105500557</v>
      </c>
      <c r="AE14" s="96">
        <f>SUM(AA14:AD14)</f>
        <v>3389586.1799692358</v>
      </c>
      <c r="AF14" s="120">
        <f>AF15+AF17-AF19</f>
        <v>543564.8997868353</v>
      </c>
      <c r="AG14" s="120">
        <f>AG15+AG17-AG19</f>
        <v>558378.7419636678</v>
      </c>
      <c r="AH14" s="120">
        <f>AH15+AH17-AH19</f>
        <v>573349.62622940587</v>
      </c>
      <c r="AI14" s="120">
        <f>AI15+AI17-AI19</f>
        <v>1090268.1708877583</v>
      </c>
      <c r="AJ14" s="96">
        <f>SUM(AF14:AI14)</f>
        <v>2765561.4388676672</v>
      </c>
      <c r="AK14" s="120">
        <f>AK15+AK17-AK19</f>
        <v>519965.62160416599</v>
      </c>
      <c r="AL14" s="120">
        <f>AL15+AL17-AL19</f>
        <v>756283.67619530065</v>
      </c>
      <c r="AM14" s="120">
        <f>AM15+AM17-AM19</f>
        <v>729630.11450326815</v>
      </c>
      <c r="AN14" s="120">
        <f>AN15+AN17-AN19</f>
        <v>1253291.516655422</v>
      </c>
      <c r="AO14" s="96">
        <f>SUM(AK14:AN14)</f>
        <v>3259170.9289581571</v>
      </c>
      <c r="AP14" s="120">
        <f>AP15+AP17-AP19</f>
        <v>613092.14258069231</v>
      </c>
      <c r="AQ14" s="120">
        <f>AQ15+AQ17-AQ19</f>
        <v>1060935.0342695655</v>
      </c>
      <c r="AR14" s="120">
        <f>AR15+AR17-AR19</f>
        <v>942517.29201412247</v>
      </c>
      <c r="AS14" s="120">
        <f>AS15+AS17-AS19</f>
        <v>2439179.7254579803</v>
      </c>
      <c r="AT14" s="96">
        <f>SUM(AP14:AS14)</f>
        <v>5055724.1943223607</v>
      </c>
      <c r="AU14" s="120">
        <f>AU15+AU17-AU19</f>
        <v>773031.06656818034</v>
      </c>
      <c r="AV14" s="120">
        <f>AV15+AV17-AV19</f>
        <v>1305470.9368501431</v>
      </c>
      <c r="AW14" s="120">
        <f>AW15+AW17-AW19</f>
        <v>1123366.3303312066</v>
      </c>
      <c r="AX14" s="120">
        <f>AX15+AX17-AX19</f>
        <v>1387445.1095968094</v>
      </c>
      <c r="AY14" s="96">
        <f>SUM(AU14:AX14)</f>
        <v>4589313.4433463393</v>
      </c>
      <c r="AZ14" s="120">
        <f>AZ15+AZ17-AZ19</f>
        <v>846188.98344586894</v>
      </c>
      <c r="BA14" s="120">
        <f>BA15+BA17-BA19</f>
        <v>512378.08895439724</v>
      </c>
      <c r="BB14" s="120">
        <f>BB15+BB17-BB19</f>
        <v>1711627.1025532619</v>
      </c>
      <c r="BC14" s="120">
        <f>BC15+BC17-BC19</f>
        <v>1860194.7667020492</v>
      </c>
      <c r="BD14" s="96">
        <f>SUM(AZ14:BC14)</f>
        <v>4930388.9416555772</v>
      </c>
      <c r="BE14" s="120">
        <f>BE15+BE17-BE19</f>
        <v>1030911.8944871745</v>
      </c>
      <c r="BF14" s="120">
        <f>BF15+BF17-BF19</f>
        <v>1559954.8194156727</v>
      </c>
      <c r="BG14" s="120">
        <f>BG15+BG17-BG19</f>
        <v>1365603.6801327136</v>
      </c>
      <c r="BH14" s="120">
        <f>BH15+BH17-BH19</f>
        <v>1574515.098491831</v>
      </c>
      <c r="BI14" s="96">
        <f>SUM(BE14:BH14)</f>
        <v>5530985.4925273918</v>
      </c>
      <c r="BJ14" s="120">
        <f>BJ15+BJ17-BJ19</f>
        <v>1312487.3405780916</v>
      </c>
      <c r="BK14" s="120">
        <f>BK15+BK17-BK19</f>
        <v>1622040.8707555183</v>
      </c>
      <c r="BL14" s="120">
        <f>BL15+BL17-BL19</f>
        <v>2285717.5363245821</v>
      </c>
      <c r="BM14" s="120">
        <f>BM15+BM17-BM19</f>
        <v>2690936.3394353595</v>
      </c>
      <c r="BN14" s="96">
        <f>SUM(BJ14:BM14)</f>
        <v>7911182.0870935516</v>
      </c>
      <c r="BO14" s="120">
        <f>BO15+BO17-BO19</f>
        <v>1544551.4591390239</v>
      </c>
      <c r="BP14" s="120">
        <f>BP15+BP17-BP19</f>
        <v>2491233.4593098299</v>
      </c>
      <c r="BQ14" s="120">
        <f>BQ15+BQ17-BQ19</f>
        <v>2263188.9775623744</v>
      </c>
      <c r="BR14" s="120">
        <f>BR15+BR17-BR19</f>
        <v>2592935.6974654002</v>
      </c>
      <c r="BS14" s="96">
        <f>SUM(BO14:BR14)</f>
        <v>8891909.593476627</v>
      </c>
      <c r="BT14" s="120">
        <f>BT15+BT17-BT19</f>
        <v>2147129.3423621999</v>
      </c>
      <c r="BU14" s="120">
        <f>BU15+BU17-BU19</f>
        <v>2371504.7187608392</v>
      </c>
      <c r="BV14" s="120">
        <f>BV15+BV17-BV19</f>
        <v>3200576.8936927989</v>
      </c>
      <c r="BW14" s="120">
        <f>BW15+BW17-BW19</f>
        <v>4904954.6169577716</v>
      </c>
      <c r="BX14" s="96">
        <f>SUM(BT14:BW14)</f>
        <v>12624165.571773611</v>
      </c>
      <c r="BY14" s="120">
        <f>BY15+BY17-BY19</f>
        <v>3028851.5868528695</v>
      </c>
      <c r="BZ14" s="120">
        <f>BZ15+BZ17-BZ19</f>
        <v>3257882.2354527079</v>
      </c>
      <c r="CA14" s="120">
        <f>CA15+CA17-CA19</f>
        <v>3546839.5435546609</v>
      </c>
      <c r="CB14" s="120">
        <f>CB15+CB17-CB19</f>
        <v>3330000</v>
      </c>
      <c r="CC14" s="96">
        <f>SUM(BY14:CB14)</f>
        <v>13163573.365860239</v>
      </c>
      <c r="CD14" s="120">
        <f>CD15+CD17-CD19</f>
        <v>2942000</v>
      </c>
      <c r="CE14" s="120">
        <f>CE15+CE17-CE19</f>
        <v>3467000</v>
      </c>
      <c r="CF14" s="120">
        <f>CF15+CF17-CF19</f>
        <v>3513561.3405988482</v>
      </c>
      <c r="CG14" s="120">
        <f>CG15+CG17-CG19</f>
        <v>3712383.7179256608</v>
      </c>
      <c r="CH14" s="96">
        <f>SUM(CD14:CG14)</f>
        <v>13634945.058524508</v>
      </c>
      <c r="CI14" s="120">
        <f>CI15+CI17-CI19</f>
        <v>3609934.4406092144</v>
      </c>
      <c r="CJ14" s="120">
        <f>CJ15+CJ17-CJ19</f>
        <v>3621118.520899483</v>
      </c>
      <c r="CK14" s="120">
        <f>CK15+CK17-CK19</f>
        <v>3927580.9578006715</v>
      </c>
      <c r="CL14" s="120">
        <f>CL15+CL17-CL19</f>
        <v>4114431.8049197951</v>
      </c>
      <c r="CM14" s="96">
        <f>SUM(CI14:CL14)</f>
        <v>15273065.724229164</v>
      </c>
      <c r="CN14" s="120">
        <f>CN15+CN17-CN19</f>
        <v>3642394.8570747045</v>
      </c>
      <c r="CO14" s="120">
        <f>CO15+CO17-CO19</f>
        <v>3855427.3667164175</v>
      </c>
      <c r="CP14" s="120">
        <f>CP15+CP17-CP19</f>
        <v>4179367.8875971711</v>
      </c>
      <c r="CQ14" s="120">
        <f>CQ15+CQ17-CQ19</f>
        <v>4683330.2655136818</v>
      </c>
      <c r="CR14" s="96">
        <f>SUM(CN14:CQ14)</f>
        <v>16360520.376901977</v>
      </c>
      <c r="CS14" s="120">
        <f>CS15+CS17-CS19</f>
        <v>3828532.7471281593</v>
      </c>
      <c r="CT14" s="120">
        <f>CT15+CT17-CT19</f>
        <v>4035551.7328955177</v>
      </c>
      <c r="CU14" s="120">
        <f>CU15+CU17-CU19</f>
        <v>4366459.475801317</v>
      </c>
      <c r="CV14" s="120">
        <f>CV15+CV17-CV19</f>
        <v>4892038.4006281449</v>
      </c>
      <c r="CW14" s="96">
        <f>SUM(CS14:CV14)</f>
        <v>17122582.356453139</v>
      </c>
      <c r="CX14" s="120">
        <f>CX15+CX17-CX19</f>
        <v>3808411.4948005248</v>
      </c>
      <c r="CY14" s="120">
        <f>CY15+CY17-CY19</f>
        <v>4056435.9250428258</v>
      </c>
      <c r="CZ14" s="120">
        <f>CZ15+CZ17-CZ19</f>
        <v>4429431.6328853425</v>
      </c>
      <c r="DA14" s="120">
        <f>DA15+DA17-DA19</f>
        <v>4996102.9988335101</v>
      </c>
      <c r="DB14" s="96">
        <f>SUM(CX14:DA14)</f>
        <v>17290382.051562205</v>
      </c>
    </row>
    <row r="15" spans="1:106" ht="11.25" customHeight="1" x14ac:dyDescent="0.35">
      <c r="A15" s="19" t="s">
        <v>271</v>
      </c>
      <c r="B15" s="138">
        <f>B16*B5</f>
        <v>144470.99090125452</v>
      </c>
      <c r="C15" s="138">
        <f>C16*C5</f>
        <v>238227.82337483624</v>
      </c>
      <c r="D15" s="138">
        <f>D16*D5</f>
        <v>311324.70652691694</v>
      </c>
      <c r="E15" s="138">
        <f>E16*E5</f>
        <v>1086685.6184728148</v>
      </c>
      <c r="F15" s="98">
        <f>SUM(B15:E15)</f>
        <v>1780709.1392758226</v>
      </c>
      <c r="G15" s="138">
        <f>G16*G5</f>
        <v>237501.95843766158</v>
      </c>
      <c r="H15" s="138">
        <f>H16*H5</f>
        <v>385192.09599941375</v>
      </c>
      <c r="I15" s="138">
        <f>I16*I5</f>
        <v>443589.91234625276</v>
      </c>
      <c r="J15" s="138">
        <f>J16*J5</f>
        <v>836146.01828919863</v>
      </c>
      <c r="K15" s="98">
        <f>SUM(G15:J15)</f>
        <v>1902429.9850725266</v>
      </c>
      <c r="L15" s="138">
        <f>L16*L5</f>
        <v>205111.39589631898</v>
      </c>
      <c r="M15" s="138">
        <f>M16*M5</f>
        <v>256230.04379753233</v>
      </c>
      <c r="N15" s="138">
        <f>N16*N5</f>
        <v>274054.42727432732</v>
      </c>
      <c r="O15" s="138">
        <f>O16*O5</f>
        <v>429446.26030284091</v>
      </c>
      <c r="P15" s="98">
        <f>SUM(L15:O15)</f>
        <v>1164842.1272710196</v>
      </c>
      <c r="Q15" s="395">
        <v>537465.23722942336</v>
      </c>
      <c r="R15" s="395">
        <v>1098121.3093868429</v>
      </c>
      <c r="S15" s="395">
        <v>537317.69289678638</v>
      </c>
      <c r="T15" s="395">
        <v>1430556.960162414</v>
      </c>
      <c r="U15" s="98">
        <f>SUM(Q15:T15)</f>
        <v>3603461.1996754669</v>
      </c>
      <c r="V15" s="395">
        <v>909468.05558707495</v>
      </c>
      <c r="W15" s="395">
        <v>297923.68998807837</v>
      </c>
      <c r="X15" s="395">
        <v>250560.5358741098</v>
      </c>
      <c r="Y15" s="395">
        <v>951032.7365102265</v>
      </c>
      <c r="Z15" s="98">
        <f>SUM(V15:Y15)</f>
        <v>2408985.0179594895</v>
      </c>
      <c r="AA15" s="395">
        <v>145573.44464513753</v>
      </c>
      <c r="AB15" s="395">
        <v>386275.09431016538</v>
      </c>
      <c r="AC15" s="395">
        <v>285143.19506944448</v>
      </c>
      <c r="AD15" s="395">
        <v>282446.14218659035</v>
      </c>
      <c r="AE15" s="98">
        <f>SUM(AA15:AD15)</f>
        <v>1099437.8762113377</v>
      </c>
      <c r="AF15" s="395">
        <v>235547.00302495237</v>
      </c>
      <c r="AG15" s="395">
        <v>252483.60414181562</v>
      </c>
      <c r="AH15" s="395">
        <v>276817.1042924287</v>
      </c>
      <c r="AI15" s="395">
        <v>635492.56123127928</v>
      </c>
      <c r="AJ15" s="98">
        <f>SUM(AF15:AI15)</f>
        <v>1400340.2726904759</v>
      </c>
      <c r="AK15" s="395">
        <v>111843.95206000001</v>
      </c>
      <c r="AL15" s="395">
        <v>195744.49234862864</v>
      </c>
      <c r="AM15" s="395">
        <v>266602.67725085159</v>
      </c>
      <c r="AN15" s="395">
        <v>562757.82126703893</v>
      </c>
      <c r="AO15" s="98">
        <f>SUM(AK15:AN15)</f>
        <v>1136948.9429265191</v>
      </c>
      <c r="AP15" s="395">
        <v>125901.11363985008</v>
      </c>
      <c r="AQ15" s="395">
        <v>505385</v>
      </c>
      <c r="AR15" s="395">
        <v>451013.80890806037</v>
      </c>
      <c r="AS15" s="395">
        <v>1776647.14463082</v>
      </c>
      <c r="AT15" s="98">
        <f>SUM(AP15:AS15)</f>
        <v>2858947.0671787304</v>
      </c>
      <c r="AU15" s="395">
        <v>247128.27964507136</v>
      </c>
      <c r="AV15" s="395">
        <v>802042.01951689413</v>
      </c>
      <c r="AW15" s="395">
        <v>544452.18910683796</v>
      </c>
      <c r="AX15" s="395">
        <v>656674.63139477558</v>
      </c>
      <c r="AY15" s="98">
        <f>SUM(AU15:AX15)</f>
        <v>2250297.1196635789</v>
      </c>
      <c r="AZ15" s="395">
        <v>468083.31400625897</v>
      </c>
      <c r="BA15" s="395">
        <v>137688.67173939908</v>
      </c>
      <c r="BB15" s="395">
        <v>980098.47627113434</v>
      </c>
      <c r="BC15" s="395">
        <v>1100551.0148130481</v>
      </c>
      <c r="BD15" s="98">
        <f>SUM(AZ15:BC15)</f>
        <v>2686421.4768298408</v>
      </c>
      <c r="BE15" s="395">
        <v>171602.94896392987</v>
      </c>
      <c r="BF15" s="395">
        <v>775667.9659205816</v>
      </c>
      <c r="BG15" s="395">
        <v>730086.59825140599</v>
      </c>
      <c r="BH15" s="395">
        <v>801702.9810222782</v>
      </c>
      <c r="BI15" s="98">
        <f>SUM(BE15:BH15)</f>
        <v>2479060.4941581958</v>
      </c>
      <c r="BJ15" s="395">
        <v>527787.31550545734</v>
      </c>
      <c r="BK15" s="395">
        <v>744732.80870486225</v>
      </c>
      <c r="BL15" s="395">
        <v>1210324.271412503</v>
      </c>
      <c r="BM15" s="395">
        <v>1642452.8933241148</v>
      </c>
      <c r="BN15" s="98">
        <f>SUM(BJ15:BM15)</f>
        <v>4125297.2889469373</v>
      </c>
      <c r="BO15" s="395">
        <v>478655.13369217014</v>
      </c>
      <c r="BP15" s="395">
        <v>1399602.0067192337</v>
      </c>
      <c r="BQ15" s="395">
        <v>986995.93910801387</v>
      </c>
      <c r="BR15" s="395">
        <v>1272532.5788447487</v>
      </c>
      <c r="BS15" s="98">
        <f>SUM(BO15:BR15)</f>
        <v>4137785.6583641665</v>
      </c>
      <c r="BT15" s="395">
        <v>900391.25612503919</v>
      </c>
      <c r="BU15" s="395">
        <v>744862.00957325462</v>
      </c>
      <c r="BV15" s="395">
        <v>1935837.8022172502</v>
      </c>
      <c r="BW15" s="395">
        <v>3820669.1536805443</v>
      </c>
      <c r="BX15" s="98">
        <f>SUM(BT15:BW15)</f>
        <v>7401760.2215960883</v>
      </c>
      <c r="BY15" s="395">
        <v>1593952.3454383917</v>
      </c>
      <c r="BZ15" s="395">
        <v>1583258.5208492943</v>
      </c>
      <c r="CA15" s="395">
        <v>2082214.45616331</v>
      </c>
      <c r="CB15" s="395">
        <v>1712000</v>
      </c>
      <c r="CC15" s="98">
        <f>SUM(BY15:CB15)</f>
        <v>6971425.3224509954</v>
      </c>
      <c r="CD15" s="395">
        <v>1091000</v>
      </c>
      <c r="CE15" s="395">
        <v>1658000</v>
      </c>
      <c r="CF15" s="138">
        <f>CF16*CF4</f>
        <v>1411496.7309221111</v>
      </c>
      <c r="CG15" s="138">
        <f>CG16*CG4</f>
        <v>1357208.3951174142</v>
      </c>
      <c r="CH15" s="98">
        <f>SUM(CD15:CG15)</f>
        <v>5517705.1260395255</v>
      </c>
      <c r="CI15" s="138">
        <f>CI16*CI4</f>
        <v>1139293.4305035451</v>
      </c>
      <c r="CJ15" s="138">
        <f>CJ16*CJ4</f>
        <v>1253222.7735538995</v>
      </c>
      <c r="CK15" s="138">
        <f>CK16*CK4</f>
        <v>1595010.8027049634</v>
      </c>
      <c r="CL15" s="138">
        <f>CL16*CL4</f>
        <v>1708940.1457553175</v>
      </c>
      <c r="CM15" s="98">
        <f>SUM(CI15:CL15)</f>
        <v>5696467.1525177257</v>
      </c>
      <c r="CN15" s="138">
        <f>CN16*CN4</f>
        <v>947546.27724468941</v>
      </c>
      <c r="CO15" s="138">
        <f>CO16*CO4</f>
        <v>1389734.539958878</v>
      </c>
      <c r="CP15" s="138">
        <f>CP16*CP4</f>
        <v>1768753.0508567537</v>
      </c>
      <c r="CQ15" s="138">
        <f>CQ16*CQ4</f>
        <v>2210941.3135709418</v>
      </c>
      <c r="CR15" s="98">
        <f>SUM(CN15:CQ15)</f>
        <v>6316975.1816312633</v>
      </c>
      <c r="CS15" s="138">
        <f>CS16*CS4</f>
        <v>980710.39694825327</v>
      </c>
      <c r="CT15" s="138">
        <f>CT16*CT4</f>
        <v>1438375.2488574383</v>
      </c>
      <c r="CU15" s="138">
        <f>CU16*CU4</f>
        <v>1830659.4076367398</v>
      </c>
      <c r="CV15" s="138">
        <f>CV16*CV4</f>
        <v>2288324.2595459246</v>
      </c>
      <c r="CW15" s="98">
        <f>SUM(CS15:CV15)</f>
        <v>6538069.3129883558</v>
      </c>
      <c r="CX15" s="138">
        <f>CX16*CX4</f>
        <v>1015035.2608414422</v>
      </c>
      <c r="CY15" s="138">
        <f>CY16*CY4</f>
        <v>1488718.3825674485</v>
      </c>
      <c r="CZ15" s="138">
        <f>CZ16*CZ4</f>
        <v>1894732.4869040255</v>
      </c>
      <c r="DA15" s="138">
        <f>DA16*DA4</f>
        <v>2368415.6086300318</v>
      </c>
      <c r="DB15" s="98">
        <f>SUM(CX15:DA15)</f>
        <v>6766901.7389429472</v>
      </c>
    </row>
    <row r="16" spans="1:106" ht="11.25" customHeight="1" x14ac:dyDescent="0.35">
      <c r="A16" s="163" t="s">
        <v>70</v>
      </c>
      <c r="B16" s="465">
        <v>0.3</v>
      </c>
      <c r="C16" s="465">
        <v>0.3</v>
      </c>
      <c r="D16" s="465">
        <v>0.3</v>
      </c>
      <c r="E16" s="465">
        <v>0.3</v>
      </c>
      <c r="F16" s="25">
        <f>F15/F4</f>
        <v>0.23203620805199654</v>
      </c>
      <c r="G16" s="465">
        <v>0.3</v>
      </c>
      <c r="H16" s="465">
        <v>0.3</v>
      </c>
      <c r="I16" s="465">
        <v>0.3</v>
      </c>
      <c r="J16" s="465">
        <v>0.3</v>
      </c>
      <c r="K16" s="25">
        <f>K15/K4</f>
        <v>0.23785947219463907</v>
      </c>
      <c r="L16" s="465">
        <v>0.3</v>
      </c>
      <c r="M16" s="465">
        <v>0.3</v>
      </c>
      <c r="N16" s="465">
        <v>0.3</v>
      </c>
      <c r="O16" s="465">
        <v>0.3</v>
      </c>
      <c r="P16" s="25">
        <f t="shared" ref="P16:U16" si="13">P15/P4</f>
        <v>0.20811040881127346</v>
      </c>
      <c r="Q16" s="164">
        <f t="shared" si="13"/>
        <v>0.56266545839101922</v>
      </c>
      <c r="R16" s="164">
        <f t="shared" si="13"/>
        <v>0.62313858688028179</v>
      </c>
      <c r="S16" s="164">
        <f t="shared" si="13"/>
        <v>0.43535546028009747</v>
      </c>
      <c r="T16" s="164">
        <f t="shared" si="13"/>
        <v>0.53089054737326524</v>
      </c>
      <c r="U16" s="25">
        <f t="shared" si="13"/>
        <v>0.54217583712607365</v>
      </c>
      <c r="V16" s="164">
        <f>V15/V4</f>
        <v>0.4749583810526426</v>
      </c>
      <c r="W16" s="164">
        <f t="shared" ref="W16:BW16" si="14">W15/W4</f>
        <v>0.33465196537098829</v>
      </c>
      <c r="X16" s="164">
        <f t="shared" si="14"/>
        <v>0.32018143649871406</v>
      </c>
      <c r="Y16" s="164">
        <f t="shared" si="14"/>
        <v>0.42072142761174425</v>
      </c>
      <c r="Z16" s="25">
        <f t="shared" si="14"/>
        <v>0.41192429974606765</v>
      </c>
      <c r="AA16" s="164">
        <f t="shared" si="14"/>
        <v>0.31475260673926458</v>
      </c>
      <c r="AB16" s="164">
        <f t="shared" si="14"/>
        <v>0.36233397707514664</v>
      </c>
      <c r="AC16" s="164">
        <f t="shared" si="14"/>
        <v>0.46738450933002296</v>
      </c>
      <c r="AD16" s="164">
        <f t="shared" si="14"/>
        <v>0.37174464268857638</v>
      </c>
      <c r="AE16" s="25">
        <f t="shared" si="14"/>
        <v>0.3793200423082036</v>
      </c>
      <c r="AF16" s="164">
        <f t="shared" si="14"/>
        <v>0.38417848346325784</v>
      </c>
      <c r="AG16" s="164">
        <f t="shared" si="14"/>
        <v>0.4221362977987495</v>
      </c>
      <c r="AH16" s="164">
        <f t="shared" si="14"/>
        <v>0.61250558373877639</v>
      </c>
      <c r="AI16" s="164">
        <f t="shared" si="14"/>
        <v>0.49880397207622246</v>
      </c>
      <c r="AJ16" s="25">
        <f t="shared" si="14"/>
        <v>0.47675982947135831</v>
      </c>
      <c r="AK16" s="164">
        <f t="shared" si="14"/>
        <v>0.18282735483231438</v>
      </c>
      <c r="AL16" s="164">
        <f t="shared" si="14"/>
        <v>0.30566269779105437</v>
      </c>
      <c r="AM16" s="164">
        <f t="shared" si="14"/>
        <v>0.50126020235460012</v>
      </c>
      <c r="AN16" s="164">
        <f t="shared" si="14"/>
        <v>0.44339115671794871</v>
      </c>
      <c r="AO16" s="25">
        <f t="shared" si="14"/>
        <v>0.37237726927934062</v>
      </c>
      <c r="AP16" s="164">
        <f t="shared" si="14"/>
        <v>0.28992929044658217</v>
      </c>
      <c r="AQ16" s="164">
        <f t="shared" si="14"/>
        <v>0.5149792361609723</v>
      </c>
      <c r="AR16" s="164">
        <f t="shared" si="14"/>
        <v>0.49113912916101077</v>
      </c>
      <c r="AS16" s="164">
        <f t="shared" si="14"/>
        <v>0.65675328419353185</v>
      </c>
      <c r="AT16" s="25">
        <f t="shared" si="14"/>
        <v>0.56735090982996039</v>
      </c>
      <c r="AU16" s="164">
        <f t="shared" si="14"/>
        <v>0.55860486785902552</v>
      </c>
      <c r="AV16" s="164">
        <f t="shared" si="14"/>
        <v>0.52490579008867511</v>
      </c>
      <c r="AW16" s="164">
        <f t="shared" si="14"/>
        <v>0.55066332500358084</v>
      </c>
      <c r="AX16" s="164">
        <f t="shared" si="14"/>
        <v>0.46982275631450066</v>
      </c>
      <c r="AY16" s="25">
        <f t="shared" si="14"/>
        <v>0.51650183495931457</v>
      </c>
      <c r="AZ16" s="164">
        <f t="shared" si="14"/>
        <v>0.4396934849382419</v>
      </c>
      <c r="BA16" s="164">
        <f t="shared" si="14"/>
        <v>0.54166084778887569</v>
      </c>
      <c r="BB16" s="164">
        <f t="shared" si="14"/>
        <v>0.59358431666990286</v>
      </c>
      <c r="BC16" s="164">
        <f t="shared" si="14"/>
        <v>0.38302073403955261</v>
      </c>
      <c r="BD16" s="25">
        <f t="shared" si="14"/>
        <v>0.45974678377065792</v>
      </c>
      <c r="BE16" s="164">
        <f t="shared" si="14"/>
        <v>0.40727138687308456</v>
      </c>
      <c r="BF16" s="164">
        <f t="shared" si="14"/>
        <v>0.40209303823520537</v>
      </c>
      <c r="BG16" s="164">
        <f t="shared" si="14"/>
        <v>0.33190299147378299</v>
      </c>
      <c r="BH16" s="164">
        <f t="shared" si="14"/>
        <v>0.31379540380131415</v>
      </c>
      <c r="BI16" s="25">
        <f t="shared" si="14"/>
        <v>0.34891864584006393</v>
      </c>
      <c r="BJ16" s="164">
        <f t="shared" si="14"/>
        <v>0.50862997671981136</v>
      </c>
      <c r="BK16" s="164">
        <f t="shared" si="14"/>
        <v>0.32013542600624145</v>
      </c>
      <c r="BL16" s="164">
        <f t="shared" si="14"/>
        <v>0.41339581103331252</v>
      </c>
      <c r="BM16" s="164">
        <f t="shared" si="14"/>
        <v>0.58214830792971251</v>
      </c>
      <c r="BN16" s="25">
        <f t="shared" si="14"/>
        <v>0.45267788938324993</v>
      </c>
      <c r="BO16" s="164">
        <f t="shared" si="14"/>
        <v>0.35594657270347352</v>
      </c>
      <c r="BP16" s="164">
        <f t="shared" si="14"/>
        <v>0.39823887216438164</v>
      </c>
      <c r="BQ16" s="164">
        <f t="shared" si="14"/>
        <v>0.4559772816972491</v>
      </c>
      <c r="BR16" s="164">
        <f t="shared" si="14"/>
        <v>0.46381335997648732</v>
      </c>
      <c r="BS16" s="25">
        <f t="shared" si="14"/>
        <v>0.42363135553871356</v>
      </c>
      <c r="BT16" s="164">
        <f t="shared" si="14"/>
        <v>0.52965860929068509</v>
      </c>
      <c r="BU16" s="164">
        <f t="shared" si="14"/>
        <v>0.50966953708685114</v>
      </c>
      <c r="BV16" s="164">
        <f t="shared" si="14"/>
        <v>0.61994790464431782</v>
      </c>
      <c r="BW16" s="164">
        <f t="shared" si="14"/>
        <v>0.56712250674162656</v>
      </c>
      <c r="BX16" s="25">
        <f>BX15/BX4</f>
        <v>0.56845111639274271</v>
      </c>
      <c r="BY16" s="164">
        <f>BY15/BY4</f>
        <v>0.32782411653253751</v>
      </c>
      <c r="BZ16" s="164">
        <f>BZ15/BZ4</f>
        <v>0.38368467751819402</v>
      </c>
      <c r="CA16" s="164">
        <f>CA15/CA4</f>
        <v>0.41232104345429066</v>
      </c>
      <c r="CB16" s="164">
        <f t="shared" ref="CB16" si="15">CB15/CB4</f>
        <v>0.37784153608474952</v>
      </c>
      <c r="CC16" s="25">
        <f>CC15/CC4</f>
        <v>0.3754202108469254</v>
      </c>
      <c r="CD16" s="164">
        <f>CD15/CD4</f>
        <v>0.44934102141680393</v>
      </c>
      <c r="CE16" s="164">
        <f>CE15/CE4</f>
        <v>0.33380310046305617</v>
      </c>
      <c r="CF16" s="164">
        <f>CE16</f>
        <v>0.33380310046305617</v>
      </c>
      <c r="CG16" s="164">
        <f>CF16</f>
        <v>0.33380310046305617</v>
      </c>
      <c r="CH16" s="25">
        <f>CH15/CH4</f>
        <v>0.35168304530640043</v>
      </c>
      <c r="CI16" s="613">
        <v>0.35</v>
      </c>
      <c r="CJ16" s="164">
        <f>CI16</f>
        <v>0.35</v>
      </c>
      <c r="CK16" s="164">
        <f>CJ16</f>
        <v>0.35</v>
      </c>
      <c r="CL16" s="164">
        <f>CK16</f>
        <v>0.35</v>
      </c>
      <c r="CM16" s="25">
        <f>CM15/CM4</f>
        <v>0.35</v>
      </c>
      <c r="CN16" s="613">
        <v>0.375</v>
      </c>
      <c r="CO16" s="164">
        <f>CN16</f>
        <v>0.375</v>
      </c>
      <c r="CP16" s="164">
        <f>CO16</f>
        <v>0.375</v>
      </c>
      <c r="CQ16" s="164">
        <f>CP16</f>
        <v>0.375</v>
      </c>
      <c r="CR16" s="25">
        <f>CR15/CR4</f>
        <v>0.375</v>
      </c>
      <c r="CS16" s="613">
        <f>CQ16</f>
        <v>0.375</v>
      </c>
      <c r="CT16" s="164">
        <f>CS16</f>
        <v>0.375</v>
      </c>
      <c r="CU16" s="164">
        <f>CT16</f>
        <v>0.375</v>
      </c>
      <c r="CV16" s="164">
        <f>CU16</f>
        <v>0.375</v>
      </c>
      <c r="CW16" s="25">
        <f>CW15/CW4</f>
        <v>0.375</v>
      </c>
      <c r="CX16" s="164">
        <f>CV16</f>
        <v>0.375</v>
      </c>
      <c r="CY16" s="164">
        <f>CX16</f>
        <v>0.375</v>
      </c>
      <c r="CZ16" s="164">
        <f>CY16</f>
        <v>0.375</v>
      </c>
      <c r="DA16" s="164">
        <f>CZ16</f>
        <v>0.375</v>
      </c>
      <c r="DB16" s="25">
        <f>DB15/DB4</f>
        <v>0.375</v>
      </c>
    </row>
    <row r="17" spans="1:106" ht="11.25" customHeight="1" x14ac:dyDescent="0.35">
      <c r="A17" s="19" t="s">
        <v>272</v>
      </c>
      <c r="B17" s="90">
        <f>B9+B19-B15</f>
        <v>1142344.5229751763</v>
      </c>
      <c r="C17" s="90">
        <f>C9+C19-C15</f>
        <v>1512787.1626335224</v>
      </c>
      <c r="D17" s="90">
        <f>D9+D19-D15</f>
        <v>904069.35294597829</v>
      </c>
      <c r="E17" s="90">
        <f>E9+E19-E15</f>
        <v>1630873.3672453563</v>
      </c>
      <c r="F17" s="98">
        <f>SUM(B17:E17)</f>
        <v>5190074.4058000334</v>
      </c>
      <c r="G17" s="90">
        <f>G9+G19-G15</f>
        <v>927449.17068643984</v>
      </c>
      <c r="H17" s="90">
        <f>H9+H19-H15</f>
        <v>1440063.4491971387</v>
      </c>
      <c r="I17" s="90">
        <f>I9+I19-I15</f>
        <v>1146953.2654277375</v>
      </c>
      <c r="J17" s="90">
        <f>J9+J19-J15</f>
        <v>1675625.7694078037</v>
      </c>
      <c r="K17" s="98">
        <f>SUM(G17:J17)</f>
        <v>5190091.6547191199</v>
      </c>
      <c r="L17" s="90">
        <f>L9+L19-L15</f>
        <v>1144690.3112851148</v>
      </c>
      <c r="M17" s="90">
        <f>M9+M19-M15</f>
        <v>1173619.143862468</v>
      </c>
      <c r="N17" s="90">
        <f>N9+N19-N15</f>
        <v>1591394.6977090042</v>
      </c>
      <c r="O17" s="90">
        <f>O9+O19-O15</f>
        <v>1395096.8784716129</v>
      </c>
      <c r="P17" s="98">
        <f>SUM(L17:O17)</f>
        <v>5304801.0313282004</v>
      </c>
      <c r="Q17" s="90">
        <f>Q9+Q19-Q15</f>
        <v>931836.63049524743</v>
      </c>
      <c r="R17" s="90">
        <f>R9+R19-R15</f>
        <v>1199122.740617889</v>
      </c>
      <c r="S17" s="90">
        <f>S9+S19-S15</f>
        <v>952075.82753000036</v>
      </c>
      <c r="T17" s="90">
        <f>T9+T19-T15</f>
        <v>979132.1441499989</v>
      </c>
      <c r="U17" s="98">
        <f>SUM(Q17:T17)</f>
        <v>4062167.3427931359</v>
      </c>
      <c r="V17" s="90">
        <f>V9+V19-V15</f>
        <v>789308.16356999986</v>
      </c>
      <c r="W17" s="90">
        <f>W9+W19-W15</f>
        <v>1113263.6576773988</v>
      </c>
      <c r="X17" s="90">
        <f>X9+X19-X15</f>
        <v>898266.0445672666</v>
      </c>
      <c r="Y17" s="90">
        <f>Y9+Y19-Y15</f>
        <v>1088404.5494629655</v>
      </c>
      <c r="Z17" s="98">
        <f>SUM(V17:Y17)</f>
        <v>3889242.415277631</v>
      </c>
      <c r="AA17" s="90">
        <f>AA9+AA19-AA15</f>
        <v>1035060.5691173472</v>
      </c>
      <c r="AB17" s="90">
        <f>AB9+AB19-AB15</f>
        <v>1006750.9076081761</v>
      </c>
      <c r="AC17" s="90">
        <f>AC9+AC19-AC15</f>
        <v>1242089.8681639596</v>
      </c>
      <c r="AD17" s="90">
        <f>AD9+AD19-AD15</f>
        <v>1060795.9588684151</v>
      </c>
      <c r="AE17" s="98">
        <f>SUM(AA17:AD17)</f>
        <v>4344697.3037578985</v>
      </c>
      <c r="AF17" s="90">
        <f>AF9+AF19-AF15</f>
        <v>801903.89676188293</v>
      </c>
      <c r="AG17" s="90">
        <f>AG9+AG19-AG15</f>
        <v>1068348.1378218522</v>
      </c>
      <c r="AH17" s="90">
        <f>AH9+AH19-AH15</f>
        <v>899799.52193697717</v>
      </c>
      <c r="AI17" s="90">
        <f>AI9+AI19-AI15</f>
        <v>924607.60965647898</v>
      </c>
      <c r="AJ17" s="98">
        <f>SUM(AF17:AI17)</f>
        <v>3694659.1661771918</v>
      </c>
      <c r="AK17" s="90">
        <f>AK9+AK19-AK15</f>
        <v>924121.66954416595</v>
      </c>
      <c r="AL17" s="90">
        <f>AL9+AL19-AL15</f>
        <v>1090539.1838466721</v>
      </c>
      <c r="AM17" s="90">
        <f>AM9+AM19-AM15</f>
        <v>936027.43725241651</v>
      </c>
      <c r="AN17" s="90">
        <f>AN9+AN19-AN15</f>
        <v>983533.69538838312</v>
      </c>
      <c r="AO17" s="98">
        <f>SUM(AK17:AN17)</f>
        <v>3934221.9860316375</v>
      </c>
      <c r="AP17" s="90">
        <f>AP9+AP19-AP15</f>
        <v>797191.02894084225</v>
      </c>
      <c r="AQ17" s="90">
        <f>AQ9+AQ19-AQ15</f>
        <v>920550.03426956548</v>
      </c>
      <c r="AR17" s="90">
        <f>AR9+AR19-AR15</f>
        <v>795503.48310606205</v>
      </c>
      <c r="AS17" s="90">
        <f>AS9+AS19-AS15</f>
        <v>850532.58082716027</v>
      </c>
      <c r="AT17" s="98">
        <f>SUM(AP17:AS17)</f>
        <v>3363777.1271436303</v>
      </c>
      <c r="AU17" s="90">
        <f>AU9+AU19-AU15</f>
        <v>713902.78692310897</v>
      </c>
      <c r="AV17" s="90">
        <f>AV9+AV19-AV15</f>
        <v>725428.917333249</v>
      </c>
      <c r="AW17" s="90">
        <f>AW9+AW19-AW15</f>
        <v>778914.14122436859</v>
      </c>
      <c r="AX17" s="90">
        <f>AX9+AX19-AX15</f>
        <v>895770.47820203379</v>
      </c>
      <c r="AY17" s="98">
        <f>SUM(AU17:AX17)</f>
        <v>3114016.3236827604</v>
      </c>
      <c r="AZ17" s="90">
        <f>AZ9+AZ19-AZ15</f>
        <v>563105.66943960998</v>
      </c>
      <c r="BA17" s="90">
        <f>BA9+BA19-BA15</f>
        <v>585689.41721499816</v>
      </c>
      <c r="BB17" s="90">
        <f>BB9+BB19-BB15</f>
        <v>1039528.6262821276</v>
      </c>
      <c r="BC17" s="90">
        <f>BC9+BC19-BC15</f>
        <v>924643.75188900111</v>
      </c>
      <c r="BD17" s="98">
        <f>SUM(AZ17:BC17)</f>
        <v>3112967.4648257368</v>
      </c>
      <c r="BE17" s="90">
        <f>BE9+BE19-BE15</f>
        <v>988108.94552324456</v>
      </c>
      <c r="BF17" s="90">
        <f>BF9+BF19-BF15</f>
        <v>933786.85349509108</v>
      </c>
      <c r="BG17" s="90">
        <f>BG9+BG19-BG15</f>
        <v>801617.08188130765</v>
      </c>
      <c r="BH17" s="90">
        <f>BH9+BH19-BH15</f>
        <v>945212.11746955279</v>
      </c>
      <c r="BI17" s="98">
        <f>SUM(BE17:BH17)</f>
        <v>3668724.998369196</v>
      </c>
      <c r="BJ17" s="90">
        <f>BJ9+BJ19-BJ15</f>
        <v>990100.02507263422</v>
      </c>
      <c r="BK17" s="90">
        <f>BK9+BK19-BK15</f>
        <v>1101008.0620506559</v>
      </c>
      <c r="BL17" s="90">
        <f>BL9+BL19-BL15</f>
        <v>1296193.2649120791</v>
      </c>
      <c r="BM17" s="90">
        <f>BM9+BM19-BM15</f>
        <v>1220883.4461112446</v>
      </c>
      <c r="BN17" s="98">
        <f>SUM(BJ17:BM17)</f>
        <v>4608184.7981466139</v>
      </c>
      <c r="BO17" s="90">
        <f>BO9+BO19-BO15</f>
        <v>1373400.0136141228</v>
      </c>
      <c r="BP17" s="90">
        <f>BP9+BP19-BP15</f>
        <v>1398152.446835744</v>
      </c>
      <c r="BQ17" s="90">
        <f>BQ9+BQ19-BQ15</f>
        <v>1538503.7350664565</v>
      </c>
      <c r="BR17" s="90">
        <f>BR9+BR19-BR15</f>
        <v>1643261.5411289467</v>
      </c>
      <c r="BS17" s="98">
        <f>SUM(BO17:BR17)</f>
        <v>5953317.7366452701</v>
      </c>
      <c r="BT17" s="90">
        <f>BT9+BT19-BT15</f>
        <v>1583908.6034967296</v>
      </c>
      <c r="BU17" s="90">
        <f>BU9+BU19-BU15</f>
        <v>1938347.0331130493</v>
      </c>
      <c r="BV17" s="90">
        <f>BV9+BV19-BV15</f>
        <v>1581473.3597455486</v>
      </c>
      <c r="BW17" s="90">
        <f>BW9+BW19-BW15</f>
        <v>1399575.5226597432</v>
      </c>
      <c r="BX17" s="98">
        <f>SUM(BT17:BW17)</f>
        <v>6503304.5190150701</v>
      </c>
      <c r="BY17" s="90">
        <f>BY9+BY19-BY15</f>
        <v>1779357.1968071589</v>
      </c>
      <c r="BZ17" s="90">
        <f>BZ9+BZ19-BZ15</f>
        <v>2127623.7146034138</v>
      </c>
      <c r="CA17" s="90">
        <f>CA9+CA19-CA15</f>
        <v>1992625.0873913509</v>
      </c>
      <c r="CB17" s="90">
        <f>CB9+CB19-CB15</f>
        <v>2075000</v>
      </c>
      <c r="CC17" s="98">
        <f>SUM(BY17:CB17)</f>
        <v>7974605.9988019243</v>
      </c>
      <c r="CD17" s="90">
        <f>CD9+CD19-CD15</f>
        <v>2356000</v>
      </c>
      <c r="CE17" s="90">
        <f>CE9+CE19-CE15</f>
        <v>2429000</v>
      </c>
      <c r="CF17" s="138">
        <f>CF18*CE24</f>
        <v>2748960</v>
      </c>
      <c r="CG17" s="138">
        <f>CG18*CF24</f>
        <v>3042314.8282039389</v>
      </c>
      <c r="CH17" s="98">
        <f>SUM(CD17:CG17)</f>
        <v>10576274.828203939</v>
      </c>
      <c r="CI17" s="138">
        <f>CI18*CH24</f>
        <v>3102411.7654890218</v>
      </c>
      <c r="CJ17" s="138">
        <f>CJ18*CI24</f>
        <v>3042094.0054014628</v>
      </c>
      <c r="CK17" s="138">
        <f>CK18*CJ24</f>
        <v>3035212.0611461592</v>
      </c>
      <c r="CL17" s="138">
        <f>CL18*CK24</f>
        <v>3142242.8310624557</v>
      </c>
      <c r="CM17" s="98">
        <f>SUM(CI17:CL17)</f>
        <v>12321960.663099099</v>
      </c>
      <c r="CN17" s="138">
        <f>CN18*CM24</f>
        <v>3465366.4233001075</v>
      </c>
      <c r="CO17" s="138">
        <f>CO18*CN24</f>
        <v>3264557.5621041115</v>
      </c>
      <c r="CP17" s="138">
        <f>CP18*CO24</f>
        <v>3237653.215275418</v>
      </c>
      <c r="CQ17" s="138">
        <f>CQ18*CP24</f>
        <v>3334368.4599191691</v>
      </c>
      <c r="CR17" s="98">
        <f>SUM(CN17:CQ17)</f>
        <v>13301945.660598807</v>
      </c>
      <c r="CS17" s="138">
        <f>CS18*CR24</f>
        <v>3749988.6672319123</v>
      </c>
      <c r="CT17" s="138">
        <f>CT18*CS24</f>
        <v>3519460.7130646766</v>
      </c>
      <c r="CU17" s="138">
        <f>CU18*CT24</f>
        <v>3481482.6765689636</v>
      </c>
      <c r="CV17" s="138">
        <f>CV18*CU24</f>
        <v>3579389.4760359945</v>
      </c>
      <c r="CW17" s="98">
        <f>SUM(CS17:CV17)</f>
        <v>14330321.532901548</v>
      </c>
      <c r="CX17" s="138">
        <f>CX18*CW24</f>
        <v>3809319.8047532486</v>
      </c>
      <c r="CY17" s="138">
        <f>CY18*CX24</f>
        <v>3600006.1529008131</v>
      </c>
      <c r="CZ17" s="138">
        <f>CZ18*CY24</f>
        <v>3583567.3076435165</v>
      </c>
      <c r="DA17" s="138">
        <f>DA18*CZ24</f>
        <v>3701973.090760008</v>
      </c>
      <c r="DB17" s="98">
        <f>SUM(CX17:DA17)</f>
        <v>14694866.356057586</v>
      </c>
    </row>
    <row r="18" spans="1:106" ht="11.25" customHeight="1" x14ac:dyDescent="0.35">
      <c r="A18" s="163" t="s">
        <v>69</v>
      </c>
      <c r="B18" s="164"/>
      <c r="C18" s="164">
        <f>C17/B24</f>
        <v>0.40387852403092289</v>
      </c>
      <c r="D18" s="164">
        <f>D17/C24</f>
        <v>0.27595135763525969</v>
      </c>
      <c r="E18" s="164">
        <f>E17/D24</f>
        <v>0.56948922376613698</v>
      </c>
      <c r="F18" s="25">
        <f>F17/AVERAGE(A24:D24)</f>
        <v>1.5750427840134527</v>
      </c>
      <c r="G18" s="164">
        <f>G17/F24</f>
        <v>0.28430429555912129</v>
      </c>
      <c r="H18" s="164">
        <f>H17/G24</f>
        <v>0.27442777310570216</v>
      </c>
      <c r="I18" s="164">
        <f>I17/H24</f>
        <v>0.21628171183014544</v>
      </c>
      <c r="J18" s="164">
        <f>J17/I24</f>
        <v>0.31903619199009758</v>
      </c>
      <c r="K18" s="25">
        <f>K17/AVERAGE(F24:I24)</f>
        <v>1.0889320992544473</v>
      </c>
      <c r="L18" s="164">
        <f>L17/K24</f>
        <v>0.20367808013259234</v>
      </c>
      <c r="M18" s="164">
        <f>M17/L24</f>
        <v>0.17390713541415737</v>
      </c>
      <c r="N18" s="164">
        <f>N17/M24</f>
        <v>0.24794583062587522</v>
      </c>
      <c r="O18" s="164">
        <f>O17/N24</f>
        <v>0.22524785130650712</v>
      </c>
      <c r="P18" s="25">
        <f>P17/AVERAGE(K24:N24)</f>
        <v>0.84942871361150707</v>
      </c>
      <c r="Q18" s="164">
        <f>Q17/P24</f>
        <v>0.14062479604036224</v>
      </c>
      <c r="R18" s="164">
        <f>R17/Q24</f>
        <v>0.18913906222777779</v>
      </c>
      <c r="S18" s="164">
        <f>S17/R24</f>
        <v>0.15447893288193576</v>
      </c>
      <c r="T18" s="164">
        <f>T17/S24</f>
        <v>0.157074639808577</v>
      </c>
      <c r="U18" s="25">
        <f>U17/AVERAGE(P24:S24)</f>
        <v>0.64064476989957952</v>
      </c>
      <c r="V18" s="164">
        <f>V17/U24</f>
        <v>0.11773676922503484</v>
      </c>
      <c r="W18" s="164">
        <f>W17/V24</f>
        <v>0.15490242139976385</v>
      </c>
      <c r="X18" s="164">
        <f>X17/W24</f>
        <v>0.12795373642682051</v>
      </c>
      <c r="Y18" s="164">
        <f>Y17/X24</f>
        <v>0.15761546421008174</v>
      </c>
      <c r="Z18" s="25">
        <f>Z17/AVERAGE(U24:X24)</f>
        <v>0.55927004902815802</v>
      </c>
      <c r="AA18" s="164">
        <f>AA17/Z24</f>
        <v>0.14118705095342965</v>
      </c>
      <c r="AB18" s="164">
        <f>AB17/AA24</f>
        <v>0.14551127350649612</v>
      </c>
      <c r="AC18" s="164">
        <f>AC17/AB24</f>
        <v>0.17131610483942128</v>
      </c>
      <c r="AD18" s="164">
        <f>AD17/AC24</f>
        <v>0.15478564397116362</v>
      </c>
      <c r="AE18" s="25">
        <f>AE17/AVERAGE(Z24:AC24)</f>
        <v>0.61293390821379479</v>
      </c>
      <c r="AF18" s="164">
        <f>AF17/AE24</f>
        <v>0.1221814888860716</v>
      </c>
      <c r="AG18" s="164">
        <f>AG17/AF24</f>
        <v>0.16486893475450556</v>
      </c>
      <c r="AH18" s="164">
        <f>AH17/AG24</f>
        <v>0.13719884334171586</v>
      </c>
      <c r="AI18" s="164">
        <f>AI17/AH24</f>
        <v>0.14419366661005567</v>
      </c>
      <c r="AJ18" s="25">
        <f>AJ17/AVERAGE(AE24:AH24)</f>
        <v>0.5681069826265569</v>
      </c>
      <c r="AK18" s="164">
        <f>AK17/AJ24</f>
        <v>0.14136068138028521</v>
      </c>
      <c r="AL18" s="164">
        <f>AL17/AK24</f>
        <v>0.164092070899576</v>
      </c>
      <c r="AM18" s="164">
        <f>AM17/AL24</f>
        <v>0.14531548872244651</v>
      </c>
      <c r="AN18" s="164">
        <f>AN17/AM24</f>
        <v>0.15832337210442854</v>
      </c>
      <c r="AO18" s="25">
        <f>AO17/AVERAGE(AJ24:AM24)</f>
        <v>0.60908908450935373</v>
      </c>
      <c r="AP18" s="164">
        <f>AP17/AO24</f>
        <v>0.12908890443336962</v>
      </c>
      <c r="AQ18" s="164">
        <f>AQ17/AP24</f>
        <v>0.1556875573523884</v>
      </c>
      <c r="AR18" s="164">
        <f>AR17/AQ24</f>
        <v>0.13740939372372377</v>
      </c>
      <c r="AS18" s="164">
        <f>AS17/AR24</f>
        <v>0.15257984474628322</v>
      </c>
      <c r="AT18" s="25">
        <f>AT17/AVERAGE(AO24:AR24)</f>
        <v>0.57373059914000213</v>
      </c>
      <c r="AU18" s="164">
        <f>AU17/AT24</f>
        <v>0.12604070940461734</v>
      </c>
      <c r="AV18" s="164">
        <f>AV17/AU24</f>
        <v>0.17486349560860412</v>
      </c>
      <c r="AW18" s="164">
        <f>AW17/AV24</f>
        <v>0.17522736239429576</v>
      </c>
      <c r="AX18" s="164">
        <f>AX17/AW24</f>
        <v>0.2088349034297439</v>
      </c>
      <c r="AY18" s="25">
        <f>AY17/AVERAGE(AT24:AW24)</f>
        <v>0.6715894206174301</v>
      </c>
      <c r="AZ18" s="164">
        <f>AZ17/AY24</f>
        <v>0.12974656704950183</v>
      </c>
      <c r="BA18" s="164">
        <f>BA17/AZ24</f>
        <v>0.13074178024327227</v>
      </c>
      <c r="BB18" s="164">
        <f>BB17/BA24</f>
        <v>0.2446841032412925</v>
      </c>
      <c r="BC18" s="164">
        <f>BC17/BB24</f>
        <v>0.21497339842306545</v>
      </c>
      <c r="BD18" s="25">
        <f>BD17/AVERAGE(AY24:BB24)</f>
        <v>0.71688389314943102</v>
      </c>
      <c r="BE18" s="164">
        <f>BE17/BD24</f>
        <v>0.18049743629036757</v>
      </c>
      <c r="BF18" s="164">
        <f>BF17/BE24</f>
        <v>0.19077025026141461</v>
      </c>
      <c r="BG18" s="164">
        <f>BG17/BF24</f>
        <v>0.14622811281829021</v>
      </c>
      <c r="BH18" s="164">
        <f>BH17/BG24</f>
        <v>0.14585156714113187</v>
      </c>
      <c r="BI18" s="25">
        <f>BI17/AVERAGE(BD24:BG24)</f>
        <v>0.65713028177684252</v>
      </c>
      <c r="BJ18" s="164">
        <f>BJ17/BI24</f>
        <v>0.13249283031050407</v>
      </c>
      <c r="BK18" s="164">
        <f>BK17/BJ24</f>
        <v>0.15259622101358966</v>
      </c>
      <c r="BL18" s="164">
        <f>BL17/BK24</f>
        <v>0.1592166909899331</v>
      </c>
      <c r="BM18" s="164">
        <f>BM17/BL24</f>
        <v>0.13700811892743531</v>
      </c>
      <c r="BN18" s="25">
        <f>BN17/AVERAGE(BI24:BL24)</f>
        <v>0.58073936059466702</v>
      </c>
      <c r="BO18" s="164">
        <f>BO17/BN24</f>
        <v>0.15143922190671777</v>
      </c>
      <c r="BP18" s="164">
        <f>BP17/BO24</f>
        <v>0.16082495247029702</v>
      </c>
      <c r="BQ18" s="164">
        <f>BQ17/BP24</f>
        <v>0.15752283236942599</v>
      </c>
      <c r="BR18" s="164">
        <f>BR17/BQ24</f>
        <v>0.16834902930858903</v>
      </c>
      <c r="BS18" s="25">
        <f>BS17/AVERAGE(BN24:BQ24)</f>
        <v>0.63858787847968945</v>
      </c>
      <c r="BT18" s="164">
        <f>BT17/BS24</f>
        <v>0.15944304821093461</v>
      </c>
      <c r="BU18" s="164">
        <f>BU17/BT24</f>
        <v>0.20451828206979436</v>
      </c>
      <c r="BV18" s="164">
        <f>BV17/BU24</f>
        <v>0.1824112961721337</v>
      </c>
      <c r="BW18" s="164">
        <f>BW17/BV24</f>
        <v>0.1610004580623797</v>
      </c>
      <c r="BX18" s="25">
        <f>BX17/AVERAGE(BS24:BV24)</f>
        <v>0.7073721806576504</v>
      </c>
      <c r="BY18" s="164">
        <f>BY17/BX24</f>
        <v>0.16858852075941325</v>
      </c>
      <c r="BZ18" s="164">
        <f>BZ17/BY24</f>
        <v>0.17147065624926822</v>
      </c>
      <c r="CA18" s="164">
        <f>CA17/BZ24</f>
        <v>0.14889389521183666</v>
      </c>
      <c r="CB18" s="164">
        <f>CB17/CA24</f>
        <v>0.13793542234452433</v>
      </c>
      <c r="CC18" s="25">
        <f>CC17/AVERAGE(BX24:CA24)</f>
        <v>0.62072891220935511</v>
      </c>
      <c r="CD18" s="164">
        <f>CD17/CC24</f>
        <v>0.14494001845585974</v>
      </c>
      <c r="CE18" s="164">
        <f>CE17/CD24</f>
        <v>0.15756357031655424</v>
      </c>
      <c r="CF18" s="509">
        <v>0.16</v>
      </c>
      <c r="CG18" s="509">
        <v>0.17</v>
      </c>
      <c r="CH18" s="25">
        <f>CH17/AVERAGE(CC24:CF24)</f>
        <v>0.63380353860184602</v>
      </c>
      <c r="CI18" s="613">
        <v>0.17</v>
      </c>
      <c r="CJ18" s="613">
        <f>CI18</f>
        <v>0.17</v>
      </c>
      <c r="CK18" s="613">
        <f t="shared" ref="CK18:CL18" si="16">CJ18</f>
        <v>0.17</v>
      </c>
      <c r="CL18" s="613">
        <f t="shared" si="16"/>
        <v>0.17</v>
      </c>
      <c r="CM18" s="25">
        <f>CM17/AVERAGE(CH24:CK24)</f>
        <v>0.68</v>
      </c>
      <c r="CN18" s="613">
        <v>0.18</v>
      </c>
      <c r="CO18" s="613">
        <f>CN18</f>
        <v>0.18</v>
      </c>
      <c r="CP18" s="613">
        <f t="shared" ref="CP18:CQ18" si="17">CO18</f>
        <v>0.18</v>
      </c>
      <c r="CQ18" s="613">
        <f t="shared" si="17"/>
        <v>0.18</v>
      </c>
      <c r="CR18" s="25">
        <f>CR17/AVERAGE(CM24:CP24)</f>
        <v>0.72</v>
      </c>
      <c r="CS18" s="613">
        <v>0.19</v>
      </c>
      <c r="CT18" s="613">
        <f>CS18</f>
        <v>0.19</v>
      </c>
      <c r="CU18" s="613">
        <f t="shared" ref="CU18:CV18" si="18">CT18</f>
        <v>0.19</v>
      </c>
      <c r="CV18" s="613">
        <f t="shared" si="18"/>
        <v>0.19</v>
      </c>
      <c r="CW18" s="25">
        <f>CW17/AVERAGE(CR24:CU24)</f>
        <v>0.76000000000000012</v>
      </c>
      <c r="CX18" s="164">
        <f>CS18</f>
        <v>0.19</v>
      </c>
      <c r="CY18" s="164">
        <f>CT18</f>
        <v>0.19</v>
      </c>
      <c r="CZ18" s="164">
        <f>CU18</f>
        <v>0.19</v>
      </c>
      <c r="DA18" s="164">
        <f>CV18</f>
        <v>0.19</v>
      </c>
      <c r="DB18" s="25">
        <f>DB17/AVERAGE(CW24:CZ24)</f>
        <v>0.7599999999999999</v>
      </c>
    </row>
    <row r="19" spans="1:106" ht="11.25" customHeight="1" x14ac:dyDescent="0.35">
      <c r="A19" s="19" t="s">
        <v>273</v>
      </c>
      <c r="B19" s="466">
        <f>('BS &amp; FCF'!AE8+IS!AE107)*B20</f>
        <v>221063.91</v>
      </c>
      <c r="C19" s="466">
        <f>('BS &amp; FCF'!AF8+IS!AF107)*C20</f>
        <v>211113.36</v>
      </c>
      <c r="D19" s="466">
        <f>('BS &amp; FCF'!AG8+IS!AG107)*D20</f>
        <v>190024.65</v>
      </c>
      <c r="E19" s="466">
        <f>('BS &amp; FCF'!AH8+IS!AH107)*E20</f>
        <v>176173.5</v>
      </c>
      <c r="F19" s="98">
        <f>SUM(B19:E19)</f>
        <v>798375.42</v>
      </c>
      <c r="G19" s="466">
        <f>('BS &amp; FCF'!AJ8+IS!AJ107)*G20</f>
        <v>166326.29999999999</v>
      </c>
      <c r="H19" s="466">
        <f>('BS &amp; FCF'!AK8+IS!AK107)*H20</f>
        <v>157221.44999999998</v>
      </c>
      <c r="I19" s="466">
        <f>('BS &amp; FCF'!AL8+IS!AL107)*I20</f>
        <v>141828.87</v>
      </c>
      <c r="J19" s="466">
        <f>('BS &amp; FCF'!AM8+IS!AM107)*J20</f>
        <v>130045.01999999999</v>
      </c>
      <c r="K19" s="98">
        <f>SUM(G19:J19)</f>
        <v>595421.64</v>
      </c>
      <c r="L19" s="466">
        <f>('BS &amp; FCF'!AO8+IS!AO107)*L20</f>
        <v>129637.95</v>
      </c>
      <c r="M19" s="466">
        <f>('BS &amp; FCF'!AP8+IS!AP107)*M20</f>
        <v>115713.09</v>
      </c>
      <c r="N19" s="466">
        <f>('BS &amp; FCF'!AQ8+IS!AQ107)*N20</f>
        <v>109977.18</v>
      </c>
      <c r="O19" s="466">
        <f>('BS &amp; FCF'!AR8+IS!AR107)*O20</f>
        <v>108106.53</v>
      </c>
      <c r="P19" s="98">
        <f>SUM(L19:O19)</f>
        <v>463434.75</v>
      </c>
      <c r="Q19" s="466">
        <f>('BS &amp; FCF'!AT8+IS!AT107)*Q20</f>
        <v>110696.94</v>
      </c>
      <c r="R19" s="466">
        <f>('BS &amp; FCF'!AU8+IS!AU107)*R20</f>
        <v>116111.79</v>
      </c>
      <c r="S19" s="466">
        <f>('BS &amp; FCF'!AV8+IS!AV107)*S20</f>
        <v>128761.29</v>
      </c>
      <c r="T19" s="466">
        <f>('BS &amp; FCF'!AW8+IS!AW107)*T20</f>
        <v>135003.03</v>
      </c>
      <c r="U19" s="98">
        <f>SUM(Q19:T19)</f>
        <v>490573.04999999993</v>
      </c>
      <c r="V19" s="466">
        <f>('BS &amp; FCF'!AY8+IS!AY107)*V20</f>
        <v>151064.19</v>
      </c>
      <c r="W19" s="466">
        <f>('BS &amp; FCF'!AZ8+IS!AZ107)*W20</f>
        <v>153598.41</v>
      </c>
      <c r="X19" s="466">
        <f>('BS &amp; FCF'!BA8+IS!BA107)*X20</f>
        <v>156822.96</v>
      </c>
      <c r="Y19" s="466">
        <f>('BS &amp; FCF'!BB8+IS!BB107)*Y20</f>
        <v>152609.1</v>
      </c>
      <c r="Z19" s="98">
        <f>SUM(V19:Y19)</f>
        <v>614094.65999999992</v>
      </c>
      <c r="AA19" s="464">
        <v>458007</v>
      </c>
      <c r="AB19" s="464">
        <v>579369</v>
      </c>
      <c r="AC19" s="464">
        <v>517958</v>
      </c>
      <c r="AD19" s="395">
        <v>499215</v>
      </c>
      <c r="AE19" s="98">
        <f>SUM(AA19:AD19)</f>
        <v>2054549</v>
      </c>
      <c r="AF19" s="464">
        <v>493886</v>
      </c>
      <c r="AG19" s="464">
        <v>762453</v>
      </c>
      <c r="AH19" s="464">
        <v>603267</v>
      </c>
      <c r="AI19" s="395">
        <v>469832</v>
      </c>
      <c r="AJ19" s="98">
        <f>SUM(AF19:AI19)</f>
        <v>2329438</v>
      </c>
      <c r="AK19" s="464">
        <v>516000</v>
      </c>
      <c r="AL19" s="464">
        <v>530000</v>
      </c>
      <c r="AM19" s="464">
        <v>473000</v>
      </c>
      <c r="AN19" s="395">
        <v>293000</v>
      </c>
      <c r="AO19" s="98">
        <f>SUM(AK19:AN19)</f>
        <v>1812000</v>
      </c>
      <c r="AP19" s="464">
        <v>310000</v>
      </c>
      <c r="AQ19" s="464">
        <v>365000</v>
      </c>
      <c r="AR19" s="464">
        <v>304000</v>
      </c>
      <c r="AS19" s="395">
        <v>188000</v>
      </c>
      <c r="AT19" s="98">
        <f>SUM(AP19:AS19)</f>
        <v>1167000</v>
      </c>
      <c r="AU19" s="464">
        <v>188000</v>
      </c>
      <c r="AV19" s="464">
        <v>222000</v>
      </c>
      <c r="AW19" s="464">
        <v>200000</v>
      </c>
      <c r="AX19" s="395">
        <v>165000</v>
      </c>
      <c r="AY19" s="98">
        <f>SUM(AU19:AX19)</f>
        <v>775000</v>
      </c>
      <c r="AZ19" s="464">
        <v>185000</v>
      </c>
      <c r="BA19" s="464">
        <v>211000</v>
      </c>
      <c r="BB19" s="464">
        <v>308000</v>
      </c>
      <c r="BC19" s="395">
        <v>165000</v>
      </c>
      <c r="BD19" s="98">
        <f>SUM(AZ19:BC19)</f>
        <v>869000</v>
      </c>
      <c r="BE19" s="464">
        <v>128800</v>
      </c>
      <c r="BF19" s="464">
        <v>149500</v>
      </c>
      <c r="BG19" s="464">
        <v>166100</v>
      </c>
      <c r="BH19" s="395">
        <v>172400</v>
      </c>
      <c r="BI19" s="98">
        <f>SUM(BE19:BH19)</f>
        <v>616800</v>
      </c>
      <c r="BJ19" s="464">
        <v>205400</v>
      </c>
      <c r="BK19" s="464">
        <v>223700</v>
      </c>
      <c r="BL19" s="464">
        <v>220800</v>
      </c>
      <c r="BM19" s="395">
        <v>172400</v>
      </c>
      <c r="BN19" s="98">
        <f>SUM(BJ19:BM19)</f>
        <v>822300</v>
      </c>
      <c r="BO19" s="464">
        <v>307503.68816726899</v>
      </c>
      <c r="BP19" s="464">
        <v>306520.99424514797</v>
      </c>
      <c r="BQ19" s="464">
        <v>262310.69661209598</v>
      </c>
      <c r="BR19" s="395">
        <v>322858.42250829499</v>
      </c>
      <c r="BS19" s="98">
        <f>SUM(BO19:BR19)</f>
        <v>1199193.8015328078</v>
      </c>
      <c r="BT19" s="464">
        <v>337170.51725956902</v>
      </c>
      <c r="BU19" s="464">
        <v>311704.323925465</v>
      </c>
      <c r="BV19" s="464">
        <v>316734.26827</v>
      </c>
      <c r="BW19" s="395">
        <v>315290.05938251602</v>
      </c>
      <c r="BX19" s="98">
        <f>SUM(BT19:BW19)</f>
        <v>1280899.1688375501</v>
      </c>
      <c r="BY19" s="464">
        <v>344457.955392681</v>
      </c>
      <c r="BZ19" s="464">
        <v>453000</v>
      </c>
      <c r="CA19" s="464">
        <v>528000</v>
      </c>
      <c r="CB19" s="395">
        <v>457000</v>
      </c>
      <c r="CC19" s="98">
        <f>SUM(BY19:CB19)</f>
        <v>1782457.9553926811</v>
      </c>
      <c r="CD19" s="464">
        <v>505000</v>
      </c>
      <c r="CE19" s="464">
        <v>620000</v>
      </c>
      <c r="CF19" s="466">
        <f>('BS &amp; FCF'!CE8+IS!CE107)*CF20</f>
        <v>646895.39032326301</v>
      </c>
      <c r="CG19" s="466">
        <f>('BS &amp; FCF'!CF8+IS!CF107)*CG20</f>
        <v>687139.50539569219</v>
      </c>
      <c r="CH19" s="98">
        <f>SUM(CD19:CG19)</f>
        <v>2459034.8957189554</v>
      </c>
      <c r="CI19" s="466">
        <f>('BS &amp; FCF'!CH8+IS!CH107)*CI20</f>
        <v>631770.7553833524</v>
      </c>
      <c r="CJ19" s="466">
        <f>('BS &amp; FCF'!CI8+IS!CI107)*CJ20</f>
        <v>674198.25805587997</v>
      </c>
      <c r="CK19" s="466">
        <f>('BS &amp; FCF'!CJ8+IS!CJ107)*CK20</f>
        <v>702641.90605045087</v>
      </c>
      <c r="CL19" s="466">
        <f>('BS &amp; FCF'!CK8+IS!CK107)*CL20</f>
        <v>736751.17189797852</v>
      </c>
      <c r="CM19" s="98">
        <f>SUM(CI19:CL19)</f>
        <v>2745362.0913876621</v>
      </c>
      <c r="CN19" s="466">
        <f>('BS &amp; FCF'!CM8+IS!CM107)*CN20</f>
        <v>770517.84347009228</v>
      </c>
      <c r="CO19" s="466">
        <f>('BS &amp; FCF'!CN8+IS!CN107)*CO20</f>
        <v>798864.73534657166</v>
      </c>
      <c r="CP19" s="466">
        <f>('BS &amp; FCF'!CO8+IS!CO107)*CP20</f>
        <v>827038.37853500096</v>
      </c>
      <c r="CQ19" s="466">
        <f>('BS &amp; FCF'!CP8+IS!CP107)*CQ20</f>
        <v>861979.50797642872</v>
      </c>
      <c r="CR19" s="98">
        <f>SUM(CN19:CQ19)</f>
        <v>3258400.4653280936</v>
      </c>
      <c r="CS19" s="466">
        <f>('BS &amp; FCF'!CR8+IS!CR107)*CS20</f>
        <v>902166.31705200614</v>
      </c>
      <c r="CT19" s="466">
        <f>('BS &amp; FCF'!CS8+IS!CS107)*CT20</f>
        <v>922284.22902659723</v>
      </c>
      <c r="CU19" s="466">
        <f>('BS &amp; FCF'!CT8+IS!CT107)*CU20</f>
        <v>945682.60840438656</v>
      </c>
      <c r="CV19" s="466">
        <f>('BS &amp; FCF'!CU8+IS!CU107)*CV20</f>
        <v>975675.33495377435</v>
      </c>
      <c r="CW19" s="98">
        <f>SUM(CS19:CV19)</f>
        <v>3745808.4894367638</v>
      </c>
      <c r="CX19" s="466">
        <f>('BS &amp; FCF'!CW8+IS!CW107)*CX20</f>
        <v>1015943.5707941662</v>
      </c>
      <c r="CY19" s="466">
        <f>('BS &amp; FCF'!CX8+IS!CX107)*CY20</f>
        <v>1032288.6104254357</v>
      </c>
      <c r="CZ19" s="466">
        <f>('BS &amp; FCF'!CY8+IS!CY107)*CZ20</f>
        <v>1048868.1616621998</v>
      </c>
      <c r="DA19" s="466">
        <f>('BS &amp; FCF'!CZ8+IS!CZ107)*DA20</f>
        <v>1074285.7005565299</v>
      </c>
      <c r="DB19" s="98">
        <f>SUM(CX19:DA19)</f>
        <v>4171386.0434383312</v>
      </c>
    </row>
    <row r="20" spans="1:106" ht="11.25" customHeight="1" x14ac:dyDescent="0.35">
      <c r="A20" s="163" t="s">
        <v>266</v>
      </c>
      <c r="B20" s="465">
        <v>0.03</v>
      </c>
      <c r="C20" s="465">
        <v>0.03</v>
      </c>
      <c r="D20" s="465">
        <v>0.03</v>
      </c>
      <c r="E20" s="465">
        <v>0.03</v>
      </c>
      <c r="F20" s="400">
        <f>F19/('BS &amp; FCF'!AE8+IS!AE107)</f>
        <v>0.10834542191893738</v>
      </c>
      <c r="G20" s="465">
        <v>0.03</v>
      </c>
      <c r="H20" s="465">
        <v>0.03</v>
      </c>
      <c r="I20" s="465">
        <v>0.03</v>
      </c>
      <c r="J20" s="465">
        <v>0.03</v>
      </c>
      <c r="K20" s="400">
        <f>K19/('BS &amp; FCF'!AJ8+IS!AJ107)</f>
        <v>0.10739521771361475</v>
      </c>
      <c r="L20" s="465">
        <v>0.03</v>
      </c>
      <c r="M20" s="465">
        <v>0.03</v>
      </c>
      <c r="N20" s="465">
        <v>0.03</v>
      </c>
      <c r="O20" s="465">
        <v>0.03</v>
      </c>
      <c r="P20" s="400">
        <f>P19/('BS &amp; FCF'!AO8+IS!AO107)</f>
        <v>0.10724515853575284</v>
      </c>
      <c r="Q20" s="465">
        <v>0.03</v>
      </c>
      <c r="R20" s="465">
        <v>0.03</v>
      </c>
      <c r="S20" s="465">
        <v>0.03</v>
      </c>
      <c r="T20" s="465">
        <v>0.03</v>
      </c>
      <c r="U20" s="400">
        <f>U19/('BS &amp; FCF'!AT8+IS!AT107)</f>
        <v>0.13295030106523267</v>
      </c>
      <c r="V20" s="465">
        <v>0.03</v>
      </c>
      <c r="W20" s="465">
        <v>0.03</v>
      </c>
      <c r="X20" s="465">
        <v>0.03</v>
      </c>
      <c r="Y20" s="465">
        <v>0.03</v>
      </c>
      <c r="Z20" s="400">
        <f>Z19/('BS &amp; FCF'!AY8+IS!AY107)</f>
        <v>0.12195371914415983</v>
      </c>
      <c r="AA20" s="467">
        <f>AA19/('BS &amp; FCF'!Z8+IS!Z107)</f>
        <v>4.8430556718717085E-2</v>
      </c>
      <c r="AB20" s="467">
        <f>AB19/('BS &amp; FCF'!AA8+IS!AA107)</f>
        <v>6.5662500263502732E-2</v>
      </c>
      <c r="AC20" s="467">
        <f>AC19/('BS &amp; FCF'!AB8+IS!AB107)</f>
        <v>6.1958373515839063E-2</v>
      </c>
      <c r="AD20" s="467">
        <f>AD19/('BS &amp; FCF'!AC8+IS!AC107)</f>
        <v>6.3016283766725578E-2</v>
      </c>
      <c r="AE20" s="400">
        <f>AE19/('BS &amp; FCF'!Z8+IS!Z107)</f>
        <v>0.21725203299487447</v>
      </c>
      <c r="AF20" s="467">
        <f>AF19/('BS &amp; FCF'!AE8+IS!AE107)</f>
        <v>6.702396605578903E-2</v>
      </c>
      <c r="AG20" s="467">
        <f>AG19/('BS &amp; FCF'!AF8+IS!AF107)</f>
        <v>0.10834743002527174</v>
      </c>
      <c r="AH20" s="467">
        <f>AH19/('BS &amp; FCF'!AG8+IS!AG107)</f>
        <v>9.5240328031126489E-2</v>
      </c>
      <c r="AI20" s="467">
        <f>AI19/('BS &amp; FCF'!AH8+IS!AH107)</f>
        <v>8.0006130320394386E-2</v>
      </c>
      <c r="AJ20" s="400">
        <f>AJ19/('BS &amp; FCF'!AE8+IS!AE107)</f>
        <v>0.31612188529552382</v>
      </c>
      <c r="AK20" s="467">
        <f>AK19/('BS &amp; FCF'!AJ8+IS!AJ107)</f>
        <v>9.307006769224109E-2</v>
      </c>
      <c r="AL20" s="467">
        <f>AL19/('BS &amp; FCF'!AK8+IS!AK107)</f>
        <v>0.10113123877180881</v>
      </c>
      <c r="AM20" s="467">
        <f>AM19/('BS &amp; FCF'!AL8+IS!AL107)</f>
        <v>0.10005015198950679</v>
      </c>
      <c r="AN20" s="467">
        <f>AN19/('BS &amp; FCF'!AM8+IS!AM107)</f>
        <v>6.7591976993813377E-2</v>
      </c>
      <c r="AO20" s="400">
        <f>AO19/('BS &amp; FCF'!AJ8+IS!AJ107)</f>
        <v>0.3268274470122885</v>
      </c>
      <c r="AP20" s="467">
        <f>AP19/('BS &amp; FCF'!AO8+IS!AO107)</f>
        <v>7.1738252571874203E-2</v>
      </c>
      <c r="AQ20" s="467">
        <f>AQ19/('BS &amp; FCF'!AP8+IS!AP107)</f>
        <v>9.463060747924025E-2</v>
      </c>
      <c r="AR20" s="467">
        <f>AR19/('BS &amp; FCF'!AQ8+IS!AQ107)</f>
        <v>8.2926294345790644E-2</v>
      </c>
      <c r="AS20" s="467">
        <f>AS19/('BS &amp; FCF'!AR8+IS!AR107)</f>
        <v>5.217076156269191E-2</v>
      </c>
      <c r="AT20" s="400">
        <f>AT19/('BS &amp; FCF'!AO8+IS!AO107)</f>
        <v>0.27005980887541031</v>
      </c>
      <c r="AU20" s="467">
        <f>AU19/('BS &amp; FCF'!AT8+IS!AT107)</f>
        <v>5.0949917856807969E-2</v>
      </c>
      <c r="AV20" s="467">
        <f>AV19/('BS &amp; FCF'!AU8+IS!AU107)</f>
        <v>5.7358516305708492E-2</v>
      </c>
      <c r="AW20" s="467">
        <f>AW19/('BS &amp; FCF'!AV8+IS!AV107)</f>
        <v>4.6597855613282529E-2</v>
      </c>
      <c r="AX20" s="467">
        <f>AX19/('BS &amp; FCF'!AW8+IS!AW107)</f>
        <v>3.6665843722174234E-2</v>
      </c>
      <c r="AY20" s="400">
        <f>AY19/('BS &amp; FCF'!AT8+IS!AT107)</f>
        <v>0.21003290605864985</v>
      </c>
      <c r="AZ20" s="467">
        <f>AZ19/('BS &amp; FCF'!AY8+IS!AY107)</f>
        <v>3.6739349014481858E-2</v>
      </c>
      <c r="BA20" s="467">
        <f>BA19/('BS &amp; FCF'!AZ8+IS!AZ107)</f>
        <v>4.1211364102011212E-2</v>
      </c>
      <c r="BB20" s="467">
        <f>BB19/('BS &amp; FCF'!BA8+IS!BA107)</f>
        <v>5.8919943865362569E-2</v>
      </c>
      <c r="BC20" s="467">
        <f>BC19/('BS &amp; FCF'!BB8+IS!BB107)</f>
        <v>3.2435811494858434E-2</v>
      </c>
      <c r="BD20" s="400">
        <f>BD19/('BS &amp; FCF'!AY8+IS!AY107)</f>
        <v>0.17257564483018775</v>
      </c>
      <c r="BE20" s="467">
        <f>BE19/('BS &amp; FCF'!BD8+IS!BD107)</f>
        <v>2.3768736102993921E-2</v>
      </c>
      <c r="BF20" s="467">
        <f>BF19/('BS &amp; FCF'!BE8+IS!BE107)</f>
        <v>2.6112665935512022E-2</v>
      </c>
      <c r="BG20" s="467">
        <f>BG19/('BS &amp; FCF'!BF8+IS!BF107)</f>
        <v>2.7175229017974589E-2</v>
      </c>
      <c r="BH20" s="467">
        <f>BH19/('BS &amp; FCF'!BG8+IS!BG107)</f>
        <v>2.8052928260331175E-2</v>
      </c>
      <c r="BI20" s="400">
        <f>BI19/('BS &amp; FCF'!BD8+IS!BD107)</f>
        <v>0.11382419587210131</v>
      </c>
      <c r="BJ20" s="467">
        <f>BJ19/('BS &amp; FCF'!BI8+IS!BI107)</f>
        <v>3.0716848086492901E-2</v>
      </c>
      <c r="BK20" s="467">
        <f>BK19/('BS &amp; FCF'!BJ8+IS!BJ107)</f>
        <v>3.2550378148961709E-2</v>
      </c>
      <c r="BL20" s="467">
        <f>BL19/('BS &amp; FCF'!BK8+IS!BK107)</f>
        <v>3.0832653399781796E-2</v>
      </c>
      <c r="BM20" s="467">
        <f>BM19/('BS &amp; FCF'!BL8+IS!BL107)</f>
        <v>2.2046878774520919E-2</v>
      </c>
      <c r="BN20" s="400">
        <f>BN19/('BS &amp; FCF'!BI8+IS!BI107)</f>
        <v>0.12297207488570162</v>
      </c>
      <c r="BO20" s="467">
        <f>BO19/('BS &amp; FCF'!BN8+IS!BN107)</f>
        <v>3.8665925652071824E-2</v>
      </c>
      <c r="BP20" s="467">
        <f>BP19/('BS &amp; FCF'!BO8+IS!BO107)</f>
        <v>3.6387997727021573E-2</v>
      </c>
      <c r="BQ20" s="467">
        <f>BQ19/('BS &amp; FCF'!BP8+IS!BP107)</f>
        <v>2.8474526337167631E-2</v>
      </c>
      <c r="BR20" s="467">
        <f>BR19/('BS &amp; FCF'!BQ8+IS!BQ107)</f>
        <v>3.3802074882158584E-2</v>
      </c>
      <c r="BS20" s="400">
        <f>BS19/('BS &amp; FCF'!BN8+IS!BN107)</f>
        <v>0.15078823492767582</v>
      </c>
      <c r="BT20" s="467">
        <f>BT19/('BS &amp; FCF'!BS8+IS!BS107)</f>
        <v>3.3421717378172941E-2</v>
      </c>
      <c r="BU20" s="467">
        <f>BU19/('BS &amp; FCF'!BT8+IS!BT107)</f>
        <v>2.9022403078014059E-2</v>
      </c>
      <c r="BV20" s="467">
        <f>BV19/('BS &amp; FCF'!BU8+IS!BU107)</f>
        <v>2.8131671846822522E-2</v>
      </c>
      <c r="BW20" s="467">
        <f>BW19/('BS &amp; FCF'!BV8+IS!BV107)</f>
        <v>2.6048141041996167E-2</v>
      </c>
      <c r="BX20" s="400">
        <f>BX19/('BS &amp; FCF'!BS8+IS!BS107)</f>
        <v>0.12696795188017068</v>
      </c>
      <c r="BY20" s="467">
        <f>BY19/('BS &amp; FCF'!BX8+IS!BX107)</f>
        <v>2.538941992081669E-2</v>
      </c>
      <c r="BZ20" s="467">
        <f>BZ19/('BS &amp; FCF'!BY8+IS!BY107)</f>
        <v>3.1613906685378189E-2</v>
      </c>
      <c r="CA20" s="467">
        <f>CA19/('BS &amp; FCF'!BZ8+IS!BZ107)</f>
        <v>3.4877902569768193E-2</v>
      </c>
      <c r="CB20" s="467">
        <f>CB19/('BS &amp; FCF'!CA8+IS!CA107)</f>
        <v>3.0466183269892116E-2</v>
      </c>
      <c r="CC20" s="400">
        <f>CC19/('BS &amp; FCF'!BX8+IS!BX107)</f>
        <v>0.13138199542836487</v>
      </c>
      <c r="CD20" s="467">
        <f>CD19/('BS &amp; FCF'!CC8+IS!CC107)</f>
        <v>2.9137482064581586E-2</v>
      </c>
      <c r="CE20" s="467">
        <f>CE19/('BS &amp; FCF'!CD8+IS!CD107)</f>
        <v>3.4495156156790052E-2</v>
      </c>
      <c r="CF20" s="503">
        <f>CE20</f>
        <v>3.4495156156790052E-2</v>
      </c>
      <c r="CG20" s="503">
        <f>CF20</f>
        <v>3.4495156156790052E-2</v>
      </c>
      <c r="CH20" s="400">
        <f>CH19/('BS &amp; FCF'!CC8+IS!CC107)</f>
        <v>0.14188135677265606</v>
      </c>
      <c r="CI20" s="503">
        <v>0.03</v>
      </c>
      <c r="CJ20" s="399">
        <f>CI20</f>
        <v>0.03</v>
      </c>
      <c r="CK20" s="399">
        <f>CJ20</f>
        <v>0.03</v>
      </c>
      <c r="CL20" s="399">
        <f>CK20</f>
        <v>0.03</v>
      </c>
      <c r="CM20" s="400">
        <f>CM19/('BS &amp; FCF'!CH8+IS!CH107)</f>
        <v>0.13036510797600007</v>
      </c>
      <c r="CN20" s="399">
        <f>CI20</f>
        <v>0.03</v>
      </c>
      <c r="CO20" s="399">
        <f>CN20</f>
        <v>0.03</v>
      </c>
      <c r="CP20" s="399">
        <f>CO20</f>
        <v>0.03</v>
      </c>
      <c r="CQ20" s="399">
        <f>CP20</f>
        <v>0.03</v>
      </c>
      <c r="CR20" s="400">
        <f>CR19/('BS &amp; FCF'!CM8+IS!CM107)</f>
        <v>0.12686534749099171</v>
      </c>
      <c r="CS20" s="399">
        <f>CN20</f>
        <v>0.03</v>
      </c>
      <c r="CT20" s="399">
        <f>CS20</f>
        <v>0.03</v>
      </c>
      <c r="CU20" s="399">
        <f>CT20</f>
        <v>0.03</v>
      </c>
      <c r="CV20" s="399">
        <f>CU20</f>
        <v>0.03</v>
      </c>
      <c r="CW20" s="400">
        <f>CW19/('BS &amp; FCF'!CR8+IS!CR107)</f>
        <v>0.12456046358536904</v>
      </c>
      <c r="CX20" s="399">
        <f>CS20</f>
        <v>0.03</v>
      </c>
      <c r="CY20" s="399">
        <f>CX20</f>
        <v>0.03</v>
      </c>
      <c r="CZ20" s="399">
        <f>CY20</f>
        <v>0.03</v>
      </c>
      <c r="DA20" s="399">
        <f>CZ20</f>
        <v>0.03</v>
      </c>
      <c r="DB20" s="400">
        <f>DB19/('BS &amp; FCF'!CW8+IS!CW107)</f>
        <v>0.12317768909677372</v>
      </c>
    </row>
    <row r="21" spans="1:106" ht="11.25" customHeight="1" x14ac:dyDescent="0.35">
      <c r="A21" s="78" t="s">
        <v>71</v>
      </c>
      <c r="B21" s="103">
        <f>B17-B19</f>
        <v>921280.61297517631</v>
      </c>
      <c r="C21" s="103">
        <f>C17-C19</f>
        <v>1301673.8026335225</v>
      </c>
      <c r="D21" s="103">
        <f>D17-D19</f>
        <v>714044.70294597826</v>
      </c>
      <c r="E21" s="103">
        <f>E17-E19</f>
        <v>1454699.8672453563</v>
      </c>
      <c r="F21" s="139">
        <f>SUM(B21:E21)</f>
        <v>4391698.9858000334</v>
      </c>
      <c r="G21" s="103">
        <f>G17-G19</f>
        <v>761122.8706864398</v>
      </c>
      <c r="H21" s="103">
        <f>H17-H19</f>
        <v>1282841.9991971387</v>
      </c>
      <c r="I21" s="103">
        <f>I17-I19</f>
        <v>1005124.3954277375</v>
      </c>
      <c r="J21" s="103">
        <f>J17-J19</f>
        <v>1545580.7494078036</v>
      </c>
      <c r="K21" s="139">
        <f>SUM(G21:J21)</f>
        <v>4594670.0147191193</v>
      </c>
      <c r="L21" s="103">
        <f>L17-L19</f>
        <v>1015052.3612851149</v>
      </c>
      <c r="M21" s="103">
        <f>M17-M19</f>
        <v>1057906.0538624679</v>
      </c>
      <c r="N21" s="103">
        <f>N17-N19</f>
        <v>1481417.5177090042</v>
      </c>
      <c r="O21" s="103">
        <f>O17-O19</f>
        <v>1286990.3484716129</v>
      </c>
      <c r="P21" s="139">
        <f>SUM(L21:O21)</f>
        <v>4841366.2813281994</v>
      </c>
      <c r="Q21" s="103">
        <f>Q17-Q19</f>
        <v>821139.69049524749</v>
      </c>
      <c r="R21" s="103">
        <f>R17-R19</f>
        <v>1083010.9506178889</v>
      </c>
      <c r="S21" s="103">
        <f>S17-S19</f>
        <v>823314.53753000032</v>
      </c>
      <c r="T21" s="103">
        <f>T17-T19</f>
        <v>844129.11414999887</v>
      </c>
      <c r="U21" s="139">
        <f>SUM(Q21:T21)</f>
        <v>3571594.2927931356</v>
      </c>
      <c r="V21" s="103">
        <f>V17-V19</f>
        <v>638243.97356999991</v>
      </c>
      <c r="W21" s="103">
        <f>W17-W19</f>
        <v>959665.24767739873</v>
      </c>
      <c r="X21" s="103">
        <f>X17-X19</f>
        <v>741443.08456726663</v>
      </c>
      <c r="Y21" s="103">
        <f>Y17-Y19</f>
        <v>935795.44946296548</v>
      </c>
      <c r="Z21" s="139">
        <f>SUM(V21:Y21)</f>
        <v>3275147.7552776309</v>
      </c>
      <c r="AA21" s="103">
        <f>AA17-AA19</f>
        <v>577053.56911734724</v>
      </c>
      <c r="AB21" s="103">
        <f>AB17-AB19</f>
        <v>427381.90760817612</v>
      </c>
      <c r="AC21" s="103">
        <f>AC17-AC19</f>
        <v>724131.86816395959</v>
      </c>
      <c r="AD21" s="103">
        <f>AD17-AD19</f>
        <v>561580.95886841509</v>
      </c>
      <c r="AE21" s="139">
        <f>SUM(AA21:AD21)</f>
        <v>2290148.303757898</v>
      </c>
      <c r="AF21" s="103">
        <f>AF17-AF19</f>
        <v>308017.89676188293</v>
      </c>
      <c r="AG21" s="103">
        <f>AG17-AG19</f>
        <v>305895.13782185223</v>
      </c>
      <c r="AH21" s="103">
        <f>AH17-AH19</f>
        <v>296532.52193697717</v>
      </c>
      <c r="AI21" s="103">
        <f>AI17-AI19</f>
        <v>454775.60965647898</v>
      </c>
      <c r="AJ21" s="139">
        <f>SUM(AF21:AI21)</f>
        <v>1365221.1661771913</v>
      </c>
      <c r="AK21" s="103">
        <f>AK17-AK19</f>
        <v>408121.66954416595</v>
      </c>
      <c r="AL21" s="103">
        <f>AL17-AL19</f>
        <v>560539.18384667207</v>
      </c>
      <c r="AM21" s="103">
        <f>AM17-AM19</f>
        <v>463027.43725241651</v>
      </c>
      <c r="AN21" s="103">
        <f>AN17-AN19</f>
        <v>690533.69538838312</v>
      </c>
      <c r="AO21" s="139">
        <f>SUM(AK21:AN21)</f>
        <v>2122221.9860316375</v>
      </c>
      <c r="AP21" s="103">
        <f>AP17-AP19</f>
        <v>487191.02894084225</v>
      </c>
      <c r="AQ21" s="103">
        <f>AQ17-AQ19</f>
        <v>555550.03426956548</v>
      </c>
      <c r="AR21" s="103">
        <f>AR17-AR19</f>
        <v>491503.48310606205</v>
      </c>
      <c r="AS21" s="103">
        <f>AS17-AS19</f>
        <v>662532.58082716027</v>
      </c>
      <c r="AT21" s="139">
        <f>SUM(AP21:AS21)</f>
        <v>2196777.1271436298</v>
      </c>
      <c r="AU21" s="103">
        <f>AU17-AU19</f>
        <v>525902.78692310897</v>
      </c>
      <c r="AV21" s="103">
        <f>AV17-AV19</f>
        <v>503428.917333249</v>
      </c>
      <c r="AW21" s="103">
        <f>AW17-AW19</f>
        <v>578914.14122436859</v>
      </c>
      <c r="AX21" s="103">
        <f>AX17-AX19</f>
        <v>730770.47820203379</v>
      </c>
      <c r="AY21" s="139">
        <f>SUM(AU21:AX21)</f>
        <v>2339016.3236827604</v>
      </c>
      <c r="AZ21" s="103">
        <f>AZ17-AZ19</f>
        <v>378105.66943960998</v>
      </c>
      <c r="BA21" s="103">
        <f>BA17-BA19</f>
        <v>374689.41721499816</v>
      </c>
      <c r="BB21" s="103">
        <f>BB17-BB19</f>
        <v>731528.62628212757</v>
      </c>
      <c r="BC21" s="103">
        <f>BC17-BC19</f>
        <v>759643.75188900111</v>
      </c>
      <c r="BD21" s="139">
        <f>SUM(AZ21:BC21)</f>
        <v>2243967.4648257368</v>
      </c>
      <c r="BE21" s="103">
        <f>BE17-BE19</f>
        <v>859308.94552324456</v>
      </c>
      <c r="BF21" s="103">
        <f>BF17-BF19</f>
        <v>784286.85349509108</v>
      </c>
      <c r="BG21" s="103">
        <f>BG17-BG19</f>
        <v>635517.08188130765</v>
      </c>
      <c r="BH21" s="103">
        <f>BH17-BH19</f>
        <v>772812.11746955279</v>
      </c>
      <c r="BI21" s="139">
        <f>SUM(BE21:BH21)</f>
        <v>3051924.998369196</v>
      </c>
      <c r="BJ21" s="103">
        <f>BJ17-BJ19</f>
        <v>784700.02507263422</v>
      </c>
      <c r="BK21" s="103">
        <f>BK17-BK19</f>
        <v>877308.06205065595</v>
      </c>
      <c r="BL21" s="103">
        <f>BL17-BL19</f>
        <v>1075393.2649120791</v>
      </c>
      <c r="BM21" s="103">
        <f>BM17-BM19</f>
        <v>1048483.4461112446</v>
      </c>
      <c r="BN21" s="139">
        <f>SUM(BJ21:BM21)</f>
        <v>3785884.7981466139</v>
      </c>
      <c r="BO21" s="103">
        <f>BO17-BO19</f>
        <v>1065896.3254468539</v>
      </c>
      <c r="BP21" s="103">
        <f>BP17-BP19</f>
        <v>1091631.4525905959</v>
      </c>
      <c r="BQ21" s="103">
        <f>BQ17-BQ19</f>
        <v>1276193.0384543606</v>
      </c>
      <c r="BR21" s="103">
        <f>BR17-BR19</f>
        <v>1320403.1186206518</v>
      </c>
      <c r="BS21" s="139">
        <f>SUM(BO21:BR21)</f>
        <v>4754123.9351124624</v>
      </c>
      <c r="BT21" s="103">
        <f>BT17-BT19</f>
        <v>1246738.0862371605</v>
      </c>
      <c r="BU21" s="103">
        <f>BU17-BU19</f>
        <v>1626642.7091875845</v>
      </c>
      <c r="BV21" s="103">
        <f>BV17-BV19</f>
        <v>1264739.0914755487</v>
      </c>
      <c r="BW21" s="103">
        <f>BW17-BW19</f>
        <v>1084285.4632772272</v>
      </c>
      <c r="BX21" s="139">
        <f>SUM(BT21:BW21)</f>
        <v>5222405.3501775209</v>
      </c>
      <c r="BY21" s="103">
        <f>BY17-BY19</f>
        <v>1434899.2414144778</v>
      </c>
      <c r="BZ21" s="103">
        <f>BZ17-BZ19</f>
        <v>1674623.7146034138</v>
      </c>
      <c r="CA21" s="103">
        <f>CA17-CA19</f>
        <v>1464625.0873913509</v>
      </c>
      <c r="CB21" s="103">
        <f>CB17-CB19</f>
        <v>1618000</v>
      </c>
      <c r="CC21" s="139">
        <f>SUM(BY21:CB21)</f>
        <v>6192148.0434092432</v>
      </c>
      <c r="CD21" s="103">
        <f>CD17-CD19</f>
        <v>1851000</v>
      </c>
      <c r="CE21" s="103">
        <f>CE17-CE19</f>
        <v>1809000</v>
      </c>
      <c r="CF21" s="103">
        <f>CF17-CF19</f>
        <v>2102064.6096767369</v>
      </c>
      <c r="CG21" s="103">
        <f>CG17-CG19</f>
        <v>2355175.3228082466</v>
      </c>
      <c r="CH21" s="139">
        <f>SUM(CD21:CG21)</f>
        <v>8117239.9324849844</v>
      </c>
      <c r="CI21" s="103">
        <f>CI17-CI19</f>
        <v>2470641.0101056695</v>
      </c>
      <c r="CJ21" s="103">
        <f>CJ17-CJ19</f>
        <v>2367895.7473455826</v>
      </c>
      <c r="CK21" s="103">
        <f>CK17-CK19</f>
        <v>2332570.1550957086</v>
      </c>
      <c r="CL21" s="103">
        <f>CL17-CL19</f>
        <v>2405491.6591644771</v>
      </c>
      <c r="CM21" s="139">
        <f>SUM(CI21:CL21)</f>
        <v>9576598.5717114378</v>
      </c>
      <c r="CN21" s="103">
        <f>CN17-CN19</f>
        <v>2694848.5798300151</v>
      </c>
      <c r="CO21" s="103">
        <f>CO17-CO19</f>
        <v>2465692.82675754</v>
      </c>
      <c r="CP21" s="103">
        <f>CP17-CP19</f>
        <v>2410614.8367404169</v>
      </c>
      <c r="CQ21" s="103">
        <f>CQ17-CQ19</f>
        <v>2472388.9519427405</v>
      </c>
      <c r="CR21" s="139">
        <f>SUM(CN21:CQ21)</f>
        <v>10043545.195270712</v>
      </c>
      <c r="CS21" s="103">
        <f>CS17-CS19</f>
        <v>2847822.350179906</v>
      </c>
      <c r="CT21" s="103">
        <f>CT17-CT19</f>
        <v>2597176.4840380792</v>
      </c>
      <c r="CU21" s="103">
        <f>CU17-CU19</f>
        <v>2535800.0681645768</v>
      </c>
      <c r="CV21" s="103">
        <f>CV17-CV19</f>
        <v>2603714.1410822202</v>
      </c>
      <c r="CW21" s="139">
        <f>SUM(CS21:CV21)</f>
        <v>10584513.043464782</v>
      </c>
      <c r="CX21" s="103">
        <f>CX17-CX19</f>
        <v>2793376.2339590825</v>
      </c>
      <c r="CY21" s="103">
        <f>CY17-CY19</f>
        <v>2567717.5424753772</v>
      </c>
      <c r="CZ21" s="103">
        <f>CZ17-CZ19</f>
        <v>2534699.1459813165</v>
      </c>
      <c r="DA21" s="103">
        <f>DA17-DA19</f>
        <v>2627687.3902034778</v>
      </c>
      <c r="DB21" s="139">
        <f>SUM(CX21:DA21)</f>
        <v>10523480.312619254</v>
      </c>
    </row>
    <row r="22" spans="1:106" ht="11.25" customHeight="1" x14ac:dyDescent="0.35">
      <c r="B22" s="54"/>
      <c r="C22" s="54"/>
      <c r="D22" s="54"/>
      <c r="E22" s="54"/>
      <c r="F22" s="83"/>
      <c r="G22" s="70"/>
      <c r="H22" s="54"/>
      <c r="I22" s="54"/>
      <c r="J22" s="54"/>
      <c r="K22" s="83"/>
      <c r="L22" s="70"/>
      <c r="M22" s="141"/>
      <c r="N22" s="54"/>
      <c r="O22" s="54"/>
      <c r="P22" s="83"/>
      <c r="Q22" s="54"/>
      <c r="R22" s="54"/>
      <c r="S22" s="54"/>
      <c r="T22" s="54"/>
      <c r="U22" s="83"/>
      <c r="V22" s="54"/>
      <c r="W22" s="54"/>
      <c r="X22" s="23"/>
      <c r="Y22" s="54"/>
      <c r="Z22" s="83"/>
      <c r="AA22" s="54"/>
      <c r="AB22" s="54"/>
      <c r="AC22" s="54"/>
      <c r="AD22" s="54"/>
      <c r="AE22" s="83"/>
      <c r="AF22" s="54"/>
      <c r="AG22" s="54"/>
      <c r="AH22" s="142">
        <f>AG24/SUM(AH9:AI9,AK9:AL9)</f>
        <v>2.2308358275024935</v>
      </c>
      <c r="AI22" s="54"/>
      <c r="AJ22" s="83"/>
      <c r="AK22" s="54"/>
      <c r="AL22" s="141"/>
      <c r="AM22" s="54"/>
      <c r="AN22" s="54"/>
      <c r="AO22" s="83"/>
      <c r="AP22" s="143"/>
      <c r="AQ22" s="143"/>
      <c r="AR22" s="144"/>
      <c r="AS22" s="61"/>
      <c r="AT22" s="83"/>
      <c r="AU22" s="23"/>
      <c r="AV22" s="145"/>
      <c r="AW22" s="146"/>
      <c r="AX22" s="143"/>
      <c r="AY22" s="83"/>
      <c r="AZ22" s="143">
        <f>AZ21/AY24</f>
        <v>8.7120260466502591E-2</v>
      </c>
      <c r="BA22" s="143">
        <f>BA21/AZ24</f>
        <v>8.3640851285896489E-2</v>
      </c>
      <c r="BB22" s="143">
        <f>BB21/BA24</f>
        <v>0.17218710614766491</v>
      </c>
      <c r="BC22" s="143">
        <f>BC21/BB24</f>
        <v>0.17661201798076959</v>
      </c>
      <c r="BD22" s="83"/>
      <c r="BE22" s="143"/>
      <c r="BF22" s="147"/>
      <c r="BG22" s="147"/>
      <c r="BH22" s="143"/>
      <c r="BI22" s="83"/>
      <c r="BJ22" s="143"/>
      <c r="BK22" s="54"/>
      <c r="BL22" s="54"/>
      <c r="BM22" s="54"/>
      <c r="BN22" s="83"/>
      <c r="BO22" s="54"/>
      <c r="BP22" s="54"/>
      <c r="BQ22" s="54"/>
      <c r="BR22" s="54"/>
      <c r="BS22" s="83"/>
      <c r="BT22" s="143"/>
      <c r="BU22" s="143"/>
      <c r="BV22" s="143"/>
      <c r="BW22" s="143"/>
      <c r="BX22" s="83"/>
      <c r="BY22" s="143"/>
      <c r="BZ22" s="54"/>
      <c r="CA22" s="54"/>
      <c r="CB22" s="23"/>
      <c r="CC22" s="83"/>
      <c r="CD22" s="54"/>
      <c r="CE22" s="143"/>
      <c r="CF22" s="54"/>
      <c r="CG22" s="54"/>
      <c r="CH22" s="83"/>
      <c r="CI22" s="54"/>
      <c r="CJ22" s="54"/>
      <c r="CK22" s="54"/>
      <c r="CL22" s="54"/>
      <c r="CM22" s="83"/>
      <c r="CN22" s="54"/>
      <c r="CO22" s="54"/>
      <c r="CP22" s="54"/>
      <c r="CQ22" s="54"/>
      <c r="CR22" s="83"/>
      <c r="CS22" s="54"/>
      <c r="CT22" s="54"/>
      <c r="CU22" s="54"/>
      <c r="CV22" s="54"/>
      <c r="CW22" s="83"/>
      <c r="CX22" s="54"/>
      <c r="CY22" s="54"/>
      <c r="CZ22" s="54"/>
      <c r="DA22" s="54"/>
      <c r="DB22" s="83"/>
    </row>
    <row r="23" spans="1:106" s="15" customFormat="1" ht="11.25" customHeight="1" thickBot="1" x14ac:dyDescent="0.4">
      <c r="A23" s="124" t="s">
        <v>39</v>
      </c>
      <c r="B23" s="129" t="str">
        <f>Macro!B$3</f>
        <v>1Q10</v>
      </c>
      <c r="C23" s="129" t="str">
        <f>Macro!C$3</f>
        <v>2Q10</v>
      </c>
      <c r="D23" s="129" t="str">
        <f>Macro!D$3</f>
        <v>3Q10</v>
      </c>
      <c r="E23" s="130" t="str">
        <f>Macro!E$3</f>
        <v>4Q10</v>
      </c>
      <c r="F23" s="131" t="str">
        <f>Macro!F$3</f>
        <v>2010</v>
      </c>
      <c r="G23" s="129" t="str">
        <f>Macro!G$3</f>
        <v>1Q11</v>
      </c>
      <c r="H23" s="129" t="str">
        <f>Macro!H$3</f>
        <v>2Q11</v>
      </c>
      <c r="I23" s="129" t="str">
        <f>Macro!I$3</f>
        <v>3Q11</v>
      </c>
      <c r="J23" s="130" t="str">
        <f>Macro!J$3</f>
        <v>4Q11</v>
      </c>
      <c r="K23" s="131" t="str">
        <f>Macro!K$3</f>
        <v>2011</v>
      </c>
      <c r="L23" s="129" t="str">
        <f>Macro!L$3</f>
        <v>1Q12</v>
      </c>
      <c r="M23" s="129" t="str">
        <f>Macro!M$3</f>
        <v>2Q12</v>
      </c>
      <c r="N23" s="125" t="str">
        <f>Macro!N$3</f>
        <v>3Q12</v>
      </c>
      <c r="O23" s="125" t="str">
        <f>Macro!O$3</f>
        <v>4Q12</v>
      </c>
      <c r="P23" s="126" t="str">
        <f>Macro!P$3</f>
        <v>2012</v>
      </c>
      <c r="Q23" s="125" t="str">
        <f>Macro!Q$3</f>
        <v>1Q13</v>
      </c>
      <c r="R23" s="125" t="str">
        <f>Macro!R$3</f>
        <v>2Q13</v>
      </c>
      <c r="S23" s="125" t="str">
        <f>Macro!S$3</f>
        <v>3Q13</v>
      </c>
      <c r="T23" s="125" t="str">
        <f>Macro!T$3</f>
        <v>4Q13</v>
      </c>
      <c r="U23" s="126" t="str">
        <f>Macro!U$3</f>
        <v>2013</v>
      </c>
      <c r="V23" s="125" t="str">
        <f>Macro!V$3</f>
        <v>1Q14</v>
      </c>
      <c r="W23" s="125" t="str">
        <f>Macro!W$3</f>
        <v>2Q14</v>
      </c>
      <c r="X23" s="125" t="str">
        <f>Macro!X$3</f>
        <v>3Q14</v>
      </c>
      <c r="Y23" s="125" t="str">
        <f>Macro!Y$3</f>
        <v>4Q14</v>
      </c>
      <c r="Z23" s="126" t="str">
        <f>Macro!Z$3</f>
        <v>2014</v>
      </c>
      <c r="AA23" s="125" t="str">
        <f>Macro!AA$3</f>
        <v>1Q15</v>
      </c>
      <c r="AB23" s="125" t="str">
        <f>Macro!AB$3</f>
        <v>2Q15</v>
      </c>
      <c r="AC23" s="125" t="str">
        <f>Macro!AC$3</f>
        <v>3Q15</v>
      </c>
      <c r="AD23" s="125" t="str">
        <f>Macro!AD$3</f>
        <v>4Q15</v>
      </c>
      <c r="AE23" s="126" t="str">
        <f>Macro!AE$3</f>
        <v>2015</v>
      </c>
      <c r="AF23" s="125" t="str">
        <f>Macro!AF$3</f>
        <v>1Q16</v>
      </c>
      <c r="AG23" s="125" t="str">
        <f>Macro!AG$3</f>
        <v>2Q16</v>
      </c>
      <c r="AH23" s="125" t="str">
        <f>Macro!AH$3</f>
        <v>3Q16</v>
      </c>
      <c r="AI23" s="125" t="str">
        <f>Macro!AI$3</f>
        <v>4Q16</v>
      </c>
      <c r="AJ23" s="126" t="str">
        <f>Macro!AJ$3</f>
        <v>2016</v>
      </c>
      <c r="AK23" s="125" t="str">
        <f>Macro!AK$3</f>
        <v>1Q17</v>
      </c>
      <c r="AL23" s="125" t="str">
        <f>Macro!AL$3</f>
        <v>2Q17</v>
      </c>
      <c r="AM23" s="125" t="str">
        <f>Macro!AM$3</f>
        <v>3Q17</v>
      </c>
      <c r="AN23" s="125" t="str">
        <f>Macro!AN$3</f>
        <v>4Q17</v>
      </c>
      <c r="AO23" s="126" t="str">
        <f>Macro!AO$3</f>
        <v>2017</v>
      </c>
      <c r="AP23" s="125" t="str">
        <f>Macro!AP$3</f>
        <v>1Q18</v>
      </c>
      <c r="AQ23" s="125" t="str">
        <f>Macro!AQ$3</f>
        <v>2Q18</v>
      </c>
      <c r="AR23" s="125" t="str">
        <f>Macro!AR$3</f>
        <v>3Q18</v>
      </c>
      <c r="AS23" s="125" t="str">
        <f>Macro!AS$3</f>
        <v>4Q18</v>
      </c>
      <c r="AT23" s="126" t="str">
        <f>Macro!AT$3</f>
        <v>2018</v>
      </c>
      <c r="AU23" s="125" t="str">
        <f>Macro!AU$3</f>
        <v>1Q19</v>
      </c>
      <c r="AV23" s="125" t="str">
        <f>Macro!AV$3</f>
        <v>2Q19</v>
      </c>
      <c r="AW23" s="125" t="str">
        <f>Macro!AW$3</f>
        <v>3Q19</v>
      </c>
      <c r="AX23" s="125" t="str">
        <f>Macro!AX$3</f>
        <v>4Q19</v>
      </c>
      <c r="AY23" s="126" t="str">
        <f>Macro!AY$3</f>
        <v>2019</v>
      </c>
      <c r="AZ23" s="125" t="str">
        <f>Macro!AZ$3</f>
        <v>1Q20</v>
      </c>
      <c r="BA23" s="125" t="str">
        <f>Macro!BA$3</f>
        <v>2Q20</v>
      </c>
      <c r="BB23" s="125" t="str">
        <f>Macro!BB$3</f>
        <v>3Q20</v>
      </c>
      <c r="BC23" s="125" t="str">
        <f>Macro!BC$3</f>
        <v>4Q20</v>
      </c>
      <c r="BD23" s="126" t="str">
        <f>Macro!BD$3</f>
        <v>2020</v>
      </c>
      <c r="BE23" s="125" t="str">
        <f>Macro!BE$3</f>
        <v>1Q21</v>
      </c>
      <c r="BF23" s="125" t="str">
        <f>Macro!BF$3</f>
        <v>2Q21</v>
      </c>
      <c r="BG23" s="125" t="str">
        <f>Macro!BG$3</f>
        <v>3Q21</v>
      </c>
      <c r="BH23" s="125" t="str">
        <f>Macro!BH$3</f>
        <v>4Q21</v>
      </c>
      <c r="BI23" s="126" t="str">
        <f>Macro!BI$3</f>
        <v>2021</v>
      </c>
      <c r="BJ23" s="125" t="str">
        <f>Macro!BJ$3</f>
        <v>1Q22</v>
      </c>
      <c r="BK23" s="125" t="str">
        <f>Macro!BK$3</f>
        <v>2Q22</v>
      </c>
      <c r="BL23" s="125" t="str">
        <f>Macro!BL$3</f>
        <v>3Q22</v>
      </c>
      <c r="BM23" s="125" t="str">
        <f>Macro!BM$3</f>
        <v>4Q22</v>
      </c>
      <c r="BN23" s="126" t="str">
        <f>Macro!BN$3</f>
        <v>2022</v>
      </c>
      <c r="BO23" s="125" t="str">
        <f>Macro!BO$3</f>
        <v>1Q23</v>
      </c>
      <c r="BP23" s="125" t="str">
        <f>Macro!BP$3</f>
        <v>2Q23</v>
      </c>
      <c r="BQ23" s="125" t="str">
        <f>Macro!BQ$3</f>
        <v>3Q23</v>
      </c>
      <c r="BR23" s="125" t="str">
        <f>Macro!BR$3</f>
        <v>4Q23</v>
      </c>
      <c r="BS23" s="126" t="str">
        <f>Macro!BS$3</f>
        <v>2023</v>
      </c>
      <c r="BT23" s="125" t="str">
        <f>Macro!BT$3</f>
        <v>1Q24</v>
      </c>
      <c r="BU23" s="125" t="str">
        <f>Macro!BU$3</f>
        <v>2Q24</v>
      </c>
      <c r="BV23" s="125" t="str">
        <f>Macro!BV$3</f>
        <v>3Q24</v>
      </c>
      <c r="BW23" s="125" t="str">
        <f>Macro!BW$3</f>
        <v>4Q24</v>
      </c>
      <c r="BX23" s="126" t="str">
        <f>Macro!BX$3</f>
        <v>2024</v>
      </c>
      <c r="BY23" s="125" t="str">
        <f>Macro!BY$3</f>
        <v>1Q25</v>
      </c>
      <c r="BZ23" s="125" t="str">
        <f>Macro!BZ$3</f>
        <v>2Q25</v>
      </c>
      <c r="CA23" s="125" t="str">
        <f>Macro!CA$3</f>
        <v>3Q25</v>
      </c>
      <c r="CB23" s="125" t="str">
        <f>Macro!CB$3</f>
        <v>4Q25</v>
      </c>
      <c r="CC23" s="126" t="str">
        <f>Macro!CC$3</f>
        <v>2025</v>
      </c>
      <c r="CD23" s="125" t="str">
        <f>Macro!CD$3</f>
        <v>1Q26</v>
      </c>
      <c r="CE23" s="125" t="str">
        <f>Macro!CE$3</f>
        <v>2Q26</v>
      </c>
      <c r="CF23" s="125" t="str">
        <f>Macro!CF$3</f>
        <v>3Q26E</v>
      </c>
      <c r="CG23" s="125" t="str">
        <f>Macro!CG$3</f>
        <v>4Q26E</v>
      </c>
      <c r="CH23" s="126" t="str">
        <f>Macro!CH$3</f>
        <v>2026E</v>
      </c>
      <c r="CI23" s="125" t="str">
        <f>Macro!CI$3</f>
        <v>1Q27E</v>
      </c>
      <c r="CJ23" s="125" t="str">
        <f>Macro!CJ$3</f>
        <v>2Q27E</v>
      </c>
      <c r="CK23" s="125" t="str">
        <f>Macro!CK$3</f>
        <v>3Q27E</v>
      </c>
      <c r="CL23" s="125" t="str">
        <f>Macro!CL$3</f>
        <v>4Q27E</v>
      </c>
      <c r="CM23" s="126" t="str">
        <f>Macro!CM$3</f>
        <v>2027E</v>
      </c>
      <c r="CN23" s="125" t="str">
        <f>Macro!CN$3</f>
        <v>1Q28E</v>
      </c>
      <c r="CO23" s="125" t="str">
        <f>Macro!CO$3</f>
        <v>2Q28E</v>
      </c>
      <c r="CP23" s="125" t="str">
        <f>Macro!CP$3</f>
        <v>3Q28E</v>
      </c>
      <c r="CQ23" s="125" t="str">
        <f>Macro!CQ$3</f>
        <v>4Q28E</v>
      </c>
      <c r="CR23" s="126" t="str">
        <f>Macro!CR$3</f>
        <v>2028E</v>
      </c>
      <c r="CS23" s="125" t="str">
        <f>Macro!CS$3</f>
        <v>1Q29E</v>
      </c>
      <c r="CT23" s="125" t="str">
        <f>Macro!CT$3</f>
        <v>2Q29E</v>
      </c>
      <c r="CU23" s="125" t="str">
        <f>Macro!CU$3</f>
        <v>3Q29E</v>
      </c>
      <c r="CV23" s="125" t="str">
        <f>Macro!CV$3</f>
        <v>4Q29E</v>
      </c>
      <c r="CW23" s="126" t="str">
        <f>Macro!CW$3</f>
        <v>2029E</v>
      </c>
      <c r="CX23" s="125" t="str">
        <f>Macro!CX$3</f>
        <v>1Q30E</v>
      </c>
      <c r="CY23" s="125" t="str">
        <f>Macro!CY$3</f>
        <v>2Q30E</v>
      </c>
      <c r="CZ23" s="125" t="str">
        <f>Macro!CZ$3</f>
        <v>3Q30E</v>
      </c>
      <c r="DA23" s="125" t="str">
        <f>Macro!DA$3</f>
        <v>4Q30E</v>
      </c>
      <c r="DB23" s="126" t="str">
        <f>Macro!DB$3</f>
        <v>2030E</v>
      </c>
    </row>
    <row r="24" spans="1:106" ht="11.15" customHeight="1" thickTop="1" x14ac:dyDescent="0.35">
      <c r="A24" s="132" t="s">
        <v>265</v>
      </c>
      <c r="B24" s="237">
        <f>C24-B4+B9</f>
        <v>3745648.9330878514</v>
      </c>
      <c r="C24" s="237">
        <f>D24-C4+C9</f>
        <v>3276190.995012017</v>
      </c>
      <c r="D24" s="237">
        <f>E24-D4+D9</f>
        <v>2863747.5463716253</v>
      </c>
      <c r="E24" s="237">
        <f>G24-E4+E9</f>
        <v>3262170.7978857327</v>
      </c>
      <c r="F24" s="226">
        <f>E24</f>
        <v>3262170.7978857327</v>
      </c>
      <c r="G24" s="237">
        <f>H24-G4+G9</f>
        <v>5247513.5184020353</v>
      </c>
      <c r="H24" s="237">
        <f>I24-H4+H9</f>
        <v>5303052.4667221289</v>
      </c>
      <c r="I24" s="237">
        <f>J24-I4+I9</f>
        <v>5252149.4785764385</v>
      </c>
      <c r="J24" s="237">
        <f>L24-J4+J9</f>
        <v>5620095.743930487</v>
      </c>
      <c r="K24" s="226">
        <f>J24</f>
        <v>5620095.743930487</v>
      </c>
      <c r="L24" s="237">
        <f>M24-L4+L9</f>
        <v>6748539.3343263958</v>
      </c>
      <c r="M24" s="237">
        <f>N24-M4+M9</f>
        <v>6418316.0236731516</v>
      </c>
      <c r="N24" s="525">
        <v>6193607.9317943323</v>
      </c>
      <c r="O24" s="525">
        <v>6626403.4276557527</v>
      </c>
      <c r="P24" s="226">
        <f>O24</f>
        <v>6626403.4276557527</v>
      </c>
      <c r="Q24" s="525">
        <v>6339900.0000000028</v>
      </c>
      <c r="R24" s="525">
        <v>6163143.4770309245</v>
      </c>
      <c r="S24" s="525">
        <v>6233546.9643173665</v>
      </c>
      <c r="T24" s="525">
        <v>6704007.3272383129</v>
      </c>
      <c r="U24" s="226">
        <f>T24</f>
        <v>6704007.3272383129</v>
      </c>
      <c r="V24" s="525">
        <v>7186870.5964534134</v>
      </c>
      <c r="W24" s="525">
        <v>7020240.8280668249</v>
      </c>
      <c r="X24" s="525">
        <v>6905442.6538518965</v>
      </c>
      <c r="Y24" s="525">
        <v>7331129.6052125953</v>
      </c>
      <c r="Z24" s="226">
        <f>Y24</f>
        <v>7331129.6052125953</v>
      </c>
      <c r="AA24" s="525">
        <v>6918714.1542214006</v>
      </c>
      <c r="AB24" s="525">
        <v>7250280.8146858132</v>
      </c>
      <c r="AC24" s="525">
        <v>6853322.6444827151</v>
      </c>
      <c r="AD24" s="525">
        <v>6563219.2247192208</v>
      </c>
      <c r="AE24" s="226">
        <f>AD24</f>
        <v>6563219.2247192208</v>
      </c>
      <c r="AF24" s="525">
        <v>6479984.4762304816</v>
      </c>
      <c r="AG24" s="525">
        <v>6558360.8434356935</v>
      </c>
      <c r="AH24" s="525">
        <v>6412262.2816500273</v>
      </c>
      <c r="AI24" s="525">
        <v>6537331.7426089318</v>
      </c>
      <c r="AJ24" s="226">
        <f>AI24</f>
        <v>6537331.7426089318</v>
      </c>
      <c r="AK24" s="525">
        <v>6645898.1099341456</v>
      </c>
      <c r="AL24" s="525">
        <v>6441346.6553468006</v>
      </c>
      <c r="AM24" s="525">
        <v>6212182.5875440175</v>
      </c>
      <c r="AN24" s="525">
        <v>6175519.3634966472</v>
      </c>
      <c r="AO24" s="226">
        <f>AN24</f>
        <v>6175519.3634966472</v>
      </c>
      <c r="AP24" s="525">
        <v>5912804.1439173063</v>
      </c>
      <c r="AQ24" s="525">
        <v>5789294.7603386315</v>
      </c>
      <c r="AR24" s="525">
        <v>5574344.2539312122</v>
      </c>
      <c r="AS24" s="525">
        <v>5664065.1286032517</v>
      </c>
      <c r="AT24" s="226">
        <f>AS24</f>
        <v>5664065.1286032517</v>
      </c>
      <c r="AU24" s="525">
        <v>4148544.0675220862</v>
      </c>
      <c r="AV24" s="525">
        <v>4445162.7336126864</v>
      </c>
      <c r="AW24" s="525">
        <v>4289371.4771361882</v>
      </c>
      <c r="AX24" s="525">
        <v>4340042.9178582421</v>
      </c>
      <c r="AY24" s="226">
        <f>AX24</f>
        <v>4340042.9178582421</v>
      </c>
      <c r="AZ24" s="525">
        <v>4479741.7942848969</v>
      </c>
      <c r="BA24" s="525">
        <v>4248451.8303872319</v>
      </c>
      <c r="BB24" s="525">
        <v>4301200.7935480075</v>
      </c>
      <c r="BC24" s="525">
        <v>5474365.5413125446</v>
      </c>
      <c r="BD24" s="226">
        <f>BC24</f>
        <v>5474365.5413125446</v>
      </c>
      <c r="BE24" s="525">
        <v>4894824.2832177058</v>
      </c>
      <c r="BF24" s="525">
        <v>5481962.8485353841</v>
      </c>
      <c r="BG24" s="525">
        <v>6480644.2330162097</v>
      </c>
      <c r="BH24" s="525">
        <v>7472857.382186505</v>
      </c>
      <c r="BI24" s="226">
        <f>BH24</f>
        <v>7472857.382186505</v>
      </c>
      <c r="BJ24" s="525">
        <v>7215172.530075985</v>
      </c>
      <c r="BK24" s="525">
        <v>8141063.9603986889</v>
      </c>
      <c r="BL24" s="525">
        <v>8911029.9131825231</v>
      </c>
      <c r="BM24" s="525">
        <v>9068984.8793603666</v>
      </c>
      <c r="BN24" s="226">
        <f>BM24</f>
        <v>9068984.8793603666</v>
      </c>
      <c r="BO24" s="525">
        <v>8693628.8514928725</v>
      </c>
      <c r="BP24" s="525">
        <v>9766861.8061559722</v>
      </c>
      <c r="BQ24" s="525">
        <v>9761039.5965918936</v>
      </c>
      <c r="BR24" s="525">
        <v>9934008.5458056685</v>
      </c>
      <c r="BS24" s="226">
        <f>BR24</f>
        <v>9934008.5458056685</v>
      </c>
      <c r="BT24" s="525">
        <v>9477622.3108091857</v>
      </c>
      <c r="BU24" s="525">
        <v>8669821.4032379892</v>
      </c>
      <c r="BV24" s="525">
        <v>8692990.9361964483</v>
      </c>
      <c r="BW24" s="525">
        <v>10554438.634326812</v>
      </c>
      <c r="BX24" s="226">
        <f>BW24</f>
        <v>10554438.634326812</v>
      </c>
      <c r="BY24" s="525">
        <v>12408092.213226682</v>
      </c>
      <c r="BZ24" s="525">
        <v>13382852.833263393</v>
      </c>
      <c r="CA24" s="525">
        <v>15043271.443481915</v>
      </c>
      <c r="CB24" s="525">
        <v>16255000</v>
      </c>
      <c r="CC24" s="226">
        <f>CB24</f>
        <v>16255000</v>
      </c>
      <c r="CD24" s="525">
        <v>15416000</v>
      </c>
      <c r="CE24" s="525">
        <v>17181000</v>
      </c>
      <c r="CF24" s="237">
        <f>CE24+(CF4-CF9)</f>
        <v>17895969.577670228</v>
      </c>
      <c r="CG24" s="237">
        <f>CF24+(CG4-CG9)</f>
        <v>18249480.973464832</v>
      </c>
      <c r="CH24" s="226">
        <f>CG24</f>
        <v>18249480.973464832</v>
      </c>
      <c r="CI24" s="237">
        <f>CH24+(CI4-CI9)</f>
        <v>17894670.620008603</v>
      </c>
      <c r="CJ24" s="237">
        <f>CI24+(CJ4-CJ9)</f>
        <v>17854188.594977405</v>
      </c>
      <c r="CK24" s="237">
        <f>CJ24+(CK4-CK9)</f>
        <v>18483781.359190915</v>
      </c>
      <c r="CL24" s="237">
        <f>CK24+(CL4-CL9)</f>
        <v>19252035.685000598</v>
      </c>
      <c r="CM24" s="226">
        <f>CL24</f>
        <v>19252035.685000598</v>
      </c>
      <c r="CN24" s="237">
        <f>CM24+(CN4-CN9)</f>
        <v>18136430.900578398</v>
      </c>
      <c r="CO24" s="237">
        <f>CN24+(CO4-CO9)</f>
        <v>17986962.307085656</v>
      </c>
      <c r="CP24" s="237">
        <f>CO24+(CP4-CP9)</f>
        <v>18524269.221773162</v>
      </c>
      <c r="CQ24" s="237">
        <f>CP24+(CQ4-CQ9)</f>
        <v>19736782.459115326</v>
      </c>
      <c r="CR24" s="226">
        <f>CQ24</f>
        <v>19736782.459115326</v>
      </c>
      <c r="CS24" s="237">
        <f>CR24+(CS4-CS9)</f>
        <v>18523477.437182508</v>
      </c>
      <c r="CT24" s="237">
        <f>CS24+(CT4-CT9)</f>
        <v>18323593.034573492</v>
      </c>
      <c r="CU24" s="237">
        <f>CT24+(CU4-CU9)</f>
        <v>18838891.979136813</v>
      </c>
      <c r="CV24" s="237">
        <f>CU24+(CV4-CV9)</f>
        <v>20049051.603964467</v>
      </c>
      <c r="CW24" s="226">
        <f>CV24</f>
        <v>20049051.603964467</v>
      </c>
      <c r="CX24" s="237">
        <f>CW24+(CX4-CX9)</f>
        <v>18947400.804741122</v>
      </c>
      <c r="CY24" s="237">
        <f>CX24+(CY4-CY9)</f>
        <v>18860880.566544823</v>
      </c>
      <c r="CZ24" s="237">
        <f>CY24+(CZ4-CZ9)</f>
        <v>19484068.898736883</v>
      </c>
      <c r="DA24" s="237">
        <f>CZ24+(DA4-DA9)</f>
        <v>20803740.856250122</v>
      </c>
      <c r="DB24" s="226">
        <f>DA24</f>
        <v>20803740.856250122</v>
      </c>
    </row>
    <row r="25" spans="1:106" s="31" customFormat="1" ht="11.25" customHeight="1" outlineLevel="1" x14ac:dyDescent="0.35">
      <c r="A25" s="30" t="s">
        <v>264</v>
      </c>
      <c r="B25" s="148"/>
      <c r="C25" s="469"/>
      <c r="D25" s="148"/>
      <c r="E25" s="470">
        <f>117000+626500+1807300/3</f>
        <v>1345933.3333333335</v>
      </c>
      <c r="F25" s="71">
        <f>E25</f>
        <v>1345933.3333333335</v>
      </c>
      <c r="G25" s="148">
        <f>H25-(I25-E25)/3</f>
        <v>1841955.5555555557</v>
      </c>
      <c r="H25" s="148">
        <f>I25-(I25-E25)/3</f>
        <v>2337977.777777778</v>
      </c>
      <c r="I25" s="470">
        <f>2834000</f>
        <v>2834000</v>
      </c>
      <c r="J25" s="470">
        <f>1655000+2231000/4</f>
        <v>2212750</v>
      </c>
      <c r="K25" s="71">
        <f>J25</f>
        <v>2212750</v>
      </c>
      <c r="L25" s="470">
        <f>1746000+188500/2</f>
        <v>1840250</v>
      </c>
      <c r="M25" s="470">
        <f>1416000+1809000/2</f>
        <v>2320500</v>
      </c>
      <c r="N25" s="470">
        <f>25.7%*N24+37%/2*N24</f>
        <v>2737574.7058530948</v>
      </c>
      <c r="O25" s="470">
        <f>29.2%*O24+34.5%/2*O24</f>
        <v>3077964.3921460966</v>
      </c>
      <c r="P25" s="71">
        <f>O25</f>
        <v>3077964.3921460966</v>
      </c>
      <c r="Q25" s="470">
        <f>9.8%*Q24+29.7%/2*Q24</f>
        <v>1562785.3500000006</v>
      </c>
      <c r="R25" s="470">
        <f>18%*R24+26.2%/2*R24</f>
        <v>1916737.6213566174</v>
      </c>
      <c r="S25" s="470">
        <v>1391000</v>
      </c>
      <c r="T25" s="470">
        <f>1996000*80%+308000</f>
        <v>1904800</v>
      </c>
      <c r="U25" s="71">
        <f>T25</f>
        <v>1904800</v>
      </c>
      <c r="V25" s="470">
        <v>1177000</v>
      </c>
      <c r="W25" s="470">
        <f>0.8*1478000</f>
        <v>1182400</v>
      </c>
      <c r="X25" s="470">
        <f>W4*54%+X4*68%</f>
        <v>1012874.062983989</v>
      </c>
      <c r="Y25" s="470">
        <f>47%*X4+61%*Y4</f>
        <v>1746695.574717928</v>
      </c>
      <c r="Z25" s="71">
        <f>Y25</f>
        <v>1746695.574717928</v>
      </c>
      <c r="AA25" s="471">
        <f>(Y4*40%+AA4*70%)*85%</f>
        <v>1043751.6821672202</v>
      </c>
      <c r="AB25" s="471">
        <f t="shared" ref="AB25:AX25" si="19">(AA4*40%+AB4*70%)*85%</f>
        <v>791564.85352204554</v>
      </c>
      <c r="AC25" s="471">
        <f t="shared" si="19"/>
        <v>725464.60178948939</v>
      </c>
      <c r="AD25" s="471">
        <f>(AC4*40%+AD4*70%)*85%</f>
        <v>659500.40917123936</v>
      </c>
      <c r="AE25" s="71">
        <f>AD25</f>
        <v>659500.40917123936</v>
      </c>
      <c r="AF25" s="471">
        <f>(AD4*40%+AF4*70%)*85%</f>
        <v>623132.63904461812</v>
      </c>
      <c r="AG25" s="471">
        <f t="shared" si="19"/>
        <v>564335.3248397765</v>
      </c>
      <c r="AH25" s="471">
        <f t="shared" si="19"/>
        <v>472262.72136728402</v>
      </c>
      <c r="AI25" s="471">
        <f>(AH4*40%+AI4*70%)*85%</f>
        <v>911709.78318219271</v>
      </c>
      <c r="AJ25" s="71">
        <f>AI25</f>
        <v>911709.78318219271</v>
      </c>
      <c r="AK25" s="471">
        <f>(AI4*40%+AK4*70%)*85%</f>
        <v>797160.14075918228</v>
      </c>
      <c r="AL25" s="471">
        <f t="shared" si="19"/>
        <v>589028.03402727796</v>
      </c>
      <c r="AM25" s="471">
        <f t="shared" si="19"/>
        <v>534193.46703277645</v>
      </c>
      <c r="AN25" s="471">
        <f t="shared" si="19"/>
        <v>936015.78199394431</v>
      </c>
      <c r="AO25" s="71">
        <f>AN25</f>
        <v>936015.78199394431</v>
      </c>
      <c r="AP25" s="471">
        <f>(AN4*40%+AP4*70%)*85%</f>
        <v>689909.77380047424</v>
      </c>
      <c r="AQ25" s="471">
        <f t="shared" si="19"/>
        <v>731559.1518286143</v>
      </c>
      <c r="AR25" s="471">
        <f t="shared" si="19"/>
        <v>880055.09026996465</v>
      </c>
      <c r="AS25" s="471">
        <f>(AR4*40%+AS4*70%)*85%</f>
        <v>1921814.8500676616</v>
      </c>
      <c r="AT25" s="71">
        <f>AS25</f>
        <v>1921814.8500676616</v>
      </c>
      <c r="AU25" s="471">
        <f>(AS4*40%+AU4*70%)*85%</f>
        <v>1182996.6304839274</v>
      </c>
      <c r="AV25" s="471">
        <f t="shared" si="19"/>
        <v>1059561.0035739036</v>
      </c>
      <c r="AW25" s="471">
        <f t="shared" si="19"/>
        <v>1107799.6880392334</v>
      </c>
      <c r="AX25" s="471">
        <f t="shared" si="19"/>
        <v>1167800.7753056295</v>
      </c>
      <c r="AY25" s="71">
        <f>AX25</f>
        <v>1167800.7753056295</v>
      </c>
      <c r="AZ25" s="471">
        <f>(AX4*40%+AZ4*70%)*85%</f>
        <v>1108637.9893116576</v>
      </c>
      <c r="BA25" s="471">
        <f>(AZ4*40%+BA4*70%)*85%</f>
        <v>513200.2230913706</v>
      </c>
      <c r="BB25" s="471">
        <f>(BA4*40%+BB4*70%)*85%</f>
        <v>1068863.034485457</v>
      </c>
      <c r="BC25" s="471">
        <f>(BB4*40%+BC4*70%)*85%</f>
        <v>2271032.7388407271</v>
      </c>
      <c r="BD25" s="71">
        <f>BC25</f>
        <v>2271032.7388407271</v>
      </c>
      <c r="BE25" s="471">
        <f>(BC4*40%+BE4*70%)*85%</f>
        <v>1227639.5779978731</v>
      </c>
      <c r="BF25" s="471">
        <f>(BE4*40%+BF4*70%)*85%</f>
        <v>1291058.4159216648</v>
      </c>
      <c r="BG25" s="471">
        <f>(BF4*40%+BG4*70%)*85%</f>
        <v>1964706.547205749</v>
      </c>
      <c r="BH25" s="471">
        <f>(BG4*40%+BH4*70%)*85%</f>
        <v>2268038.6249486194</v>
      </c>
      <c r="BI25" s="71">
        <f>BH25</f>
        <v>2268038.6249486194</v>
      </c>
      <c r="BJ25" s="471">
        <f>(BH4*40%+BJ4*70%)*85%</f>
        <v>1486062.4570852218</v>
      </c>
      <c r="BK25" s="471">
        <f>(BJ4*40%+BK4*70%)*85%</f>
        <v>1736957.7445716464</v>
      </c>
      <c r="BL25" s="471">
        <f>(BK4*40%+BL4*70%)*85%</f>
        <v>2532961.8709047521</v>
      </c>
      <c r="BM25" s="471">
        <f>(BL4*40%+BM4*70%)*85%</f>
        <v>2674151.0619904483</v>
      </c>
      <c r="BN25" s="71">
        <f>BM25</f>
        <v>2674151.0619904483</v>
      </c>
      <c r="BO25" s="471">
        <f>(BM4*40%+BO4*70%)*85%</f>
        <v>1759383.6492477523</v>
      </c>
      <c r="BP25" s="471">
        <f>(BO4*40%+BP4*70%)*85%</f>
        <v>2548325.9462830611</v>
      </c>
      <c r="BQ25" s="471">
        <f>(BP4*40%+BQ4*70%)*85%</f>
        <v>2482843.4435805217</v>
      </c>
      <c r="BR25" s="471">
        <f>(BQ4*40%+BR4*70%)*85%</f>
        <v>2368414.9640083131</v>
      </c>
      <c r="BS25" s="71">
        <f>BR25</f>
        <v>2368414.9640083131</v>
      </c>
      <c r="BT25" s="471">
        <f>(BR4*40%+BT4*70%)*85%</f>
        <v>1944302.5611867553</v>
      </c>
      <c r="BU25" s="471">
        <f>(BT4*40%+BU4*70%)*85%</f>
        <v>1447550.9119376403</v>
      </c>
      <c r="BV25" s="471">
        <f>(BU4*40%+BV4*70%)*85%</f>
        <v>2354832.584383423</v>
      </c>
      <c r="BW25" s="471">
        <f>(BV4*40%+BW4*70%)*85%</f>
        <v>5070155.7761397129</v>
      </c>
      <c r="BX25" s="71">
        <f>BW25</f>
        <v>5070155.7761397129</v>
      </c>
      <c r="BY25" s="471">
        <f>(BW4*40%+BY4*70%)*85%</f>
        <v>5183578.6681582304</v>
      </c>
      <c r="BZ25" s="471">
        <f>(BY4*40%+BZ4*70%)*85%</f>
        <v>4108396.3674273696</v>
      </c>
      <c r="CA25" s="471">
        <f>(BZ4*40%+CA4*70%)*85%</f>
        <v>4407735.7231168868</v>
      </c>
      <c r="CB25" s="471">
        <f>(CA4*40%+CB4*70%)*85%</f>
        <v>4412939.3817674881</v>
      </c>
      <c r="CC25" s="71">
        <f>CB25</f>
        <v>4412939.3817674881</v>
      </c>
      <c r="CD25" s="471">
        <f>(CB4*40%+CD4*70%)*85%</f>
        <v>2985200</v>
      </c>
      <c r="CE25" s="471">
        <f>(CD4*40%+CE4*70%)*85%</f>
        <v>3780885</v>
      </c>
      <c r="CF25" s="510">
        <f>(CE4*40%+CF4*70%)*85%</f>
        <v>4204755.8963700999</v>
      </c>
      <c r="CG25" s="510">
        <f>(CF4*40%+CG4*70%)*85%</f>
        <v>3856908.1048750416</v>
      </c>
      <c r="CH25" s="71">
        <f>CG25</f>
        <v>3856908.1048750416</v>
      </c>
      <c r="CI25" s="510">
        <f>(CG4*40%+CI4*70%)*85%</f>
        <v>3319203.1705209166</v>
      </c>
      <c r="CJ25" s="510">
        <f>(CI4*40%+CJ4*70%)*85%</f>
        <v>3237220.9046736443</v>
      </c>
      <c r="CK25" s="510">
        <f>(CJ4*40%+CK4*70%)*85%</f>
        <v>3928934.7731936541</v>
      </c>
      <c r="CL25" s="510">
        <f>(CK4*40%+CL4*70%)*85%</f>
        <v>4454637.3132688617</v>
      </c>
      <c r="CM25" s="71">
        <f>CL25</f>
        <v>4454637.3132688617</v>
      </c>
      <c r="CN25" s="510">
        <f>(CL4*40%+CN4*70%)*85%</f>
        <v>3163553.377676263</v>
      </c>
      <c r="CO25" s="510">
        <f>(CN4*40%+CO4*70%)*85%</f>
        <v>3064154.0947699379</v>
      </c>
      <c r="CP25" s="510">
        <f>(CO4*40%+CP4*70%)*85%</f>
        <v>4066447.4902554317</v>
      </c>
      <c r="CQ25" s="510">
        <f>(CP4*40%+CQ4*70%)*85%</f>
        <v>5111696.3169760173</v>
      </c>
      <c r="CR25" s="71">
        <f>CQ25</f>
        <v>5111696.3169760173</v>
      </c>
      <c r="CS25" s="510">
        <f>(CQ4*40%+CS4*70%)*85%</f>
        <v>3560647.2874622159</v>
      </c>
      <c r="CT25" s="510">
        <f>(CS4*40%+CT4*70%)*85%</f>
        <v>3171399.4880868848</v>
      </c>
      <c r="CU25" s="510">
        <f>(CT4*40%+CU4*70%)*85%</f>
        <v>4208773.1524143703</v>
      </c>
      <c r="CV25" s="510">
        <f>(CU4*40%+CV4*70%)*85%</f>
        <v>5290605.6880701771</v>
      </c>
      <c r="CW25" s="71">
        <f>CV25</f>
        <v>5290605.6880701771</v>
      </c>
      <c r="CX25" s="510">
        <f>(CV4*40%+CX4*70%)*85%</f>
        <v>3685269.9425233933</v>
      </c>
      <c r="CY25" s="510">
        <f>(CX4*40%+CY4*70%)*85%</f>
        <v>3282398.4701699256</v>
      </c>
      <c r="CZ25" s="510">
        <f>(CY4*40%+CZ4*70%)*85%</f>
        <v>4356080.212748874</v>
      </c>
      <c r="DA25" s="510">
        <f>(CZ4*40%+DA4*70%)*85%</f>
        <v>5475776.8871526327</v>
      </c>
      <c r="DB25" s="71">
        <f>DA25</f>
        <v>5475776.8871526327</v>
      </c>
    </row>
    <row r="26" spans="1:106" s="31" customFormat="1" ht="11.25" customHeight="1" outlineLevel="1" x14ac:dyDescent="0.35">
      <c r="A26" s="30" t="s">
        <v>321</v>
      </c>
      <c r="B26" s="148"/>
      <c r="C26" s="469"/>
      <c r="D26" s="148"/>
      <c r="E26" s="470">
        <f>4890200-E25-E27</f>
        <v>2913366.6666666665</v>
      </c>
      <c r="F26" s="71">
        <f>E26</f>
        <v>2913366.6666666665</v>
      </c>
      <c r="G26" s="148">
        <f>H26-(I26-E26)/3</f>
        <v>2913911.111111111</v>
      </c>
      <c r="H26" s="148">
        <f>I26-(I26-E26)/3</f>
        <v>2914455.5555555555</v>
      </c>
      <c r="I26" s="470">
        <f>5749000-I25</f>
        <v>2915000</v>
      </c>
      <c r="J26" s="470">
        <f>6515000-J25</f>
        <v>4302250</v>
      </c>
      <c r="K26" s="71">
        <f>J26</f>
        <v>4302250</v>
      </c>
      <c r="L26" s="470">
        <f>6405000-L25</f>
        <v>4564750</v>
      </c>
      <c r="M26" s="470">
        <f>6246000-M25</f>
        <v>3925500</v>
      </c>
      <c r="N26" s="148">
        <f>N24-N25-N27</f>
        <v>2501588.9315073863</v>
      </c>
      <c r="O26" s="148">
        <f>O24-O25-O27</f>
        <v>2595753.4048151816</v>
      </c>
      <c r="P26" s="71">
        <f>O26</f>
        <v>2595753.4048151816</v>
      </c>
      <c r="Q26" s="148">
        <f>Q24-Q25-Q27</f>
        <v>3933674.6500000036</v>
      </c>
      <c r="R26" s="148">
        <f>R24-R25-R27</f>
        <v>3407719.6787624266</v>
      </c>
      <c r="S26" s="148">
        <f>S24-S25-S27</f>
        <v>3906511.9489561608</v>
      </c>
      <c r="T26" s="148">
        <f>T24-T25-T27</f>
        <v>3828287.2870712047</v>
      </c>
      <c r="U26" s="71">
        <f>T26</f>
        <v>3828287.2870712047</v>
      </c>
      <c r="V26" s="148">
        <f>V24-V25-V27</f>
        <v>4910836.4563122429</v>
      </c>
      <c r="W26" s="148">
        <f>W24-W25-W27</f>
        <v>4752517.6359559614</v>
      </c>
      <c r="X26" s="148">
        <f>X24-X25-X27</f>
        <v>4649181.3802660443</v>
      </c>
      <c r="Y26" s="148">
        <f>Y24-Y25-Y27</f>
        <v>4205621.6028025728</v>
      </c>
      <c r="Z26" s="71">
        <f>Y26</f>
        <v>4205621.6028025728</v>
      </c>
      <c r="AA26" s="148">
        <f>AA24-AA25-AA27</f>
        <v>4318157.6583478022</v>
      </c>
      <c r="AB26" s="148">
        <f>AB24-AB25-AB27</f>
        <v>4667332.9753122386</v>
      </c>
      <c r="AC26" s="148">
        <f>AC24-AC25-AC27</f>
        <v>4384782.4625375587</v>
      </c>
      <c r="AD26" s="148">
        <f>AD24-AD25-AD27</f>
        <v>4276489.9048725516</v>
      </c>
      <c r="AE26" s="71">
        <f>AD26</f>
        <v>4276489.9048725516</v>
      </c>
      <c r="AF26" s="148">
        <f>AF24-AF25-AF27</f>
        <v>3900098.3560391422</v>
      </c>
      <c r="AG26" s="148">
        <f>AG24-AG25-AG27</f>
        <v>3885704.2158013666</v>
      </c>
      <c r="AH26" s="148">
        <f>AH24-AH25-AH27</f>
        <v>3798489.2971653952</v>
      </c>
      <c r="AI26" s="148">
        <f>AI24-AI25-AI27</f>
        <v>3223627.0421445291</v>
      </c>
      <c r="AJ26" s="71">
        <f>AI26</f>
        <v>3223627.0421445291</v>
      </c>
      <c r="AK26" s="148">
        <f>AK24-AK25-AK27</f>
        <v>3396065.0812370111</v>
      </c>
      <c r="AL26" s="148">
        <f>AL24-AL25-AL27</f>
        <v>3386236.6694152071</v>
      </c>
      <c r="AM26" s="148">
        <f>AM24-AM25-AM27</f>
        <v>3021491.486629799</v>
      </c>
      <c r="AN26" s="148">
        <f>AN24-AN25-AN27</f>
        <v>2651721.7773555983</v>
      </c>
      <c r="AO26" s="71">
        <f>AN26</f>
        <v>2651721.7773555983</v>
      </c>
      <c r="AP26" s="148">
        <f>AP24-AP25-AP27</f>
        <v>2627921.0575328451</v>
      </c>
      <c r="AQ26" s="148">
        <f>AQ24-AQ25-AQ27</f>
        <v>1955441.8267869949</v>
      </c>
      <c r="AR26" s="148">
        <f>AR24-AR25-AR27</f>
        <v>1851514.5221577953</v>
      </c>
      <c r="AS26" s="148">
        <f>AS24-AS25-AS27</f>
        <v>1249685.7310562786</v>
      </c>
      <c r="AT26" s="71">
        <f>AS26</f>
        <v>1249685.7310562786</v>
      </c>
      <c r="AU26" s="148">
        <f>AU24-AU25-AU27</f>
        <v>844035.07062771311</v>
      </c>
      <c r="AV26" s="148">
        <f>AV24-AV25-AV27</f>
        <v>1357531.126470994</v>
      </c>
      <c r="AW26" s="148">
        <f>AW24-AW25-AW27</f>
        <v>1346248.1717793935</v>
      </c>
      <c r="AX26" s="148">
        <f>AX24-AX25-AX27</f>
        <v>1382907.9393795948</v>
      </c>
      <c r="AY26" s="71">
        <f>AX26</f>
        <v>1382907.9393795948</v>
      </c>
      <c r="AZ26" s="148">
        <f>AZ24-AZ25-AZ27</f>
        <v>1653948.2479920886</v>
      </c>
      <c r="BA26" s="148">
        <f>BA24-BA25-BA27</f>
        <v>2127719.4738904671</v>
      </c>
      <c r="BB26" s="148">
        <f>BB24-BB25-BB27</f>
        <v>1771353.6982663069</v>
      </c>
      <c r="BC26" s="148">
        <f>BC24-BC25-BC27</f>
        <v>1674183.4319769684</v>
      </c>
      <c r="BD26" s="71">
        <f>BC26</f>
        <v>1674183.4319769684</v>
      </c>
      <c r="BE26" s="148">
        <f>BE24-BE25-BE27</f>
        <v>2397908.029182855</v>
      </c>
      <c r="BF26" s="148">
        <f>BF24-BF25-BF27</f>
        <v>3068155.3001895454</v>
      </c>
      <c r="BG26" s="148">
        <f>BG24-BG25-BG27</f>
        <v>3543281.8972345553</v>
      </c>
      <c r="BH26" s="148">
        <f>BH24-BH25-BH27</f>
        <v>4217483.2278944803</v>
      </c>
      <c r="BI26" s="71">
        <f>BH26</f>
        <v>4217483.2278944803</v>
      </c>
      <c r="BJ26" s="148">
        <f>BJ24-BJ25-BJ27</f>
        <v>4686439.227496231</v>
      </c>
      <c r="BK26" s="148">
        <f>BK24-BK25-BK27</f>
        <v>5330836.4542711666</v>
      </c>
      <c r="BL26" s="148">
        <f>BL24-BL25-BL27</f>
        <v>5094586.6478575142</v>
      </c>
      <c r="BM26" s="148">
        <f>BM24-BM25-BM27</f>
        <v>5195573.9006455708</v>
      </c>
      <c r="BN26" s="71">
        <f>BM26</f>
        <v>5195573.9006455708</v>
      </c>
      <c r="BO26" s="148">
        <f>BO24-BO25-BO27</f>
        <v>5686242.5768797919</v>
      </c>
      <c r="BP26" s="148">
        <f>BP24-BP25-BP27</f>
        <v>5969225.8930516914</v>
      </c>
      <c r="BQ26" s="148">
        <f>BQ24-BQ25-BQ27</f>
        <v>5895798.5093967719</v>
      </c>
      <c r="BR26" s="148">
        <f>BR24-BR25-BR27</f>
        <v>5979109.3704903219</v>
      </c>
      <c r="BS26" s="71">
        <f>BR26</f>
        <v>5979109.3704903219</v>
      </c>
      <c r="BT26" s="148">
        <f>BT24-BT25-BT27</f>
        <v>6116203.3510883935</v>
      </c>
      <c r="BU26" s="148">
        <f>BU24-BU25-BU27</f>
        <v>5907998.0960452594</v>
      </c>
      <c r="BV26" s="148">
        <f>BV24-BV25-BV27</f>
        <v>5022533.2224080358</v>
      </c>
      <c r="BW26" s="148">
        <f>BW24-BW25-BW27</f>
        <v>3969674.6731242342</v>
      </c>
      <c r="BX26" s="71">
        <f>BW26</f>
        <v>3969674.6731242342</v>
      </c>
      <c r="BY26" s="148">
        <f>BY24-BY25-BY27</f>
        <v>5685940.6787333041</v>
      </c>
      <c r="BZ26" s="148">
        <f>BZ24-BZ25-BZ27</f>
        <v>7307920.6647581346</v>
      </c>
      <c r="CA26" s="148">
        <f>CA24-CA25-CA27</f>
        <v>8567284.309263505</v>
      </c>
      <c r="CB26" s="148">
        <f>CB24-CB25-CB27</f>
        <v>9598777.8534265459</v>
      </c>
      <c r="CC26" s="71">
        <f>CB26</f>
        <v>9598777.8534265459</v>
      </c>
      <c r="CD26" s="148">
        <f>CD24-CD25-CD27</f>
        <v>10364331.790001983</v>
      </c>
      <c r="CE26" s="148">
        <f>CE24-CE25-CE27</f>
        <v>11251783.889235102</v>
      </c>
      <c r="CF26" s="148">
        <f>CF24-CF25-CF27</f>
        <v>11629222.558697144</v>
      </c>
      <c r="CG26" s="148">
        <f>CG24-CG25-CG27</f>
        <v>12355026.074401405</v>
      </c>
      <c r="CH26" s="71">
        <f>CG26</f>
        <v>12355026.074401405</v>
      </c>
      <c r="CI26" s="148">
        <f>CI24-CI25-CI27</f>
        <v>12514729.84231969</v>
      </c>
      <c r="CJ26" s="148">
        <f>CJ24-CJ25-CJ27</f>
        <v>12528868.156070461</v>
      </c>
      <c r="CK26" s="148">
        <f>CK24-CK25-CK27</f>
        <v>12407421.77805575</v>
      </c>
      <c r="CL26" s="148">
        <f>CL24-CL25-CL27</f>
        <v>12577204.965032242</v>
      </c>
      <c r="CM26" s="71">
        <f>CL26</f>
        <v>12577204.965032242</v>
      </c>
      <c r="CN26" s="148">
        <f>CN24-CN25-CN27</f>
        <v>12681730.137495123</v>
      </c>
      <c r="CO26" s="148">
        <f>CO24-CO25-CO27</f>
        <v>12527530.704030374</v>
      </c>
      <c r="CP26" s="148">
        <f>CP24-CP25-CP27</f>
        <v>11960209.249932572</v>
      </c>
      <c r="CQ26" s="148">
        <f>CQ24-CQ25-CQ27</f>
        <v>12073876.969049152</v>
      </c>
      <c r="CR26" s="71">
        <f>CQ26</f>
        <v>12073876.969049152</v>
      </c>
      <c r="CS26" s="148">
        <f>CS24-CS25-CS27</f>
        <v>12386152.463722348</v>
      </c>
      <c r="CT26" s="148">
        <f>CT24-CT25-CT27</f>
        <v>12560690.387253387</v>
      </c>
      <c r="CU26" s="148">
        <f>CU24-CU25-CU27</f>
        <v>12032174.137161396</v>
      </c>
      <c r="CV26" s="148">
        <f>CV24-CV25-CV27</f>
        <v>12150629.84892047</v>
      </c>
      <c r="CW26" s="71">
        <f>CV26</f>
        <v>12150629.84892047</v>
      </c>
      <c r="CX26" s="148">
        <f>CX24-CX25-CX27</f>
        <v>12644689.248534899</v>
      </c>
      <c r="CY26" s="148">
        <f>CY24-CY25-CY27</f>
        <v>12968621.783324111</v>
      </c>
      <c r="CZ26" s="148">
        <f>CZ24-CZ25-CZ27</f>
        <v>12518470.679924266</v>
      </c>
      <c r="DA26" s="148">
        <f>DA24-DA25-DA27</f>
        <v>12695862.569108538</v>
      </c>
      <c r="DB26" s="71">
        <f>DA26</f>
        <v>12695862.569108538</v>
      </c>
    </row>
    <row r="27" spans="1:106" s="31" customFormat="1" ht="11.25" customHeight="1" outlineLevel="1" x14ac:dyDescent="0.35">
      <c r="A27" s="30" t="s">
        <v>40</v>
      </c>
      <c r="B27" s="148"/>
      <c r="C27" s="469"/>
      <c r="D27" s="148"/>
      <c r="E27" s="470">
        <v>630900</v>
      </c>
      <c r="F27" s="71">
        <f>E27</f>
        <v>630900</v>
      </c>
      <c r="G27" s="148">
        <f>H27-(I27-E27)/3</f>
        <v>696266.66666666674</v>
      </c>
      <c r="H27" s="148">
        <f>I27-(I27-E27)/3</f>
        <v>761633.33333333337</v>
      </c>
      <c r="I27" s="470">
        <v>827000</v>
      </c>
      <c r="J27" s="470">
        <v>766000</v>
      </c>
      <c r="K27" s="71">
        <f>J27</f>
        <v>766000</v>
      </c>
      <c r="L27" s="470">
        <v>805000</v>
      </c>
      <c r="M27" s="470">
        <v>925000</v>
      </c>
      <c r="N27" s="470">
        <v>954444.29443385149</v>
      </c>
      <c r="O27" s="470">
        <v>952685.63069447456</v>
      </c>
      <c r="P27" s="71">
        <f>O27</f>
        <v>952685.63069447456</v>
      </c>
      <c r="Q27" s="470">
        <v>843439.99999999872</v>
      </c>
      <c r="R27" s="470">
        <v>838686.17691188003</v>
      </c>
      <c r="S27" s="470">
        <v>936035.01536120567</v>
      </c>
      <c r="T27" s="470">
        <v>970920.04016710818</v>
      </c>
      <c r="U27" s="71">
        <f>T27</f>
        <v>970920.04016710818</v>
      </c>
      <c r="V27" s="470">
        <v>1099034.14014117</v>
      </c>
      <c r="W27" s="470">
        <v>1085323.192110863</v>
      </c>
      <c r="X27" s="470">
        <v>1243387.2106018639</v>
      </c>
      <c r="Y27" s="470">
        <v>1378812.4276920953</v>
      </c>
      <c r="Z27" s="71">
        <f>Y27</f>
        <v>1378812.4276920953</v>
      </c>
      <c r="AA27" s="470">
        <v>1556804.8137063789</v>
      </c>
      <c r="AB27" s="470">
        <v>1791382.9858515291</v>
      </c>
      <c r="AC27" s="470">
        <v>1743075.5801556665</v>
      </c>
      <c r="AD27" s="470">
        <v>1627228.91067543</v>
      </c>
      <c r="AE27" s="71">
        <f>AD27</f>
        <v>1627228.91067543</v>
      </c>
      <c r="AF27" s="470">
        <v>1956753.4811467214</v>
      </c>
      <c r="AG27" s="470">
        <v>2108321.3027945505</v>
      </c>
      <c r="AH27" s="470">
        <v>2141510.2631173483</v>
      </c>
      <c r="AI27" s="470">
        <v>2401994.9172822102</v>
      </c>
      <c r="AJ27" s="71">
        <f>AI27</f>
        <v>2401994.9172822102</v>
      </c>
      <c r="AK27" s="470">
        <v>2452672.8879379523</v>
      </c>
      <c r="AL27" s="470">
        <v>2466081.951904316</v>
      </c>
      <c r="AM27" s="470">
        <v>2656497.6338814422</v>
      </c>
      <c r="AN27" s="470">
        <v>2587781.8041471047</v>
      </c>
      <c r="AO27" s="71">
        <f>AN27</f>
        <v>2587781.8041471047</v>
      </c>
      <c r="AP27" s="470">
        <v>2594973.3125839867</v>
      </c>
      <c r="AQ27" s="470">
        <v>3102293.7817230225</v>
      </c>
      <c r="AR27" s="470">
        <v>2842774.6415034519</v>
      </c>
      <c r="AS27" s="470">
        <v>2492564.5474793115</v>
      </c>
      <c r="AT27" s="71">
        <f>AS27</f>
        <v>2492564.5474793115</v>
      </c>
      <c r="AU27" s="470">
        <v>2121512.3664104459</v>
      </c>
      <c r="AV27" s="470">
        <v>2028070.6035677886</v>
      </c>
      <c r="AW27" s="470">
        <v>1835323.6173175613</v>
      </c>
      <c r="AX27" s="470">
        <v>1789334.2031730176</v>
      </c>
      <c r="AY27" s="71">
        <f>AX27</f>
        <v>1789334.2031730176</v>
      </c>
      <c r="AZ27" s="470">
        <v>1717155.5569811505</v>
      </c>
      <c r="BA27" s="470">
        <v>1607532.1334053944</v>
      </c>
      <c r="BB27" s="470">
        <v>1460984.0607962436</v>
      </c>
      <c r="BC27" s="470">
        <v>1529149.370494849</v>
      </c>
      <c r="BD27" s="71">
        <f>BC27</f>
        <v>1529149.370494849</v>
      </c>
      <c r="BE27" s="470">
        <v>1269276.6760369779</v>
      </c>
      <c r="BF27" s="470">
        <v>1122749.1324241736</v>
      </c>
      <c r="BG27" s="470">
        <v>972655.78857590561</v>
      </c>
      <c r="BH27" s="470">
        <v>987335.52934340481</v>
      </c>
      <c r="BI27" s="71">
        <f>BH27</f>
        <v>987335.52934340481</v>
      </c>
      <c r="BJ27" s="470">
        <v>1042670.8454945321</v>
      </c>
      <c r="BK27" s="470">
        <v>1073269.7615558759</v>
      </c>
      <c r="BL27" s="470">
        <v>1283481.3944202568</v>
      </c>
      <c r="BM27" s="470">
        <v>1199259.916724347</v>
      </c>
      <c r="BN27" s="71">
        <f>BM27</f>
        <v>1199259.916724347</v>
      </c>
      <c r="BO27" s="470">
        <v>1248002.6253653283</v>
      </c>
      <c r="BP27" s="470">
        <v>1249309.9668212195</v>
      </c>
      <c r="BQ27" s="470">
        <v>1382397.6436146004</v>
      </c>
      <c r="BR27" s="470">
        <v>1586484.2113070341</v>
      </c>
      <c r="BS27" s="71">
        <f>BR27</f>
        <v>1586484.2113070341</v>
      </c>
      <c r="BT27" s="470">
        <v>1417116.3985340376</v>
      </c>
      <c r="BU27" s="470">
        <v>1314272.39525509</v>
      </c>
      <c r="BV27" s="470">
        <v>1315625.1294049905</v>
      </c>
      <c r="BW27" s="470">
        <v>1514608.185062865</v>
      </c>
      <c r="BX27" s="71">
        <f>BW27</f>
        <v>1514608.185062865</v>
      </c>
      <c r="BY27" s="470">
        <v>1538572.8663351466</v>
      </c>
      <c r="BZ27" s="470">
        <v>1966535.801077889</v>
      </c>
      <c r="CA27" s="470">
        <v>2068251.4111015236</v>
      </c>
      <c r="CB27" s="470">
        <v>2243282.7648059661</v>
      </c>
      <c r="CC27" s="71">
        <f>CB27</f>
        <v>2243282.7648059661</v>
      </c>
      <c r="CD27" s="470">
        <v>2066468.2099980167</v>
      </c>
      <c r="CE27" s="470">
        <v>2148331.1107648988</v>
      </c>
      <c r="CF27" s="510">
        <f t="shared" ref="CE27:DA27" si="20">CE27*85%+CF49*10%</f>
        <v>2061991.1226029845</v>
      </c>
      <c r="CG27" s="510">
        <f t="shared" si="20"/>
        <v>2037546.7941883868</v>
      </c>
      <c r="CH27" s="71">
        <f>CG27</f>
        <v>2037546.7941883868</v>
      </c>
      <c r="CI27" s="510">
        <f t="shared" si="20"/>
        <v>2060737.6071679969</v>
      </c>
      <c r="CJ27" s="510">
        <f t="shared" si="20"/>
        <v>2088099.5342333005</v>
      </c>
      <c r="CK27" s="510">
        <f t="shared" si="20"/>
        <v>2147424.8079415122</v>
      </c>
      <c r="CL27" s="510">
        <f t="shared" si="20"/>
        <v>2220193.4066994926</v>
      </c>
      <c r="CM27" s="71">
        <f>CL27</f>
        <v>2220193.4066994926</v>
      </c>
      <c r="CN27" s="510">
        <f t="shared" si="20"/>
        <v>2291147.385407012</v>
      </c>
      <c r="CO27" s="510">
        <f t="shared" si="20"/>
        <v>2395277.5082853436</v>
      </c>
      <c r="CP27" s="510">
        <f t="shared" si="20"/>
        <v>2497612.481585159</v>
      </c>
      <c r="CQ27" s="510">
        <f t="shared" si="20"/>
        <v>2551209.1730901571</v>
      </c>
      <c r="CR27" s="71">
        <f>CQ27</f>
        <v>2551209.1730901571</v>
      </c>
      <c r="CS27" s="510">
        <f t="shared" si="20"/>
        <v>2576677.6859979448</v>
      </c>
      <c r="CT27" s="510">
        <f t="shared" si="20"/>
        <v>2591503.1592332199</v>
      </c>
      <c r="CU27" s="510">
        <f t="shared" si="20"/>
        <v>2597944.6895610467</v>
      </c>
      <c r="CV27" s="510">
        <f t="shared" si="20"/>
        <v>2607816.066973818</v>
      </c>
      <c r="CW27" s="71">
        <f>CV27</f>
        <v>2607816.066973818</v>
      </c>
      <c r="CX27" s="510">
        <f t="shared" si="20"/>
        <v>2617441.6136828298</v>
      </c>
      <c r="CY27" s="510">
        <f t="shared" si="20"/>
        <v>2609860.3130507856</v>
      </c>
      <c r="CZ27" s="510">
        <f t="shared" si="20"/>
        <v>2609518.006063743</v>
      </c>
      <c r="DA27" s="510">
        <f t="shared" si="20"/>
        <v>2632101.3999889521</v>
      </c>
      <c r="DB27" s="71">
        <f>DA27</f>
        <v>2632101.3999889521</v>
      </c>
    </row>
    <row r="28" spans="1:106" ht="11.25" customHeight="1" x14ac:dyDescent="0.35">
      <c r="A28" s="19" t="s">
        <v>276</v>
      </c>
      <c r="B28" s="97"/>
      <c r="C28" s="97">
        <f>B24+C5</f>
        <v>4539741.677670639</v>
      </c>
      <c r="D28" s="97">
        <f>C24+D5</f>
        <v>4313940.0167684071</v>
      </c>
      <c r="E28" s="97">
        <f>D24+E5</f>
        <v>6486032.9412810076</v>
      </c>
      <c r="F28" s="29"/>
      <c r="G28" s="97">
        <f>F24+G5</f>
        <v>4053843.9926779382</v>
      </c>
      <c r="H28" s="97">
        <f>G24+H5</f>
        <v>6531487.1717334148</v>
      </c>
      <c r="I28" s="97">
        <f>H24+I5</f>
        <v>6781685.5078763049</v>
      </c>
      <c r="J28" s="97">
        <f>I24+J5</f>
        <v>8039302.8728737673</v>
      </c>
      <c r="K28" s="29">
        <f>F24+SUM(G4:J4)</f>
        <v>11260296.61360174</v>
      </c>
      <c r="L28" s="97">
        <f>K24+L5</f>
        <v>6303800.3969182167</v>
      </c>
      <c r="M28" s="97">
        <f>L24+M5</f>
        <v>7602639.48031817</v>
      </c>
      <c r="N28" s="97">
        <f>M24+N5</f>
        <v>7331830.7812542431</v>
      </c>
      <c r="O28" s="97">
        <f>N24+O5</f>
        <v>7625095.4661371354</v>
      </c>
      <c r="P28" s="29">
        <f>K24+SUM(L4:O4)</f>
        <v>11217327.203541745</v>
      </c>
      <c r="Q28" s="97">
        <f>P24+Q5</f>
        <v>7187599.8087850586</v>
      </c>
      <c r="R28" s="97">
        <f>Q24+R5</f>
        <v>7590598.5843851268</v>
      </c>
      <c r="S28" s="97">
        <f>R24+S5</f>
        <v>7074869.7562174611</v>
      </c>
      <c r="T28" s="97">
        <f>S24+T4</f>
        <v>8928183.3017705549</v>
      </c>
      <c r="U28" s="29">
        <f>P24+SUM(Q4:T4)</f>
        <v>13272699.615948526</v>
      </c>
      <c r="V28" s="97">
        <f>U24+V5</f>
        <v>8423616.5308486484</v>
      </c>
      <c r="W28" s="97">
        <f>V24+W4</f>
        <v>8077119.932529496</v>
      </c>
      <c r="X28" s="97">
        <f>W24+X4</f>
        <v>7802798.8008652143</v>
      </c>
      <c r="Y28" s="97">
        <f>X24+Y4</f>
        <v>9165923.5186103974</v>
      </c>
      <c r="Z28" s="29">
        <f>U24+SUM(V4:Y4)</f>
        <v>12552132.867403138</v>
      </c>
      <c r="AA28" s="97">
        <f t="shared" ref="AA28:BR28" si="21">Z24+AA4</f>
        <v>7793630.761766091</v>
      </c>
      <c r="AB28" s="97">
        <f t="shared" si="21"/>
        <v>7984788.8774043536</v>
      </c>
      <c r="AC28" s="97">
        <f t="shared" si="21"/>
        <v>7860363.4968829313</v>
      </c>
      <c r="AD28" s="97">
        <f t="shared" si="21"/>
        <v>7613108.0179687981</v>
      </c>
      <c r="AE28" s="29">
        <f>Z24+SUM(AA4:AD4)</f>
        <v>10229573.540632244</v>
      </c>
      <c r="AF28" s="97">
        <f t="shared" si="21"/>
        <v>7176337.900449221</v>
      </c>
      <c r="AG28" s="97">
        <f t="shared" si="21"/>
        <v>7078093.6780650644</v>
      </c>
      <c r="AH28" s="97">
        <f t="shared" si="21"/>
        <v>7010303.0161138885</v>
      </c>
      <c r="AI28" s="97">
        <f t="shared" si="21"/>
        <v>7686294.9614342395</v>
      </c>
      <c r="AJ28" s="29">
        <f>AE24+SUM(AF4:AI4)</f>
        <v>9500421.9547462109</v>
      </c>
      <c r="AK28" s="97">
        <f t="shared" si="21"/>
        <v>7149078.0108989319</v>
      </c>
      <c r="AL28" s="97">
        <f t="shared" si="21"/>
        <v>7286291.8961672178</v>
      </c>
      <c r="AM28" s="97">
        <f t="shared" si="21"/>
        <v>6973211.4952014759</v>
      </c>
      <c r="AN28" s="97">
        <f t="shared" si="21"/>
        <v>7481395.5899698241</v>
      </c>
      <c r="AO28" s="29">
        <f>AJ24+SUM(AK4:AN4)</f>
        <v>9590549.6394124851</v>
      </c>
      <c r="AP28" s="97">
        <f t="shared" si="21"/>
        <v>6609767.0155566474</v>
      </c>
      <c r="AQ28" s="97">
        <f t="shared" si="21"/>
        <v>6894173.8079983387</v>
      </c>
      <c r="AR28" s="97">
        <f t="shared" si="21"/>
        <v>6707596.280477142</v>
      </c>
      <c r="AS28" s="97">
        <f t="shared" si="21"/>
        <v>8279541.452621243</v>
      </c>
      <c r="AT28" s="29">
        <f>AO24+SUM(AP4:AS4)</f>
        <v>11214635.398466222</v>
      </c>
      <c r="AU28" s="97">
        <f t="shared" si="21"/>
        <v>6106467.7889886582</v>
      </c>
      <c r="AV28" s="97">
        <f t="shared" si="21"/>
        <v>5676517.3432243811</v>
      </c>
      <c r="AW28" s="97">
        <f t="shared" si="21"/>
        <v>5433883.3626890779</v>
      </c>
      <c r="AX28" s="97">
        <f t="shared" si="21"/>
        <v>5687078.6391860312</v>
      </c>
      <c r="AY28" s="29">
        <f>AT24+SUM(AU4:AX4)</f>
        <v>10020868.855817188</v>
      </c>
      <c r="AZ28" s="97">
        <f t="shared" si="21"/>
        <v>5404610.2358661601</v>
      </c>
      <c r="BA28" s="97">
        <f t="shared" si="21"/>
        <v>4733938.9959129281</v>
      </c>
      <c r="BB28" s="97">
        <f t="shared" si="21"/>
        <v>5899604.7479198817</v>
      </c>
      <c r="BC28" s="97">
        <f t="shared" si="21"/>
        <v>7174546.5866230102</v>
      </c>
      <c r="BD28" s="29">
        <f>AY24+SUM(AZ4:BC4)</f>
        <v>10183306.148101844</v>
      </c>
      <c r="BE28" s="97">
        <f t="shared" si="21"/>
        <v>5895713.4545098087</v>
      </c>
      <c r="BF28" s="97">
        <f t="shared" si="21"/>
        <v>6823900.1242842516</v>
      </c>
      <c r="BG28" s="97">
        <f t="shared" si="21"/>
        <v>7681661.6069271881</v>
      </c>
      <c r="BH28" s="97">
        <f t="shared" si="21"/>
        <v>9035503.1356975641</v>
      </c>
      <c r="BI28" s="29">
        <f>BD24+SUM(BE4:BH4)</f>
        <v>12579346.956649512</v>
      </c>
      <c r="BJ28" s="97">
        <f t="shared" si="21"/>
        <v>8510521.9707134981</v>
      </c>
      <c r="BK28" s="97">
        <f t="shared" si="21"/>
        <v>9541478.0501977801</v>
      </c>
      <c r="BL28" s="97">
        <f t="shared" si="21"/>
        <v>11068825.294958927</v>
      </c>
      <c r="BM28" s="97">
        <f t="shared" si="21"/>
        <v>11732394.969048016</v>
      </c>
      <c r="BN28" s="29">
        <f>BI24+SUM(BJ4:BM4)</f>
        <v>16585953.881261025</v>
      </c>
      <c r="BO28" s="97">
        <f t="shared" si="21"/>
        <v>10413723.585668745</v>
      </c>
      <c r="BP28" s="97">
        <f t="shared" si="21"/>
        <v>12208107.483657936</v>
      </c>
      <c r="BQ28" s="97">
        <f t="shared" si="21"/>
        <v>11931434.425726391</v>
      </c>
      <c r="BR28" s="97">
        <f t="shared" si="21"/>
        <v>12504670.308111843</v>
      </c>
      <c r="BS28" s="29">
        <f>BN24+SUM(BO4:BR4)</f>
        <v>18836405.548924178</v>
      </c>
      <c r="BT28" s="97">
        <f>BS24+BT4</f>
        <v>11633954.964746799</v>
      </c>
      <c r="BU28" s="97">
        <f>BT24+BU4</f>
        <v>10939083.032653986</v>
      </c>
      <c r="BV28" s="97">
        <f>BU24+BV4</f>
        <v>11792402.813248394</v>
      </c>
      <c r="BW28" s="97">
        <f>BV24+BW4</f>
        <v>15429928.913904306</v>
      </c>
      <c r="BX28" s="29">
        <f>BS24+SUM(BT4:BW4)</f>
        <v>22954935.074309863</v>
      </c>
      <c r="BY28" s="97">
        <f>BX24+BY4</f>
        <v>15416656.711196661</v>
      </c>
      <c r="BZ28" s="97">
        <f>BY24+BZ4</f>
        <v>16534549.728002515</v>
      </c>
      <c r="CA28" s="97">
        <f>BZ24+CA4</f>
        <v>18432836.309050124</v>
      </c>
      <c r="CB28" s="97">
        <f>CA24+CB4</f>
        <v>19574271.443481915</v>
      </c>
      <c r="CC28" s="29">
        <f>BX24+SUM(BY4:CB4)</f>
        <v>29124097.701759223</v>
      </c>
      <c r="CD28" s="97">
        <f>CC24+CD4</f>
        <v>18683000</v>
      </c>
      <c r="CE28" s="97">
        <f>CD24+CE4</f>
        <v>20383000</v>
      </c>
      <c r="CF28" s="97">
        <f>CE24+CF4</f>
        <v>21409530.918269075</v>
      </c>
      <c r="CG28" s="97">
        <f>CF24+CG4</f>
        <v>21961864.691390492</v>
      </c>
      <c r="CH28" s="29">
        <f>CC24+SUM(CD4:CG4)</f>
        <v>31944426.03198934</v>
      </c>
      <c r="CI28" s="97">
        <f>CH24+CI4</f>
        <v>21504605.060617819</v>
      </c>
      <c r="CJ28" s="97">
        <f>CI24+CJ4</f>
        <v>21475307.115876887</v>
      </c>
      <c r="CK28" s="97">
        <f>CJ24+CK4</f>
        <v>22411362.316991586</v>
      </c>
      <c r="CL28" s="97">
        <f>CK24+CL4</f>
        <v>23366467.489920393</v>
      </c>
      <c r="CM28" s="29">
        <f>CH24+SUM(CI4:CL4)</f>
        <v>34525101.409229763</v>
      </c>
      <c r="CN28" s="97">
        <f>CM24+CN4</f>
        <v>21778825.757653102</v>
      </c>
      <c r="CO28" s="97">
        <f>CN24+CO4</f>
        <v>21842389.673802074</v>
      </c>
      <c r="CP28" s="97">
        <f>CO24+CP4</f>
        <v>22703637.109370332</v>
      </c>
      <c r="CQ28" s="97">
        <f>CP24+CQ4</f>
        <v>24420112.724629007</v>
      </c>
      <c r="CR28" s="29">
        <f>CM24+SUM(CN4:CQ4)</f>
        <v>36097302.836017296</v>
      </c>
      <c r="CS28" s="97">
        <f>CR24+CS4</f>
        <v>22352010.184310667</v>
      </c>
      <c r="CT28" s="97">
        <f>CS24+CT4</f>
        <v>22359144.767469011</v>
      </c>
      <c r="CU28" s="97">
        <f>CT24+CU4</f>
        <v>23205351.454938132</v>
      </c>
      <c r="CV28" s="97">
        <f>CU24+CV4</f>
        <v>24941090.004592612</v>
      </c>
      <c r="CW28" s="29">
        <f>CR24+SUM(CS4:CV4)</f>
        <v>37171633.960417613</v>
      </c>
      <c r="CX28" s="97">
        <f>CW24+CX4</f>
        <v>22755812.299541645</v>
      </c>
      <c r="CY28" s="97">
        <f>CX24+CY4</f>
        <v>22917316.49158765</v>
      </c>
      <c r="CZ28" s="97">
        <f>CY24+CZ4</f>
        <v>23913500.531622224</v>
      </c>
      <c r="DA28" s="97">
        <f>CZ24+DA4</f>
        <v>25799843.855083633</v>
      </c>
      <c r="DB28" s="29">
        <f>CW24+SUM(CX4:DA4)</f>
        <v>38094122.907812327</v>
      </c>
    </row>
    <row r="29" spans="1:106" ht="11.25" customHeight="1" x14ac:dyDescent="0.35">
      <c r="A29" s="77" t="s">
        <v>275</v>
      </c>
      <c r="B29" s="101"/>
      <c r="C29" s="101">
        <f>C9/C28</f>
        <v>0.33920468065013087</v>
      </c>
      <c r="D29" s="101">
        <f>D9/D28</f>
        <v>0.23768745172330988</v>
      </c>
      <c r="E29" s="101">
        <f>E9/E28</f>
        <v>0.39182432601340461</v>
      </c>
      <c r="F29" s="102"/>
      <c r="G29" s="101">
        <f t="shared" ref="G29:AL29" si="22">G9/G28</f>
        <v>0.24634022200356498</v>
      </c>
      <c r="H29" s="101">
        <f t="shared" si="22"/>
        <v>0.25538350628864009</v>
      </c>
      <c r="I29" s="101">
        <f t="shared" si="22"/>
        <v>0.21362157034434012</v>
      </c>
      <c r="J29" s="101">
        <f t="shared" si="22"/>
        <v>0.29626036055109078</v>
      </c>
      <c r="K29" s="236">
        <f t="shared" si="22"/>
        <v>0.57699190551903867</v>
      </c>
      <c r="L29" s="101">
        <f t="shared" si="22"/>
        <v>0.19356002416858631</v>
      </c>
      <c r="M29" s="101">
        <f t="shared" si="22"/>
        <v>0.17285261270931707</v>
      </c>
      <c r="N29" s="101">
        <f t="shared" si="22"/>
        <v>0.23943159592167049</v>
      </c>
      <c r="O29" s="101">
        <f t="shared" si="22"/>
        <v>0.22510362216409058</v>
      </c>
      <c r="P29" s="236">
        <f t="shared" si="22"/>
        <v>0.5354402434389921</v>
      </c>
      <c r="Q29" s="101">
        <f t="shared" si="22"/>
        <v>0.189020669468007</v>
      </c>
      <c r="R29" s="101">
        <f t="shared" si="22"/>
        <v>0.28734654266813842</v>
      </c>
      <c r="S29" s="101">
        <f t="shared" si="22"/>
        <v>0.19231905000527402</v>
      </c>
      <c r="T29" s="101">
        <f t="shared" si="22"/>
        <v>0.2547759154834241</v>
      </c>
      <c r="U29" s="236">
        <f t="shared" si="22"/>
        <v>0.54058749915857573</v>
      </c>
      <c r="V29" s="101">
        <f t="shared" si="22"/>
        <v>0.18373486298777997</v>
      </c>
      <c r="W29" s="101">
        <f t="shared" si="22"/>
        <v>0.15569769276307382</v>
      </c>
      <c r="X29" s="101">
        <f t="shared" si="22"/>
        <v>0.12713433291800091</v>
      </c>
      <c r="Y29" s="101">
        <f t="shared" si="22"/>
        <v>0.20585249071107731</v>
      </c>
      <c r="Z29" s="236">
        <f t="shared" si="22"/>
        <v>0.4528419857631007</v>
      </c>
      <c r="AA29" s="101">
        <f t="shared" si="22"/>
        <v>9.2720201386437301E-2</v>
      </c>
      <c r="AB29" s="101">
        <f t="shared" si="22"/>
        <v>0.10190087858438657</v>
      </c>
      <c r="AC29" s="101">
        <f t="shared" si="22"/>
        <v>0.12840055852806775</v>
      </c>
      <c r="AD29" s="101">
        <f t="shared" si="22"/>
        <v>0.1108649843221579</v>
      </c>
      <c r="AE29" s="236">
        <f t="shared" si="22"/>
        <v>0.33135166060497767</v>
      </c>
      <c r="AF29" s="101">
        <f t="shared" si="22"/>
        <v>7.5744050423379519E-2</v>
      </c>
      <c r="AG29" s="101">
        <f t="shared" si="22"/>
        <v>7.8888294978925938E-2</v>
      </c>
      <c r="AH29" s="101">
        <f t="shared" si="22"/>
        <v>8.1786710918415911E-2</v>
      </c>
      <c r="AI29" s="101">
        <f t="shared" si="22"/>
        <v>0.14184573664660893</v>
      </c>
      <c r="AJ29" s="236">
        <f t="shared" si="22"/>
        <v>0.29109880087863366</v>
      </c>
      <c r="AK29" s="101">
        <f t="shared" si="22"/>
        <v>7.273184329664141E-2</v>
      </c>
      <c r="AL29" s="101">
        <f t="shared" si="22"/>
        <v>0.10379541294428869</v>
      </c>
      <c r="AM29" s="101">
        <f t="shared" ref="AM29:BR29" si="23">AM9/AM28</f>
        <v>0.10463329772879448</v>
      </c>
      <c r="AN29" s="101">
        <f t="shared" si="23"/>
        <v>0.16752108635128024</v>
      </c>
      <c r="AO29" s="236">
        <f t="shared" si="23"/>
        <v>0.33983150616983965</v>
      </c>
      <c r="AP29" s="101">
        <f t="shared" si="23"/>
        <v>9.275548459389385E-2</v>
      </c>
      <c r="AQ29" s="101">
        <f t="shared" si="23"/>
        <v>0.15388864043994829</v>
      </c>
      <c r="AR29" s="101">
        <f t="shared" si="23"/>
        <v>0.14051491064800295</v>
      </c>
      <c r="AS29" s="101">
        <f t="shared" si="23"/>
        <v>0.29460323852666426</v>
      </c>
      <c r="AT29" s="236">
        <f t="shared" si="23"/>
        <v>0.45081485172614799</v>
      </c>
      <c r="AU29" s="101">
        <f t="shared" si="23"/>
        <v>0.12659217951859666</v>
      </c>
      <c r="AV29" s="101">
        <f t="shared" si="23"/>
        <v>0.22997744178627105</v>
      </c>
      <c r="AW29" s="101">
        <f t="shared" si="23"/>
        <v>0.20673361118581018</v>
      </c>
      <c r="AX29" s="101">
        <f t="shared" si="23"/>
        <v>0.24396446710562611</v>
      </c>
      <c r="AY29" s="236">
        <f t="shared" si="23"/>
        <v>0.45797560165476164</v>
      </c>
      <c r="AZ29" s="101">
        <f t="shared" si="23"/>
        <v>0.15656799408593355</v>
      </c>
      <c r="BA29" s="101">
        <f t="shared" si="23"/>
        <v>0.10823504261393348</v>
      </c>
      <c r="BB29" s="101">
        <f t="shared" si="23"/>
        <v>0.29012572463549491</v>
      </c>
      <c r="BC29" s="101">
        <f t="shared" si="23"/>
        <v>0.25927697928262039</v>
      </c>
      <c r="BD29" s="236">
        <f t="shared" si="23"/>
        <v>0.4841638727099053</v>
      </c>
      <c r="BE29" s="101">
        <f t="shared" si="23"/>
        <v>0.17485786961009764</v>
      </c>
      <c r="BF29" s="101">
        <f t="shared" si="23"/>
        <v>0.2286016487645024</v>
      </c>
      <c r="BG29" s="101">
        <f t="shared" si="23"/>
        <v>0.17777451676616893</v>
      </c>
      <c r="BH29" s="101">
        <f t="shared" si="23"/>
        <v>0.17425870755013295</v>
      </c>
      <c r="BI29" s="236">
        <f t="shared" si="23"/>
        <v>0.43968780824537812</v>
      </c>
      <c r="BJ29" s="101">
        <f t="shared" si="23"/>
        <v>0.15421937045631717</v>
      </c>
      <c r="BK29" s="101">
        <f t="shared" si="23"/>
        <v>0.16999891025498884</v>
      </c>
      <c r="BL29" s="101">
        <f t="shared" si="23"/>
        <v>0.2065004619203418</v>
      </c>
      <c r="BM29" s="101">
        <f t="shared" si="23"/>
        <v>0.22935950814258227</v>
      </c>
      <c r="BN29" s="236">
        <f t="shared" si="23"/>
        <v>0.47698083231930866</v>
      </c>
      <c r="BO29" s="101">
        <f t="shared" si="23"/>
        <v>0.14831884545741342</v>
      </c>
      <c r="BP29" s="101">
        <f t="shared" si="23"/>
        <v>0.20406385368450061</v>
      </c>
      <c r="BQ29" s="101">
        <f t="shared" si="23"/>
        <v>0.18968289116038875</v>
      </c>
      <c r="BR29" s="101">
        <f t="shared" si="23"/>
        <v>0.20735738196818751</v>
      </c>
      <c r="BS29" s="236">
        <f t="shared" ref="BS29:CX29" si="24">BS9/BS28</f>
        <v>0.47205978711710628</v>
      </c>
      <c r="BT29" s="101">
        <f t="shared" si="24"/>
        <v>0.1845571303025007</v>
      </c>
      <c r="BU29" s="101">
        <f t="shared" si="24"/>
        <v>0.21679191132215739</v>
      </c>
      <c r="BV29" s="101">
        <f t="shared" si="24"/>
        <v>0.27141007175374399</v>
      </c>
      <c r="BW29" s="101">
        <f t="shared" si="24"/>
        <v>0.31788575594394286</v>
      </c>
      <c r="BX29" s="236">
        <f t="shared" si="24"/>
        <v>0.54995431400291839</v>
      </c>
      <c r="BY29" s="101">
        <f t="shared" si="24"/>
        <v>0.19646617574698308</v>
      </c>
      <c r="BZ29" s="101">
        <f>BZ9/BZ28</f>
        <v>0.19703483245964887</v>
      </c>
      <c r="CA29" s="101">
        <f>CA9/CA28</f>
        <v>0.19241963006058049</v>
      </c>
      <c r="CB29" s="101">
        <f t="shared" ref="CB29" si="25">CB9/CB28</f>
        <v>0.17012127422545092</v>
      </c>
      <c r="CC29" s="236">
        <f t="shared" si="24"/>
        <v>0.45198218673277907</v>
      </c>
      <c r="CD29" s="101">
        <f t="shared" ref="CD29" si="26">CD9/CD28</f>
        <v>0.15746935716961943</v>
      </c>
      <c r="CE29" s="101">
        <f>CE9/CE28</f>
        <v>0.17009272432909778</v>
      </c>
      <c r="CF29" s="101">
        <f t="shared" si="24"/>
        <v>0.16411201880190066</v>
      </c>
      <c r="CG29" s="101">
        <f t="shared" si="24"/>
        <v>0.16903772835741915</v>
      </c>
      <c r="CH29" s="236">
        <f t="shared" si="24"/>
        <v>0.42683330872404446</v>
      </c>
      <c r="CI29" s="101">
        <f t="shared" si="24"/>
        <v>0.16786797201964063</v>
      </c>
      <c r="CJ29" s="101">
        <f t="shared" si="24"/>
        <v>0.16861777581855197</v>
      </c>
      <c r="CK29" s="101">
        <f t="shared" si="24"/>
        <v>0.17524954093588965</v>
      </c>
      <c r="CL29" s="101">
        <f t="shared" si="24"/>
        <v>0.17608274792476183</v>
      </c>
      <c r="CM29" s="236">
        <f t="shared" si="24"/>
        <v>0.44237569480812999</v>
      </c>
      <c r="CN29" s="101">
        <f t="shared" si="24"/>
        <v>0.16724477699605833</v>
      </c>
      <c r="CO29" s="101">
        <f t="shared" si="24"/>
        <v>0.17651124370062155</v>
      </c>
      <c r="CP29" s="101">
        <f t="shared" si="24"/>
        <v>0.18408362798717595</v>
      </c>
      <c r="CQ29" s="101">
        <f t="shared" si="24"/>
        <v>0.19178168087612019</v>
      </c>
      <c r="CR29" s="236">
        <f t="shared" si="24"/>
        <v>0.45323387321275754</v>
      </c>
      <c r="CS29" s="101">
        <f t="shared" si="24"/>
        <v>0.17128359890492018</v>
      </c>
      <c r="CT29" s="101">
        <f t="shared" si="24"/>
        <v>0.18048775008456328</v>
      </c>
      <c r="CU29" s="101">
        <f t="shared" si="24"/>
        <v>0.1881660566219146</v>
      </c>
      <c r="CV29" s="101">
        <f t="shared" si="24"/>
        <v>0.19614372907227923</v>
      </c>
      <c r="CW29" s="236">
        <f t="shared" si="24"/>
        <v>0.46063571955664367</v>
      </c>
      <c r="CX29" s="101">
        <f t="shared" si="24"/>
        <v>0.16735994499643658</v>
      </c>
      <c r="CY29" s="101">
        <f>CY9/CY28</f>
        <v>0.17700309399365488</v>
      </c>
      <c r="CZ29" s="101">
        <f>CZ9/CZ28</f>
        <v>0.18522723710098593</v>
      </c>
      <c r="DA29" s="101">
        <f>DA9/DA28</f>
        <v>0.19364857504163041</v>
      </c>
      <c r="DB29" s="236">
        <f>DB9/DB28</f>
        <v>0.45388581575706261</v>
      </c>
    </row>
    <row r="30" spans="1:106" ht="11.25" customHeight="1" x14ac:dyDescent="0.35">
      <c r="B30" s="140"/>
      <c r="C30" s="140"/>
      <c r="D30" s="140"/>
      <c r="E30" s="140"/>
      <c r="F30" s="106"/>
      <c r="G30" s="140"/>
      <c r="H30" s="140"/>
      <c r="I30" s="140"/>
      <c r="J30" s="140"/>
      <c r="K30" s="106"/>
      <c r="L30" s="140"/>
      <c r="M30" s="140"/>
      <c r="N30" s="140"/>
      <c r="O30" s="140"/>
      <c r="P30" s="106"/>
      <c r="Q30" s="140"/>
      <c r="R30" s="97"/>
      <c r="S30" s="140"/>
      <c r="T30" s="148"/>
      <c r="U30" s="106"/>
      <c r="V30" s="24"/>
      <c r="W30" s="140"/>
      <c r="X30" s="140"/>
      <c r="Y30" s="140"/>
      <c r="Z30" s="106"/>
      <c r="AA30" s="140"/>
      <c r="AB30" s="140"/>
      <c r="AC30" s="140"/>
      <c r="AD30" s="140"/>
      <c r="AE30" s="106"/>
      <c r="AF30" s="140"/>
      <c r="AG30" s="140"/>
      <c r="AH30" s="140"/>
      <c r="AI30" s="140"/>
      <c r="AJ30" s="106"/>
      <c r="AK30" s="140"/>
      <c r="AL30" s="140"/>
      <c r="AM30" s="140"/>
      <c r="AN30" s="140"/>
      <c r="AO30" s="106"/>
      <c r="AP30" s="140"/>
      <c r="AQ30" s="140"/>
      <c r="AR30" s="140"/>
      <c r="AS30" s="140"/>
      <c r="AT30" s="106"/>
      <c r="AU30" s="140"/>
      <c r="AV30" s="150"/>
      <c r="AW30" s="150"/>
      <c r="AX30" s="140"/>
      <c r="AY30" s="106"/>
      <c r="AZ30" s="151"/>
      <c r="BA30" s="151"/>
      <c r="BB30" s="151"/>
      <c r="BC30" s="151"/>
      <c r="BD30" s="106"/>
      <c r="BE30" s="140"/>
      <c r="BF30" s="140"/>
      <c r="BG30" s="140"/>
      <c r="BH30" s="140"/>
      <c r="BI30" s="106"/>
      <c r="BJ30" s="140"/>
      <c r="BK30" s="140"/>
      <c r="BL30" s="140"/>
      <c r="BM30" s="140"/>
      <c r="BN30" s="106"/>
      <c r="BO30" s="140"/>
      <c r="BP30" s="140"/>
      <c r="BQ30" s="140"/>
      <c r="BR30" s="140"/>
      <c r="BS30" s="106"/>
      <c r="BT30" s="140"/>
      <c r="BU30" s="140"/>
      <c r="BV30" s="140"/>
      <c r="BW30" s="140"/>
      <c r="BX30" s="106"/>
      <c r="BY30" s="140"/>
      <c r="BZ30" s="140"/>
      <c r="CA30" s="150"/>
      <c r="CB30" s="140"/>
      <c r="CC30" s="106"/>
      <c r="CD30" s="140"/>
      <c r="CE30" s="140"/>
      <c r="CF30" s="140"/>
      <c r="CG30" s="140"/>
      <c r="CH30" s="106"/>
      <c r="CI30" s="140"/>
      <c r="CJ30" s="140"/>
      <c r="CK30" s="140"/>
      <c r="CL30" s="140"/>
      <c r="CM30" s="106"/>
      <c r="CN30" s="140"/>
      <c r="CO30" s="140"/>
      <c r="CP30" s="140"/>
      <c r="CQ30" s="140"/>
      <c r="CR30" s="106"/>
      <c r="CS30" s="140"/>
      <c r="CT30" s="140"/>
      <c r="CU30" s="140"/>
      <c r="CV30" s="140"/>
      <c r="CW30" s="106"/>
      <c r="CX30" s="140"/>
      <c r="CY30" s="140"/>
      <c r="CZ30" s="140"/>
      <c r="DA30" s="140"/>
      <c r="DB30" s="106"/>
    </row>
    <row r="31" spans="1:106" s="15" customFormat="1" ht="11.25" customHeight="1" thickBot="1" x14ac:dyDescent="0.4">
      <c r="A31" s="124" t="s">
        <v>41</v>
      </c>
      <c r="B31" s="129" t="str">
        <f>Macro!B$3</f>
        <v>1Q10</v>
      </c>
      <c r="C31" s="129" t="str">
        <f>Macro!C$3</f>
        <v>2Q10</v>
      </c>
      <c r="D31" s="129" t="str">
        <f>Macro!D$3</f>
        <v>3Q10</v>
      </c>
      <c r="E31" s="130" t="str">
        <f>Macro!E$3</f>
        <v>4Q10</v>
      </c>
      <c r="F31" s="131" t="str">
        <f>Macro!F$3</f>
        <v>2010</v>
      </c>
      <c r="G31" s="129" t="str">
        <f>Macro!G$3</f>
        <v>1Q11</v>
      </c>
      <c r="H31" s="129" t="str">
        <f>Macro!H$3</f>
        <v>2Q11</v>
      </c>
      <c r="I31" s="129" t="str">
        <f>Macro!I$3</f>
        <v>3Q11</v>
      </c>
      <c r="J31" s="130" t="str">
        <f>Macro!J$3</f>
        <v>4Q11</v>
      </c>
      <c r="K31" s="131" t="str">
        <f>Macro!K$3</f>
        <v>2011</v>
      </c>
      <c r="L31" s="129" t="str">
        <f>Macro!L$3</f>
        <v>1Q12</v>
      </c>
      <c r="M31" s="125" t="str">
        <f>Macro!M$3</f>
        <v>2Q12</v>
      </c>
      <c r="N31" s="125" t="str">
        <f>Macro!N$3</f>
        <v>3Q12</v>
      </c>
      <c r="O31" s="125" t="str">
        <f>Macro!O$3</f>
        <v>4Q12</v>
      </c>
      <c r="P31" s="126" t="str">
        <f>Macro!P$3</f>
        <v>2012</v>
      </c>
      <c r="Q31" s="125" t="str">
        <f>Macro!Q$3</f>
        <v>1Q13</v>
      </c>
      <c r="R31" s="125" t="str">
        <f>Macro!R$3</f>
        <v>2Q13</v>
      </c>
      <c r="S31" s="125" t="str">
        <f>Macro!S$3</f>
        <v>3Q13</v>
      </c>
      <c r="T31" s="125" t="str">
        <f>Macro!T$3</f>
        <v>4Q13</v>
      </c>
      <c r="U31" s="126" t="str">
        <f>Macro!U$3</f>
        <v>2013</v>
      </c>
      <c r="V31" s="125" t="str">
        <f>Macro!V$3</f>
        <v>1Q14</v>
      </c>
      <c r="W31" s="125" t="str">
        <f>Macro!W$3</f>
        <v>2Q14</v>
      </c>
      <c r="X31" s="125" t="str">
        <f>Macro!X$3</f>
        <v>3Q14</v>
      </c>
      <c r="Y31" s="125" t="str">
        <f>Macro!Y$3</f>
        <v>4Q14</v>
      </c>
      <c r="Z31" s="126" t="str">
        <f>Macro!Z$3</f>
        <v>2014</v>
      </c>
      <c r="AA31" s="125" t="str">
        <f>Macro!AA$3</f>
        <v>1Q15</v>
      </c>
      <c r="AB31" s="125" t="str">
        <f>Macro!AB$3</f>
        <v>2Q15</v>
      </c>
      <c r="AC31" s="125" t="str">
        <f>Macro!AC$3</f>
        <v>3Q15</v>
      </c>
      <c r="AD31" s="125" t="str">
        <f>Macro!AD$3</f>
        <v>4Q15</v>
      </c>
      <c r="AE31" s="126" t="str">
        <f>Macro!AE$3</f>
        <v>2015</v>
      </c>
      <c r="AF31" s="125" t="str">
        <f>Macro!AF$3</f>
        <v>1Q16</v>
      </c>
      <c r="AG31" s="125" t="str">
        <f>Macro!AG$3</f>
        <v>2Q16</v>
      </c>
      <c r="AH31" s="125" t="str">
        <f>Macro!AH$3</f>
        <v>3Q16</v>
      </c>
      <c r="AI31" s="125" t="str">
        <f>Macro!AI$3</f>
        <v>4Q16</v>
      </c>
      <c r="AJ31" s="126" t="str">
        <f>Macro!AJ$3</f>
        <v>2016</v>
      </c>
      <c r="AK31" s="125" t="str">
        <f>Macro!AK$3</f>
        <v>1Q17</v>
      </c>
      <c r="AL31" s="125" t="str">
        <f>Macro!AL$3</f>
        <v>2Q17</v>
      </c>
      <c r="AM31" s="125" t="str">
        <f>Macro!AM$3</f>
        <v>3Q17</v>
      </c>
      <c r="AN31" s="125" t="str">
        <f>Macro!AN$3</f>
        <v>4Q17</v>
      </c>
      <c r="AO31" s="126" t="str">
        <f>Macro!AO$3</f>
        <v>2017</v>
      </c>
      <c r="AP31" s="125" t="str">
        <f>Macro!AP$3</f>
        <v>1Q18</v>
      </c>
      <c r="AQ31" s="125" t="str">
        <f>Macro!AQ$3</f>
        <v>2Q18</v>
      </c>
      <c r="AR31" s="125" t="str">
        <f>Macro!AR$3</f>
        <v>3Q18</v>
      </c>
      <c r="AS31" s="125" t="str">
        <f>Macro!AS$3</f>
        <v>4Q18</v>
      </c>
      <c r="AT31" s="126" t="str">
        <f>Macro!AT$3</f>
        <v>2018</v>
      </c>
      <c r="AU31" s="125" t="str">
        <f>Macro!AU$3</f>
        <v>1Q19</v>
      </c>
      <c r="AV31" s="125" t="str">
        <f>Macro!AV$3</f>
        <v>2Q19</v>
      </c>
      <c r="AW31" s="125" t="str">
        <f>Macro!AW$3</f>
        <v>3Q19</v>
      </c>
      <c r="AX31" s="125" t="str">
        <f>Macro!AX$3</f>
        <v>4Q19</v>
      </c>
      <c r="AY31" s="126" t="str">
        <f>Macro!AY$3</f>
        <v>2019</v>
      </c>
      <c r="AZ31" s="125" t="str">
        <f>Macro!AZ$3</f>
        <v>1Q20</v>
      </c>
      <c r="BA31" s="125" t="str">
        <f>Macro!BA$3</f>
        <v>2Q20</v>
      </c>
      <c r="BB31" s="125" t="str">
        <f>Macro!BB$3</f>
        <v>3Q20</v>
      </c>
      <c r="BC31" s="125" t="str">
        <f>Macro!BC$3</f>
        <v>4Q20</v>
      </c>
      <c r="BD31" s="126" t="str">
        <f>Macro!BD$3</f>
        <v>2020</v>
      </c>
      <c r="BE31" s="125" t="str">
        <f>Macro!BE$3</f>
        <v>1Q21</v>
      </c>
      <c r="BF31" s="125" t="str">
        <f>Macro!BF$3</f>
        <v>2Q21</v>
      </c>
      <c r="BG31" s="125" t="str">
        <f>Macro!BG$3</f>
        <v>3Q21</v>
      </c>
      <c r="BH31" s="125" t="str">
        <f>Macro!BH$3</f>
        <v>4Q21</v>
      </c>
      <c r="BI31" s="126" t="str">
        <f>Macro!BI$3</f>
        <v>2021</v>
      </c>
      <c r="BJ31" s="125" t="str">
        <f>Macro!BJ$3</f>
        <v>1Q22</v>
      </c>
      <c r="BK31" s="125" t="str">
        <f>Macro!BK$3</f>
        <v>2Q22</v>
      </c>
      <c r="BL31" s="125" t="str">
        <f>Macro!BL$3</f>
        <v>3Q22</v>
      </c>
      <c r="BM31" s="125" t="str">
        <f>Macro!BM$3</f>
        <v>4Q22</v>
      </c>
      <c r="BN31" s="126" t="str">
        <f>Macro!BN$3</f>
        <v>2022</v>
      </c>
      <c r="BO31" s="125" t="str">
        <f>Macro!BO$3</f>
        <v>1Q23</v>
      </c>
      <c r="BP31" s="125" t="str">
        <f>Macro!BP$3</f>
        <v>2Q23</v>
      </c>
      <c r="BQ31" s="125" t="str">
        <f>Macro!BQ$3</f>
        <v>3Q23</v>
      </c>
      <c r="BR31" s="125" t="str">
        <f>Macro!BR$3</f>
        <v>4Q23</v>
      </c>
      <c r="BS31" s="126" t="str">
        <f>Macro!BS$3</f>
        <v>2023</v>
      </c>
      <c r="BT31" s="125" t="str">
        <f>Macro!BT$3</f>
        <v>1Q24</v>
      </c>
      <c r="BU31" s="125" t="str">
        <f>Macro!BU$3</f>
        <v>2Q24</v>
      </c>
      <c r="BV31" s="125" t="str">
        <f>Macro!BV$3</f>
        <v>3Q24</v>
      </c>
      <c r="BW31" s="125" t="str">
        <f>Macro!BW$3</f>
        <v>4Q24</v>
      </c>
      <c r="BX31" s="126" t="str">
        <f>Macro!BX$3</f>
        <v>2024</v>
      </c>
      <c r="BY31" s="125" t="str">
        <f>Macro!BY$3</f>
        <v>1Q25</v>
      </c>
      <c r="BZ31" s="125" t="str">
        <f>Macro!BZ$3</f>
        <v>2Q25</v>
      </c>
      <c r="CA31" s="125" t="str">
        <f>Macro!CA$3</f>
        <v>3Q25</v>
      </c>
      <c r="CB31" s="125" t="str">
        <f>Macro!CB$3</f>
        <v>4Q25</v>
      </c>
      <c r="CC31" s="126" t="str">
        <f>Macro!CC$3</f>
        <v>2025</v>
      </c>
      <c r="CD31" s="125" t="str">
        <f>Macro!CD$3</f>
        <v>1Q26</v>
      </c>
      <c r="CE31" s="125" t="str">
        <f>Macro!CE$3</f>
        <v>2Q26</v>
      </c>
      <c r="CF31" s="125" t="str">
        <f>Macro!CF$3</f>
        <v>3Q26E</v>
      </c>
      <c r="CG31" s="125" t="str">
        <f>Macro!CG$3</f>
        <v>4Q26E</v>
      </c>
      <c r="CH31" s="126" t="str">
        <f>Macro!CH$3</f>
        <v>2026E</v>
      </c>
      <c r="CI31" s="125" t="str">
        <f>Macro!CI$3</f>
        <v>1Q27E</v>
      </c>
      <c r="CJ31" s="125" t="str">
        <f>Macro!CJ$3</f>
        <v>2Q27E</v>
      </c>
      <c r="CK31" s="125" t="str">
        <f>Macro!CK$3</f>
        <v>3Q27E</v>
      </c>
      <c r="CL31" s="125" t="str">
        <f>Macro!CL$3</f>
        <v>4Q27E</v>
      </c>
      <c r="CM31" s="126" t="str">
        <f>Macro!CM$3</f>
        <v>2027E</v>
      </c>
      <c r="CN31" s="125" t="str">
        <f>Macro!CN$3</f>
        <v>1Q28E</v>
      </c>
      <c r="CO31" s="125" t="str">
        <f>Macro!CO$3</f>
        <v>2Q28E</v>
      </c>
      <c r="CP31" s="125" t="str">
        <f>Macro!CP$3</f>
        <v>3Q28E</v>
      </c>
      <c r="CQ31" s="125" t="str">
        <f>Macro!CQ$3</f>
        <v>4Q28E</v>
      </c>
      <c r="CR31" s="126" t="str">
        <f>Macro!CR$3</f>
        <v>2028E</v>
      </c>
      <c r="CS31" s="125" t="str">
        <f>Macro!CS$3</f>
        <v>1Q29E</v>
      </c>
      <c r="CT31" s="125" t="str">
        <f>Macro!CT$3</f>
        <v>2Q29E</v>
      </c>
      <c r="CU31" s="125" t="str">
        <f>Macro!CU$3</f>
        <v>3Q29E</v>
      </c>
      <c r="CV31" s="125" t="str">
        <f>Macro!CV$3</f>
        <v>4Q29E</v>
      </c>
      <c r="CW31" s="126" t="str">
        <f>Macro!CW$3</f>
        <v>2029E</v>
      </c>
      <c r="CX31" s="125" t="str">
        <f>Macro!CX$3</f>
        <v>1Q30E</v>
      </c>
      <c r="CY31" s="125" t="str">
        <f>Macro!CY$3</f>
        <v>2Q30E</v>
      </c>
      <c r="CZ31" s="125" t="str">
        <f>Macro!CZ$3</f>
        <v>3Q30E</v>
      </c>
      <c r="DA31" s="125" t="str">
        <f>Macro!DA$3</f>
        <v>4Q30E</v>
      </c>
      <c r="DB31" s="126" t="str">
        <f>Macro!DB$3</f>
        <v>2030E</v>
      </c>
    </row>
    <row r="32" spans="1:106" ht="11.25" customHeight="1" outlineLevel="1" thickTop="1" x14ac:dyDescent="0.35">
      <c r="A32" s="127" t="s">
        <v>277</v>
      </c>
      <c r="B32" s="472">
        <f>IS!B107</f>
        <v>5232174</v>
      </c>
      <c r="C32" s="472">
        <f>IS!C107</f>
        <v>5855621</v>
      </c>
      <c r="D32" s="472">
        <f>IS!D107</f>
        <v>5805608</v>
      </c>
      <c r="E32" s="472">
        <f>IS!E107</f>
        <v>6136163</v>
      </c>
      <c r="F32" s="473">
        <f>IS!F107</f>
        <v>6136163</v>
      </c>
      <c r="G32" s="472">
        <f>IS!G107</f>
        <v>5973998</v>
      </c>
      <c r="H32" s="472">
        <f>IS!H107</f>
        <v>6309143</v>
      </c>
      <c r="I32" s="472">
        <f>IS!I107</f>
        <v>6353160</v>
      </c>
      <c r="J32" s="472">
        <f>IS!J107</f>
        <v>6393107</v>
      </c>
      <c r="K32" s="473">
        <f>IS!K107</f>
        <v>6393107</v>
      </c>
      <c r="L32" s="472">
        <f>IS!L107</f>
        <v>6364599</v>
      </c>
      <c r="M32" s="472">
        <f>IS!M107</f>
        <v>6163228</v>
      </c>
      <c r="N32" s="472">
        <f>IS!N107</f>
        <v>5911000</v>
      </c>
      <c r="O32" s="472">
        <f>IS!O107</f>
        <v>5859663</v>
      </c>
      <c r="P32" s="473">
        <f>IS!P107</f>
        <v>5859663</v>
      </c>
      <c r="Q32" s="472">
        <f>IS!Q107</f>
        <v>5615465</v>
      </c>
      <c r="R32" s="472">
        <f>IS!R107</f>
        <v>5537249</v>
      </c>
      <c r="S32" s="472">
        <f>IS!S107</f>
        <v>5563129</v>
      </c>
      <c r="T32" s="472">
        <f>IS!T107</f>
        <v>5174827</v>
      </c>
      <c r="U32" s="473">
        <f>IS!U107</f>
        <v>5174827</v>
      </c>
      <c r="V32" s="472">
        <f>IS!V107</f>
        <v>5341345</v>
      </c>
      <c r="W32" s="472">
        <f>IS!W107</f>
        <v>5084443</v>
      </c>
      <c r="X32" s="472">
        <f>IS!X107</f>
        <v>4778927</v>
      </c>
      <c r="Y32" s="472">
        <f>IS!Y107</f>
        <v>4526998</v>
      </c>
      <c r="Z32" s="473">
        <f>IS!Z107</f>
        <v>4526998</v>
      </c>
      <c r="AA32" s="472">
        <f>IS!AA107</f>
        <v>4326712</v>
      </c>
      <c r="AB32" s="472">
        <f>IS!AB107</f>
        <v>4202747</v>
      </c>
      <c r="AC32" s="472">
        <f>IS!AC107</f>
        <v>3896118</v>
      </c>
      <c r="AD32" s="472">
        <f>IS!AD107</f>
        <v>3522505</v>
      </c>
      <c r="AE32" s="473">
        <f>IS!AE107</f>
        <v>3522505</v>
      </c>
      <c r="AF32" s="472">
        <f>IS!AF107</f>
        <v>3103436</v>
      </c>
      <c r="AG32" s="472">
        <f>IS!AG107</f>
        <v>2753979</v>
      </c>
      <c r="AH32" s="472">
        <f>IS!AH107</f>
        <v>2305948</v>
      </c>
      <c r="AI32" s="472">
        <f>IS!AI107</f>
        <v>2164418</v>
      </c>
      <c r="AJ32" s="473">
        <f>IS!AJ107</f>
        <v>2164418</v>
      </c>
      <c r="AK32" s="472">
        <f>IS!AK107</f>
        <v>1978884</v>
      </c>
      <c r="AL32" s="472">
        <f>IS!AL107</f>
        <v>1788427</v>
      </c>
      <c r="AM32" s="472">
        <f>IS!AM107</f>
        <v>1635741</v>
      </c>
      <c r="AN32" s="472">
        <f>IS!AN107</f>
        <v>1654031</v>
      </c>
      <c r="AO32" s="473">
        <f>IS!AO107</f>
        <v>1654031</v>
      </c>
      <c r="AP32" s="472">
        <f>IS!AP107</f>
        <v>1586324</v>
      </c>
      <c r="AQ32" s="472">
        <f>IS!AQ107</f>
        <v>1524369</v>
      </c>
      <c r="AR32" s="472">
        <f>IS!AR107</f>
        <v>1478452</v>
      </c>
      <c r="AS32" s="472">
        <f>IS!AS107</f>
        <v>1741082</v>
      </c>
      <c r="AT32" s="473">
        <f>IS!AT107</f>
        <v>1741082</v>
      </c>
      <c r="AU32" s="472">
        <f>IS!AU107</f>
        <v>1900930</v>
      </c>
      <c r="AV32" s="472">
        <f>IS!AV107</f>
        <v>2340856</v>
      </c>
      <c r="AW32" s="472">
        <f>IS!AW107</f>
        <v>2550134</v>
      </c>
      <c r="AX32" s="472">
        <f>IS!AX107</f>
        <v>2965999</v>
      </c>
      <c r="AY32" s="473">
        <f>IS!AY107</f>
        <v>2965999</v>
      </c>
      <c r="AZ32" s="472">
        <f>IS!AZ107</f>
        <v>3055603</v>
      </c>
      <c r="BA32" s="472">
        <f>IS!BA107</f>
        <v>3042962</v>
      </c>
      <c r="BB32" s="472">
        <f>IS!BB107</f>
        <v>3020133</v>
      </c>
      <c r="BC32" s="472">
        <f>IS!BC107</f>
        <v>3355329</v>
      </c>
      <c r="BD32" s="473">
        <f>IS!BD107</f>
        <v>3355329</v>
      </c>
      <c r="BE32" s="472">
        <f>IS!BE107</f>
        <v>3595960</v>
      </c>
      <c r="BF32" s="472">
        <f>IS!BF107</f>
        <v>3950785</v>
      </c>
      <c r="BG32" s="472">
        <f>IS!BG107</f>
        <v>3883986</v>
      </c>
      <c r="BH32" s="472">
        <f>IS!BH107</f>
        <v>4353240</v>
      </c>
      <c r="BI32" s="473">
        <f>IS!BI107</f>
        <v>4353240</v>
      </c>
      <c r="BJ32" s="472">
        <f>IS!BJ107</f>
        <v>4470134</v>
      </c>
      <c r="BK32" s="472">
        <f>IS!BK107</f>
        <v>4661255</v>
      </c>
      <c r="BL32" s="472">
        <f>IS!BL107</f>
        <v>5108347</v>
      </c>
      <c r="BM32" s="472">
        <f>IS!BM107</f>
        <v>5243826</v>
      </c>
      <c r="BN32" s="473">
        <f>IS!BN107</f>
        <v>5243826</v>
      </c>
      <c r="BO32" s="472">
        <f>IS!BO107</f>
        <v>5757631</v>
      </c>
      <c r="BP32" s="472">
        <f>IS!BP107</f>
        <v>6251830</v>
      </c>
      <c r="BQ32" s="472">
        <f>IS!BQ107</f>
        <v>6352544</v>
      </c>
      <c r="BR32" s="472">
        <f>IS!BR107</f>
        <v>6633654</v>
      </c>
      <c r="BS32" s="473">
        <f>IS!BS107</f>
        <v>6633654</v>
      </c>
      <c r="BT32" s="472">
        <f>IS!BT107</f>
        <v>7105013</v>
      </c>
      <c r="BU32" s="472">
        <f>IS!BU107</f>
        <v>7265935</v>
      </c>
      <c r="BV32" s="472">
        <f>IS!BV107</f>
        <v>7789363</v>
      </c>
      <c r="BW32" s="472">
        <f>IS!BW107</f>
        <v>8790289</v>
      </c>
      <c r="BX32" s="473">
        <f>IS!BX107</f>
        <v>8790289</v>
      </c>
      <c r="BY32" s="472">
        <f>IS!BY107</f>
        <v>9436956</v>
      </c>
      <c r="BZ32" s="472">
        <f>IS!BZ107</f>
        <v>9849026</v>
      </c>
      <c r="CA32" s="472">
        <f>IS!CA107</f>
        <v>9631190</v>
      </c>
      <c r="CB32" s="472">
        <f>IS!CB107</f>
        <v>11217258</v>
      </c>
      <c r="CC32" s="473">
        <f>IS!CC107</f>
        <v>11217258</v>
      </c>
      <c r="CD32" s="472">
        <f>IS!CD107</f>
        <v>11662105</v>
      </c>
      <c r="CE32" s="472">
        <f>IS!CE107</f>
        <v>12228757</v>
      </c>
      <c r="CF32" s="472">
        <f>IS!CF107</f>
        <v>13064540.923191583</v>
      </c>
      <c r="CG32" s="472">
        <f>IS!CG107</f>
        <v>13894479.147527568</v>
      </c>
      <c r="CH32" s="473">
        <f>IS!CH107</f>
        <v>13894479.147527568</v>
      </c>
      <c r="CI32" s="472">
        <f>IS!CI107</f>
        <v>14800244.732684294</v>
      </c>
      <c r="CJ32" s="472">
        <f>IS!CJ107</f>
        <v>15664512.464294028</v>
      </c>
      <c r="CK32" s="472">
        <f>IS!CK107</f>
        <v>16695155.495891111</v>
      </c>
      <c r="CL32" s="472">
        <f>IS!CL107</f>
        <v>17754238.419834688</v>
      </c>
      <c r="CM32" s="473">
        <f>IS!CM107</f>
        <v>17754238.419834688</v>
      </c>
      <c r="CN32" s="472">
        <f>IS!CN107</f>
        <v>18357074.962266736</v>
      </c>
      <c r="CO32" s="472">
        <f>IS!CO107</f>
        <v>19138905.140748914</v>
      </c>
      <c r="CP32" s="472">
        <f>IS!CP107</f>
        <v>20118930.323021974</v>
      </c>
      <c r="CQ32" s="472">
        <f>IS!CQ107</f>
        <v>21387106.387081731</v>
      </c>
      <c r="CR32" s="473">
        <f>IS!CR107</f>
        <v>21387106.387081731</v>
      </c>
      <c r="CS32" s="472">
        <f>IS!CS107</f>
        <v>21883440.639624409</v>
      </c>
      <c r="CT32" s="472">
        <f>IS!CT107</f>
        <v>22569567.750058822</v>
      </c>
      <c r="CU32" s="472">
        <f>IS!CU107</f>
        <v>23472113.354255896</v>
      </c>
      <c r="CV32" s="472">
        <f>IS!CV107</f>
        <v>24688048.057996396</v>
      </c>
      <c r="CW32" s="473">
        <f>IS!CW107</f>
        <v>24688048.057996396</v>
      </c>
      <c r="CX32" s="472">
        <f>IS!CX107</f>
        <v>24910555.481725499</v>
      </c>
      <c r="CY32" s="472">
        <f>IS!CY107</f>
        <v>25373259.756493129</v>
      </c>
      <c r="CZ32" s="472">
        <f>IS!CZ107</f>
        <v>26096135.112016194</v>
      </c>
      <c r="DA32" s="472">
        <f>IS!DA107</f>
        <v>27173030.242882852</v>
      </c>
      <c r="DB32" s="473">
        <f>IS!DB107</f>
        <v>27173030.242882852</v>
      </c>
    </row>
    <row r="33" spans="1:106" ht="11.15" customHeight="1" outlineLevel="1" x14ac:dyDescent="0.35">
      <c r="A33" s="7" t="s">
        <v>278</v>
      </c>
      <c r="B33" s="23">
        <f t="shared" ref="B33:AG33" si="27">B14</f>
        <v>1065751.603876431</v>
      </c>
      <c r="C33" s="23">
        <f t="shared" si="27"/>
        <v>1539901.6260083588</v>
      </c>
      <c r="D33" s="23">
        <f t="shared" si="27"/>
        <v>1025369.4094728952</v>
      </c>
      <c r="E33" s="23">
        <f t="shared" si="27"/>
        <v>2541385.4857181711</v>
      </c>
      <c r="F33" s="29">
        <f t="shared" si="27"/>
        <v>6172408.1250758562</v>
      </c>
      <c r="G33" s="23">
        <f t="shared" si="27"/>
        <v>998624.82912410144</v>
      </c>
      <c r="H33" s="23">
        <f t="shared" si="27"/>
        <v>1668034.0951965523</v>
      </c>
      <c r="I33" s="23">
        <f t="shared" si="27"/>
        <v>1448714.3077739901</v>
      </c>
      <c r="J33" s="23">
        <f t="shared" si="27"/>
        <v>2381726.7676970023</v>
      </c>
      <c r="K33" s="29">
        <f t="shared" si="27"/>
        <v>6497099.9997916464</v>
      </c>
      <c r="L33" s="23">
        <f t="shared" si="27"/>
        <v>1220163.757181434</v>
      </c>
      <c r="M33" s="23">
        <f t="shared" si="27"/>
        <v>1314136.0976600002</v>
      </c>
      <c r="N33" s="23">
        <f t="shared" si="27"/>
        <v>1755471.9449833315</v>
      </c>
      <c r="O33" s="23">
        <f t="shared" si="27"/>
        <v>1716436.6087744539</v>
      </c>
      <c r="P33" s="29">
        <f t="shared" si="27"/>
        <v>6006208.4085992202</v>
      </c>
      <c r="Q33" s="23">
        <f t="shared" si="27"/>
        <v>1358604.9277246709</v>
      </c>
      <c r="R33" s="23">
        <f t="shared" si="27"/>
        <v>2181132.2600047318</v>
      </c>
      <c r="S33" s="23">
        <f t="shared" si="27"/>
        <v>1360632.2304267867</v>
      </c>
      <c r="T33" s="23">
        <f t="shared" si="27"/>
        <v>2274686.0743124131</v>
      </c>
      <c r="U33" s="29">
        <f t="shared" si="27"/>
        <v>7175055.492468602</v>
      </c>
      <c r="V33" s="23">
        <f t="shared" si="27"/>
        <v>1547712.0291570749</v>
      </c>
      <c r="W33" s="23">
        <f t="shared" si="27"/>
        <v>1257588.9376654772</v>
      </c>
      <c r="X33" s="23">
        <f t="shared" si="27"/>
        <v>992003.62044137646</v>
      </c>
      <c r="Y33" s="23">
        <f t="shared" si="27"/>
        <v>1886828.1859731919</v>
      </c>
      <c r="Z33" s="29">
        <f t="shared" si="27"/>
        <v>5684132.7732371204</v>
      </c>
      <c r="AA33" s="23">
        <f t="shared" si="27"/>
        <v>722627.01376248477</v>
      </c>
      <c r="AB33" s="23">
        <f t="shared" si="27"/>
        <v>813657.0019183415</v>
      </c>
      <c r="AC33" s="23">
        <f t="shared" si="27"/>
        <v>1009275.063233404</v>
      </c>
      <c r="AD33" s="23">
        <f t="shared" si="27"/>
        <v>844027.10105500557</v>
      </c>
      <c r="AE33" s="29">
        <f t="shared" si="27"/>
        <v>3389586.1799692358</v>
      </c>
      <c r="AF33" s="23">
        <f t="shared" si="27"/>
        <v>543564.8997868353</v>
      </c>
      <c r="AG33" s="23">
        <f t="shared" si="27"/>
        <v>558378.7419636678</v>
      </c>
      <c r="AH33" s="23">
        <f t="shared" ref="AH33:BM33" si="28">AH14</f>
        <v>573349.62622940587</v>
      </c>
      <c r="AI33" s="23">
        <f t="shared" si="28"/>
        <v>1090268.1708877583</v>
      </c>
      <c r="AJ33" s="29">
        <f t="shared" si="28"/>
        <v>2765561.4388676672</v>
      </c>
      <c r="AK33" s="23">
        <f t="shared" si="28"/>
        <v>519965.62160416599</v>
      </c>
      <c r="AL33" s="23">
        <f t="shared" si="28"/>
        <v>756283.67619530065</v>
      </c>
      <c r="AM33" s="23">
        <f t="shared" si="28"/>
        <v>729630.11450326815</v>
      </c>
      <c r="AN33" s="23">
        <f t="shared" si="28"/>
        <v>1253291.516655422</v>
      </c>
      <c r="AO33" s="29">
        <f t="shared" si="28"/>
        <v>3259170.9289581571</v>
      </c>
      <c r="AP33" s="23">
        <f t="shared" si="28"/>
        <v>613092.14258069231</v>
      </c>
      <c r="AQ33" s="23">
        <f t="shared" si="28"/>
        <v>1060935.0342695655</v>
      </c>
      <c r="AR33" s="23">
        <f t="shared" si="28"/>
        <v>942517.29201412247</v>
      </c>
      <c r="AS33" s="23">
        <f t="shared" si="28"/>
        <v>2439179.7254579803</v>
      </c>
      <c r="AT33" s="29">
        <f t="shared" si="28"/>
        <v>5055724.1943223607</v>
      </c>
      <c r="AU33" s="23">
        <f t="shared" si="28"/>
        <v>773031.06656818034</v>
      </c>
      <c r="AV33" s="23">
        <f t="shared" si="28"/>
        <v>1305470.9368501431</v>
      </c>
      <c r="AW33" s="23">
        <f t="shared" si="28"/>
        <v>1123366.3303312066</v>
      </c>
      <c r="AX33" s="23">
        <f t="shared" si="28"/>
        <v>1387445.1095968094</v>
      </c>
      <c r="AY33" s="29">
        <f t="shared" si="28"/>
        <v>4589313.4433463393</v>
      </c>
      <c r="AZ33" s="23">
        <f t="shared" si="28"/>
        <v>846188.98344586894</v>
      </c>
      <c r="BA33" s="23">
        <f t="shared" si="28"/>
        <v>512378.08895439724</v>
      </c>
      <c r="BB33" s="23">
        <f t="shared" si="28"/>
        <v>1711627.1025532619</v>
      </c>
      <c r="BC33" s="23">
        <f t="shared" si="28"/>
        <v>1860194.7667020492</v>
      </c>
      <c r="BD33" s="29">
        <f t="shared" si="28"/>
        <v>4930388.9416555772</v>
      </c>
      <c r="BE33" s="23">
        <f t="shared" si="28"/>
        <v>1030911.8944871745</v>
      </c>
      <c r="BF33" s="23">
        <f t="shared" si="28"/>
        <v>1559954.8194156727</v>
      </c>
      <c r="BG33" s="23">
        <f t="shared" si="28"/>
        <v>1365603.6801327136</v>
      </c>
      <c r="BH33" s="23">
        <f t="shared" si="28"/>
        <v>1574515.098491831</v>
      </c>
      <c r="BI33" s="29">
        <f t="shared" si="28"/>
        <v>5530985.4925273918</v>
      </c>
      <c r="BJ33" s="23">
        <f t="shared" si="28"/>
        <v>1312487.3405780916</v>
      </c>
      <c r="BK33" s="23">
        <f t="shared" si="28"/>
        <v>1622040.8707555183</v>
      </c>
      <c r="BL33" s="23">
        <f t="shared" si="28"/>
        <v>2285717.5363245821</v>
      </c>
      <c r="BM33" s="23">
        <f t="shared" si="28"/>
        <v>2690936.3394353595</v>
      </c>
      <c r="BN33" s="29">
        <f t="shared" ref="BN33:CS33" si="29">BN14</f>
        <v>7911182.0870935516</v>
      </c>
      <c r="BO33" s="23">
        <f t="shared" si="29"/>
        <v>1544551.4591390239</v>
      </c>
      <c r="BP33" s="23">
        <f t="shared" si="29"/>
        <v>2491233.4593098299</v>
      </c>
      <c r="BQ33" s="23">
        <f t="shared" si="29"/>
        <v>2263188.9775623744</v>
      </c>
      <c r="BR33" s="23">
        <f t="shared" si="29"/>
        <v>2592935.6974654002</v>
      </c>
      <c r="BS33" s="29">
        <f t="shared" si="29"/>
        <v>8891909.593476627</v>
      </c>
      <c r="BT33" s="23">
        <f t="shared" si="29"/>
        <v>2147129.3423621999</v>
      </c>
      <c r="BU33" s="23">
        <f t="shared" si="29"/>
        <v>2371504.7187608392</v>
      </c>
      <c r="BV33" s="23">
        <f t="shared" si="29"/>
        <v>3200576.8936927989</v>
      </c>
      <c r="BW33" s="23">
        <f t="shared" si="29"/>
        <v>4904954.6169577716</v>
      </c>
      <c r="BX33" s="29">
        <f t="shared" si="29"/>
        <v>12624165.571773611</v>
      </c>
      <c r="BY33" s="23">
        <f t="shared" si="29"/>
        <v>3028851.5868528695</v>
      </c>
      <c r="BZ33" s="23">
        <f>BZ14</f>
        <v>3257882.2354527079</v>
      </c>
      <c r="CA33" s="23">
        <f>CA14</f>
        <v>3546839.5435546609</v>
      </c>
      <c r="CB33" s="23">
        <f t="shared" ref="CB33" si="30">CB14</f>
        <v>3330000</v>
      </c>
      <c r="CC33" s="29">
        <f t="shared" si="29"/>
        <v>13163573.365860239</v>
      </c>
      <c r="CD33" s="23">
        <f t="shared" ref="CD33" si="31">CD14</f>
        <v>2942000</v>
      </c>
      <c r="CE33" s="23">
        <f>CE14</f>
        <v>3467000</v>
      </c>
      <c r="CF33" s="23">
        <f t="shared" si="29"/>
        <v>3513561.3405988482</v>
      </c>
      <c r="CG33" s="23">
        <f t="shared" si="29"/>
        <v>3712383.7179256608</v>
      </c>
      <c r="CH33" s="29">
        <f t="shared" si="29"/>
        <v>13634945.058524508</v>
      </c>
      <c r="CI33" s="23">
        <f t="shared" si="29"/>
        <v>3609934.4406092144</v>
      </c>
      <c r="CJ33" s="23">
        <f t="shared" si="29"/>
        <v>3621118.520899483</v>
      </c>
      <c r="CK33" s="23">
        <f t="shared" si="29"/>
        <v>3927580.9578006715</v>
      </c>
      <c r="CL33" s="23">
        <f t="shared" si="29"/>
        <v>4114431.8049197951</v>
      </c>
      <c r="CM33" s="29">
        <f t="shared" si="29"/>
        <v>15273065.724229164</v>
      </c>
      <c r="CN33" s="23">
        <f t="shared" si="29"/>
        <v>3642394.8570747045</v>
      </c>
      <c r="CO33" s="23">
        <f t="shared" si="29"/>
        <v>3855427.3667164175</v>
      </c>
      <c r="CP33" s="23">
        <f t="shared" si="29"/>
        <v>4179367.8875971711</v>
      </c>
      <c r="CQ33" s="23">
        <f t="shared" si="29"/>
        <v>4683330.2655136818</v>
      </c>
      <c r="CR33" s="29">
        <f t="shared" si="29"/>
        <v>16360520.376901977</v>
      </c>
      <c r="CS33" s="23">
        <f t="shared" si="29"/>
        <v>3828532.7471281593</v>
      </c>
      <c r="CT33" s="23">
        <f t="shared" ref="CT33:DB33" si="32">CT14</f>
        <v>4035551.7328955177</v>
      </c>
      <c r="CU33" s="23">
        <f t="shared" si="32"/>
        <v>4366459.475801317</v>
      </c>
      <c r="CV33" s="23">
        <f t="shared" si="32"/>
        <v>4892038.4006281449</v>
      </c>
      <c r="CW33" s="29">
        <f t="shared" si="32"/>
        <v>17122582.356453139</v>
      </c>
      <c r="CX33" s="23">
        <f t="shared" si="32"/>
        <v>3808411.4948005248</v>
      </c>
      <c r="CY33" s="23">
        <f t="shared" si="32"/>
        <v>4056435.9250428258</v>
      </c>
      <c r="CZ33" s="23">
        <f t="shared" si="32"/>
        <v>4429431.6328853425</v>
      </c>
      <c r="DA33" s="23">
        <f t="shared" si="32"/>
        <v>4996102.9988335101</v>
      </c>
      <c r="DB33" s="29">
        <f t="shared" si="32"/>
        <v>17290382.051562205</v>
      </c>
    </row>
    <row r="34" spans="1:106" ht="11.25" customHeight="1" outlineLevel="1" x14ac:dyDescent="0.35">
      <c r="A34" s="7" t="s">
        <v>279</v>
      </c>
      <c r="B34" s="448"/>
      <c r="C34" s="448">
        <f>IS!B107+C9</f>
        <v>6772075.6260083588</v>
      </c>
      <c r="D34" s="448">
        <f>IS!C107+D9</f>
        <v>6880990.4094728958</v>
      </c>
      <c r="E34" s="448">
        <f>IS!D107+E9</f>
        <v>8346993.4857181711</v>
      </c>
      <c r="F34" s="423"/>
      <c r="G34" s="448">
        <f>IS!F107+G9</f>
        <v>7134787.8291241014</v>
      </c>
      <c r="H34" s="448">
        <f>IS!G107+H9</f>
        <v>7642032.0951965526</v>
      </c>
      <c r="I34" s="448">
        <f>IS!H107+I9</f>
        <v>7757857.3077739906</v>
      </c>
      <c r="J34" s="448">
        <f>IS!I107+J9</f>
        <v>8734886.7676970027</v>
      </c>
      <c r="K34" s="423">
        <f>IS!F107+K9</f>
        <v>12633262.999791646</v>
      </c>
      <c r="L34" s="448">
        <f>IS!K107+L9</f>
        <v>7613270.757181434</v>
      </c>
      <c r="M34" s="448">
        <f>IS!L107+M9</f>
        <v>7678735.0976600004</v>
      </c>
      <c r="N34" s="448">
        <f>IS!M107+N9</f>
        <v>7918699.9449833315</v>
      </c>
      <c r="O34" s="448">
        <f>IS!N107+O9</f>
        <v>7627436.6087744534</v>
      </c>
      <c r="P34" s="423">
        <f>IS!K107+P9</f>
        <v>12399315.40859922</v>
      </c>
      <c r="Q34" s="448">
        <f>IS!P107+Q9</f>
        <v>7218267.9277246706</v>
      </c>
      <c r="R34" s="448">
        <f>IS!Q107+R9</f>
        <v>7796597.2600047318</v>
      </c>
      <c r="S34" s="448">
        <f>IS!R107+S9</f>
        <v>6897881.2304267865</v>
      </c>
      <c r="T34" s="448">
        <f>IS!S107+T9</f>
        <v>7837815.0743124131</v>
      </c>
      <c r="U34" s="423">
        <f>IS!P107+U9</f>
        <v>13034718.492468603</v>
      </c>
      <c r="V34" s="448">
        <f>IS!U107+V9</f>
        <v>6722539.0291570751</v>
      </c>
      <c r="W34" s="448">
        <f>IS!V107+W9</f>
        <v>6598933.9376654774</v>
      </c>
      <c r="X34" s="448">
        <f>IS!W107+X9</f>
        <v>6076446.6204413762</v>
      </c>
      <c r="Y34" s="448">
        <f>IS!X107+Y9</f>
        <v>6665755.1859731916</v>
      </c>
      <c r="Z34" s="423">
        <f>IS!U107+Z9</f>
        <v>10858959.77323712</v>
      </c>
      <c r="AA34" s="448">
        <f>IS!Z107+AA9</f>
        <v>5249625.0137624843</v>
      </c>
      <c r="AB34" s="448">
        <f>IS!AA107+AB9</f>
        <v>5140369.001918341</v>
      </c>
      <c r="AC34" s="448">
        <f>IS!AB107+AC9</f>
        <v>5212022.0632334044</v>
      </c>
      <c r="AD34" s="448">
        <f>IS!AC107+AD9</f>
        <v>4740145.1010550056</v>
      </c>
      <c r="AE34" s="423">
        <f>IS!Z107+AE9</f>
        <v>7916584.1799692353</v>
      </c>
      <c r="AF34" s="448">
        <f>IS!AE107+AF9</f>
        <v>4066069.8997868355</v>
      </c>
      <c r="AG34" s="448">
        <f>IS!AF107+AG9</f>
        <v>3661814.7419636678</v>
      </c>
      <c r="AH34" s="448">
        <f>IS!AG107+AH9</f>
        <v>3327328.6262294059</v>
      </c>
      <c r="AI34" s="448">
        <f>IS!AH107+AI9</f>
        <v>3396216.170887758</v>
      </c>
      <c r="AJ34" s="423">
        <f>IS!AE107+AJ9</f>
        <v>6288066.4388676668</v>
      </c>
      <c r="AK34" s="448">
        <f>IS!AJ107+AK9</f>
        <v>2684383.621604166</v>
      </c>
      <c r="AL34" s="448">
        <f>IS!AK107+AL9</f>
        <v>2735167.6761953006</v>
      </c>
      <c r="AM34" s="448">
        <f>IS!AL107+AM9</f>
        <v>2518057.1145032682</v>
      </c>
      <c r="AN34" s="448">
        <f>IS!AM107+AN9</f>
        <v>2889032.5166554218</v>
      </c>
      <c r="AO34" s="423">
        <f>IS!AJ107+AO9</f>
        <v>5423588.9289581571</v>
      </c>
      <c r="AP34" s="448">
        <f>IS!AO107+AP9</f>
        <v>2267123.1425806922</v>
      </c>
      <c r="AQ34" s="448">
        <f>IS!AP107+AQ9</f>
        <v>2647259.0342695657</v>
      </c>
      <c r="AR34" s="448">
        <f>IS!AQ107+AR9</f>
        <v>2466886.2920141225</v>
      </c>
      <c r="AS34" s="448">
        <f>IS!AR107+AS9</f>
        <v>3917631.7254579803</v>
      </c>
      <c r="AT34" s="423">
        <f>IS!AO107+AT9</f>
        <v>6709755.1943223607</v>
      </c>
      <c r="AU34" s="448">
        <f>IS!AT107+AU9</f>
        <v>2514113.0665681805</v>
      </c>
      <c r="AV34" s="448">
        <f>IS!AU107+AV9</f>
        <v>3206400.9368501431</v>
      </c>
      <c r="AW34" s="448">
        <f>IS!AV107+AW9</f>
        <v>3464222.3303312063</v>
      </c>
      <c r="AX34" s="448">
        <f>IS!AW107+AX9</f>
        <v>3937579.1095968094</v>
      </c>
      <c r="AY34" s="423">
        <f>IS!AT107+AY9</f>
        <v>6330395.4433463393</v>
      </c>
      <c r="AZ34" s="448">
        <f>IS!AY107+AZ9</f>
        <v>3812187.9834458688</v>
      </c>
      <c r="BA34" s="448">
        <f>IS!AZ107+BA9</f>
        <v>3567981.0889543975</v>
      </c>
      <c r="BB34" s="448">
        <f>IS!BA107+BB9</f>
        <v>4754589.1025532614</v>
      </c>
      <c r="BC34" s="448">
        <f>IS!BB107+BC9</f>
        <v>4880327.7667020494</v>
      </c>
      <c r="BD34" s="423">
        <f>IS!AY107+BD9</f>
        <v>7896387.9416555772</v>
      </c>
      <c r="BE34" s="448">
        <f>IS!BD107+BE9</f>
        <v>4386240.8944871742</v>
      </c>
      <c r="BF34" s="448">
        <f>IS!BE107+BF9</f>
        <v>5155914.8194156727</v>
      </c>
      <c r="BG34" s="448">
        <f>IS!BF107+BG9</f>
        <v>5316388.6801327132</v>
      </c>
      <c r="BH34" s="448">
        <f>IS!BG107+BH9</f>
        <v>5458501.0984918308</v>
      </c>
      <c r="BI34" s="423">
        <f>IS!BD107+BI9</f>
        <v>8886314.4925273918</v>
      </c>
      <c r="BJ34" s="448">
        <f>IS!BI107+BJ9</f>
        <v>5665727.3405780913</v>
      </c>
      <c r="BK34" s="448">
        <f>IS!BJ107+BK9</f>
        <v>6092174.8707555179</v>
      </c>
      <c r="BL34" s="448">
        <f>IS!BK107+BL9</f>
        <v>6946972.5363245821</v>
      </c>
      <c r="BM34" s="448">
        <f>IS!BL107+BM9</f>
        <v>7799283.3394353595</v>
      </c>
      <c r="BN34" s="423">
        <f>IS!BI107+BN9</f>
        <v>12264422.087093551</v>
      </c>
      <c r="BO34" s="448">
        <f>IS!BN107+BO9</f>
        <v>6788377.4591390239</v>
      </c>
      <c r="BP34" s="448">
        <f>IS!BO107+BP9</f>
        <v>8248864.4593098294</v>
      </c>
      <c r="BQ34" s="448">
        <f>IS!BP107+BQ9</f>
        <v>8515018.9775623754</v>
      </c>
      <c r="BR34" s="448">
        <f>IS!BQ107+BR9</f>
        <v>8945479.6974654011</v>
      </c>
      <c r="BS34" s="423">
        <f>IS!BN107+BS9</f>
        <v>14135735.593476627</v>
      </c>
      <c r="BT34" s="448">
        <f>IS!BS107+BT9</f>
        <v>8780783.342362199</v>
      </c>
      <c r="BU34" s="448">
        <f>IS!BT107+BU9</f>
        <v>9476517.7187608387</v>
      </c>
      <c r="BV34" s="448">
        <f>IS!BU107+BV9</f>
        <v>10466511.893692799</v>
      </c>
      <c r="BW34" s="448">
        <f>IS!BV107+BW9</f>
        <v>12694317.616957773</v>
      </c>
      <c r="BX34" s="423">
        <f>IS!BS107+BX9</f>
        <v>19257819.571773611</v>
      </c>
      <c r="BY34" s="448">
        <f>IS!BX107+BY9</f>
        <v>11819140.586852869</v>
      </c>
      <c r="BZ34" s="448">
        <f>IS!BY107+BZ9</f>
        <v>12694838.235452708</v>
      </c>
      <c r="CA34" s="448">
        <f>IS!BZ107+CA9</f>
        <v>13395865.54355466</v>
      </c>
      <c r="CB34" s="448">
        <f>IS!CA107+CB9</f>
        <v>12961190</v>
      </c>
      <c r="CC34" s="423">
        <f>IS!BX107+CC9</f>
        <v>21953862.365860239</v>
      </c>
      <c r="CD34" s="448">
        <f>IS!CC107+CD9</f>
        <v>14159258</v>
      </c>
      <c r="CE34" s="448">
        <f>IS!CD107+CE9</f>
        <v>15129105</v>
      </c>
      <c r="CF34" s="448">
        <f>IS!CE107+CF9</f>
        <v>15742318.340598848</v>
      </c>
      <c r="CG34" s="448">
        <f>IS!CF107+CG9</f>
        <v>16776924.641117243</v>
      </c>
      <c r="CH34" s="423">
        <f>IS!CC107+CH9</f>
        <v>24852203.058524508</v>
      </c>
      <c r="CI34" s="448">
        <f>IS!CH107+CI9</f>
        <v>17504413.588136781</v>
      </c>
      <c r="CJ34" s="448">
        <f>IS!CI107+CJ9</f>
        <v>18421363.253583778</v>
      </c>
      <c r="CK34" s="448">
        <f>IS!CJ107+CK9</f>
        <v>19592093.422094699</v>
      </c>
      <c r="CL34" s="448">
        <f>IS!CK107+CL9</f>
        <v>20809587.300810907</v>
      </c>
      <c r="CM34" s="423">
        <f>IS!CH107+CM9</f>
        <v>29167544.871756732</v>
      </c>
      <c r="CN34" s="448">
        <f>IS!CM107+CN9</f>
        <v>21396633.276909392</v>
      </c>
      <c r="CO34" s="448">
        <f>IS!CN107+CO9</f>
        <v>22212502.328983154</v>
      </c>
      <c r="CP34" s="448">
        <f>IS!CO107+CP9</f>
        <v>23318273.028346084</v>
      </c>
      <c r="CQ34" s="448">
        <f>IS!CP107+CQ9</f>
        <v>24802260.588535655</v>
      </c>
      <c r="CR34" s="423">
        <f>IS!CM107+CR9</f>
        <v>34114758.796736665</v>
      </c>
      <c r="CS34" s="448">
        <f>IS!CR107+CS9</f>
        <v>25215639.13420989</v>
      </c>
      <c r="CT34" s="448">
        <f>IS!CS107+CT9</f>
        <v>25918992.372519925</v>
      </c>
      <c r="CU34" s="448">
        <f>IS!CT107+CU9</f>
        <v>26936027.225860141</v>
      </c>
      <c r="CV34" s="448">
        <f>IS!CU107+CV9</f>
        <v>28364151.754884042</v>
      </c>
      <c r="CW34" s="423">
        <f>IS!CR107+CW9</f>
        <v>38509688.74353487</v>
      </c>
      <c r="CX34" s="448">
        <f>IS!CW107+CX9</f>
        <v>28496459.552796923</v>
      </c>
      <c r="CY34" s="448">
        <f>IS!CX107+CY9</f>
        <v>28966991.406768326</v>
      </c>
      <c r="CZ34" s="448">
        <f>IS!CY107+CZ9</f>
        <v>29802691.389378473</v>
      </c>
      <c r="DA34" s="448">
        <f>IS!CZ107+DA9</f>
        <v>31092238.110849705</v>
      </c>
      <c r="DB34" s="423">
        <f>IS!CW107+DB9</f>
        <v>41978430.109558597</v>
      </c>
    </row>
    <row r="35" spans="1:106" ht="11.25" customHeight="1" x14ac:dyDescent="0.35">
      <c r="A35" s="16" t="s">
        <v>54</v>
      </c>
      <c r="B35" s="461">
        <f>IS!B5</f>
        <v>1158647</v>
      </c>
      <c r="C35" s="461">
        <f>IS!C5</f>
        <v>1218397</v>
      </c>
      <c r="D35" s="461">
        <f>IS!D5</f>
        <v>1185629</v>
      </c>
      <c r="E35" s="461">
        <f>IS!E5</f>
        <v>1413874</v>
      </c>
      <c r="F35" s="428">
        <f>SUM(B35:E35)</f>
        <v>4976547</v>
      </c>
      <c r="G35" s="461">
        <f>IS!G5</f>
        <v>1225791</v>
      </c>
      <c r="H35" s="461">
        <f>IS!H5</f>
        <v>1412445</v>
      </c>
      <c r="I35" s="461">
        <f>IS!I5</f>
        <v>1586902</v>
      </c>
      <c r="J35" s="461">
        <f>IS!J5-195000-168000</f>
        <v>1678513</v>
      </c>
      <c r="K35" s="428">
        <f>SUM(G35:J35)</f>
        <v>5903651</v>
      </c>
      <c r="L35" s="461">
        <f>IS!L5</f>
        <v>1505576</v>
      </c>
      <c r="M35" s="461">
        <f>IS!M5</f>
        <v>1414248</v>
      </c>
      <c r="N35" s="461">
        <f>IS!N5</f>
        <v>1394730</v>
      </c>
      <c r="O35" s="461">
        <f>IS!O5</f>
        <v>1401400</v>
      </c>
      <c r="P35" s="428">
        <f>SUM(L35:O35)</f>
        <v>5715954</v>
      </c>
      <c r="Q35" s="461">
        <f>IS!Q5</f>
        <v>1233951</v>
      </c>
      <c r="R35" s="461">
        <f>IS!R5</f>
        <v>1389783</v>
      </c>
      <c r="S35" s="461">
        <f>IS!S5</f>
        <v>1414214</v>
      </c>
      <c r="T35" s="461">
        <f>IS!T5</f>
        <v>1410416</v>
      </c>
      <c r="U35" s="428">
        <f>SUM(Q35:T35)</f>
        <v>5448364</v>
      </c>
      <c r="V35" s="461">
        <f>IS!V5</f>
        <v>1335416</v>
      </c>
      <c r="W35" s="461">
        <f>IS!W5</f>
        <v>1380637</v>
      </c>
      <c r="X35" s="461">
        <f>IS!X5</f>
        <v>1607593</v>
      </c>
      <c r="Y35" s="461">
        <f>IS!Y5</f>
        <v>1558582</v>
      </c>
      <c r="Z35" s="428">
        <f>SUM(V35:Y35)</f>
        <v>5882228</v>
      </c>
      <c r="AA35" s="461">
        <f>IS!AA5</f>
        <v>1054045</v>
      </c>
      <c r="AB35" s="461">
        <f>IS!AB5</f>
        <v>1156905</v>
      </c>
      <c r="AC35" s="461">
        <f>IS!AC5</f>
        <v>1164221</v>
      </c>
      <c r="AD35" s="461">
        <f>IS!AD5</f>
        <v>1046063</v>
      </c>
      <c r="AE35" s="428">
        <f>SUM(AA35:AD35)</f>
        <v>4421234</v>
      </c>
      <c r="AF35" s="461">
        <f>IS!AF5</f>
        <v>820283</v>
      </c>
      <c r="AG35" s="461">
        <f>IS!AG5</f>
        <v>635730</v>
      </c>
      <c r="AH35" s="461">
        <f>IS!AH5</f>
        <v>839121</v>
      </c>
      <c r="AI35" s="461">
        <f>IS!AI5</f>
        <v>942441</v>
      </c>
      <c r="AJ35" s="428">
        <f>SUM(AF35:AI35)</f>
        <v>3237575</v>
      </c>
      <c r="AK35" s="461">
        <f>IS!AK5</f>
        <v>694805</v>
      </c>
      <c r="AL35" s="461">
        <f>IS!AL5</f>
        <v>585273</v>
      </c>
      <c r="AM35" s="461">
        <f>IS!AM5</f>
        <v>608783</v>
      </c>
      <c r="AN35" s="461">
        <f>IS!AN5</f>
        <v>826977</v>
      </c>
      <c r="AO35" s="428">
        <f>SUM(AK35:AN35)</f>
        <v>2715838</v>
      </c>
      <c r="AP35" s="461">
        <f>IS!AP5</f>
        <v>460031</v>
      </c>
      <c r="AQ35" s="461">
        <f>IS!AQ5</f>
        <v>652795</v>
      </c>
      <c r="AR35" s="461">
        <f>IS!AR5</f>
        <v>737779</v>
      </c>
      <c r="AS35" s="461">
        <f>IS!AS5</f>
        <v>1103392</v>
      </c>
      <c r="AT35" s="428">
        <f>SUM(AP35:AS35)</f>
        <v>2953997</v>
      </c>
      <c r="AU35" s="461">
        <f>IS!AU5</f>
        <v>843476</v>
      </c>
      <c r="AV35" s="461">
        <f>IS!AV5</f>
        <v>955662</v>
      </c>
      <c r="AW35" s="461">
        <f>IS!AW5</f>
        <v>951409</v>
      </c>
      <c r="AX35" s="461">
        <f>IS!AX5</f>
        <v>1257071</v>
      </c>
      <c r="AY35" s="428">
        <f>SUM(AU35:AX35)</f>
        <v>4007618</v>
      </c>
      <c r="AZ35" s="461">
        <f>IS!AZ5</f>
        <v>773705</v>
      </c>
      <c r="BA35" s="461">
        <f>IS!BA5</f>
        <v>847257</v>
      </c>
      <c r="BB35" s="461">
        <f>IS!BB5</f>
        <v>1174787</v>
      </c>
      <c r="BC35" s="461">
        <f>IS!BC5</f>
        <v>1059393</v>
      </c>
      <c r="BD35" s="428">
        <f>SUM(AZ35:BC35)</f>
        <v>3855142</v>
      </c>
      <c r="BE35" s="461">
        <f>IS!BE5</f>
        <v>1009104</v>
      </c>
      <c r="BF35" s="461">
        <f>IS!BF5</f>
        <v>1189173</v>
      </c>
      <c r="BG35" s="461">
        <f>IS!BG5</f>
        <v>1296990</v>
      </c>
      <c r="BH35" s="461">
        <f>IS!BH5</f>
        <v>1308788</v>
      </c>
      <c r="BI35" s="428">
        <f>SUM(BE35:BH35)</f>
        <v>4804055</v>
      </c>
      <c r="BJ35" s="461">
        <f>IS!BJ5</f>
        <v>1239201</v>
      </c>
      <c r="BK35" s="461">
        <f>IS!BK5</f>
        <v>1254408</v>
      </c>
      <c r="BL35" s="461">
        <f>IS!BL5</f>
        <v>1569855</v>
      </c>
      <c r="BM35" s="461">
        <f>IS!BM5</f>
        <v>1391761</v>
      </c>
      <c r="BN35" s="428">
        <f>SUM(BJ35:BM35)</f>
        <v>5455225</v>
      </c>
      <c r="BO35" s="461">
        <f>IS!BO5</f>
        <v>1301102</v>
      </c>
      <c r="BP35" s="461">
        <f>IS!BP5</f>
        <v>1658000</v>
      </c>
      <c r="BQ35" s="461">
        <f>IS!BQ5</f>
        <v>1651415</v>
      </c>
      <c r="BR35" s="461">
        <f>IS!BR5</f>
        <v>1733240</v>
      </c>
      <c r="BS35" s="428">
        <f>SUM(BO35:BR35)</f>
        <v>6343757</v>
      </c>
      <c r="BT35" s="461">
        <f>IS!BT5</f>
        <v>1594820</v>
      </c>
      <c r="BU35" s="461">
        <f>IS!BU5</f>
        <v>1885707</v>
      </c>
      <c r="BV35" s="461">
        <f>IS!BV5</f>
        <v>2061472</v>
      </c>
      <c r="BW35" s="461">
        <f>IS!BW5</f>
        <v>2548108</v>
      </c>
      <c r="BX35" s="428">
        <f>SUM(BT35:BW35)</f>
        <v>8090107</v>
      </c>
      <c r="BY35" s="461">
        <f>IS!BY5</f>
        <v>1975256</v>
      </c>
      <c r="BZ35" s="461">
        <f>IS!BZ5</f>
        <v>2141635</v>
      </c>
      <c r="CA35" s="461">
        <f>IS!CA5</f>
        <v>2163059</v>
      </c>
      <c r="CB35" s="461">
        <f>IS!CB5</f>
        <v>3288140</v>
      </c>
      <c r="CC35" s="39">
        <f>SUM(BY35:CB35)</f>
        <v>9568090</v>
      </c>
      <c r="CD35" s="461">
        <f>IS!CD5</f>
        <v>2050085</v>
      </c>
      <c r="CE35" s="461">
        <f>IS!CE5</f>
        <v>2504583</v>
      </c>
      <c r="CF35" s="48">
        <f>CF37+CF39</f>
        <v>2677777.4174072649</v>
      </c>
      <c r="CG35" s="48">
        <f>CG37+CG39</f>
        <v>2882445.4935896769</v>
      </c>
      <c r="CH35" s="39">
        <f>SUM(CD35:CG35)</f>
        <v>10114890.910996942</v>
      </c>
      <c r="CI35" s="48">
        <f>CI37+CI39</f>
        <v>2704168.8554524882</v>
      </c>
      <c r="CJ35" s="48">
        <f>CJ37+CJ39</f>
        <v>2756850.7892897511</v>
      </c>
      <c r="CK35" s="48">
        <f>CK37+CK39</f>
        <v>2896937.926203589</v>
      </c>
      <c r="CL35" s="48">
        <f>CL37+CL39</f>
        <v>3055348.8809762178</v>
      </c>
      <c r="CM35" s="39">
        <f>SUM(CI35:CL35)</f>
        <v>11413306.451922046</v>
      </c>
      <c r="CN35" s="48">
        <f>CN37+CN39</f>
        <v>3039558.3146426589</v>
      </c>
      <c r="CO35" s="48">
        <f>CO37+CO39</f>
        <v>3073597.1882342389</v>
      </c>
      <c r="CP35" s="48">
        <f>CP37+CP39</f>
        <v>3199342.7053241134</v>
      </c>
      <c r="CQ35" s="48">
        <f>CQ37+CQ39</f>
        <v>3415154.2014539251</v>
      </c>
      <c r="CR35" s="39">
        <f>SUM(CN35:CQ35)</f>
        <v>12727652.409654938</v>
      </c>
      <c r="CS35" s="48">
        <f>CS37+CS39</f>
        <v>3332198.4945854801</v>
      </c>
      <c r="CT35" s="48">
        <f>CT37+CT39</f>
        <v>3349424.6224611057</v>
      </c>
      <c r="CU35" s="48">
        <f>CU37+CU39</f>
        <v>3463913.8716042442</v>
      </c>
      <c r="CV35" s="48">
        <f>CV37+CV39</f>
        <v>3676103.6968876459</v>
      </c>
      <c r="CW35" s="39">
        <f>SUM(CS35:CV35)</f>
        <v>13821640.685538474</v>
      </c>
      <c r="CX35" s="48">
        <f>CX37+CX39</f>
        <v>3585904.0710714227</v>
      </c>
      <c r="CY35" s="48">
        <f>CY37+CY39</f>
        <v>3593731.6502751969</v>
      </c>
      <c r="CZ35" s="48">
        <f>CZ37+CZ39</f>
        <v>3706556.2773622777</v>
      </c>
      <c r="DA35" s="48">
        <f>DA37+DA39</f>
        <v>3919207.8679668512</v>
      </c>
      <c r="DB35" s="39">
        <f>SUM(CX35:DA35)</f>
        <v>14805399.866675748</v>
      </c>
    </row>
    <row r="36" spans="1:106" s="128" customFormat="1" ht="11.25" customHeight="1" x14ac:dyDescent="0.35">
      <c r="A36" s="119" t="s">
        <v>280</v>
      </c>
      <c r="B36" s="104"/>
      <c r="C36" s="104">
        <f t="shared" ref="C36:AT36" si="33">C35/C34</f>
        <v>0.17991485436469579</v>
      </c>
      <c r="D36" s="104">
        <f t="shared" si="33"/>
        <v>0.17230499236967003</v>
      </c>
      <c r="E36" s="104">
        <f t="shared" si="33"/>
        <v>0.16938721737583229</v>
      </c>
      <c r="F36" s="105"/>
      <c r="G36" s="153">
        <f>G35/G34</f>
        <v>0.17180482858878279</v>
      </c>
      <c r="H36" s="153">
        <f t="shared" si="33"/>
        <v>0.1848258398296706</v>
      </c>
      <c r="I36" s="153">
        <f t="shared" si="33"/>
        <v>0.20455416193461021</v>
      </c>
      <c r="J36" s="153">
        <f>J35/J34</f>
        <v>0.19216196438944205</v>
      </c>
      <c r="K36" s="105">
        <f t="shared" si="33"/>
        <v>0.46731006867326086</v>
      </c>
      <c r="L36" s="153">
        <f t="shared" si="33"/>
        <v>0.19775679179409489</v>
      </c>
      <c r="M36" s="153">
        <f t="shared" si="33"/>
        <v>0.1841772091383872</v>
      </c>
      <c r="N36" s="153">
        <f t="shared" si="33"/>
        <v>0.17613118437245393</v>
      </c>
      <c r="O36" s="153">
        <f t="shared" si="33"/>
        <v>0.18373145158464602</v>
      </c>
      <c r="P36" s="105">
        <f t="shared" si="33"/>
        <v>0.4609894830190262</v>
      </c>
      <c r="Q36" s="153">
        <f t="shared" si="33"/>
        <v>0.17094835109410572</v>
      </c>
      <c r="R36" s="153">
        <f t="shared" si="33"/>
        <v>0.17825507123849521</v>
      </c>
      <c r="S36" s="153">
        <f t="shared" si="33"/>
        <v>0.20502150627961735</v>
      </c>
      <c r="T36" s="153">
        <f t="shared" si="33"/>
        <v>0.17995015021756319</v>
      </c>
      <c r="U36" s="105">
        <f t="shared" si="33"/>
        <v>0.41798862040235379</v>
      </c>
      <c r="V36" s="153">
        <f t="shared" si="33"/>
        <v>0.19864756369699277</v>
      </c>
      <c r="W36" s="153">
        <f t="shared" si="33"/>
        <v>0.20922121861526494</v>
      </c>
      <c r="X36" s="153">
        <f t="shared" si="33"/>
        <v>0.26456136298342547</v>
      </c>
      <c r="Y36" s="153">
        <f t="shared" si="33"/>
        <v>0.23381926826231753</v>
      </c>
      <c r="Z36" s="105">
        <f t="shared" si="33"/>
        <v>0.54169350682164585</v>
      </c>
      <c r="AA36" s="153">
        <f t="shared" si="33"/>
        <v>0.20078481743680779</v>
      </c>
      <c r="AB36" s="153">
        <f t="shared" si="33"/>
        <v>0.22506263646992133</v>
      </c>
      <c r="AC36" s="153">
        <f t="shared" si="33"/>
        <v>0.22337223171264689</v>
      </c>
      <c r="AD36" s="153">
        <f t="shared" si="33"/>
        <v>0.22068164110992713</v>
      </c>
      <c r="AE36" s="105">
        <f t="shared" si="33"/>
        <v>0.55847748214270632</v>
      </c>
      <c r="AF36" s="153">
        <f t="shared" si="33"/>
        <v>0.20173853874056702</v>
      </c>
      <c r="AG36" s="153">
        <f t="shared" si="33"/>
        <v>0.17361063975046601</v>
      </c>
      <c r="AH36" s="153">
        <f t="shared" si="33"/>
        <v>0.2521905992047766</v>
      </c>
      <c r="AI36" s="153">
        <f t="shared" si="33"/>
        <v>0.27749735369573059</v>
      </c>
      <c r="AJ36" s="105">
        <f t="shared" si="33"/>
        <v>0.51487608018706166</v>
      </c>
      <c r="AK36" s="153">
        <f>AK35/AK34</f>
        <v>0.2588322303891834</v>
      </c>
      <c r="AL36" s="153">
        <f>AL35/AL34</f>
        <v>0.21398066564391843</v>
      </c>
      <c r="AM36" s="153">
        <f>AM35/AM34</f>
        <v>0.24176695456730868</v>
      </c>
      <c r="AN36" s="153">
        <f>AN35/AN34</f>
        <v>0.28624703779982913</v>
      </c>
      <c r="AO36" s="105">
        <f t="shared" si="33"/>
        <v>0.5007455460902156</v>
      </c>
      <c r="AP36" s="153">
        <f t="shared" si="33"/>
        <v>0.20291398881683217</v>
      </c>
      <c r="AQ36" s="153">
        <f t="shared" si="33"/>
        <v>0.24659279335696735</v>
      </c>
      <c r="AR36" s="153">
        <f t="shared" si="33"/>
        <v>0.29907296594429994</v>
      </c>
      <c r="AS36" s="153">
        <f t="shared" si="33"/>
        <v>0.28164770895380958</v>
      </c>
      <c r="AT36" s="105">
        <f t="shared" si="33"/>
        <v>0.44025406508118264</v>
      </c>
      <c r="AU36" s="153">
        <f>AU35/AU34</f>
        <v>0.33549644652671223</v>
      </c>
      <c r="AV36" s="153">
        <f>AV35/AV34</f>
        <v>0.29804819135900362</v>
      </c>
      <c r="AW36" s="153">
        <f>AW35/AW34</f>
        <v>0.27463855066976545</v>
      </c>
      <c r="AX36" s="153">
        <f>AX35/AX34</f>
        <v>0.31924971283401554</v>
      </c>
      <c r="AY36" s="105">
        <f t="shared" ref="AY36:DB36" si="34">AY35/AY34</f>
        <v>0.63307545885024752</v>
      </c>
      <c r="AZ36" s="153">
        <f t="shared" si="34"/>
        <v>0.20295562636463732</v>
      </c>
      <c r="BA36" s="153">
        <f t="shared" si="34"/>
        <v>0.23746118011188508</v>
      </c>
      <c r="BB36" s="153">
        <f t="shared" si="34"/>
        <v>0.2470848636255713</v>
      </c>
      <c r="BC36" s="153">
        <f t="shared" si="34"/>
        <v>0.21707414965612029</v>
      </c>
      <c r="BD36" s="105">
        <f t="shared" si="34"/>
        <v>0.48821588155048534</v>
      </c>
      <c r="BE36" s="153">
        <f t="shared" si="34"/>
        <v>0.23006123563990466</v>
      </c>
      <c r="BF36" s="153">
        <f t="shared" si="34"/>
        <v>0.23064248375902585</v>
      </c>
      <c r="BG36" s="153">
        <f>BG35/BG34</f>
        <v>0.24396071808045894</v>
      </c>
      <c r="BH36" s="153">
        <f>BH35/BH34</f>
        <v>0.23977058470531673</v>
      </c>
      <c r="BI36" s="105">
        <f t="shared" si="34"/>
        <v>0.54061275954612986</v>
      </c>
      <c r="BJ36" s="153">
        <f>BJ35/BJ34</f>
        <v>0.21871878498719999</v>
      </c>
      <c r="BK36" s="153">
        <f>BK35/BK34</f>
        <v>0.20590479206721052</v>
      </c>
      <c r="BL36" s="153">
        <f>BL35/BL34</f>
        <v>0.22597685420396946</v>
      </c>
      <c r="BM36" s="153">
        <f>BM35/BM34</f>
        <v>0.17844729309459331</v>
      </c>
      <c r="BN36" s="105">
        <f t="shared" si="34"/>
        <v>0.44480081990498349</v>
      </c>
      <c r="BO36" s="153">
        <f t="shared" si="34"/>
        <v>0.19166612461249613</v>
      </c>
      <c r="BP36" s="153">
        <f t="shared" si="34"/>
        <v>0.20099736250712047</v>
      </c>
      <c r="BQ36" s="153">
        <f t="shared" si="34"/>
        <v>0.19394143505159356</v>
      </c>
      <c r="BR36" s="153">
        <f t="shared" si="34"/>
        <v>0.19375595927975708</v>
      </c>
      <c r="BS36" s="105">
        <f t="shared" si="34"/>
        <v>0.44877445238347008</v>
      </c>
      <c r="BT36" s="153">
        <f>BT35/BT34</f>
        <v>0.18162616452519859</v>
      </c>
      <c r="BU36" s="153">
        <f>BU35/BU34</f>
        <v>0.19898733437355692</v>
      </c>
      <c r="BV36" s="153">
        <f>BV35/BV34</f>
        <v>0.19695883604185832</v>
      </c>
      <c r="BW36" s="153">
        <f>BW35/BW34</f>
        <v>0.20072823738048717</v>
      </c>
      <c r="BX36" s="105">
        <f t="shared" si="34"/>
        <v>0.42009465141410685</v>
      </c>
      <c r="BY36" s="153">
        <f>BY35/BY34</f>
        <v>0.16712348799685101</v>
      </c>
      <c r="BZ36" s="153">
        <f>BZ35/BZ34</f>
        <v>0.16870124378734375</v>
      </c>
      <c r="CA36" s="153">
        <f>CA35/CA34</f>
        <v>0.16147213429151974</v>
      </c>
      <c r="CB36" s="153">
        <f>CB35/CB34</f>
        <v>0.2536912119951949</v>
      </c>
      <c r="CC36" s="105">
        <f t="shared" si="34"/>
        <v>0.43582718341529897</v>
      </c>
      <c r="CD36" s="153">
        <f>CD35/CD34</f>
        <v>0.14478760115819628</v>
      </c>
      <c r="CE36" s="153">
        <f>CE35/CE34</f>
        <v>0.16554733409544053</v>
      </c>
      <c r="CF36" s="153">
        <f t="shared" si="34"/>
        <v>0.17010057600610054</v>
      </c>
      <c r="CG36" s="153">
        <f t="shared" si="34"/>
        <v>0.17181012344332275</v>
      </c>
      <c r="CH36" s="105">
        <f t="shared" si="34"/>
        <v>0.40700178117720037</v>
      </c>
      <c r="CI36" s="153">
        <f t="shared" si="34"/>
        <v>0.15448497270912162</v>
      </c>
      <c r="CJ36" s="153">
        <f t="shared" si="34"/>
        <v>0.14965509074109487</v>
      </c>
      <c r="CK36" s="153">
        <f t="shared" si="34"/>
        <v>0.14786260272404628</v>
      </c>
      <c r="CL36" s="153">
        <f t="shared" si="34"/>
        <v>0.14682409779732428</v>
      </c>
      <c r="CM36" s="105">
        <f t="shared" si="34"/>
        <v>0.39130158201877596</v>
      </c>
      <c r="CN36" s="153">
        <f t="shared" si="34"/>
        <v>0.14205778429276814</v>
      </c>
      <c r="CO36" s="153">
        <f t="shared" si="34"/>
        <v>0.1383723968921669</v>
      </c>
      <c r="CP36" s="153">
        <f t="shared" si="34"/>
        <v>0.13720324405820872</v>
      </c>
      <c r="CQ36" s="153">
        <f t="shared" si="34"/>
        <v>0.13769527939854448</v>
      </c>
      <c r="CR36" s="105">
        <f t="shared" si="34"/>
        <v>0.37308346471065873</v>
      </c>
      <c r="CS36" s="153">
        <f t="shared" si="34"/>
        <v>0.13214808781367388</v>
      </c>
      <c r="CT36" s="153">
        <f t="shared" si="34"/>
        <v>0.12922665257667437</v>
      </c>
      <c r="CU36" s="153">
        <f t="shared" si="34"/>
        <v>0.12859780109958779</v>
      </c>
      <c r="CV36" s="153">
        <f t="shared" si="34"/>
        <v>0.12960386507079857</v>
      </c>
      <c r="CW36" s="105">
        <f t="shared" si="34"/>
        <v>0.35891333159266042</v>
      </c>
      <c r="CX36" s="153">
        <f t="shared" si="34"/>
        <v>0.12583682770933791</v>
      </c>
      <c r="CY36" s="153">
        <f t="shared" si="34"/>
        <v>0.12406299293600433</v>
      </c>
      <c r="CZ36" s="153">
        <f t="shared" si="34"/>
        <v>0.12436985065997347</v>
      </c>
      <c r="DA36" s="153">
        <f t="shared" si="34"/>
        <v>0.12605100520567655</v>
      </c>
      <c r="DB36" s="105">
        <f t="shared" si="34"/>
        <v>0.35269065155689372</v>
      </c>
    </row>
    <row r="37" spans="1:106" ht="11.25" customHeight="1" x14ac:dyDescent="0.35">
      <c r="A37" s="11" t="s">
        <v>281</v>
      </c>
      <c r="B37" s="38">
        <f>B35-B39</f>
        <v>1158647</v>
      </c>
      <c r="C37" s="38">
        <f>C35-C39</f>
        <v>381249.16000000003</v>
      </c>
      <c r="D37" s="38">
        <f>D35-D39</f>
        <v>248729.64</v>
      </c>
      <c r="E37" s="38">
        <f>E35-E39</f>
        <v>484976.72</v>
      </c>
      <c r="F37" s="39">
        <f>SUM(B37:E37)</f>
        <v>2273602.5200000005</v>
      </c>
      <c r="G37" s="38">
        <f>G35-G39</f>
        <v>244004.91999999993</v>
      </c>
      <c r="H37" s="38">
        <f>H35-H39</f>
        <v>456605.31999999995</v>
      </c>
      <c r="I37" s="38">
        <f>I35-I39</f>
        <v>577439.12</v>
      </c>
      <c r="J37" s="38">
        <f>J35-J39</f>
        <v>662007.4</v>
      </c>
      <c r="K37" s="39">
        <f>SUM(G37:J37)</f>
        <v>1940056.7599999998</v>
      </c>
      <c r="L37" s="38">
        <f>L35-L39</f>
        <v>482678.88</v>
      </c>
      <c r="M37" s="38">
        <f>M35-M39</f>
        <v>395912.16000000003</v>
      </c>
      <c r="N37" s="38">
        <f>N35-N39</f>
        <v>408613.52</v>
      </c>
      <c r="O37" s="38">
        <f>O35-O39</f>
        <v>455640</v>
      </c>
      <c r="P37" s="39">
        <f>SUM(L37:O37)</f>
        <v>1742844.56</v>
      </c>
      <c r="Q37" s="38">
        <f>Q35-Q39</f>
        <v>296404.91999999993</v>
      </c>
      <c r="R37" s="38">
        <f>R35-R39</f>
        <v>491308.6</v>
      </c>
      <c r="S37" s="38">
        <f>S35-S39</f>
        <v>528254.16</v>
      </c>
      <c r="T37" s="38">
        <f>T35-T39</f>
        <v>464684.06999999995</v>
      </c>
      <c r="U37" s="39">
        <f>SUM(Q37:T37)</f>
        <v>1780651.75</v>
      </c>
      <c r="V37" s="38">
        <f>V35-V39</f>
        <v>507443.67999999993</v>
      </c>
      <c r="W37" s="38">
        <f>W35-W39</f>
        <v>526021.79999999993</v>
      </c>
      <c r="X37" s="38">
        <f>X35-X39</f>
        <v>489015.54000000004</v>
      </c>
      <c r="Y37" s="38">
        <f>Y35-Y39</f>
        <v>746164.40999999992</v>
      </c>
      <c r="Z37" s="39">
        <f>SUM(V37:Y37)</f>
        <v>2268645.4299999997</v>
      </c>
      <c r="AA37" s="38">
        <f>AA35-AA39</f>
        <v>284455.33999999997</v>
      </c>
      <c r="AB37" s="38">
        <f>AB35-AB39</f>
        <v>421363.95999999996</v>
      </c>
      <c r="AC37" s="38">
        <f>AC35-AC39</f>
        <v>449754.00999999989</v>
      </c>
      <c r="AD37" s="38">
        <f>AD35-AD39</f>
        <v>344761.76</v>
      </c>
      <c r="AE37" s="39">
        <f>SUM(AA37:AD37)</f>
        <v>1500335.0699999998</v>
      </c>
      <c r="AF37" s="38">
        <f>AF35-AF39</f>
        <v>221457.14999999991</v>
      </c>
      <c r="AG37" s="38">
        <f>AG35-AG39</f>
        <v>108145.88</v>
      </c>
      <c r="AH37" s="38">
        <f>AH35-AH39</f>
        <v>370944.56999999995</v>
      </c>
      <c r="AI37" s="38">
        <f>AI35-AI39</f>
        <v>527370.3600000001</v>
      </c>
      <c r="AJ37" s="39">
        <f>SUM(AF37:AI37)</f>
        <v>1227917.96</v>
      </c>
      <c r="AK37" s="38">
        <f>AK35-AK39</f>
        <v>326853.94</v>
      </c>
      <c r="AL37" s="38">
        <f>AL35-AL39</f>
        <v>229073.88</v>
      </c>
      <c r="AM37" s="38">
        <f>AM35-AM39</f>
        <v>286866.14</v>
      </c>
      <c r="AN37" s="38">
        <f>AN35-AN39</f>
        <v>532543.62</v>
      </c>
      <c r="AO37" s="39">
        <f>SUM(AK37:AN37)</f>
        <v>1375337.58</v>
      </c>
      <c r="AP37" s="38">
        <f>AP35-AP39</f>
        <v>195386.03999999998</v>
      </c>
      <c r="AQ37" s="38">
        <f>AQ35-AQ39</f>
        <v>398983.16000000003</v>
      </c>
      <c r="AR37" s="38">
        <f>AR35-AR39</f>
        <v>493879.95999999996</v>
      </c>
      <c r="AS37" s="38">
        <f>AS35-AS39</f>
        <v>866839.67999999993</v>
      </c>
      <c r="AT37" s="39">
        <f>SUM(AP37:AS37)</f>
        <v>1955088.8399999999</v>
      </c>
      <c r="AU37" s="38">
        <f>AU35-AU39</f>
        <v>564902.88</v>
      </c>
      <c r="AV37" s="38">
        <f>AV35-AV39</f>
        <v>651513.19999999995</v>
      </c>
      <c r="AW37" s="38">
        <f>AW35-AW39</f>
        <v>576872.04</v>
      </c>
      <c r="AX37" s="38">
        <f>AX35-AX39</f>
        <v>849049.56</v>
      </c>
      <c r="AY37" s="39">
        <f>SUM(AU37:AX37)</f>
        <v>2642337.6800000002</v>
      </c>
      <c r="AZ37" s="38">
        <f>AZ35-AZ39</f>
        <v>299145.15999999997</v>
      </c>
      <c r="BA37" s="38">
        <f>BA35-BA39</f>
        <v>358360.52</v>
      </c>
      <c r="BB37" s="38">
        <f>BB35-BB39</f>
        <v>687913.08000000007</v>
      </c>
      <c r="BC37" s="38">
        <f>BC35-BC39</f>
        <v>576171.72</v>
      </c>
      <c r="BD37" s="39">
        <f>SUM(AZ37:BC37)</f>
        <v>1921590.48</v>
      </c>
      <c r="BE37" s="38">
        <f>BE35-BE39</f>
        <v>505804.65</v>
      </c>
      <c r="BF37" s="38">
        <f>BF35-BF39</f>
        <v>649779</v>
      </c>
      <c r="BG37" s="38">
        <f>BG35-BG39</f>
        <v>704372.25</v>
      </c>
      <c r="BH37" s="38">
        <f>BH35-BH39</f>
        <v>726190.1</v>
      </c>
      <c r="BI37" s="39">
        <f>SUM(BE37:BH37)</f>
        <v>2586146</v>
      </c>
      <c r="BJ37" s="38">
        <f>BJ35-BJ39</f>
        <v>695046</v>
      </c>
      <c r="BK37" s="38">
        <f>BK35-BK39</f>
        <v>695641.25</v>
      </c>
      <c r="BL37" s="38">
        <f>BL35-BL39</f>
        <v>987198.125</v>
      </c>
      <c r="BM37" s="38">
        <f>BM35-BM39</f>
        <v>753217.625</v>
      </c>
      <c r="BN37" s="39">
        <f>SUM(BJ37:BM37)</f>
        <v>3131103</v>
      </c>
      <c r="BO37" s="38">
        <f>BO35-BO39</f>
        <v>645623.75</v>
      </c>
      <c r="BP37" s="38">
        <f>BP35-BP39</f>
        <v>938296.125</v>
      </c>
      <c r="BQ37" s="38">
        <f>BQ35-BQ39</f>
        <v>869936.25</v>
      </c>
      <c r="BR37" s="38">
        <f>BR35-BR39</f>
        <v>939172</v>
      </c>
      <c r="BS37" s="39">
        <f>SUM(BO37:BR37)</f>
        <v>3393028.125</v>
      </c>
      <c r="BT37" s="38">
        <f>BT35-BT39</f>
        <v>765613.25</v>
      </c>
      <c r="BU37" s="38">
        <f>BU35-BU39</f>
        <v>997580.375</v>
      </c>
      <c r="BV37" s="38">
        <f>BV35-BV39</f>
        <v>1153230.125</v>
      </c>
      <c r="BW37" s="38">
        <f>BW35-BW39</f>
        <v>1574437.625</v>
      </c>
      <c r="BX37" s="39">
        <f>SUM(BT37:BW37)</f>
        <v>4490861.375</v>
      </c>
      <c r="BY37" s="38">
        <f>BY35-BY39</f>
        <v>876469.875</v>
      </c>
      <c r="BZ37" s="38">
        <f>BZ35-BZ39</f>
        <v>962015.5</v>
      </c>
      <c r="CA37" s="38">
        <f>CA35-CA39</f>
        <v>931930.75</v>
      </c>
      <c r="CB37" s="38">
        <f>CB35-CB39</f>
        <v>2084241.25</v>
      </c>
      <c r="CC37" s="39">
        <f>SUM(BY37:CB37)</f>
        <v>4854657.375</v>
      </c>
      <c r="CD37" s="38">
        <f>CD35-CD39</f>
        <v>647927.75</v>
      </c>
      <c r="CE37" s="38">
        <f>CE35-CE39</f>
        <v>1046819.875</v>
      </c>
      <c r="CF37" s="48">
        <f>CF33*CF38</f>
        <v>1149182.7924072649</v>
      </c>
      <c r="CG37" s="48">
        <f>CG33*CG38</f>
        <v>1249377.8781907293</v>
      </c>
      <c r="CH37" s="39">
        <f>SUM(CD37:CG37)</f>
        <v>4093308.2955979942</v>
      </c>
      <c r="CI37" s="48">
        <f>CI33*CI38</f>
        <v>1175776.1492244559</v>
      </c>
      <c r="CJ37" s="48">
        <f>CJ33*CJ38</f>
        <v>1128823.8686944789</v>
      </c>
      <c r="CK37" s="48">
        <f>CK33*CK38</f>
        <v>1173841.5551312456</v>
      </c>
      <c r="CL37" s="48">
        <f>CL33*CL38</f>
        <v>1218881.7764281956</v>
      </c>
      <c r="CM37" s="39">
        <f>SUM(CI37:CL37)</f>
        <v>4697323.3494783761</v>
      </c>
      <c r="CN37" s="48">
        <f>CN33*CN38</f>
        <v>1175363.2805600166</v>
      </c>
      <c r="CO37" s="48">
        <f>CO33*CO38</f>
        <v>1146104.3171962318</v>
      </c>
      <c r="CP37" s="48">
        <f>CP33*CP38</f>
        <v>1189757.6655454775</v>
      </c>
      <c r="CQ37" s="48">
        <f>CQ33*CQ38</f>
        <v>1302666.5175366178</v>
      </c>
      <c r="CR37" s="39">
        <f>SUM(CN37:CQ37)</f>
        <v>4813891.7808383442</v>
      </c>
      <c r="CS37" s="48">
        <f>CS33*CS38</f>
        <v>1193487.8558773068</v>
      </c>
      <c r="CT37" s="48">
        <f>CT33*CT38</f>
        <v>1161080.5584986648</v>
      </c>
      <c r="CU37" s="48">
        <f>CU33*CU38</f>
        <v>1206957.0965983619</v>
      </c>
      <c r="CV37" s="48">
        <f>CV33*CV38</f>
        <v>1328892.3614620562</v>
      </c>
      <c r="CW37" s="39">
        <f>SUM(CS37:CV37)</f>
        <v>4890417.8724363893</v>
      </c>
      <c r="CX37" s="48">
        <f>CX33*CX38</f>
        <v>1117099.2652717829</v>
      </c>
      <c r="CY37" s="48">
        <f>CY33*CY38</f>
        <v>1102676.1021026468</v>
      </c>
      <c r="CZ37" s="48">
        <f>CZ33*CZ38</f>
        <v>1169230.3017129644</v>
      </c>
      <c r="DA37" s="48">
        <f>DA33*DA38</f>
        <v>1309594.3567652314</v>
      </c>
      <c r="DB37" s="39">
        <f>SUM(CX37:DA37)</f>
        <v>4698600.0258526253</v>
      </c>
    </row>
    <row r="38" spans="1:106" ht="11.25" customHeight="1" x14ac:dyDescent="0.35">
      <c r="A38" s="7" t="s">
        <v>42</v>
      </c>
      <c r="B38" s="21"/>
      <c r="C38" s="21">
        <f>C37/(C9)</f>
        <v>0.24758020483961138</v>
      </c>
      <c r="D38" s="21">
        <f>D37/(D9)</f>
        <v>0.24257563927898215</v>
      </c>
      <c r="E38" s="21">
        <f>E37/(E9)</f>
        <v>0.19083162421656399</v>
      </c>
      <c r="F38" s="22">
        <f>F37/F10</f>
        <v>0.47714716127302387</v>
      </c>
      <c r="G38" s="21">
        <f>G37/(G9)</f>
        <v>0.24434093053145672</v>
      </c>
      <c r="H38" s="21">
        <f>H37/(H9)</f>
        <v>0.27373860121617954</v>
      </c>
      <c r="I38" s="21">
        <f>I37/(I9)</f>
        <v>0.39858729695798978</v>
      </c>
      <c r="J38" s="21">
        <f>J37/(J9)</f>
        <v>0.27795270598571831</v>
      </c>
      <c r="K38" s="22">
        <f>K37/K10</f>
        <v>0.368261243179482</v>
      </c>
      <c r="L38" s="21">
        <f>L37/(L9)</f>
        <v>0.39558532791941253</v>
      </c>
      <c r="M38" s="21">
        <f>M37/(M9)</f>
        <v>0.30127180944574616</v>
      </c>
      <c r="N38" s="21">
        <f>N37/(N9)</f>
        <v>0.2327656224684809</v>
      </c>
      <c r="O38" s="21">
        <f>O37/(O9)</f>
        <v>0.26545693425015543</v>
      </c>
      <c r="P38" s="22">
        <f>P37/P10</f>
        <v>0.39756134471000132</v>
      </c>
      <c r="Q38" s="21">
        <f>Q37/(Q9)</f>
        <v>0.21816858893365365</v>
      </c>
      <c r="R38" s="21">
        <f>R37/(R9)</f>
        <v>0.22525392384913609</v>
      </c>
      <c r="S38" s="21">
        <f>S37/(S9)</f>
        <v>0.3882416924919555</v>
      </c>
      <c r="T38" s="21">
        <f>T37/(T9)</f>
        <v>0.20428492320218894</v>
      </c>
      <c r="U38" s="22">
        <f>U37/U10</f>
        <v>0.3501091438507879</v>
      </c>
      <c r="V38" s="21">
        <f>V37/(V9)</f>
        <v>0.32786698716580193</v>
      </c>
      <c r="W38" s="21">
        <f>W37/(W9)</f>
        <v>0.41827801139574233</v>
      </c>
      <c r="X38" s="21">
        <f>X37/(X9)</f>
        <v>0.49295741459332604</v>
      </c>
      <c r="Y38" s="21">
        <f>Y37/(Y9)</f>
        <v>0.395459647861441</v>
      </c>
      <c r="Z38" s="22">
        <f>Z37/Z33</f>
        <v>0.39911900733240674</v>
      </c>
      <c r="AA38" s="21">
        <f>AA37/(AA9)</f>
        <v>0.39364061207583867</v>
      </c>
      <c r="AB38" s="21">
        <f>AB37/(AB9)</f>
        <v>0.51786435685621746</v>
      </c>
      <c r="AC38" s="21">
        <f>AC37/(AC9)</f>
        <v>0.44562084845247996</v>
      </c>
      <c r="AD38" s="21">
        <f>AD37/(AD9)</f>
        <v>0.40847238147810594</v>
      </c>
      <c r="AE38" s="22">
        <f>AE37/AE33</f>
        <v>0.44263074910625727</v>
      </c>
      <c r="AF38" s="21">
        <f>AF37/(AF9)</f>
        <v>0.40741620749766339</v>
      </c>
      <c r="AG38" s="21">
        <f>AG37/(AG9)</f>
        <v>0.19367836178662545</v>
      </c>
      <c r="AH38" s="21">
        <f>AH37/(AH9)</f>
        <v>0.64697795730589602</v>
      </c>
      <c r="AI38" s="21">
        <f>AI37/(AI9)</f>
        <v>0.48370701271650002</v>
      </c>
      <c r="AJ38" s="22">
        <f>AJ37/AJ33</f>
        <v>0.44400313901641586</v>
      </c>
      <c r="AK38" s="21">
        <f>AK37/(AK9)</f>
        <v>0.62860682787375499</v>
      </c>
      <c r="AL38" s="21">
        <f>AL37/(AL9)</f>
        <v>0.30289412188878789</v>
      </c>
      <c r="AM38" s="21">
        <f>AM37/(AM9)</f>
        <v>0.39316652958506015</v>
      </c>
      <c r="AN38" s="21">
        <f>AN37/(AN9)</f>
        <v>0.42491600152306519</v>
      </c>
      <c r="AO38" s="22">
        <f>AO37/AO33</f>
        <v>0.42199001217762072</v>
      </c>
      <c r="AP38" s="21">
        <f>AP37/(AP9)</f>
        <v>0.31868951896457259</v>
      </c>
      <c r="AQ38" s="21">
        <f>AQ37/(AQ9)</f>
        <v>0.37606747549315561</v>
      </c>
      <c r="AR38" s="21">
        <f>AR37/(AR9)</f>
        <v>0.52400095381231448</v>
      </c>
      <c r="AS38" s="21">
        <f>AS37/(AS9)</f>
        <v>0.3553816354542067</v>
      </c>
      <c r="AT38" s="22">
        <f>AT37/AT33</f>
        <v>0.38670796998688894</v>
      </c>
      <c r="AU38" s="21">
        <f>AU37/(AU9)</f>
        <v>0.73076348989161399</v>
      </c>
      <c r="AV38" s="21">
        <f>AV37/(AV9)</f>
        <v>0.49906373371434776</v>
      </c>
      <c r="AW38" s="21">
        <f>AW37/(AW9)</f>
        <v>0.51352085639767975</v>
      </c>
      <c r="AX38" s="21">
        <f>AX37/(AX9)</f>
        <v>0.61195182002315995</v>
      </c>
      <c r="AY38" s="22">
        <f>AY37/AY33</f>
        <v>0.57575881722153976</v>
      </c>
      <c r="AZ38" s="21">
        <f>AZ37/(AZ9)</f>
        <v>0.35352050883694403</v>
      </c>
      <c r="BA38" s="21">
        <f>BA37/(BA9)</f>
        <v>0.69940641047180863</v>
      </c>
      <c r="BB38" s="21">
        <f>BB37/(BB9)</f>
        <v>0.40190592855992346</v>
      </c>
      <c r="BC38" s="21">
        <f>BC37/(BC9)</f>
        <v>0.30973730832578267</v>
      </c>
      <c r="BD38" s="22">
        <f>BD37/BD33</f>
        <v>0.38974419721028103</v>
      </c>
      <c r="BE38" s="21">
        <f>BE37/(BE9)</f>
        <v>0.49063809691672222</v>
      </c>
      <c r="BF38" s="21">
        <f>BF37/(BF9)</f>
        <v>0.4165370637102131</v>
      </c>
      <c r="BG38" s="21">
        <f>BG37/(BG9)</f>
        <v>0.51579551245171429</v>
      </c>
      <c r="BH38" s="21">
        <f>BH37/(BH9)</f>
        <v>0.46121507548297902</v>
      </c>
      <c r="BI38" s="22">
        <f>BI37/BI33</f>
        <v>0.46757417886812369</v>
      </c>
      <c r="BJ38" s="21">
        <f>BJ37/(BJ9)</f>
        <v>0.52956396493231206</v>
      </c>
      <c r="BK38" s="21">
        <f>BK37/(BK9)</f>
        <v>0.42886789262959968</v>
      </c>
      <c r="BL38" s="21">
        <f>BL37/(BL9)</f>
        <v>0.43189856546640831</v>
      </c>
      <c r="BM38" s="21">
        <f>BM37/(BM9)</f>
        <v>0.2799091208371165</v>
      </c>
      <c r="BN38" s="22">
        <f>BN37/BN33</f>
        <v>0.3957819407428555</v>
      </c>
      <c r="BO38" s="21">
        <f>BO37/(BO9)</f>
        <v>0.41800080287379277</v>
      </c>
      <c r="BP38" s="21">
        <f>BP37/(BP9)</f>
        <v>0.37663917907555122</v>
      </c>
      <c r="BQ38" s="21">
        <f>BQ37/(BQ9)</f>
        <v>0.38438515679631274</v>
      </c>
      <c r="BR38" s="21">
        <f>BR37/(BR9)</f>
        <v>0.36220412288590209</v>
      </c>
      <c r="BS38" s="22">
        <f>BS37/BS33</f>
        <v>0.3815859899755647</v>
      </c>
      <c r="BT38" s="21">
        <f>BT37/(BT9)</f>
        <v>0.35657528165382801</v>
      </c>
      <c r="BU38" s="21">
        <f>BU37/(BU9)</f>
        <v>0.42065291589268128</v>
      </c>
      <c r="BV38" s="21">
        <f>BV37/(BV9)</f>
        <v>0.36031945593077525</v>
      </c>
      <c r="BW38" s="21">
        <f>BW37/(BW9)</f>
        <v>0.32098923393842177</v>
      </c>
      <c r="BX38" s="22">
        <f>BX37/BX33</f>
        <v>0.35573530380820756</v>
      </c>
      <c r="BY38" s="21">
        <f>BY37/(BY9)</f>
        <v>0.28937366188704433</v>
      </c>
      <c r="BZ38" s="21">
        <f>BZ37/(BZ9)</f>
        <v>0.29528860482776792</v>
      </c>
      <c r="CA38" s="21">
        <f>CA37/(CA9)</f>
        <v>0.26274962217941616</v>
      </c>
      <c r="CB38" s="21">
        <f>CB37/(CB9)</f>
        <v>0.6258982732732733</v>
      </c>
      <c r="CC38" s="22">
        <f>CC37/CC33</f>
        <v>0.3687947975882116</v>
      </c>
      <c r="CD38" s="21">
        <f>CD37/(CD9)</f>
        <v>0.22023376954452753</v>
      </c>
      <c r="CE38" s="21">
        <f>CE37/(CE9)</f>
        <v>0.30193823911162387</v>
      </c>
      <c r="CF38" s="511">
        <f t="shared" ref="CF38:CG38" si="35">(CF15*25%+CF17*52.5%-CF19*100%)/CF14</f>
        <v>0.32707065026261911</v>
      </c>
      <c r="CG38" s="511">
        <f t="shared" si="35"/>
        <v>0.33654330293443757</v>
      </c>
      <c r="CH38" s="22">
        <f>CH37/CH33</f>
        <v>0.30020717194154556</v>
      </c>
      <c r="CI38" s="511">
        <f>(CI15*22.5%+CI17*50%-CI19*100%)/CI14</f>
        <v>0.3257056793048107</v>
      </c>
      <c r="CJ38" s="511">
        <f>(CJ15*22.5%+CJ17*50%-CJ19*100%)/CJ14</f>
        <v>0.31173347742677032</v>
      </c>
      <c r="CK38" s="511">
        <f>(CK15*22.5%+CK17*50%-CK19*100%)/CK14</f>
        <v>0.29887138361841992</v>
      </c>
      <c r="CL38" s="511">
        <f>(CL15*22.5%+CL17*50%-CL19*100%)/CL14</f>
        <v>0.29624546820067077</v>
      </c>
      <c r="CM38" s="22">
        <f>CM37/CM33</f>
        <v>0.30755602275884603</v>
      </c>
      <c r="CN38" s="511">
        <f t="shared" ref="CN38:CQ38" si="36">(CN15*22.5%+CN17*50%-CN19*100%)/CN14</f>
        <v>0.32268969364402722</v>
      </c>
      <c r="CO38" s="511">
        <f t="shared" si="36"/>
        <v>0.29727036932155815</v>
      </c>
      <c r="CP38" s="511">
        <f t="shared" si="36"/>
        <v>0.28467406975017473</v>
      </c>
      <c r="CQ38" s="511">
        <f t="shared" si="36"/>
        <v>0.27814961655148984</v>
      </c>
      <c r="CR38" s="22">
        <f t="shared" ref="CR38" si="37">CR37/CR33</f>
        <v>0.29423830476900159</v>
      </c>
      <c r="CS38" s="511">
        <f t="shared" ref="CS38:CV38" si="38">(CS15*22.5%+CS17*50%-CS19*100%)/CS14</f>
        <v>0.31173505222661613</v>
      </c>
      <c r="CT38" s="511">
        <f t="shared" si="38"/>
        <v>0.28771296599525609</v>
      </c>
      <c r="CU38" s="511">
        <f t="shared" si="38"/>
        <v>0.2764155039769069</v>
      </c>
      <c r="CV38" s="511">
        <f t="shared" si="38"/>
        <v>0.27164389414674761</v>
      </c>
      <c r="CW38" s="22">
        <f t="shared" ref="CW38" si="39">CW37/CW33</f>
        <v>0.2856121682249228</v>
      </c>
      <c r="CX38" s="511">
        <f t="shared" ref="CX38:DA38" si="40">(CX15*22.5%+CX17*50%-CX19*100%)/CX14</f>
        <v>0.29332420270155019</v>
      </c>
      <c r="CY38" s="511">
        <f t="shared" si="40"/>
        <v>0.27183372854361193</v>
      </c>
      <c r="CZ38" s="511">
        <f t="shared" si="40"/>
        <v>0.26396847239548088</v>
      </c>
      <c r="DA38" s="511">
        <f t="shared" si="40"/>
        <v>0.26212317021306314</v>
      </c>
      <c r="DB38" s="22">
        <f t="shared" ref="DB38" si="41">DB37/DB33</f>
        <v>0.27174645486957888</v>
      </c>
    </row>
    <row r="39" spans="1:106" ht="11.25" customHeight="1" x14ac:dyDescent="0.35">
      <c r="A39" s="11" t="s">
        <v>43</v>
      </c>
      <c r="B39" s="48"/>
      <c r="C39" s="48">
        <f>C40*B32</f>
        <v>837147.84</v>
      </c>
      <c r="D39" s="48">
        <f>D40*C32</f>
        <v>936899.36</v>
      </c>
      <c r="E39" s="48">
        <f>E40*D32</f>
        <v>928897.28</v>
      </c>
      <c r="F39" s="96">
        <f>SUM(B39:E39)</f>
        <v>2702944.48</v>
      </c>
      <c r="G39" s="48">
        <f>G40*F32</f>
        <v>981786.08000000007</v>
      </c>
      <c r="H39" s="48">
        <f>H40*G32</f>
        <v>955839.68</v>
      </c>
      <c r="I39" s="48">
        <f>I40*H32</f>
        <v>1009462.88</v>
      </c>
      <c r="J39" s="48">
        <f>J40*I32</f>
        <v>1016505.6</v>
      </c>
      <c r="K39" s="96">
        <f>SUM(G39:J39)</f>
        <v>3963594.24</v>
      </c>
      <c r="L39" s="48">
        <f>L40*K32</f>
        <v>1022897.12</v>
      </c>
      <c r="M39" s="48">
        <f>M40*L32</f>
        <v>1018335.84</v>
      </c>
      <c r="N39" s="48">
        <f>N40*M32</f>
        <v>986116.48</v>
      </c>
      <c r="O39" s="48">
        <f>O40*N32</f>
        <v>945760</v>
      </c>
      <c r="P39" s="96">
        <f>SUM(L39:O39)</f>
        <v>3973109.44</v>
      </c>
      <c r="Q39" s="48">
        <f>Q40*P32</f>
        <v>937546.08000000007</v>
      </c>
      <c r="R39" s="48">
        <f>R40*Q32</f>
        <v>898474.4</v>
      </c>
      <c r="S39" s="48">
        <f>S40*R32</f>
        <v>885959.84</v>
      </c>
      <c r="T39" s="48">
        <f>T40*S32</f>
        <v>945731.93</v>
      </c>
      <c r="U39" s="96">
        <f>SUM(Q39:T39)</f>
        <v>3667712.25</v>
      </c>
      <c r="V39" s="48">
        <f>V40*U32</f>
        <v>827972.32000000007</v>
      </c>
      <c r="W39" s="48">
        <f>W40*V32</f>
        <v>854615.20000000007</v>
      </c>
      <c r="X39" s="48">
        <f t="shared" ref="X39:BE39" si="42">X40*W32</f>
        <v>1118577.46</v>
      </c>
      <c r="Y39" s="48">
        <f t="shared" si="42"/>
        <v>812417.59000000008</v>
      </c>
      <c r="Z39" s="39">
        <f>SUM(V39:Y39)</f>
        <v>3613582.5700000003</v>
      </c>
      <c r="AA39" s="48">
        <f t="shared" si="42"/>
        <v>769589.66</v>
      </c>
      <c r="AB39" s="48">
        <f>AB40*AA32</f>
        <v>735541.04</v>
      </c>
      <c r="AC39" s="48">
        <f t="shared" si="42"/>
        <v>714466.99000000011</v>
      </c>
      <c r="AD39" s="48">
        <f t="shared" si="42"/>
        <v>701301.24</v>
      </c>
      <c r="AE39" s="39">
        <f>SUM(AA39:AD39)</f>
        <v>2920898.9300000006</v>
      </c>
      <c r="AF39" s="48">
        <f t="shared" si="42"/>
        <v>598825.85000000009</v>
      </c>
      <c r="AG39" s="48">
        <f>AG40*AF32</f>
        <v>527584.12</v>
      </c>
      <c r="AH39" s="48">
        <f t="shared" si="42"/>
        <v>468176.43000000005</v>
      </c>
      <c r="AI39" s="48">
        <f t="shared" si="42"/>
        <v>415070.63999999996</v>
      </c>
      <c r="AJ39" s="39">
        <f>SUM(AF39:AI39)</f>
        <v>2009657.0400000003</v>
      </c>
      <c r="AK39" s="48">
        <f t="shared" si="42"/>
        <v>367951.06</v>
      </c>
      <c r="AL39" s="48">
        <f>AL40*AK32</f>
        <v>356199.12</v>
      </c>
      <c r="AM39" s="48">
        <f t="shared" si="42"/>
        <v>321916.86</v>
      </c>
      <c r="AN39" s="48">
        <f t="shared" si="42"/>
        <v>294433.38</v>
      </c>
      <c r="AO39" s="39">
        <f>SUM(AK39:AN39)</f>
        <v>1340500.42</v>
      </c>
      <c r="AP39" s="48">
        <f t="shared" si="42"/>
        <v>264644.96000000002</v>
      </c>
      <c r="AQ39" s="48">
        <f>AQ40*AP32</f>
        <v>253811.84</v>
      </c>
      <c r="AR39" s="48">
        <f t="shared" si="42"/>
        <v>243899.04</v>
      </c>
      <c r="AS39" s="48">
        <f t="shared" si="42"/>
        <v>236552.32000000001</v>
      </c>
      <c r="AT39" s="39">
        <f>SUM(AP39:AS39)</f>
        <v>998908.16000000015</v>
      </c>
      <c r="AU39" s="48">
        <f t="shared" si="42"/>
        <v>278573.12</v>
      </c>
      <c r="AV39" s="48">
        <f>AV40*AU32</f>
        <v>304148.8</v>
      </c>
      <c r="AW39" s="48">
        <f t="shared" si="42"/>
        <v>374536.96000000002</v>
      </c>
      <c r="AX39" s="48">
        <f t="shared" si="42"/>
        <v>408021.44</v>
      </c>
      <c r="AY39" s="39">
        <f>SUM(AU39:AX39)</f>
        <v>1365280.3199999998</v>
      </c>
      <c r="AZ39" s="48">
        <f t="shared" si="42"/>
        <v>474559.84</v>
      </c>
      <c r="BA39" s="48">
        <f>BA40*AZ32</f>
        <v>488896.48</v>
      </c>
      <c r="BB39" s="48">
        <f t="shared" si="42"/>
        <v>486873.92</v>
      </c>
      <c r="BC39" s="48">
        <f t="shared" si="42"/>
        <v>483221.28</v>
      </c>
      <c r="BD39" s="39">
        <f>SUM(AZ39:BC39)</f>
        <v>1933551.52</v>
      </c>
      <c r="BE39" s="48">
        <f t="shared" si="42"/>
        <v>503299.35</v>
      </c>
      <c r="BF39" s="48">
        <f>BF40*BE32</f>
        <v>539394</v>
      </c>
      <c r="BG39" s="48">
        <f>BG40*BF32</f>
        <v>592617.75</v>
      </c>
      <c r="BH39" s="48">
        <f>BH40*BG32</f>
        <v>582597.9</v>
      </c>
      <c r="BI39" s="39">
        <f>SUM(BE39:BH39)</f>
        <v>2217909</v>
      </c>
      <c r="BJ39" s="48">
        <f>BJ40*BI32</f>
        <v>544155</v>
      </c>
      <c r="BK39" s="48">
        <f>BK40*BJ32</f>
        <v>558766.75</v>
      </c>
      <c r="BL39" s="48">
        <f>BL40*BK32</f>
        <v>582656.875</v>
      </c>
      <c r="BM39" s="48">
        <f>BM40*BL32</f>
        <v>638543.375</v>
      </c>
      <c r="BN39" s="39">
        <f>SUM(BJ39:BM39)</f>
        <v>2324122</v>
      </c>
      <c r="BO39" s="48">
        <f>BO40*BN32</f>
        <v>655478.25</v>
      </c>
      <c r="BP39" s="48">
        <f>BP40*BO32</f>
        <v>719703.875</v>
      </c>
      <c r="BQ39" s="48">
        <f>BQ40*BP32</f>
        <v>781478.75</v>
      </c>
      <c r="BR39" s="48">
        <f>BR40*BQ32</f>
        <v>794068</v>
      </c>
      <c r="BS39" s="39">
        <f>SUM(BO39:BR39)</f>
        <v>2950728.875</v>
      </c>
      <c r="BT39" s="48">
        <f>BT40*BS32</f>
        <v>829206.75</v>
      </c>
      <c r="BU39" s="48">
        <f>BU40*BT32</f>
        <v>888126.625</v>
      </c>
      <c r="BV39" s="48">
        <f>BV40*BU32</f>
        <v>908241.875</v>
      </c>
      <c r="BW39" s="48">
        <f>BW40*BV32</f>
        <v>973670.375</v>
      </c>
      <c r="BX39" s="39">
        <f>SUM(BT39:BW39)</f>
        <v>3599245.625</v>
      </c>
      <c r="BY39" s="48">
        <f>BY40*BX32</f>
        <v>1098786.125</v>
      </c>
      <c r="BZ39" s="48">
        <f>BZ40*BY32</f>
        <v>1179619.5</v>
      </c>
      <c r="CA39" s="48">
        <f>CA40*BZ32</f>
        <v>1231128.25</v>
      </c>
      <c r="CB39" s="48">
        <f>CB40*CA32</f>
        <v>1203898.75</v>
      </c>
      <c r="CC39" s="39">
        <f>SUM(BY39:CB39)</f>
        <v>4713432.625</v>
      </c>
      <c r="CD39" s="48">
        <f>CD40*CC32</f>
        <v>1402157.25</v>
      </c>
      <c r="CE39" s="48">
        <f>CE40*CD32</f>
        <v>1457763.125</v>
      </c>
      <c r="CF39" s="48">
        <f>CF40*CE32</f>
        <v>1528594.625</v>
      </c>
      <c r="CG39" s="48">
        <f>CG40*CF32</f>
        <v>1633067.6153989478</v>
      </c>
      <c r="CH39" s="39">
        <f>SUM(CD39:CG39)</f>
        <v>6021582.6153989481</v>
      </c>
      <c r="CI39" s="48">
        <f>CI40*CH32</f>
        <v>1528392.7062280325</v>
      </c>
      <c r="CJ39" s="48">
        <f>CJ40*CI32</f>
        <v>1628026.9205952722</v>
      </c>
      <c r="CK39" s="48">
        <f>CK40*CJ32</f>
        <v>1723096.3710723431</v>
      </c>
      <c r="CL39" s="48">
        <f>CL40*CK32</f>
        <v>1836467.1045480222</v>
      </c>
      <c r="CM39" s="39">
        <f>SUM(CI39:CL39)</f>
        <v>6715983.1024436699</v>
      </c>
      <c r="CN39" s="48">
        <f>CN40*CM32</f>
        <v>1864195.0340826423</v>
      </c>
      <c r="CO39" s="48">
        <f>CO40*CN32</f>
        <v>1927492.8710380071</v>
      </c>
      <c r="CP39" s="48">
        <f>CP40*CO32</f>
        <v>2009585.0397786358</v>
      </c>
      <c r="CQ39" s="48">
        <f>CQ40*CP32</f>
        <v>2112487.6839173073</v>
      </c>
      <c r="CR39" s="39">
        <f>SUM(CN39:CQ39)</f>
        <v>7913760.6288165925</v>
      </c>
      <c r="CS39" s="48">
        <f>CS40*CR32</f>
        <v>2138710.6387081733</v>
      </c>
      <c r="CT39" s="48">
        <f>CT40*CS32</f>
        <v>2188344.0639624409</v>
      </c>
      <c r="CU39" s="48">
        <f>CU40*CT32</f>
        <v>2256956.7750058821</v>
      </c>
      <c r="CV39" s="48">
        <f>CV40*CU32</f>
        <v>2347211.3354255897</v>
      </c>
      <c r="CW39" s="39">
        <f>SUM(CS39:CV39)</f>
        <v>8931222.8131020851</v>
      </c>
      <c r="CX39" s="48">
        <f>CX40*CW32</f>
        <v>2468804.8057996398</v>
      </c>
      <c r="CY39" s="48">
        <f>CY40*CX32</f>
        <v>2491055.5481725498</v>
      </c>
      <c r="CZ39" s="48">
        <f>CZ40*CY32</f>
        <v>2537325.9756493131</v>
      </c>
      <c r="DA39" s="48">
        <f>DA40*CZ32</f>
        <v>2609613.5112016196</v>
      </c>
      <c r="DB39" s="39">
        <f>SUM(CX39:DA39)</f>
        <v>10106799.840823121</v>
      </c>
    </row>
    <row r="40" spans="1:106" ht="11.25" customHeight="1" x14ac:dyDescent="0.35">
      <c r="A40" s="78" t="s">
        <v>42</v>
      </c>
      <c r="B40" s="474">
        <v>0.16</v>
      </c>
      <c r="C40" s="474">
        <v>0.16</v>
      </c>
      <c r="D40" s="474">
        <v>0.16</v>
      </c>
      <c r="E40" s="474">
        <v>0.16</v>
      </c>
      <c r="F40" s="105"/>
      <c r="G40" s="474">
        <v>0.16</v>
      </c>
      <c r="H40" s="474">
        <v>0.16</v>
      </c>
      <c r="I40" s="474">
        <v>0.16</v>
      </c>
      <c r="J40" s="474">
        <v>0.16</v>
      </c>
      <c r="K40" s="105">
        <f>K39/F32</f>
        <v>0.64594018118488705</v>
      </c>
      <c r="L40" s="474">
        <v>0.16</v>
      </c>
      <c r="M40" s="474">
        <v>0.16</v>
      </c>
      <c r="N40" s="474">
        <v>0.16</v>
      </c>
      <c r="O40" s="474">
        <v>0.16</v>
      </c>
      <c r="P40" s="105">
        <f>P39/K32</f>
        <v>0.62146769012312797</v>
      </c>
      <c r="Q40" s="474">
        <v>0.16</v>
      </c>
      <c r="R40" s="474">
        <v>0.16</v>
      </c>
      <c r="S40" s="474">
        <v>0.16</v>
      </c>
      <c r="T40" s="474">
        <v>0.17</v>
      </c>
      <c r="U40" s="105">
        <f>U39/P32</f>
        <v>0.62592545851186321</v>
      </c>
      <c r="V40" s="474">
        <v>0.16</v>
      </c>
      <c r="W40" s="474">
        <v>0.16</v>
      </c>
      <c r="X40" s="474">
        <v>0.22</v>
      </c>
      <c r="Y40" s="474">
        <v>0.17</v>
      </c>
      <c r="Z40" s="105">
        <f>Z39/U32</f>
        <v>0.69830016926169713</v>
      </c>
      <c r="AA40" s="474">
        <v>0.17</v>
      </c>
      <c r="AB40" s="474">
        <v>0.17</v>
      </c>
      <c r="AC40" s="474">
        <v>0.17</v>
      </c>
      <c r="AD40" s="474">
        <v>0.18</v>
      </c>
      <c r="AE40" s="105">
        <f>AE39/Z32</f>
        <v>0.64521763208201122</v>
      </c>
      <c r="AF40" s="474">
        <v>0.17</v>
      </c>
      <c r="AG40" s="474">
        <v>0.17</v>
      </c>
      <c r="AH40" s="474">
        <v>0.17</v>
      </c>
      <c r="AI40" s="474">
        <v>0.18</v>
      </c>
      <c r="AJ40" s="105">
        <f>AJ39/AE32</f>
        <v>0.57051928670079965</v>
      </c>
      <c r="AK40" s="474">
        <v>0.17</v>
      </c>
      <c r="AL40" s="474">
        <v>0.18</v>
      </c>
      <c r="AM40" s="474">
        <v>0.18</v>
      </c>
      <c r="AN40" s="474">
        <v>0.18</v>
      </c>
      <c r="AO40" s="105">
        <f>AO39/AJ32</f>
        <v>0.61933527627288254</v>
      </c>
      <c r="AP40" s="474">
        <v>0.16</v>
      </c>
      <c r="AQ40" s="474">
        <v>0.16</v>
      </c>
      <c r="AR40" s="474">
        <v>0.16</v>
      </c>
      <c r="AS40" s="474">
        <v>0.16</v>
      </c>
      <c r="AT40" s="105">
        <f>AT39/AO32</f>
        <v>0.60392348148251163</v>
      </c>
      <c r="AU40" s="474">
        <v>0.16</v>
      </c>
      <c r="AV40" s="474">
        <v>0.16</v>
      </c>
      <c r="AW40" s="474">
        <v>0.16</v>
      </c>
      <c r="AX40" s="474">
        <v>0.16</v>
      </c>
      <c r="AY40" s="105">
        <f>AY39/AT32</f>
        <v>0.78415624307183684</v>
      </c>
      <c r="AZ40" s="474">
        <v>0.16</v>
      </c>
      <c r="BA40" s="474">
        <v>0.16</v>
      </c>
      <c r="BB40" s="474">
        <v>0.16</v>
      </c>
      <c r="BC40" s="474">
        <v>0.16</v>
      </c>
      <c r="BD40" s="105">
        <f>BD39/AY32</f>
        <v>0.65190565472206841</v>
      </c>
      <c r="BE40" s="474">
        <v>0.15</v>
      </c>
      <c r="BF40" s="474">
        <v>0.15</v>
      </c>
      <c r="BG40" s="474">
        <v>0.15</v>
      </c>
      <c r="BH40" s="474">
        <v>0.15</v>
      </c>
      <c r="BI40" s="105">
        <f>BI39/BD32</f>
        <v>0.66101088745693792</v>
      </c>
      <c r="BJ40" s="474">
        <v>0.125</v>
      </c>
      <c r="BK40" s="474">
        <v>0.125</v>
      </c>
      <c r="BL40" s="474">
        <v>0.125</v>
      </c>
      <c r="BM40" s="474">
        <v>0.125</v>
      </c>
      <c r="BN40" s="105">
        <f>BN39/BI32</f>
        <v>0.53388326855399659</v>
      </c>
      <c r="BO40" s="474">
        <v>0.125</v>
      </c>
      <c r="BP40" s="474">
        <v>0.125</v>
      </c>
      <c r="BQ40" s="474">
        <v>0.125</v>
      </c>
      <c r="BR40" s="474">
        <v>0.125</v>
      </c>
      <c r="BS40" s="105">
        <f>BS39/BN32</f>
        <v>0.56270533671407097</v>
      </c>
      <c r="BT40" s="474">
        <v>0.125</v>
      </c>
      <c r="BU40" s="474">
        <v>0.125</v>
      </c>
      <c r="BV40" s="474">
        <v>0.125</v>
      </c>
      <c r="BW40" s="474">
        <v>0.125</v>
      </c>
      <c r="BX40" s="105">
        <f>BX39/BS32</f>
        <v>0.5425736140293117</v>
      </c>
      <c r="BY40" s="474">
        <v>0.125</v>
      </c>
      <c r="BZ40" s="474">
        <v>0.125</v>
      </c>
      <c r="CA40" s="474">
        <v>0.125</v>
      </c>
      <c r="CB40" s="474">
        <v>0.125</v>
      </c>
      <c r="CC40" s="22">
        <f>CC39/BX32</f>
        <v>0.5362090626371897</v>
      </c>
      <c r="CD40" s="474">
        <v>0.125</v>
      </c>
      <c r="CE40" s="474">
        <v>0.125</v>
      </c>
      <c r="CF40" s="511">
        <f>CE40</f>
        <v>0.125</v>
      </c>
      <c r="CG40" s="511">
        <f>CF40</f>
        <v>0.125</v>
      </c>
      <c r="CH40" s="22">
        <f>CH39/CC32</f>
        <v>0.5368141318848999</v>
      </c>
      <c r="CI40" s="511">
        <v>0.11</v>
      </c>
      <c r="CJ40" s="511">
        <f>CI40</f>
        <v>0.11</v>
      </c>
      <c r="CK40" s="511">
        <f>CJ40</f>
        <v>0.11</v>
      </c>
      <c r="CL40" s="511">
        <f>CK40</f>
        <v>0.11</v>
      </c>
      <c r="CM40" s="22">
        <f>CM39/CH32</f>
        <v>0.48335623315817028</v>
      </c>
      <c r="CN40" s="511">
        <v>0.105</v>
      </c>
      <c r="CO40" s="511">
        <f>CN40</f>
        <v>0.105</v>
      </c>
      <c r="CP40" s="511">
        <f>CO40</f>
        <v>0.105</v>
      </c>
      <c r="CQ40" s="511">
        <f>CP40</f>
        <v>0.105</v>
      </c>
      <c r="CR40" s="22">
        <f>CR39/CM32</f>
        <v>0.44573923373561852</v>
      </c>
      <c r="CS40" s="511">
        <v>0.1</v>
      </c>
      <c r="CT40" s="511">
        <f>CS40</f>
        <v>0.1</v>
      </c>
      <c r="CU40" s="511">
        <f>CT40</f>
        <v>0.1</v>
      </c>
      <c r="CV40" s="511">
        <f>CU40</f>
        <v>0.1</v>
      </c>
      <c r="CW40" s="22">
        <f>CW39/CR32</f>
        <v>0.41759846570439907</v>
      </c>
      <c r="CX40" s="511">
        <f>CV40</f>
        <v>0.1</v>
      </c>
      <c r="CY40" s="511">
        <f>CX40</f>
        <v>0.1</v>
      </c>
      <c r="CZ40" s="511">
        <f>CY40</f>
        <v>0.1</v>
      </c>
      <c r="DA40" s="511">
        <f>CZ40</f>
        <v>0.1</v>
      </c>
      <c r="DB40" s="22">
        <f>DB39/CW32</f>
        <v>0.40938027247356862</v>
      </c>
    </row>
    <row r="41" spans="1:106" ht="11.25" customHeight="1" outlineLevel="1" x14ac:dyDescent="0.35">
      <c r="A41" s="231" t="s">
        <v>282</v>
      </c>
      <c r="B41" s="475">
        <f>IS!B6</f>
        <v>11522</v>
      </c>
      <c r="C41" s="475">
        <f>IS!C6</f>
        <v>16142</v>
      </c>
      <c r="D41" s="475">
        <f>IS!D6</f>
        <v>17910</v>
      </c>
      <c r="E41" s="475">
        <f>IS!E6</f>
        <v>31430</v>
      </c>
      <c r="F41" s="233">
        <f>SUM(B41:E41)</f>
        <v>77004</v>
      </c>
      <c r="G41" s="475">
        <f>IS!G6</f>
        <v>23092</v>
      </c>
      <c r="H41" s="475">
        <f>IS!H6</f>
        <v>25691</v>
      </c>
      <c r="I41" s="475">
        <f>IS!I6</f>
        <v>32488</v>
      </c>
      <c r="J41" s="475">
        <f>IS!J6</f>
        <v>27837</v>
      </c>
      <c r="K41" s="233">
        <f>SUM(G41:J41)</f>
        <v>109108</v>
      </c>
      <c r="L41" s="475">
        <f>IS!L6</f>
        <v>17066</v>
      </c>
      <c r="M41" s="475">
        <f>IS!M6</f>
        <v>24691</v>
      </c>
      <c r="N41" s="475">
        <f>IS!N6</f>
        <v>14390</v>
      </c>
      <c r="O41" s="475">
        <f>IS!O6</f>
        <v>30650</v>
      </c>
      <c r="P41" s="233">
        <f>SUM(L41:O41)</f>
        <v>86797</v>
      </c>
      <c r="Q41" s="475">
        <f>IS!Q6</f>
        <v>16991</v>
      </c>
      <c r="R41" s="475">
        <f>IS!R6</f>
        <v>20367</v>
      </c>
      <c r="S41" s="475">
        <f>IS!S6</f>
        <v>20924</v>
      </c>
      <c r="T41" s="475">
        <f>IS!T6</f>
        <v>25690</v>
      </c>
      <c r="U41" s="233">
        <f>SUM(Q41:T41)</f>
        <v>83972</v>
      </c>
      <c r="V41" s="475">
        <f>IS!V6</f>
        <v>15651</v>
      </c>
      <c r="W41" s="475">
        <f>IS!W6</f>
        <v>16580</v>
      </c>
      <c r="X41" s="475">
        <f>IS!X6</f>
        <v>20784</v>
      </c>
      <c r="Y41" s="475">
        <f>IS!Y6</f>
        <v>11320</v>
      </c>
      <c r="Z41" s="233">
        <f>SUM(V41:Y41)</f>
        <v>64335</v>
      </c>
      <c r="AA41" s="475">
        <f>IS!AA6</f>
        <v>13965</v>
      </c>
      <c r="AB41" s="475">
        <f>IS!AB6</f>
        <v>8957</v>
      </c>
      <c r="AC41" s="475">
        <f>IS!AC6</f>
        <v>8655</v>
      </c>
      <c r="AD41" s="475">
        <f>IS!AD6</f>
        <v>12991</v>
      </c>
      <c r="AE41" s="233">
        <f>SUM(AA41:AD41)</f>
        <v>44568</v>
      </c>
      <c r="AF41" s="475">
        <f>IS!AF6</f>
        <v>12943</v>
      </c>
      <c r="AG41" s="475">
        <f>IS!AG6</f>
        <v>26460</v>
      </c>
      <c r="AH41" s="475">
        <f>IS!AH6</f>
        <v>8263</v>
      </c>
      <c r="AI41" s="475">
        <f>IS!AI6</f>
        <v>5463</v>
      </c>
      <c r="AJ41" s="233">
        <f>SUM(AF41:AI41)</f>
        <v>53129</v>
      </c>
      <c r="AK41" s="475">
        <f>IS!AK6</f>
        <v>17607</v>
      </c>
      <c r="AL41" s="475">
        <f>IS!AL6</f>
        <v>5834</v>
      </c>
      <c r="AM41" s="475">
        <f>IS!AM6</f>
        <v>5714</v>
      </c>
      <c r="AN41" s="475">
        <f>IS!AN6</f>
        <v>4928</v>
      </c>
      <c r="AO41" s="233">
        <f>SUM(AK41:AN41)</f>
        <v>34083</v>
      </c>
      <c r="AP41" s="475">
        <f>IS!AP6</f>
        <v>4121</v>
      </c>
      <c r="AQ41" s="475">
        <f>IS!AQ6</f>
        <v>4726</v>
      </c>
      <c r="AR41" s="475">
        <f>IS!AR6</f>
        <v>6810</v>
      </c>
      <c r="AS41" s="475">
        <f>IS!AS6</f>
        <v>7674</v>
      </c>
      <c r="AT41" s="233">
        <f>SUM(AP41:AS41)</f>
        <v>23331</v>
      </c>
      <c r="AU41" s="475">
        <f>IS!AU6</f>
        <v>4433</v>
      </c>
      <c r="AV41" s="475">
        <f>IS!AV6</f>
        <v>3977</v>
      </c>
      <c r="AW41" s="475">
        <f>IS!AW6</f>
        <v>8469</v>
      </c>
      <c r="AX41" s="475">
        <f>IS!AX6</f>
        <v>8221</v>
      </c>
      <c r="AY41" s="233">
        <f>SUM(AU41:AX41)</f>
        <v>25100</v>
      </c>
      <c r="AZ41" s="475">
        <f>IS!AZ6</f>
        <v>11484</v>
      </c>
      <c r="BA41" s="475">
        <f>IS!BA6</f>
        <v>13481</v>
      </c>
      <c r="BB41" s="475">
        <f>IS!BB6</f>
        <v>17678</v>
      </c>
      <c r="BC41" s="475">
        <f>IS!BC6</f>
        <v>28012</v>
      </c>
      <c r="BD41" s="233">
        <f>SUM(AZ41:BC41)</f>
        <v>70655</v>
      </c>
      <c r="BE41" s="475">
        <f>IS!BE6</f>
        <v>21130</v>
      </c>
      <c r="BF41" s="475">
        <f>IS!BF6</f>
        <v>24781</v>
      </c>
      <c r="BG41" s="475">
        <f>IS!BG6</f>
        <v>24806</v>
      </c>
      <c r="BH41" s="475">
        <f>IS!BH6</f>
        <v>42888</v>
      </c>
      <c r="BI41" s="233">
        <f>SUM(BE41:BH41)</f>
        <v>113605</v>
      </c>
      <c r="BJ41" s="475">
        <f>IS!BJ6</f>
        <v>19900</v>
      </c>
      <c r="BK41" s="475">
        <f>IS!BK6</f>
        <v>29683</v>
      </c>
      <c r="BL41" s="475">
        <f>IS!BL6</f>
        <v>30252</v>
      </c>
      <c r="BM41" s="475">
        <f>IS!BM6</f>
        <v>20788</v>
      </c>
      <c r="BN41" s="233">
        <f>SUM(BJ41:BM41)</f>
        <v>100623</v>
      </c>
      <c r="BO41" s="475">
        <f>IS!BO6</f>
        <v>16220</v>
      </c>
      <c r="BP41" s="475">
        <f>IS!BP6</f>
        <v>20440</v>
      </c>
      <c r="BQ41" s="475">
        <f>IS!BQ6</f>
        <v>21576</v>
      </c>
      <c r="BR41" s="475">
        <f>IS!BR6</f>
        <v>27681</v>
      </c>
      <c r="BS41" s="233">
        <f>SUM(BO41:BR41)</f>
        <v>85917</v>
      </c>
      <c r="BT41" s="475">
        <f>IS!BT6</f>
        <v>19755</v>
      </c>
      <c r="BU41" s="475">
        <f>IS!BU6</f>
        <v>23583</v>
      </c>
      <c r="BV41" s="475">
        <f>IS!BV6</f>
        <v>25333</v>
      </c>
      <c r="BW41" s="475">
        <f>IS!BW6</f>
        <v>26871</v>
      </c>
      <c r="BX41" s="233">
        <f>SUM(BT41:BW41)</f>
        <v>95542</v>
      </c>
      <c r="BY41" s="475">
        <f>IS!BY6</f>
        <v>28111</v>
      </c>
      <c r="BZ41" s="475">
        <f>IS!BZ6</f>
        <v>26268</v>
      </c>
      <c r="CA41" s="475">
        <f>IS!CA6</f>
        <v>28314</v>
      </c>
      <c r="CB41" s="475">
        <f>IS!CB6</f>
        <v>28942</v>
      </c>
      <c r="CC41" s="233">
        <f>SUM(BY41:CB41)</f>
        <v>111635</v>
      </c>
      <c r="CD41" s="475">
        <f>IS!CD6</f>
        <v>31221</v>
      </c>
      <c r="CE41" s="475">
        <f>IS!CE6</f>
        <v>44339</v>
      </c>
      <c r="CF41" s="232">
        <f>CF42*CF35</f>
        <v>47405.086160219376</v>
      </c>
      <c r="CG41" s="232">
        <f>CG42*CG35</f>
        <v>51028.355115511324</v>
      </c>
      <c r="CH41" s="233">
        <f>SUM(CD41:CG41)</f>
        <v>173993.4412757307</v>
      </c>
      <c r="CI41" s="232">
        <f>CI42*CI35</f>
        <v>47872.297656698895</v>
      </c>
      <c r="CJ41" s="232">
        <f>CJ42*CJ35</f>
        <v>48804.933654152519</v>
      </c>
      <c r="CK41" s="232">
        <f>CK42*CK35</f>
        <v>51284.91677454528</v>
      </c>
      <c r="CL41" s="232">
        <f>CL42*CL35</f>
        <v>54089.289128611243</v>
      </c>
      <c r="CM41" s="233">
        <f>SUM(CI41:CL41)</f>
        <v>202051.43721400792</v>
      </c>
      <c r="CN41" s="232">
        <f>CN42*CN35</f>
        <v>53809.746418042785</v>
      </c>
      <c r="CO41" s="232">
        <f>CO42*CO35</f>
        <v>54412.341587049792</v>
      </c>
      <c r="CP41" s="232">
        <f>CP42*CP35</f>
        <v>56638.432909336952</v>
      </c>
      <c r="CQ41" s="232">
        <f>CQ42*CQ35</f>
        <v>60458.975461490234</v>
      </c>
      <c r="CR41" s="233">
        <f>SUM(CN41:CQ41)</f>
        <v>225319.49637591979</v>
      </c>
      <c r="CS41" s="232">
        <f>CS42*CS35</f>
        <v>58990.398422182698</v>
      </c>
      <c r="CT41" s="232">
        <f>CT42*CT35</f>
        <v>59295.355089171717</v>
      </c>
      <c r="CU41" s="232">
        <f>CU42*CU35</f>
        <v>61322.17504992272</v>
      </c>
      <c r="CV41" s="232">
        <f>CV42*CV35</f>
        <v>65078.602632175229</v>
      </c>
      <c r="CW41" s="233">
        <f>SUM(CS41:CV41)</f>
        <v>244686.53119345236</v>
      </c>
      <c r="CX41" s="232">
        <f>CX42*CX35</f>
        <v>63481.785433837016</v>
      </c>
      <c r="CY41" s="232">
        <f>CY42*CY35</f>
        <v>63620.358215939326</v>
      </c>
      <c r="CZ41" s="232">
        <f>CZ42*CZ35</f>
        <v>65617.709128412214</v>
      </c>
      <c r="DA41" s="232">
        <f>DA42*DA35</f>
        <v>69382.311409836373</v>
      </c>
      <c r="DB41" s="233">
        <f>SUM(CX41:DA41)</f>
        <v>262102.16418802494</v>
      </c>
    </row>
    <row r="42" spans="1:106" ht="11.25" customHeight="1" outlineLevel="1" x14ac:dyDescent="0.35">
      <c r="A42" s="78" t="s">
        <v>283</v>
      </c>
      <c r="B42" s="153">
        <f t="shared" ref="B42:AN42" si="43">B41/B35</f>
        <v>9.9443575135481303E-3</v>
      </c>
      <c r="C42" s="153">
        <f t="shared" si="43"/>
        <v>1.324855527385573E-2</v>
      </c>
      <c r="D42" s="153">
        <f t="shared" si="43"/>
        <v>1.5105905810333586E-2</v>
      </c>
      <c r="E42" s="153">
        <f t="shared" si="43"/>
        <v>2.222970363695775E-2</v>
      </c>
      <c r="F42" s="149">
        <f t="shared" si="43"/>
        <v>1.5473379433571108E-2</v>
      </c>
      <c r="G42" s="153">
        <f t="shared" si="43"/>
        <v>1.883844798991019E-2</v>
      </c>
      <c r="H42" s="153">
        <f t="shared" si="43"/>
        <v>1.8189026829363266E-2</v>
      </c>
      <c r="I42" s="153">
        <f t="shared" si="43"/>
        <v>2.0472593770755849E-2</v>
      </c>
      <c r="J42" s="153">
        <f t="shared" si="43"/>
        <v>1.6584321956398314E-2</v>
      </c>
      <c r="K42" s="105">
        <f t="shared" si="43"/>
        <v>1.8481444787301959E-2</v>
      </c>
      <c r="L42" s="153">
        <f t="shared" si="43"/>
        <v>1.1335196629064225E-2</v>
      </c>
      <c r="M42" s="153">
        <f t="shared" si="43"/>
        <v>1.7458748394906694E-2</v>
      </c>
      <c r="N42" s="153">
        <f t="shared" si="43"/>
        <v>1.0317409104271077E-2</v>
      </c>
      <c r="O42" s="153">
        <f t="shared" si="43"/>
        <v>2.1870986156700443E-2</v>
      </c>
      <c r="P42" s="105">
        <f t="shared" si="43"/>
        <v>1.5185041727067783E-2</v>
      </c>
      <c r="Q42" s="153">
        <f t="shared" si="43"/>
        <v>1.3769590526690282E-2</v>
      </c>
      <c r="R42" s="153">
        <f t="shared" si="43"/>
        <v>1.4654805822203899E-2</v>
      </c>
      <c r="S42" s="153">
        <f t="shared" si="43"/>
        <v>1.4795497711096058E-2</v>
      </c>
      <c r="T42" s="153">
        <f t="shared" si="43"/>
        <v>1.8214484237274675E-2</v>
      </c>
      <c r="U42" s="105">
        <f t="shared" si="43"/>
        <v>1.5412332949854305E-2</v>
      </c>
      <c r="V42" s="153">
        <f t="shared" si="43"/>
        <v>1.1719943448333704E-2</v>
      </c>
      <c r="W42" s="153">
        <f t="shared" si="43"/>
        <v>1.2008949492154709E-2</v>
      </c>
      <c r="X42" s="153">
        <f t="shared" si="43"/>
        <v>1.2928645496714653E-2</v>
      </c>
      <c r="Y42" s="153">
        <f t="shared" si="43"/>
        <v>7.2630121482219097E-3</v>
      </c>
      <c r="Z42" s="105">
        <f t="shared" si="43"/>
        <v>1.0937182305752174E-2</v>
      </c>
      <c r="AA42" s="153">
        <f t="shared" si="43"/>
        <v>1.3248959959015032E-2</v>
      </c>
      <c r="AB42" s="153">
        <f t="shared" si="43"/>
        <v>7.7422087379689771E-3</v>
      </c>
      <c r="AC42" s="153">
        <f t="shared" si="43"/>
        <v>7.4341555426332287E-3</v>
      </c>
      <c r="AD42" s="153">
        <f t="shared" si="43"/>
        <v>1.2418946086421181E-2</v>
      </c>
      <c r="AE42" s="105">
        <f t="shared" si="43"/>
        <v>1.008044360465879E-2</v>
      </c>
      <c r="AF42" s="153">
        <f t="shared" si="43"/>
        <v>1.5778700765467529E-2</v>
      </c>
      <c r="AG42" s="153">
        <f t="shared" si="43"/>
        <v>4.1621443065452311E-2</v>
      </c>
      <c r="AH42" s="153">
        <f t="shared" si="43"/>
        <v>9.847209162921677E-3</v>
      </c>
      <c r="AI42" s="153">
        <f t="shared" si="43"/>
        <v>5.7966493393220376E-3</v>
      </c>
      <c r="AJ42" s="105">
        <f t="shared" si="43"/>
        <v>1.6410121773240773E-2</v>
      </c>
      <c r="AK42" s="153">
        <f t="shared" si="43"/>
        <v>2.5340922992782147E-2</v>
      </c>
      <c r="AL42" s="153">
        <f t="shared" si="43"/>
        <v>9.9679978403240874E-3</v>
      </c>
      <c r="AM42" s="153">
        <f t="shared" si="43"/>
        <v>9.385938832063314E-3</v>
      </c>
      <c r="AN42" s="153">
        <f t="shared" si="43"/>
        <v>5.9590532747585481E-3</v>
      </c>
      <c r="AO42" s="105">
        <f t="shared" ref="AO42:BW42" si="44">AO41/AO35</f>
        <v>1.2549717619386723E-2</v>
      </c>
      <c r="AP42" s="153">
        <f t="shared" si="44"/>
        <v>8.9580919546726201E-3</v>
      </c>
      <c r="AQ42" s="153">
        <f t="shared" si="44"/>
        <v>7.2396387839980389E-3</v>
      </c>
      <c r="AR42" s="153">
        <f t="shared" si="44"/>
        <v>9.2304063954110928E-3</v>
      </c>
      <c r="AS42" s="153">
        <f t="shared" si="44"/>
        <v>6.95491720077724E-3</v>
      </c>
      <c r="AT42" s="105">
        <f t="shared" si="44"/>
        <v>7.8981122865053686E-3</v>
      </c>
      <c r="AU42" s="153">
        <f t="shared" si="44"/>
        <v>5.2556326439637882E-3</v>
      </c>
      <c r="AV42" s="153">
        <f t="shared" si="44"/>
        <v>4.1615131709746749E-3</v>
      </c>
      <c r="AW42" s="153">
        <f t="shared" si="44"/>
        <v>8.9015344609941673E-3</v>
      </c>
      <c r="AX42" s="153">
        <f t="shared" si="44"/>
        <v>6.5398056275262099E-3</v>
      </c>
      <c r="AY42" s="105">
        <f t="shared" si="44"/>
        <v>6.2630719794152037E-3</v>
      </c>
      <c r="AZ42" s="153">
        <f t="shared" si="44"/>
        <v>1.4842866467193568E-2</v>
      </c>
      <c r="BA42" s="153">
        <f t="shared" si="44"/>
        <v>1.5911346852253802E-2</v>
      </c>
      <c r="BB42" s="153">
        <f t="shared" si="44"/>
        <v>1.5047834203136398E-2</v>
      </c>
      <c r="BC42" s="153">
        <f t="shared" si="44"/>
        <v>2.6441556627238429E-2</v>
      </c>
      <c r="BD42" s="105">
        <f t="shared" si="44"/>
        <v>1.8327470168414031E-2</v>
      </c>
      <c r="BE42" s="153">
        <f t="shared" si="44"/>
        <v>2.0939367993784586E-2</v>
      </c>
      <c r="BF42" s="153">
        <f t="shared" si="44"/>
        <v>2.0838851874369835E-2</v>
      </c>
      <c r="BG42" s="153">
        <f t="shared" si="44"/>
        <v>1.9125822095775603E-2</v>
      </c>
      <c r="BH42" s="153">
        <f t="shared" si="44"/>
        <v>3.2769249106807216E-2</v>
      </c>
      <c r="BI42" s="105">
        <f t="shared" si="44"/>
        <v>2.3647730927310366E-2</v>
      </c>
      <c r="BJ42" s="153">
        <f t="shared" si="44"/>
        <v>1.605873462013023E-2</v>
      </c>
      <c r="BK42" s="153">
        <f t="shared" si="44"/>
        <v>2.3662954955644414E-2</v>
      </c>
      <c r="BL42" s="153">
        <f t="shared" si="44"/>
        <v>1.9270569574897044E-2</v>
      </c>
      <c r="BM42" s="153">
        <f t="shared" si="44"/>
        <v>1.4936472569643783E-2</v>
      </c>
      <c r="BN42" s="105">
        <f t="shared" si="44"/>
        <v>1.8445252029018051E-2</v>
      </c>
      <c r="BO42" s="153">
        <f t="shared" si="44"/>
        <v>1.2466355443308826E-2</v>
      </c>
      <c r="BP42" s="153">
        <f t="shared" si="44"/>
        <v>1.2328106151990349E-2</v>
      </c>
      <c r="BQ42" s="153">
        <f t="shared" si="44"/>
        <v>1.3065159272502671E-2</v>
      </c>
      <c r="BR42" s="153">
        <f t="shared" si="44"/>
        <v>1.5970667651335074E-2</v>
      </c>
      <c r="BS42" s="105">
        <f t="shared" si="44"/>
        <v>1.3543551557854439E-2</v>
      </c>
      <c r="BT42" s="153">
        <f t="shared" si="44"/>
        <v>1.2386977840759459E-2</v>
      </c>
      <c r="BU42" s="153">
        <f t="shared" si="44"/>
        <v>1.2506184682986275E-2</v>
      </c>
      <c r="BV42" s="153">
        <f t="shared" si="44"/>
        <v>1.228879169835923E-2</v>
      </c>
      <c r="BW42" s="153">
        <f t="shared" si="44"/>
        <v>1.0545471385043335E-2</v>
      </c>
      <c r="BX42" s="105">
        <f>BX41/BX35</f>
        <v>1.1809732553599106E-2</v>
      </c>
      <c r="BY42" s="153">
        <f>BY41/BY35</f>
        <v>1.423157302142102E-2</v>
      </c>
      <c r="BZ42" s="153">
        <f>BZ41/BZ35</f>
        <v>1.22653953638225E-2</v>
      </c>
      <c r="CA42" s="153">
        <f>CA41/CA35</f>
        <v>1.3089795516442224E-2</v>
      </c>
      <c r="CB42" s="153">
        <f t="shared" ref="CB42" si="45">CB41/CB35</f>
        <v>8.8019366571982938E-3</v>
      </c>
      <c r="CC42" s="105">
        <f>CC41/CC35</f>
        <v>1.1667427877455167E-2</v>
      </c>
      <c r="CD42" s="153">
        <f>CD41/CD35</f>
        <v>1.5229124646051261E-2</v>
      </c>
      <c r="CE42" s="153">
        <f>CE41/CE35</f>
        <v>1.7703146591668155E-2</v>
      </c>
      <c r="CF42" s="497">
        <f>CE42</f>
        <v>1.7703146591668155E-2</v>
      </c>
      <c r="CG42" s="497">
        <f>CF42</f>
        <v>1.7703146591668155E-2</v>
      </c>
      <c r="CH42" s="105">
        <f>CH41/CH35</f>
        <v>1.7201712090296938E-2</v>
      </c>
      <c r="CI42" s="497">
        <f>CG42</f>
        <v>1.7703146591668155E-2</v>
      </c>
      <c r="CJ42" s="497">
        <f>CI42</f>
        <v>1.7703146591668155E-2</v>
      </c>
      <c r="CK42" s="497">
        <f>CJ42</f>
        <v>1.7703146591668155E-2</v>
      </c>
      <c r="CL42" s="497">
        <f>CK42</f>
        <v>1.7703146591668155E-2</v>
      </c>
      <c r="CM42" s="105">
        <f>CM41/CM35</f>
        <v>1.7703146591668155E-2</v>
      </c>
      <c r="CN42" s="497">
        <f>CL42</f>
        <v>1.7703146591668155E-2</v>
      </c>
      <c r="CO42" s="497">
        <f>CN42</f>
        <v>1.7703146591668155E-2</v>
      </c>
      <c r="CP42" s="497">
        <f>CO42</f>
        <v>1.7703146591668155E-2</v>
      </c>
      <c r="CQ42" s="497">
        <f>CP42</f>
        <v>1.7703146591668155E-2</v>
      </c>
      <c r="CR42" s="105">
        <f>CR41/CR35</f>
        <v>1.7703146591668155E-2</v>
      </c>
      <c r="CS42" s="497">
        <f>CQ42</f>
        <v>1.7703146591668155E-2</v>
      </c>
      <c r="CT42" s="497">
        <f>CS42</f>
        <v>1.7703146591668155E-2</v>
      </c>
      <c r="CU42" s="497">
        <f>CT42</f>
        <v>1.7703146591668155E-2</v>
      </c>
      <c r="CV42" s="497">
        <f>CU42</f>
        <v>1.7703146591668155E-2</v>
      </c>
      <c r="CW42" s="105">
        <f>CW41/CW35</f>
        <v>1.7703146591668155E-2</v>
      </c>
      <c r="CX42" s="497">
        <f>CV42</f>
        <v>1.7703146591668155E-2</v>
      </c>
      <c r="CY42" s="497">
        <f>CX42</f>
        <v>1.7703146591668155E-2</v>
      </c>
      <c r="CZ42" s="497">
        <f>CY42</f>
        <v>1.7703146591668155E-2</v>
      </c>
      <c r="DA42" s="497">
        <f>CZ42</f>
        <v>1.7703146591668155E-2</v>
      </c>
      <c r="DB42" s="105">
        <f>DB41/DB35</f>
        <v>1.7703146591668155E-2</v>
      </c>
    </row>
    <row r="43" spans="1:106" ht="11.25" customHeight="1" x14ac:dyDescent="0.35">
      <c r="B43" s="113"/>
      <c r="C43" s="113"/>
      <c r="D43" s="113"/>
      <c r="E43" s="113"/>
      <c r="F43" s="106"/>
      <c r="G43" s="113"/>
      <c r="H43" s="113"/>
      <c r="I43" s="113"/>
      <c r="J43" s="113"/>
      <c r="K43" s="106"/>
      <c r="L43" s="113"/>
      <c r="M43" s="113"/>
      <c r="N43" s="113"/>
      <c r="O43" s="113"/>
      <c r="P43" s="106"/>
      <c r="Q43" s="113"/>
      <c r="R43" s="113"/>
      <c r="S43" s="113"/>
      <c r="T43" s="113"/>
      <c r="U43" s="106"/>
      <c r="V43" s="123"/>
      <c r="W43" s="123"/>
      <c r="X43" s="123"/>
      <c r="Y43" s="123"/>
      <c r="Z43" s="29"/>
      <c r="AA43" s="123"/>
      <c r="AB43" s="123"/>
      <c r="AC43" s="113"/>
      <c r="AD43" s="113"/>
      <c r="AE43" s="106"/>
      <c r="AF43" s="113"/>
      <c r="AG43" s="113"/>
      <c r="AH43" s="113"/>
      <c r="AI43" s="113"/>
      <c r="AJ43" s="106"/>
      <c r="AK43" s="113"/>
      <c r="AL43" s="113"/>
      <c r="AM43" s="113"/>
      <c r="AN43" s="113"/>
      <c r="AO43" s="106"/>
      <c r="AP43" s="113"/>
      <c r="AQ43" s="113"/>
      <c r="AR43" s="113"/>
      <c r="AS43" s="113"/>
      <c r="AT43" s="106"/>
      <c r="AU43" s="113"/>
      <c r="AV43" s="113"/>
      <c r="AW43" s="113"/>
      <c r="AX43" s="113"/>
      <c r="AY43" s="106"/>
      <c r="AZ43" s="113"/>
      <c r="BA43" s="113"/>
      <c r="BB43" s="113"/>
      <c r="BC43" s="113"/>
      <c r="BD43" s="106"/>
      <c r="BE43" s="113"/>
      <c r="BF43" s="113"/>
      <c r="BG43" s="113"/>
      <c r="BH43" s="113"/>
      <c r="BI43" s="106"/>
      <c r="BJ43" s="113"/>
      <c r="BK43" s="113"/>
      <c r="BL43" s="113"/>
      <c r="BM43" s="113"/>
      <c r="BN43" s="106"/>
      <c r="BO43" s="113"/>
      <c r="BP43" s="113"/>
      <c r="BQ43" s="113"/>
      <c r="BR43" s="113"/>
      <c r="BS43" s="106"/>
      <c r="BT43" s="113"/>
      <c r="BU43" s="113"/>
      <c r="BV43" s="113"/>
      <c r="BW43" s="113"/>
      <c r="BX43" s="106"/>
      <c r="BY43" s="311"/>
      <c r="BZ43" s="311"/>
      <c r="CA43" s="675"/>
      <c r="CB43" s="675"/>
      <c r="CC43" s="106"/>
      <c r="CD43" s="113"/>
      <c r="CE43" s="113"/>
      <c r="CF43" s="113"/>
      <c r="CG43" s="113"/>
      <c r="CH43" s="106"/>
      <c r="CI43" s="113"/>
      <c r="CJ43" s="113"/>
      <c r="CK43" s="113"/>
      <c r="CL43" s="113"/>
      <c r="CM43" s="106"/>
      <c r="CN43" s="113"/>
      <c r="CO43" s="113"/>
      <c r="CP43" s="113"/>
      <c r="CQ43" s="113"/>
      <c r="CR43" s="106"/>
      <c r="CS43" s="113"/>
      <c r="CT43" s="113"/>
      <c r="CU43" s="113"/>
      <c r="CV43" s="113"/>
      <c r="CW43" s="106"/>
      <c r="CX43" s="113"/>
      <c r="CY43" s="113"/>
      <c r="CZ43" s="113"/>
      <c r="DA43" s="113"/>
      <c r="DB43" s="106"/>
    </row>
    <row r="44" spans="1:106" s="15" customFormat="1" ht="11.25" customHeight="1" thickBot="1" x14ac:dyDescent="0.4">
      <c r="A44" s="124" t="s">
        <v>44</v>
      </c>
      <c r="B44" s="129" t="str">
        <f>Macro!B$3</f>
        <v>1Q10</v>
      </c>
      <c r="C44" s="129" t="str">
        <f>Macro!C$3</f>
        <v>2Q10</v>
      </c>
      <c r="D44" s="129" t="str">
        <f>Macro!D$3</f>
        <v>3Q10</v>
      </c>
      <c r="E44" s="130" t="str">
        <f>Macro!E$3</f>
        <v>4Q10</v>
      </c>
      <c r="F44" s="131" t="str">
        <f>Macro!F$3</f>
        <v>2010</v>
      </c>
      <c r="G44" s="129" t="str">
        <f>Macro!G$3</f>
        <v>1Q11</v>
      </c>
      <c r="H44" s="129" t="str">
        <f>Macro!H$3</f>
        <v>2Q11</v>
      </c>
      <c r="I44" s="129" t="str">
        <f>Macro!I$3</f>
        <v>3Q11</v>
      </c>
      <c r="J44" s="130" t="str">
        <f>Macro!J$3</f>
        <v>4Q11</v>
      </c>
      <c r="K44" s="131" t="str">
        <f>Macro!K$3</f>
        <v>2011</v>
      </c>
      <c r="L44" s="129" t="str">
        <f>Macro!L$3</f>
        <v>1Q12</v>
      </c>
      <c r="M44" s="129" t="str">
        <f>Macro!M$3</f>
        <v>2Q12</v>
      </c>
      <c r="N44" s="125" t="str">
        <f>Macro!N$3</f>
        <v>3Q12</v>
      </c>
      <c r="O44" s="125" t="str">
        <f>Macro!O$3</f>
        <v>4Q12</v>
      </c>
      <c r="P44" s="126" t="str">
        <f>Macro!P$3</f>
        <v>2012</v>
      </c>
      <c r="Q44" s="125" t="str">
        <f>Macro!Q$3</f>
        <v>1Q13</v>
      </c>
      <c r="R44" s="125" t="str">
        <f>Macro!R$3</f>
        <v>2Q13</v>
      </c>
      <c r="S44" s="125" t="str">
        <f>Macro!S$3</f>
        <v>3Q13</v>
      </c>
      <c r="T44" s="125" t="str">
        <f>Macro!T$3</f>
        <v>4Q13</v>
      </c>
      <c r="U44" s="126" t="str">
        <f>Macro!U$3</f>
        <v>2013</v>
      </c>
      <c r="V44" s="125" t="str">
        <f>Macro!V$3</f>
        <v>1Q14</v>
      </c>
      <c r="W44" s="125" t="str">
        <f>Macro!W$3</f>
        <v>2Q14</v>
      </c>
      <c r="X44" s="125" t="str">
        <f>Macro!X$3</f>
        <v>3Q14</v>
      </c>
      <c r="Y44" s="125" t="str">
        <f>Macro!Y$3</f>
        <v>4Q14</v>
      </c>
      <c r="Z44" s="126" t="str">
        <f>Macro!Z$3</f>
        <v>2014</v>
      </c>
      <c r="AA44" s="125" t="str">
        <f>Macro!AA$3</f>
        <v>1Q15</v>
      </c>
      <c r="AB44" s="125" t="str">
        <f>Macro!AB$3</f>
        <v>2Q15</v>
      </c>
      <c r="AC44" s="125" t="str">
        <f>Macro!AC$3</f>
        <v>3Q15</v>
      </c>
      <c r="AD44" s="125" t="str">
        <f>Macro!AD$3</f>
        <v>4Q15</v>
      </c>
      <c r="AE44" s="126" t="str">
        <f>Macro!AE$3</f>
        <v>2015</v>
      </c>
      <c r="AF44" s="125" t="str">
        <f>Macro!AF$3</f>
        <v>1Q16</v>
      </c>
      <c r="AG44" s="125" t="str">
        <f>Macro!AG$3</f>
        <v>2Q16</v>
      </c>
      <c r="AH44" s="125" t="str">
        <f>Macro!AH$3</f>
        <v>3Q16</v>
      </c>
      <c r="AI44" s="125" t="str">
        <f>Macro!AI$3</f>
        <v>4Q16</v>
      </c>
      <c r="AJ44" s="126" t="str">
        <f>Macro!AJ$3</f>
        <v>2016</v>
      </c>
      <c r="AK44" s="125" t="str">
        <f>Macro!AK$3</f>
        <v>1Q17</v>
      </c>
      <c r="AL44" s="125" t="str">
        <f>Macro!AL$3</f>
        <v>2Q17</v>
      </c>
      <c r="AM44" s="125" t="str">
        <f>Macro!AM$3</f>
        <v>3Q17</v>
      </c>
      <c r="AN44" s="125" t="str">
        <f>Macro!AN$3</f>
        <v>4Q17</v>
      </c>
      <c r="AO44" s="126" t="str">
        <f>Macro!AO$3</f>
        <v>2017</v>
      </c>
      <c r="AP44" s="125" t="str">
        <f>Macro!AP$3</f>
        <v>1Q18</v>
      </c>
      <c r="AQ44" s="125" t="str">
        <f>Macro!AQ$3</f>
        <v>2Q18</v>
      </c>
      <c r="AR44" s="125" t="str">
        <f>Macro!AR$3</f>
        <v>3Q18</v>
      </c>
      <c r="AS44" s="125" t="str">
        <f>Macro!AS$3</f>
        <v>4Q18</v>
      </c>
      <c r="AT44" s="126" t="str">
        <f>Macro!AT$3</f>
        <v>2018</v>
      </c>
      <c r="AU44" s="125" t="str">
        <f>Macro!AU$3</f>
        <v>1Q19</v>
      </c>
      <c r="AV44" s="125" t="str">
        <f>Macro!AV$3</f>
        <v>2Q19</v>
      </c>
      <c r="AW44" s="125" t="str">
        <f>Macro!AW$3</f>
        <v>3Q19</v>
      </c>
      <c r="AX44" s="125" t="str">
        <f>Macro!AX$3</f>
        <v>4Q19</v>
      </c>
      <c r="AY44" s="126" t="str">
        <f>Macro!AY$3</f>
        <v>2019</v>
      </c>
      <c r="AZ44" s="125" t="str">
        <f>Macro!AZ$3</f>
        <v>1Q20</v>
      </c>
      <c r="BA44" s="125" t="str">
        <f>Macro!BA$3</f>
        <v>2Q20</v>
      </c>
      <c r="BB44" s="125" t="str">
        <f>Macro!BB$3</f>
        <v>3Q20</v>
      </c>
      <c r="BC44" s="125" t="str">
        <f>Macro!BC$3</f>
        <v>4Q20</v>
      </c>
      <c r="BD44" s="126" t="str">
        <f>Macro!BD$3</f>
        <v>2020</v>
      </c>
      <c r="BE44" s="125" t="str">
        <f>Macro!BE$3</f>
        <v>1Q21</v>
      </c>
      <c r="BF44" s="125" t="str">
        <f>Macro!BF$3</f>
        <v>2Q21</v>
      </c>
      <c r="BG44" s="125" t="str">
        <f>Macro!BG$3</f>
        <v>3Q21</v>
      </c>
      <c r="BH44" s="125" t="str">
        <f>Macro!BH$3</f>
        <v>4Q21</v>
      </c>
      <c r="BI44" s="126" t="str">
        <f>Macro!BI$3</f>
        <v>2021</v>
      </c>
      <c r="BJ44" s="125" t="str">
        <f>Macro!BJ$3</f>
        <v>1Q22</v>
      </c>
      <c r="BK44" s="125" t="str">
        <f>Macro!BK$3</f>
        <v>2Q22</v>
      </c>
      <c r="BL44" s="125" t="str">
        <f>Macro!BL$3</f>
        <v>3Q22</v>
      </c>
      <c r="BM44" s="125" t="str">
        <f>Macro!BM$3</f>
        <v>4Q22</v>
      </c>
      <c r="BN44" s="126" t="str">
        <f>Macro!BN$3</f>
        <v>2022</v>
      </c>
      <c r="BO44" s="125" t="str">
        <f>Macro!BO$3</f>
        <v>1Q23</v>
      </c>
      <c r="BP44" s="125" t="str">
        <f>Macro!BP$3</f>
        <v>2Q23</v>
      </c>
      <c r="BQ44" s="125" t="str">
        <f>Macro!BQ$3</f>
        <v>3Q23</v>
      </c>
      <c r="BR44" s="125" t="str">
        <f>Macro!BR$3</f>
        <v>4Q23</v>
      </c>
      <c r="BS44" s="126" t="str">
        <f>Macro!BS$3</f>
        <v>2023</v>
      </c>
      <c r="BT44" s="125" t="str">
        <f>Macro!BT$3</f>
        <v>1Q24</v>
      </c>
      <c r="BU44" s="125" t="str">
        <f>Macro!BU$3</f>
        <v>2Q24</v>
      </c>
      <c r="BV44" s="125" t="str">
        <f>Macro!BV$3</f>
        <v>3Q24</v>
      </c>
      <c r="BW44" s="125" t="str">
        <f>Macro!BW$3</f>
        <v>4Q24</v>
      </c>
      <c r="BX44" s="126" t="str">
        <f>Macro!BX$3</f>
        <v>2024</v>
      </c>
      <c r="BY44" s="125" t="str">
        <f>Macro!BY$3</f>
        <v>1Q25</v>
      </c>
      <c r="BZ44" s="125" t="str">
        <f>Macro!BZ$3</f>
        <v>2Q25</v>
      </c>
      <c r="CA44" s="125" t="str">
        <f>Macro!CA$3</f>
        <v>3Q25</v>
      </c>
      <c r="CB44" s="125" t="str">
        <f>Macro!CB$3</f>
        <v>4Q25</v>
      </c>
      <c r="CC44" s="126" t="str">
        <f>Macro!CC$3</f>
        <v>2025</v>
      </c>
      <c r="CD44" s="125" t="str">
        <f>Macro!CD$3</f>
        <v>1Q26</v>
      </c>
      <c r="CE44" s="125" t="str">
        <f>Macro!CE$3</f>
        <v>2Q26</v>
      </c>
      <c r="CF44" s="125" t="str">
        <f>Macro!CF$3</f>
        <v>3Q26E</v>
      </c>
      <c r="CG44" s="125" t="str">
        <f>Macro!CG$3</f>
        <v>4Q26E</v>
      </c>
      <c r="CH44" s="126" t="str">
        <f>Macro!CH$3</f>
        <v>2026E</v>
      </c>
      <c r="CI44" s="125" t="str">
        <f>Macro!CI$3</f>
        <v>1Q27E</v>
      </c>
      <c r="CJ44" s="125" t="str">
        <f>Macro!CJ$3</f>
        <v>2Q27E</v>
      </c>
      <c r="CK44" s="125" t="str">
        <f>Macro!CK$3</f>
        <v>3Q27E</v>
      </c>
      <c r="CL44" s="125" t="str">
        <f>Macro!CL$3</f>
        <v>4Q27E</v>
      </c>
      <c r="CM44" s="126" t="str">
        <f>Macro!CM$3</f>
        <v>2027E</v>
      </c>
      <c r="CN44" s="125" t="str">
        <f>Macro!CN$3</f>
        <v>1Q28E</v>
      </c>
      <c r="CO44" s="125" t="str">
        <f>Macro!CO$3</f>
        <v>2Q28E</v>
      </c>
      <c r="CP44" s="125" t="str">
        <f>Macro!CP$3</f>
        <v>3Q28E</v>
      </c>
      <c r="CQ44" s="125" t="str">
        <f>Macro!CQ$3</f>
        <v>4Q28E</v>
      </c>
      <c r="CR44" s="126" t="str">
        <f>Macro!CR$3</f>
        <v>2028E</v>
      </c>
      <c r="CS44" s="125" t="str">
        <f>Macro!CS$3</f>
        <v>1Q29E</v>
      </c>
      <c r="CT44" s="125" t="str">
        <f>Macro!CT$3</f>
        <v>2Q29E</v>
      </c>
      <c r="CU44" s="125" t="str">
        <f>Macro!CU$3</f>
        <v>3Q29E</v>
      </c>
      <c r="CV44" s="125" t="str">
        <f>Macro!CV$3</f>
        <v>4Q29E</v>
      </c>
      <c r="CW44" s="126" t="str">
        <f>Macro!CW$3</f>
        <v>2029E</v>
      </c>
      <c r="CX44" s="125" t="str">
        <f>Macro!CX$3</f>
        <v>1Q30E</v>
      </c>
      <c r="CY44" s="125" t="str">
        <f>Macro!CY$3</f>
        <v>2Q30E</v>
      </c>
      <c r="CZ44" s="125" t="str">
        <f>Macro!CZ$3</f>
        <v>3Q30E</v>
      </c>
      <c r="DA44" s="125" t="str">
        <f>Macro!DA$3</f>
        <v>4Q30E</v>
      </c>
      <c r="DB44" s="126" t="str">
        <f>Macro!DB$3</f>
        <v>2030E</v>
      </c>
    </row>
    <row r="45" spans="1:106" ht="11.25" customHeight="1" thickTop="1" x14ac:dyDescent="0.35">
      <c r="A45" s="127" t="s">
        <v>269</v>
      </c>
      <c r="B45" s="524">
        <v>39074417.508036137</v>
      </c>
      <c r="C45" s="524">
        <v>39685699.7464853</v>
      </c>
      <c r="D45" s="524">
        <v>42550295.292536214</v>
      </c>
      <c r="E45" s="524">
        <v>43426793.693778582</v>
      </c>
      <c r="F45" s="154">
        <f>E45</f>
        <v>43426793.693778582</v>
      </c>
      <c r="G45" s="524">
        <v>44633401.571526542</v>
      </c>
      <c r="H45" s="524">
        <v>45801715.658829063</v>
      </c>
      <c r="I45" s="524">
        <v>45629914.576548509</v>
      </c>
      <c r="J45" s="524">
        <v>48931191.849570476</v>
      </c>
      <c r="K45" s="154">
        <f>J45</f>
        <v>48931191.849570476</v>
      </c>
      <c r="L45" s="524">
        <v>49784800.140993804</v>
      </c>
      <c r="M45" s="524">
        <v>51615248.802897103</v>
      </c>
      <c r="N45" s="524">
        <v>55663878.376804277</v>
      </c>
      <c r="O45" s="524">
        <v>57054594.759172469</v>
      </c>
      <c r="P45" s="154">
        <f>O45</f>
        <v>57054594.759172469</v>
      </c>
      <c r="Q45" s="524">
        <v>54878113.933718741</v>
      </c>
      <c r="R45" s="524">
        <v>57439245.565033093</v>
      </c>
      <c r="S45" s="524">
        <v>59639367.910552837</v>
      </c>
      <c r="T45" s="524">
        <v>55078926.47111176</v>
      </c>
      <c r="U45" s="154">
        <f>T45</f>
        <v>55078926.47111176</v>
      </c>
      <c r="V45" s="524">
        <v>50921062.916108772</v>
      </c>
      <c r="W45" s="524">
        <v>52310798.815595135</v>
      </c>
      <c r="X45" s="524">
        <v>51726827.002588324</v>
      </c>
      <c r="Y45" s="524">
        <v>54297949.726183742</v>
      </c>
      <c r="Z45" s="154">
        <f>Y45</f>
        <v>54297949.726183742</v>
      </c>
      <c r="AA45" s="524">
        <v>54903335.5392178</v>
      </c>
      <c r="AB45" s="524">
        <v>54032062.91664844</v>
      </c>
      <c r="AC45" s="524">
        <v>52929940.180711567</v>
      </c>
      <c r="AD45" s="524">
        <v>53877411.616579697</v>
      </c>
      <c r="AE45" s="154">
        <f>AD45</f>
        <v>53877411.616579697</v>
      </c>
      <c r="AF45" s="524">
        <v>53667092.903927147</v>
      </c>
      <c r="AG45" s="524">
        <v>51836385.903358601</v>
      </c>
      <c r="AH45" s="524">
        <v>52256937.169288814</v>
      </c>
      <c r="AI45" s="524">
        <v>50897564.659485824</v>
      </c>
      <c r="AJ45" s="154">
        <f>AI45</f>
        <v>50897564.659485824</v>
      </c>
      <c r="AK45" s="524">
        <v>49924573.221037485</v>
      </c>
      <c r="AL45" s="524">
        <v>50232907.951467969</v>
      </c>
      <c r="AM45" s="524">
        <v>47458857.170015998</v>
      </c>
      <c r="AN45" s="524">
        <v>45448617.422238193</v>
      </c>
      <c r="AO45" s="154">
        <f>AN45</f>
        <v>45448617.422238193</v>
      </c>
      <c r="AP45" s="524">
        <v>45002645.065004773</v>
      </c>
      <c r="AQ45" s="524">
        <v>43372096.731075659</v>
      </c>
      <c r="AR45" s="524">
        <v>43441245.353500783</v>
      </c>
      <c r="AS45" s="524">
        <v>41147146.55866842</v>
      </c>
      <c r="AT45" s="154">
        <f>AS45</f>
        <v>41147146.55866842</v>
      </c>
      <c r="AU45" s="524">
        <v>41068196.952945337</v>
      </c>
      <c r="AV45" s="524">
        <v>39324172.017702065</v>
      </c>
      <c r="AW45" s="524">
        <v>37964775.814701818</v>
      </c>
      <c r="AX45" s="524">
        <v>37786101.180216327</v>
      </c>
      <c r="AY45" s="154">
        <f>AX45</f>
        <v>37786101.180216327</v>
      </c>
      <c r="AZ45" s="524">
        <v>37413350.862792194</v>
      </c>
      <c r="BA45" s="524">
        <v>37042530.074606717</v>
      </c>
      <c r="BB45" s="524">
        <v>34524258.078763165</v>
      </c>
      <c r="BC45" s="524">
        <v>32049455.248661298</v>
      </c>
      <c r="BD45" s="154">
        <f>BC45</f>
        <v>32049455.248661298</v>
      </c>
      <c r="BE45" s="524">
        <v>30282121.26268588</v>
      </c>
      <c r="BF45" s="524">
        <v>32074061.95126636</v>
      </c>
      <c r="BG45" s="524">
        <v>31045355.356795453</v>
      </c>
      <c r="BH45" s="524">
        <v>29512755.539430425</v>
      </c>
      <c r="BI45" s="154">
        <f>BH45</f>
        <v>29512755.539430425</v>
      </c>
      <c r="BJ45" s="524">
        <v>30858202.330482282</v>
      </c>
      <c r="BK45" s="524">
        <v>32937641.121648226</v>
      </c>
      <c r="BL45" s="524">
        <v>31402499.208835244</v>
      </c>
      <c r="BM45" s="524">
        <v>28463253.77878689</v>
      </c>
      <c r="BN45" s="154">
        <f>BM45</f>
        <v>28463253.77878689</v>
      </c>
      <c r="BO45" s="524">
        <v>28964814.02956228</v>
      </c>
      <c r="BP45" s="524">
        <v>26928954.446205519</v>
      </c>
      <c r="BQ45" s="524">
        <v>26676811.236437071</v>
      </c>
      <c r="BR45" s="524">
        <v>25975242.809855845</v>
      </c>
      <c r="BS45" s="154">
        <f>BR45</f>
        <v>25975242.809855845</v>
      </c>
      <c r="BT45" s="524">
        <v>10321427.21241435</v>
      </c>
      <c r="BU45" s="524">
        <v>11726077.935278058</v>
      </c>
      <c r="BV45" s="524">
        <v>14696046.775522759</v>
      </c>
      <c r="BW45" s="524">
        <v>20408863.299987704</v>
      </c>
      <c r="BX45" s="154">
        <f>BW45</f>
        <v>20408863.299987704</v>
      </c>
      <c r="BY45" s="524">
        <v>19059000</v>
      </c>
      <c r="BZ45" s="524">
        <v>20214453.771604367</v>
      </c>
      <c r="CA45" s="524">
        <v>18434645.021040641</v>
      </c>
      <c r="CB45" s="524">
        <v>19841000</v>
      </c>
      <c r="CC45" s="154">
        <f>CB45</f>
        <v>19841000</v>
      </c>
      <c r="CD45" s="524">
        <v>18200000</v>
      </c>
      <c r="CE45" s="820">
        <f>CE46*SUM(CE4:CG4,CI4)</f>
        <v>17362137.529785581</v>
      </c>
      <c r="CF45" s="152">
        <f>CF46*SUM(CF4:CG4,CI4:CJ4)</f>
        <v>16916153.265269157</v>
      </c>
      <c r="CG45" s="152">
        <f>CG46*SUM(CG4,CI4:CK4)</f>
        <v>16714965.50623782</v>
      </c>
      <c r="CH45" s="154">
        <f>CG45</f>
        <v>16714965.50623782</v>
      </c>
      <c r="CI45" s="152">
        <f>CI46*SUM(CI4:CL4)</f>
        <v>17528746.528026063</v>
      </c>
      <c r="CJ45" s="152">
        <f>CJ46*SUM(CJ4:CL4,CN4)</f>
        <v>17834931.637473892</v>
      </c>
      <c r="CK45" s="152">
        <f>CK46*SUM(CK4:CL4,CN4:CO4)</f>
        <v>17195910.090114672</v>
      </c>
      <c r="CL45" s="152">
        <f>CL46*SUM(CL4,CN4:CP4)</f>
        <v>16271251.404107777</v>
      </c>
      <c r="CM45" s="154">
        <f>CL45</f>
        <v>16271251.404107777</v>
      </c>
      <c r="CN45" s="152">
        <f>CN46*SUM(CN4:CQ4)</f>
        <v>17955778.119209446</v>
      </c>
      <c r="CO45" s="152">
        <f>CO46*SUM(CO4:CQ4,CS4)</f>
        <v>18483245.546875659</v>
      </c>
      <c r="CP45" s="152">
        <f>CP46*SUM(CP4:CQ4,CS4:CT4)</f>
        <v>18032424.084746573</v>
      </c>
      <c r="CQ45" s="152">
        <f>CQ46*SUM(CQ4,CS4:CU4)</f>
        <v>16443704.826566311</v>
      </c>
      <c r="CR45" s="154">
        <f>CQ45</f>
        <v>16443704.826566311</v>
      </c>
      <c r="CS45" s="152">
        <f>CS46*SUM(CS4:CV4)</f>
        <v>18187189.97669654</v>
      </c>
      <c r="CT45" s="152">
        <f>CT46*SUM(CT4:CV4,CX4)</f>
        <v>18733118.764331065</v>
      </c>
      <c r="CU45" s="152">
        <f>CU46*SUM(CU4:CV4,CX4:CY4)</f>
        <v>18266518.551027462</v>
      </c>
      <c r="CV45" s="152">
        <f>CV46*SUM(CV4,CX4:CZ4)</f>
        <v>16622194.11881089</v>
      </c>
      <c r="CW45" s="154">
        <f>CV45</f>
        <v>16622194.11881089</v>
      </c>
      <c r="CX45" s="152">
        <f>CX46*SUM(CX4:DA4)</f>
        <v>18426701.249195676</v>
      </c>
      <c r="CY45" s="152">
        <f>CY46*SUM(CY4:DA4,DC4)</f>
        <v>18291363.214416821</v>
      </c>
      <c r="CZ45" s="152">
        <f>CZ46*SUM(CZ4:DA4,DC4:DD4)</f>
        <v>16080841.979695458</v>
      </c>
      <c r="DA45" s="152">
        <f>DA46*SUM(DA4,DC4:DE4)</f>
        <v>11344010.762435395</v>
      </c>
      <c r="DB45" s="154">
        <f>DA45</f>
        <v>11344010.762435395</v>
      </c>
    </row>
    <row r="46" spans="1:106" ht="11.25" customHeight="1" x14ac:dyDescent="0.35">
      <c r="A46" s="78" t="s">
        <v>270</v>
      </c>
      <c r="B46" s="155">
        <f>B45/SUM(E4,B4:D4)</f>
        <v>5.0916118025274351</v>
      </c>
      <c r="C46" s="155">
        <f>C45/SUM(G4,C4:E4)</f>
        <v>4.8801036350417828</v>
      </c>
      <c r="D46" s="155">
        <f>D45/SUM(G4:H4,D4:E4)</f>
        <v>4.9351895839417343</v>
      </c>
      <c r="E46" s="155">
        <f>E45/SUM(E4,G4:I4)</f>
        <v>4.8173397218461416</v>
      </c>
      <c r="F46" s="156">
        <f>F45/K4</f>
        <v>5.4296212255684466</v>
      </c>
      <c r="G46" s="155">
        <f>G45/SUM(J4,G4:I4)</f>
        <v>5.5804825530280651</v>
      </c>
      <c r="H46" s="155">
        <f>H45/SUM(L4,H4:J4)</f>
        <v>5.8466027305927559</v>
      </c>
      <c r="I46" s="155">
        <f>I45/SUM(L4:M4,I4:J4)</f>
        <v>6.2453694706727747</v>
      </c>
      <c r="J46" s="155">
        <f>J45/SUM(J4,L4:N4)</f>
        <v>6.982940260703919</v>
      </c>
      <c r="K46" s="156">
        <f>K45/P4</f>
        <v>8.7420347367533875</v>
      </c>
      <c r="L46" s="155">
        <f>L45/SUM(O4,L4:N4)</f>
        <v>8.8945401847740442</v>
      </c>
      <c r="M46" s="155">
        <f>M45/SUM(Q4,M4:O4)</f>
        <v>9.1152696193667122</v>
      </c>
      <c r="N46" s="155">
        <f>N45/SUM(Q4:R4,N4:O4)</f>
        <v>8.7862796672493513</v>
      </c>
      <c r="O46" s="155">
        <f>O45/SUM(O4,Q4:S4)</f>
        <v>9.4276847806631707</v>
      </c>
      <c r="P46" s="156">
        <f>P45/U4</f>
        <v>8.5844195237149101</v>
      </c>
      <c r="Q46" s="155">
        <f>Q45/SUM(T4,Q4:S4)</f>
        <v>8.2569467834407799</v>
      </c>
      <c r="R46" s="155">
        <f>R45/SUM(V4,R4:T4)</f>
        <v>7.5519121579595172</v>
      </c>
      <c r="S46" s="155">
        <f>S45/SUM(V4:W4,S4:T4)</f>
        <v>8.856550215735739</v>
      </c>
      <c r="T46" s="155">
        <f>T45/SUM(T4,V4:X4)</f>
        <v>8.767345229920144</v>
      </c>
      <c r="U46" s="156">
        <f>U45/Z4</f>
        <v>9.4182188964362403</v>
      </c>
      <c r="V46" s="155">
        <f>V45/SUM(Y4,V4:X4)</f>
        <v>8.7072451790550307</v>
      </c>
      <c r="W46" s="155">
        <f>W45/SUM(AA4,W4:Y4)</f>
        <v>11.900206057731191</v>
      </c>
      <c r="X46" s="155">
        <f>X45/SUM(AA4:AB4,X4:Y4)</f>
        <v>11.314782675564928</v>
      </c>
      <c r="Y46" s="155">
        <f>Y45/SUM(Y4,AA4:AC4)</f>
        <v>12.342857195370387</v>
      </c>
      <c r="Z46" s="156">
        <f>Z45/AE4</f>
        <v>18.733482839757684</v>
      </c>
      <c r="AA46" s="155">
        <f>AA45/SUM(AD4,AA4:AC4)</f>
        <v>18.94234864034679</v>
      </c>
      <c r="AB46" s="155">
        <f>AB45/SUM(AF4,AB4:AD4)</f>
        <v>17.720883531291417</v>
      </c>
      <c r="AC46" s="155">
        <f>AC45/SUM(AF4:AG4,AC4:AD4)</f>
        <v>20.5067698177766</v>
      </c>
      <c r="AD46" s="155">
        <f>AD45/SUM(AD4,AF4:AH4)</f>
        <v>22.236237236945897</v>
      </c>
      <c r="AE46" s="156">
        <f>AE45/AJ4</f>
        <v>18.343102798384166</v>
      </c>
      <c r="AF46" s="155">
        <f>AF45/SUM(AI4,AF4:AH4)</f>
        <v>18.271497692443585</v>
      </c>
      <c r="AG46" s="155">
        <f>AG45/SUM(AK4,AG4:AI4)</f>
        <v>17.656465193016164</v>
      </c>
      <c r="AH46" s="155">
        <f>AH45/SUM(AK4:AL4,AH4:AI4)</f>
        <v>17.546984854988203</v>
      </c>
      <c r="AI46" s="155">
        <f>AI45/SUM(AI4,AK4:AM4)</f>
        <v>16.643865036038363</v>
      </c>
      <c r="AJ46" s="156">
        <f>AJ45/AO4</f>
        <v>16.670138319564753</v>
      </c>
      <c r="AK46" s="155">
        <f>AK45/SUM(AN4,AK4:AM4)</f>
        <v>16.351460953148496</v>
      </c>
      <c r="AL46" s="155">
        <f>AL45/SUM(AP4,AL4:AN4)</f>
        <v>17.46794559914386</v>
      </c>
      <c r="AM46" s="155">
        <f>AM45/SUM(AP4:AQ4,AM4:AN4)</f>
        <v>14.753918177719036</v>
      </c>
      <c r="AN46" s="155">
        <f>AN45/SUM(AN4,AP4:AR4)</f>
        <v>12.613642646661649</v>
      </c>
      <c r="AO46" s="156">
        <f>AO45/AT4</f>
        <v>9.0191646921487507</v>
      </c>
      <c r="AP46" s="155">
        <f>AP45/SUM(AS4,AP4:AR4)</f>
        <v>8.93066259095907</v>
      </c>
      <c r="AQ46" s="155">
        <f>AQ45/SUM(AU4,AQ4:AS4)</f>
        <v>8.5931776516525868</v>
      </c>
      <c r="AR46" s="155">
        <f>AR45/SUM(AU4:AV4,AR4:AS4)</f>
        <v>7.7658596292145967</v>
      </c>
      <c r="AS46" s="155">
        <f>AS45/SUM(AS4,AU4:AW4)</f>
        <v>7.2643030665610988</v>
      </c>
      <c r="AT46" s="156">
        <f>AT45/AY4</f>
        <v>9.4443424893461891</v>
      </c>
      <c r="AU46" s="155">
        <f>AU45/SUM(AX4,AU4:AW4)</f>
        <v>9.4262214972918681</v>
      </c>
      <c r="AV46" s="155">
        <f>AV45/SUM(AZ4,AV4:AX4)</f>
        <v>7.8980561791604575</v>
      </c>
      <c r="AW46" s="155">
        <f>AW45/SUM(AZ4:BA4,AW4:AX4)</f>
        <v>10.246371208433228</v>
      </c>
      <c r="AX46" s="155">
        <f>AX45/SUM(AX4,AZ4:BB4)</f>
        <v>8.6514077210248139</v>
      </c>
      <c r="AY46" s="156">
        <f>AY45/BD4</f>
        <v>6.4666094425872807</v>
      </c>
      <c r="AZ46" s="155">
        <f>AZ45/SUM(BC4,AZ4:BB4)</f>
        <v>6.4028179783426351</v>
      </c>
      <c r="BA46" s="155">
        <f>BA45/SUM(BE4,BA4:BC4)</f>
        <v>7.1235034392277665</v>
      </c>
      <c r="BB46" s="155">
        <f>BB45/SUM(BE4:BF4,BB4:BC4)</f>
        <v>5.0217669006698609</v>
      </c>
      <c r="BC46" s="155">
        <f>BC45/SUM(BC4,BE4:BG4)</f>
        <v>4.3173155631203297</v>
      </c>
      <c r="BD46" s="156">
        <f>BD45/BI4</f>
        <v>4.5108429389383966</v>
      </c>
      <c r="BE46" s="155">
        <f>BE45/SUM(BH4,BE4:BG4)</f>
        <v>4.2620971811858972</v>
      </c>
      <c r="BF46" s="155">
        <f>BF45/SUM(BJ4,BF4:BH4)</f>
        <v>4.1539727613983253</v>
      </c>
      <c r="BG46" s="155">
        <f>BG45/SUM(BJ4:BK4,BG4:BH4)</f>
        <v>3.8240129537499543</v>
      </c>
      <c r="BH46" s="155">
        <f>BH45/SUM(BH4,BJ4:BL4)</f>
        <v>3.3360599265388564</v>
      </c>
      <c r="BI46" s="156">
        <f>BI45/BN4</f>
        <v>3.2384991799908622</v>
      </c>
      <c r="BJ46" s="155">
        <f>BJ45/SUM(BM4,BJ4:BL4)</f>
        <v>3.3861379975089796</v>
      </c>
      <c r="BK46" s="155">
        <f>BK45/SUM(BO4,BK4:BM4)</f>
        <v>3.4965015455995596</v>
      </c>
      <c r="BL46" s="155">
        <f>BL45/SUM(BO4:BP4,BL4:BM4)</f>
        <v>2.9601698447316322</v>
      </c>
      <c r="BM46" s="155">
        <f>BM45/SUM(BM4,BO4:BQ4)</f>
        <v>2.8910924956055704</v>
      </c>
      <c r="BN46" s="156">
        <f>BN45/BS4</f>
        <v>2.9141013520059631</v>
      </c>
      <c r="BO46" s="155">
        <f>BO45/SUM(BR4,BO4:BQ4)</f>
        <v>2.9654516795636052</v>
      </c>
      <c r="BP46" s="155">
        <f>BP45/SUM(BT4,BP4:BR4)</f>
        <v>2.6602729478410487</v>
      </c>
      <c r="BQ46" s="155">
        <f>BQ45/SUM(BT4:BU4,BQ4:BR4)</f>
        <v>3.3058363014434735</v>
      </c>
      <c r="BR46" s="155">
        <f>BR45/SUM(BR4,BT4:BV4)</f>
        <v>2.877308186698071</v>
      </c>
      <c r="BS46" s="156">
        <f>BS45/BX4</f>
        <v>1.9948843696332419</v>
      </c>
      <c r="BT46" s="155">
        <f>BT45/SUM(BW4,BT4:BV4)</f>
        <v>0.79267993639466816</v>
      </c>
      <c r="BU46" s="155">
        <f>BU45/SUM(BY4,BU4:BW4)</f>
        <v>0.72458347232678311</v>
      </c>
      <c r="BV46" s="155">
        <f>BV45/SUM(BY4:BZ4,BV4:BW4)</f>
        <v>0.779705791011437</v>
      </c>
      <c r="BW46" s="155">
        <f>BW45/SUM(BW4,BY4:CA4)</f>
        <v>0.9823478601189779</v>
      </c>
      <c r="BX46" s="156">
        <f>BX45/CC4</f>
        <v>1.0990435110238992</v>
      </c>
      <c r="BY46" s="155">
        <f>BY45/SUM(CB4,BY4:CA4)</f>
        <v>1.0263516379482591</v>
      </c>
      <c r="BZ46" s="155">
        <f>BZ45/SUM(CD4,BZ4:CB4)</f>
        <v>1.2527983451724418</v>
      </c>
      <c r="CA46" s="155">
        <f>CA45/SUM(CE4,CA4:CC4)</f>
        <v>0.55664122218189549</v>
      </c>
      <c r="CB46" s="155">
        <f>CB45/SUM(CB4,CD4:CF4)</f>
        <v>1.22820031732162</v>
      </c>
      <c r="CC46" s="156">
        <f>CC45/CH4</f>
        <v>1.2646096778522027</v>
      </c>
      <c r="CD46" s="155">
        <f>CD45/SUM(CG4,CD4:CF4)</f>
        <v>1.1600169415306731</v>
      </c>
      <c r="CE46" s="821">
        <f>((CD45-CE4)/SUM(CE4:CG4,CI4))+0.25</f>
        <v>1.0511963699769988</v>
      </c>
      <c r="CF46" s="512">
        <f>((CE45-CF4)/SUM(CF4:CG4,CI4:CJ4))+0.25</f>
        <v>1.1180399618129426</v>
      </c>
      <c r="CG46" s="512">
        <f>((CF45-CG4)/SUM(CG4,CI4:CK4))+0.25</f>
        <v>1.0812568696798008</v>
      </c>
      <c r="CH46" s="156">
        <f>CH45/CM4</f>
        <v>1.0269940597476364</v>
      </c>
      <c r="CI46" s="512">
        <f>((CG45-CI4)/SUM(CI4:CK4,CL4))+0.25</f>
        <v>1.0769940597476362</v>
      </c>
      <c r="CJ46" s="512">
        <f>((CI45-CJ4)/SUM(CJ4:CL4,CN4))+0.25</f>
        <v>1.1471411250956673</v>
      </c>
      <c r="CK46" s="512">
        <f>((CJ45-CK4)/SUM(CK4:CL4,CN4:CO4))+0.25</f>
        <v>1.0971951396725026</v>
      </c>
      <c r="CL46" s="512">
        <f>((CK45-CL4)/SUM(CL4,CN4:CP4))+0.25</f>
        <v>1.0277374040068223</v>
      </c>
      <c r="CM46" s="156">
        <f>CM45/CR4</f>
        <v>0.9659242123165569</v>
      </c>
      <c r="CN46" s="512">
        <f>((CL45-CN4)/SUM(CN4:CP4,CQ4))+0.25</f>
        <v>1.0659242123165569</v>
      </c>
      <c r="CO46" s="512">
        <f>((CN45-CO4)/SUM(CO4:CQ4,CS4))+0.25</f>
        <v>1.0915063042194051</v>
      </c>
      <c r="CP46" s="512">
        <f>((CO45-CP4)/SUM(CP4:CQ4,CS4:CT4))+0.25</f>
        <v>1.056788797390352</v>
      </c>
      <c r="CQ46" s="512">
        <f>((CP45-CQ4)/SUM(CQ4,CS4:CU4))+0.25</f>
        <v>0.95444801986463645</v>
      </c>
      <c r="CR46" s="156">
        <f>CR45/CW4</f>
        <v>0.9431514128662386</v>
      </c>
      <c r="CS46" s="512">
        <f>((CQ45-CS4)/SUM(CS4:CU4,CV4))+0.25</f>
        <v>1.0431514128662387</v>
      </c>
      <c r="CT46" s="512">
        <f>((CS45-CT4)/SUM(CT4:CV4,CX4))+0.25</f>
        <v>1.0688524375690014</v>
      </c>
      <c r="CU46" s="512">
        <f>((CT45-CU4)/SUM(CU4:CV4,CX4:CY4))+0.25</f>
        <v>1.0343071354620057</v>
      </c>
      <c r="CV46" s="512">
        <f>((CU45-CV4)/SUM(CV4,CX4:CZ4))+0.25</f>
        <v>0.93218177742971275</v>
      </c>
      <c r="CW46" s="156">
        <f>CW45/DB4</f>
        <v>0.92114870808332239</v>
      </c>
      <c r="CX46" s="512">
        <f>((CV45-CX4)/SUM(CX4:CZ4,DA4))+0.25</f>
        <v>1.0211487080833224</v>
      </c>
      <c r="CY46" s="512">
        <f>((CX45-CY4)/SUM(CY4:DA4,DC4))+0.25</f>
        <v>1.1925278918627322</v>
      </c>
      <c r="CZ46" s="512">
        <f>((CY45-CZ4)/SUM(CZ4:DA4,DC4:DD4))+0.25</f>
        <v>1.4145217588624168</v>
      </c>
      <c r="DA46" s="512">
        <f>((CZ45-DA4)/SUM(DA4,DC4:DE4))+0.25</f>
        <v>1.7961391659523502</v>
      </c>
      <c r="DB46" s="156" t="e">
        <f>DB45/DG4</f>
        <v>#DIV/0!</v>
      </c>
    </row>
    <row r="47" spans="1:106" ht="11.25" customHeight="1" x14ac:dyDescent="0.35">
      <c r="B47" s="54"/>
      <c r="C47" s="54"/>
      <c r="D47" s="54"/>
      <c r="E47" s="157"/>
      <c r="F47" s="55"/>
      <c r="G47" s="23"/>
      <c r="H47" s="23"/>
      <c r="I47" s="23"/>
      <c r="J47" s="23"/>
      <c r="K47" s="55"/>
      <c r="L47" s="23"/>
      <c r="M47" s="23"/>
      <c r="N47" s="23"/>
      <c r="O47" s="23"/>
      <c r="P47" s="55"/>
      <c r="Q47" s="23"/>
      <c r="R47" s="23"/>
      <c r="S47" s="23"/>
      <c r="T47" s="23"/>
      <c r="U47" s="55"/>
      <c r="V47" s="23"/>
      <c r="W47" s="23"/>
      <c r="X47" s="54"/>
      <c r="Y47" s="54"/>
      <c r="Z47" s="55"/>
      <c r="AA47" s="54"/>
      <c r="AB47" s="54"/>
      <c r="AC47" s="54"/>
      <c r="AD47" s="54"/>
      <c r="AE47" s="55"/>
      <c r="AF47" s="54"/>
      <c r="AG47" s="54"/>
      <c r="AH47" s="54"/>
      <c r="AI47" s="54"/>
      <c r="AJ47" s="55"/>
      <c r="AK47" s="54"/>
      <c r="AL47" s="54"/>
      <c r="AM47" s="54"/>
      <c r="AN47" s="54"/>
      <c r="AO47" s="55"/>
      <c r="AP47" s="54"/>
      <c r="AQ47" s="54"/>
      <c r="AR47" s="54"/>
      <c r="AS47" s="54"/>
      <c r="AT47" s="55"/>
      <c r="AU47" s="54"/>
      <c r="AV47" s="54"/>
      <c r="AW47" s="54"/>
      <c r="AX47" s="54"/>
      <c r="AY47" s="55"/>
      <c r="AZ47" s="54"/>
      <c r="BA47" s="54"/>
      <c r="BB47" s="54"/>
      <c r="BC47" s="54"/>
      <c r="BD47" s="55"/>
      <c r="BE47" s="54"/>
      <c r="BF47" s="54"/>
      <c r="BG47" s="54"/>
      <c r="BH47" s="54"/>
      <c r="BI47" s="55"/>
      <c r="BJ47" s="54"/>
      <c r="BK47" s="54"/>
      <c r="BL47" s="54"/>
      <c r="BM47" s="54"/>
      <c r="BN47" s="55"/>
      <c r="BO47" s="54"/>
      <c r="BP47" s="54"/>
      <c r="BQ47" s="54"/>
      <c r="BR47" s="54"/>
      <c r="BS47" s="55"/>
      <c r="BT47" s="54"/>
      <c r="BU47" s="54"/>
      <c r="BV47" s="54"/>
      <c r="BW47" s="54"/>
      <c r="BX47" s="55"/>
      <c r="BY47" s="54"/>
      <c r="BZ47" s="54"/>
      <c r="CA47" s="54"/>
      <c r="CB47" s="54"/>
      <c r="CC47" s="55"/>
      <c r="CD47" s="54"/>
      <c r="CE47" s="54"/>
      <c r="CF47" s="54"/>
      <c r="CG47" s="54"/>
      <c r="CH47" s="55"/>
      <c r="CI47" s="54"/>
      <c r="CJ47" s="54"/>
      <c r="CK47" s="54"/>
      <c r="CL47" s="54"/>
      <c r="CM47" s="55"/>
      <c r="CN47" s="54"/>
      <c r="CO47" s="54"/>
      <c r="CP47" s="54"/>
      <c r="CQ47" s="54"/>
      <c r="CR47" s="55"/>
      <c r="CS47" s="54"/>
      <c r="CT47" s="54"/>
      <c r="CU47" s="54"/>
      <c r="CV47" s="54"/>
      <c r="CW47" s="55"/>
      <c r="CX47" s="54"/>
      <c r="CY47" s="54"/>
      <c r="CZ47" s="54"/>
      <c r="DA47" s="54"/>
      <c r="DB47" s="55"/>
    </row>
    <row r="48" spans="1:106" s="15" customFormat="1" ht="11.25" customHeight="1" thickBot="1" x14ac:dyDescent="0.4">
      <c r="A48" s="124" t="s">
        <v>45</v>
      </c>
      <c r="B48" s="129" t="str">
        <f>Macro!B$3</f>
        <v>1Q10</v>
      </c>
      <c r="C48" s="129" t="str">
        <f>Macro!C$3</f>
        <v>2Q10</v>
      </c>
      <c r="D48" s="129" t="str">
        <f>Macro!D$3</f>
        <v>3Q10</v>
      </c>
      <c r="E48" s="130" t="str">
        <f>Macro!E$3</f>
        <v>4Q10</v>
      </c>
      <c r="F48" s="131" t="str">
        <f>Macro!F$3</f>
        <v>2010</v>
      </c>
      <c r="G48" s="129" t="str">
        <f>Macro!G$3</f>
        <v>1Q11</v>
      </c>
      <c r="H48" s="129" t="str">
        <f>Macro!H$3</f>
        <v>2Q11</v>
      </c>
      <c r="I48" s="129" t="str">
        <f>Macro!I$3</f>
        <v>3Q11</v>
      </c>
      <c r="J48" s="130" t="str">
        <f>Macro!J$3</f>
        <v>4Q11</v>
      </c>
      <c r="K48" s="131" t="str">
        <f>Macro!K$3</f>
        <v>2011</v>
      </c>
      <c r="L48" s="129" t="str">
        <f>Macro!L$3</f>
        <v>1Q12</v>
      </c>
      <c r="M48" s="125" t="str">
        <f>Macro!M$3</f>
        <v>2Q12</v>
      </c>
      <c r="N48" s="125" t="str">
        <f>Macro!N$3</f>
        <v>3Q12</v>
      </c>
      <c r="O48" s="125" t="str">
        <f>Macro!O$3</f>
        <v>4Q12</v>
      </c>
      <c r="P48" s="126" t="str">
        <f>Macro!P$3</f>
        <v>2012</v>
      </c>
      <c r="Q48" s="125" t="str">
        <f>Macro!Q$3</f>
        <v>1Q13</v>
      </c>
      <c r="R48" s="125" t="str">
        <f>Macro!R$3</f>
        <v>2Q13</v>
      </c>
      <c r="S48" s="125" t="str">
        <f>Macro!S$3</f>
        <v>3Q13</v>
      </c>
      <c r="T48" s="125" t="str">
        <f>Macro!T$3</f>
        <v>4Q13</v>
      </c>
      <c r="U48" s="126" t="str">
        <f>Macro!U$3</f>
        <v>2013</v>
      </c>
      <c r="V48" s="125" t="str">
        <f>Macro!V$3</f>
        <v>1Q14</v>
      </c>
      <c r="W48" s="125" t="str">
        <f>Macro!W$3</f>
        <v>2Q14</v>
      </c>
      <c r="X48" s="125" t="str">
        <f>Macro!X$3</f>
        <v>3Q14</v>
      </c>
      <c r="Y48" s="125" t="str">
        <f>Macro!Y$3</f>
        <v>4Q14</v>
      </c>
      <c r="Z48" s="126" t="str">
        <f>Macro!Z$3</f>
        <v>2014</v>
      </c>
      <c r="AA48" s="125" t="str">
        <f>Macro!AA$3</f>
        <v>1Q15</v>
      </c>
      <c r="AB48" s="125" t="str">
        <f>Macro!AB$3</f>
        <v>2Q15</v>
      </c>
      <c r="AC48" s="125" t="str">
        <f>Macro!AC$3</f>
        <v>3Q15</v>
      </c>
      <c r="AD48" s="125" t="str">
        <f>Macro!AD$3</f>
        <v>4Q15</v>
      </c>
      <c r="AE48" s="126" t="str">
        <f>Macro!AE$3</f>
        <v>2015</v>
      </c>
      <c r="AF48" s="125" t="str">
        <f>Macro!AF$3</f>
        <v>1Q16</v>
      </c>
      <c r="AG48" s="125" t="str">
        <f>Macro!AG$3</f>
        <v>2Q16</v>
      </c>
      <c r="AH48" s="125" t="str">
        <f>Macro!AH$3</f>
        <v>3Q16</v>
      </c>
      <c r="AI48" s="125" t="str">
        <f>Macro!AI$3</f>
        <v>4Q16</v>
      </c>
      <c r="AJ48" s="126" t="str">
        <f>Macro!AJ$3</f>
        <v>2016</v>
      </c>
      <c r="AK48" s="125" t="str">
        <f>Macro!AK$3</f>
        <v>1Q17</v>
      </c>
      <c r="AL48" s="125" t="str">
        <f>Macro!AL$3</f>
        <v>2Q17</v>
      </c>
      <c r="AM48" s="125" t="str">
        <f>Macro!AM$3</f>
        <v>3Q17</v>
      </c>
      <c r="AN48" s="125" t="str">
        <f>Macro!AN$3</f>
        <v>4Q17</v>
      </c>
      <c r="AO48" s="126" t="str">
        <f>Macro!AO$3</f>
        <v>2017</v>
      </c>
      <c r="AP48" s="125" t="str">
        <f>Macro!AP$3</f>
        <v>1Q18</v>
      </c>
      <c r="AQ48" s="125" t="str">
        <f>Macro!AQ$3</f>
        <v>2Q18</v>
      </c>
      <c r="AR48" s="125" t="str">
        <f>Macro!AR$3</f>
        <v>3Q18</v>
      </c>
      <c r="AS48" s="125" t="str">
        <f>Macro!AS$3</f>
        <v>4Q18</v>
      </c>
      <c r="AT48" s="126" t="str">
        <f>Macro!AT$3</f>
        <v>2018</v>
      </c>
      <c r="AU48" s="125" t="str">
        <f>Macro!AU$3</f>
        <v>1Q19</v>
      </c>
      <c r="AV48" s="125" t="str">
        <f>Macro!AV$3</f>
        <v>2Q19</v>
      </c>
      <c r="AW48" s="125" t="str">
        <f>Macro!AW$3</f>
        <v>3Q19</v>
      </c>
      <c r="AX48" s="125" t="str">
        <f>Macro!AX$3</f>
        <v>4Q19</v>
      </c>
      <c r="AY48" s="126" t="str">
        <f>Macro!AY$3</f>
        <v>2019</v>
      </c>
      <c r="AZ48" s="125" t="str">
        <f>Macro!AZ$3</f>
        <v>1Q20</v>
      </c>
      <c r="BA48" s="125" t="str">
        <f>Macro!BA$3</f>
        <v>2Q20</v>
      </c>
      <c r="BB48" s="125" t="str">
        <f>Macro!BB$3</f>
        <v>3Q20</v>
      </c>
      <c r="BC48" s="125" t="str">
        <f>Macro!BC$3</f>
        <v>4Q20</v>
      </c>
      <c r="BD48" s="126" t="str">
        <f>Macro!BD$3</f>
        <v>2020</v>
      </c>
      <c r="BE48" s="125" t="str">
        <f>Macro!BE$3</f>
        <v>1Q21</v>
      </c>
      <c r="BF48" s="125" t="str">
        <f>Macro!BF$3</f>
        <v>2Q21</v>
      </c>
      <c r="BG48" s="125" t="str">
        <f>Macro!BG$3</f>
        <v>3Q21</v>
      </c>
      <c r="BH48" s="125" t="str">
        <f>Macro!BH$3</f>
        <v>4Q21</v>
      </c>
      <c r="BI48" s="126" t="str">
        <f>Macro!BI$3</f>
        <v>2021</v>
      </c>
      <c r="BJ48" s="125" t="str">
        <f>Macro!BJ$3</f>
        <v>1Q22</v>
      </c>
      <c r="BK48" s="125" t="str">
        <f>Macro!BK$3</f>
        <v>2Q22</v>
      </c>
      <c r="BL48" s="125" t="str">
        <f>Macro!BL$3</f>
        <v>3Q22</v>
      </c>
      <c r="BM48" s="125" t="str">
        <f>Macro!BM$3</f>
        <v>4Q22</v>
      </c>
      <c r="BN48" s="126" t="str">
        <f>Macro!BN$3</f>
        <v>2022</v>
      </c>
      <c r="BO48" s="125" t="str">
        <f>Macro!BO$3</f>
        <v>1Q23</v>
      </c>
      <c r="BP48" s="125" t="str">
        <f>Macro!BP$3</f>
        <v>2Q23</v>
      </c>
      <c r="BQ48" s="125" t="str">
        <f>Macro!BQ$3</f>
        <v>3Q23</v>
      </c>
      <c r="BR48" s="125" t="str">
        <f>Macro!BR$3</f>
        <v>4Q23</v>
      </c>
      <c r="BS48" s="126" t="str">
        <f>Macro!BS$3</f>
        <v>2023</v>
      </c>
      <c r="BT48" s="125" t="str">
        <f>Macro!BT$3</f>
        <v>1Q24</v>
      </c>
      <c r="BU48" s="125" t="str">
        <f>Macro!BU$3</f>
        <v>2Q24</v>
      </c>
      <c r="BV48" s="125" t="str">
        <f>Macro!BV$3</f>
        <v>3Q24</v>
      </c>
      <c r="BW48" s="125" t="str">
        <f>Macro!BW$3</f>
        <v>4Q24</v>
      </c>
      <c r="BX48" s="126" t="str">
        <f>Macro!BX$3</f>
        <v>2024</v>
      </c>
      <c r="BY48" s="125" t="str">
        <f>Macro!BY$3</f>
        <v>1Q25</v>
      </c>
      <c r="BZ48" s="125" t="str">
        <f>Macro!BZ$3</f>
        <v>2Q25</v>
      </c>
      <c r="CA48" s="125" t="str">
        <f>Macro!CA$3</f>
        <v>3Q25</v>
      </c>
      <c r="CB48" s="125" t="str">
        <f>Macro!CB$3</f>
        <v>4Q25</v>
      </c>
      <c r="CC48" s="126" t="str">
        <f>Macro!CC$3</f>
        <v>2025</v>
      </c>
      <c r="CD48" s="125" t="str">
        <f>Macro!CD$3</f>
        <v>1Q26</v>
      </c>
      <c r="CE48" s="125" t="str">
        <f>Macro!CE$3</f>
        <v>2Q26</v>
      </c>
      <c r="CF48" s="125" t="str">
        <f>Macro!CF$3</f>
        <v>3Q26E</v>
      </c>
      <c r="CG48" s="125" t="str">
        <f>Macro!CG$3</f>
        <v>4Q26E</v>
      </c>
      <c r="CH48" s="126" t="str">
        <f>Macro!CH$3</f>
        <v>2026E</v>
      </c>
      <c r="CI48" s="125" t="str">
        <f>Macro!CI$3</f>
        <v>1Q27E</v>
      </c>
      <c r="CJ48" s="125" t="str">
        <f>Macro!CJ$3</f>
        <v>2Q27E</v>
      </c>
      <c r="CK48" s="125" t="str">
        <f>Macro!CK$3</f>
        <v>3Q27E</v>
      </c>
      <c r="CL48" s="125" t="str">
        <f>Macro!CL$3</f>
        <v>4Q27E</v>
      </c>
      <c r="CM48" s="126" t="str">
        <f>Macro!CM$3</f>
        <v>2027E</v>
      </c>
      <c r="CN48" s="125" t="str">
        <f>Macro!CN$3</f>
        <v>1Q28E</v>
      </c>
      <c r="CO48" s="125" t="str">
        <f>Macro!CO$3</f>
        <v>2Q28E</v>
      </c>
      <c r="CP48" s="125" t="str">
        <f>Macro!CP$3</f>
        <v>3Q28E</v>
      </c>
      <c r="CQ48" s="125" t="str">
        <f>Macro!CQ$3</f>
        <v>4Q28E</v>
      </c>
      <c r="CR48" s="126" t="str">
        <f>Macro!CR$3</f>
        <v>2028E</v>
      </c>
      <c r="CS48" s="125" t="str">
        <f>Macro!CS$3</f>
        <v>1Q29E</v>
      </c>
      <c r="CT48" s="125" t="str">
        <f>Macro!CT$3</f>
        <v>2Q29E</v>
      </c>
      <c r="CU48" s="125" t="str">
        <f>Macro!CU$3</f>
        <v>3Q29E</v>
      </c>
      <c r="CV48" s="125" t="str">
        <f>Macro!CV$3</f>
        <v>4Q29E</v>
      </c>
      <c r="CW48" s="126" t="str">
        <f>Macro!CW$3</f>
        <v>2029E</v>
      </c>
      <c r="CX48" s="125" t="str">
        <f>Macro!CX$3</f>
        <v>1Q30E</v>
      </c>
      <c r="CY48" s="125" t="str">
        <f>Macro!CY$3</f>
        <v>2Q30E</v>
      </c>
      <c r="CZ48" s="125" t="str">
        <f>Macro!CZ$3</f>
        <v>3Q30E</v>
      </c>
      <c r="DA48" s="125" t="str">
        <f>Macro!DA$3</f>
        <v>4Q30E</v>
      </c>
      <c r="DB48" s="126" t="str">
        <f>Macro!DB$3</f>
        <v>2030E</v>
      </c>
    </row>
    <row r="49" spans="1:106" ht="11.25" customHeight="1" thickTop="1" x14ac:dyDescent="0.35">
      <c r="A49" s="127" t="s">
        <v>322</v>
      </c>
      <c r="B49" s="524">
        <v>1054393.1512241762</v>
      </c>
      <c r="C49" s="524">
        <v>742334.42941999994</v>
      </c>
      <c r="D49" s="524">
        <v>769940.58510545909</v>
      </c>
      <c r="E49" s="524">
        <v>1530711.0076911999</v>
      </c>
      <c r="F49" s="137">
        <f>SUM(B49:E49)</f>
        <v>4097379.173440835</v>
      </c>
      <c r="G49" s="524">
        <v>1078099.6045725327</v>
      </c>
      <c r="H49" s="524">
        <v>2504584.3961804756</v>
      </c>
      <c r="I49" s="524">
        <v>1107258.1407475001</v>
      </c>
      <c r="J49" s="524">
        <v>1404104.5391358158</v>
      </c>
      <c r="K49" s="137">
        <f>SUM(G49:J49)</f>
        <v>6094046.680636324</v>
      </c>
      <c r="L49" s="524">
        <v>575194.09495870699</v>
      </c>
      <c r="M49" s="524">
        <v>1442693.0324927049</v>
      </c>
      <c r="N49" s="524">
        <v>2011346.4142477084</v>
      </c>
      <c r="O49" s="524">
        <v>1806700.554552963</v>
      </c>
      <c r="P49" s="137">
        <f>SUM(L49:O49)</f>
        <v>5835934.0962520838</v>
      </c>
      <c r="Q49" s="524">
        <v>1003890.0333120159</v>
      </c>
      <c r="R49" s="524">
        <v>1511209.4628688598</v>
      </c>
      <c r="S49" s="524">
        <v>1534984.5717098499</v>
      </c>
      <c r="T49" s="524">
        <v>1733646.7635408207</v>
      </c>
      <c r="U49" s="137">
        <f>SUM(Q49:T49)</f>
        <v>5783730.8314315462</v>
      </c>
      <c r="V49" s="524">
        <v>1539939.9361051517</v>
      </c>
      <c r="W49" s="524">
        <v>1846900.6265166665</v>
      </c>
      <c r="X49" s="524">
        <v>1601262.0438051564</v>
      </c>
      <c r="Y49" s="524">
        <v>1810408.7367599998</v>
      </c>
      <c r="Z49" s="137">
        <f>SUM(V49:Y49)</f>
        <v>6798511.3431869745</v>
      </c>
      <c r="AA49" s="524">
        <v>2467677.85891</v>
      </c>
      <c r="AB49" s="524">
        <v>1893967.2028747601</v>
      </c>
      <c r="AC49" s="524">
        <v>1379080.2575314727</v>
      </c>
      <c r="AD49" s="524">
        <v>1171512.2474859371</v>
      </c>
      <c r="AE49" s="137">
        <f>SUM(AA49:AD49)</f>
        <v>6912237.5668021701</v>
      </c>
      <c r="AF49" s="524">
        <v>1984926.1619557899</v>
      </c>
      <c r="AG49" s="524">
        <v>2131355.8770614401</v>
      </c>
      <c r="AH49" s="524">
        <v>1381376.8900799998</v>
      </c>
      <c r="AI49" s="524">
        <v>2396052.3232443491</v>
      </c>
      <c r="AJ49" s="137">
        <f>SUM(AF49:AI49)</f>
        <v>7893711.2523415787</v>
      </c>
      <c r="AK49" s="524">
        <v>1054534.5694918355</v>
      </c>
      <c r="AL49" s="524">
        <v>1197139.2231423201</v>
      </c>
      <c r="AM49" s="524">
        <v>1532427.243287066</v>
      </c>
      <c r="AN49" s="524">
        <v>1665502.8847383</v>
      </c>
      <c r="AO49" s="137">
        <f>SUM(AK49:AN49)</f>
        <v>5449603.9206595216</v>
      </c>
      <c r="AP49" s="524">
        <v>1005337.0991944574</v>
      </c>
      <c r="AQ49" s="524">
        <v>2145052.7584661529</v>
      </c>
      <c r="AR49" s="524">
        <v>640718.13074288261</v>
      </c>
      <c r="AS49" s="524">
        <v>486264.93359577376</v>
      </c>
      <c r="AT49" s="137">
        <f>SUM(AP49:AS49)</f>
        <v>4277372.9219992664</v>
      </c>
      <c r="AU49" s="524">
        <v>182918.59281</v>
      </c>
      <c r="AV49" s="524">
        <v>365829.8943653375</v>
      </c>
      <c r="AW49" s="524">
        <v>777862.13837147388</v>
      </c>
      <c r="AX49" s="524">
        <v>1646747.2617900001</v>
      </c>
      <c r="AY49" s="137">
        <f>SUM(AU49:AX49)</f>
        <v>2973357.8873368115</v>
      </c>
      <c r="AZ49" s="524">
        <v>231298.26044869568</v>
      </c>
      <c r="BA49" s="524">
        <v>112547.68895114069</v>
      </c>
      <c r="BB49" s="524">
        <v>461893.80803745758</v>
      </c>
      <c r="BC49" s="524">
        <v>690434.25286325195</v>
      </c>
      <c r="BD49" s="137">
        <f>SUM(AZ49:BC49)</f>
        <v>1496174.010300546</v>
      </c>
      <c r="BE49" s="524">
        <v>399685.29304000002</v>
      </c>
      <c r="BF49" s="524">
        <v>391674.67941141455</v>
      </c>
      <c r="BG49" s="524">
        <v>642341.49988347897</v>
      </c>
      <c r="BH49" s="524">
        <v>781486.3056864189</v>
      </c>
      <c r="BI49" s="137">
        <f>SUM(BE49:BH49)</f>
        <v>2215187.7780213123</v>
      </c>
      <c r="BJ49" s="524">
        <v>778679.75855435303</v>
      </c>
      <c r="BK49" s="524">
        <v>833476.24786215113</v>
      </c>
      <c r="BL49" s="524">
        <v>1628317.7365849207</v>
      </c>
      <c r="BM49" s="524">
        <v>1277393.7986835544</v>
      </c>
      <c r="BN49" s="137">
        <f>SUM(BJ49:BM49)</f>
        <v>4517867.5416849796</v>
      </c>
      <c r="BO49" s="524">
        <v>1097849.1915213224</v>
      </c>
      <c r="BP49" s="524">
        <v>1259096.7275895164</v>
      </c>
      <c r="BQ49" s="524">
        <v>1544703.0942129656</v>
      </c>
      <c r="BR49" s="524">
        <v>2093051.3654425987</v>
      </c>
      <c r="BS49" s="137">
        <f>SUM(BO49:BR49)</f>
        <v>5994700.3787664026</v>
      </c>
      <c r="BT49" s="524">
        <v>675615.14168482309</v>
      </c>
      <c r="BU49" s="524">
        <v>1132178.0263073549</v>
      </c>
      <c r="BV49" s="524">
        <v>1123339.0148493131</v>
      </c>
      <c r="BW49" s="524">
        <v>2340016.2825303087</v>
      </c>
      <c r="BX49" s="137">
        <f>SUM(BT49:BW49)</f>
        <v>5271148.4653717997</v>
      </c>
      <c r="BY49" s="524">
        <v>700240.1570623843</v>
      </c>
      <c r="BZ49" s="524">
        <v>1969840.5813558244</v>
      </c>
      <c r="CA49" s="524">
        <v>2252237.3057237933</v>
      </c>
      <c r="CB49" s="524">
        <v>2915000</v>
      </c>
      <c r="CC49" s="137">
        <f>SUM(BY49:CB49)</f>
        <v>7837318.0441420022</v>
      </c>
      <c r="CD49" s="524">
        <v>1130000</v>
      </c>
      <c r="CE49" s="820">
        <f>AVERAGE(BT4:BU4,BO4:BR4,BL4:BM4)</f>
        <v>2334744.2750969338</v>
      </c>
      <c r="CF49" s="152">
        <f>AVERAGE(BT4:BV4,BO4:BR4,BM4)</f>
        <v>2359096.7845282047</v>
      </c>
      <c r="CG49" s="152">
        <f>AVERAGE(BT4:BW4,BO4:BR4)</f>
        <v>2848543.3997585005</v>
      </c>
      <c r="CH49" s="137">
        <f>SUM(CD49:CG49)</f>
        <v>8672384.4593836386</v>
      </c>
      <c r="CI49" s="152">
        <f>AVERAGE(BY4,BT4:BW4,BP4:BR4)</f>
        <v>3288228.3210786837</v>
      </c>
      <c r="CJ49" s="152">
        <f>AVERAGE(BY4:BZ4,BT4:BW4,BQ4:BR4)</f>
        <v>3364725.6814050302</v>
      </c>
      <c r="CK49" s="152">
        <f>AVERAGE(BY4:CA4,BT4:BW4,BR4)</f>
        <v>3725402.0384320691</v>
      </c>
      <c r="CL49" s="152">
        <f>AVERAGE(BY4:CB4,BT4:BW4)</f>
        <v>3948823.1994920755</v>
      </c>
      <c r="CM49" s="137">
        <f>SUM(CI49:CL49)</f>
        <v>14327179.240407858</v>
      </c>
      <c r="CN49" s="152">
        <f>AVERAGE(CD4,BY4:CB4,BU4:BW4)</f>
        <v>4039829.8971244339</v>
      </c>
      <c r="CO49" s="152">
        <f>AVERAGE(CD4:CE4,BY4:CB4,BV4:BW4)</f>
        <v>4478022.3068938348</v>
      </c>
      <c r="CP49" s="152">
        <f>AVERAGE(CD4:CF4,BY4:CB4,BW4)</f>
        <v>4616265.9954261687</v>
      </c>
      <c r="CQ49" s="152">
        <f>AVERAGE(CD4:CG4,BY4:CB4)</f>
        <v>4282385.6374277193</v>
      </c>
      <c r="CR49" s="137">
        <f>SUM(CN49:CQ49)</f>
        <v>17416503.836872157</v>
      </c>
      <c r="CS49" s="152">
        <f>AVERAGE(CI4,CD4:CG4,BZ4:CB4)</f>
        <v>4081498.8887131112</v>
      </c>
      <c r="CT49" s="152">
        <f>AVERAGE(CI4:CJ4,CD4:CG4,CA4:CB4)</f>
        <v>4013271.2613496678</v>
      </c>
      <c r="CU49" s="152">
        <f>AVERAGE(CI4:CK4,CD4:CG4,CB4)</f>
        <v>3951670.0421280991</v>
      </c>
      <c r="CV49" s="152">
        <f>AVERAGE(CI4:CL4,CD4:CG4)</f>
        <v>3995630.8084692839</v>
      </c>
      <c r="CW49" s="137">
        <f>SUM(CS49:CV49)</f>
        <v>16042071.000660162</v>
      </c>
      <c r="CX49" s="152">
        <f>AVERAGE(CN4,CI4:CL4,CE4:CG4)</f>
        <v>4007979.5675508468</v>
      </c>
      <c r="CY49" s="152">
        <f>AVERAGE(CN4:CO4,CI4:CL4,CF4:CG4)</f>
        <v>3850349.4142038058</v>
      </c>
      <c r="CZ49" s="152">
        <f>AVERAGE(CN4:CP4,CI4:CL4,CG4)</f>
        <v>3911367.3997057565</v>
      </c>
      <c r="DA49" s="152">
        <f>AVERAGE(CN4:CQ4,CI4:CL4)</f>
        <v>4140110.948347704</v>
      </c>
      <c r="DB49" s="137">
        <f>SUM(CX49:DA49)</f>
        <v>15909807.329808114</v>
      </c>
    </row>
    <row r="50" spans="1:106" ht="11.25" customHeight="1" x14ac:dyDescent="0.35">
      <c r="A50" s="78" t="s">
        <v>72</v>
      </c>
      <c r="B50" s="457">
        <v>3409</v>
      </c>
      <c r="C50" s="457">
        <v>1912</v>
      </c>
      <c r="D50" s="457">
        <v>3813.9799999999996</v>
      </c>
      <c r="E50" s="457">
        <v>6264.98</v>
      </c>
      <c r="F50" s="159">
        <f>SUM(B50:E50)</f>
        <v>15399.96</v>
      </c>
      <c r="G50" s="457">
        <v>3866</v>
      </c>
      <c r="H50" s="457">
        <v>10491.99</v>
      </c>
      <c r="I50" s="457">
        <v>5154</v>
      </c>
      <c r="J50" s="457">
        <v>4282.28</v>
      </c>
      <c r="K50" s="159">
        <f>SUM(G50:J50)</f>
        <v>23794.269999999997</v>
      </c>
      <c r="L50" s="457">
        <v>4329.2</v>
      </c>
      <c r="M50" s="457">
        <v>5675.3</v>
      </c>
      <c r="N50" s="457">
        <v>9238</v>
      </c>
      <c r="O50" s="457">
        <v>4850</v>
      </c>
      <c r="P50" s="159">
        <f>SUM(L50:O50)</f>
        <v>24092.5</v>
      </c>
      <c r="Q50" s="457">
        <v>5186</v>
      </c>
      <c r="R50" s="457">
        <v>5179</v>
      </c>
      <c r="S50" s="457">
        <v>6506</v>
      </c>
      <c r="T50" s="457">
        <v>8175</v>
      </c>
      <c r="U50" s="159">
        <f>SUM(Q50:T50)</f>
        <v>25046</v>
      </c>
      <c r="V50" s="457">
        <v>4814</v>
      </c>
      <c r="W50" s="457">
        <v>5432</v>
      </c>
      <c r="X50" s="457">
        <v>5106</v>
      </c>
      <c r="Y50" s="457">
        <v>5452</v>
      </c>
      <c r="Z50" s="159">
        <f>SUM(V50:Y50)</f>
        <v>20804</v>
      </c>
      <c r="AA50" s="457">
        <v>6959</v>
      </c>
      <c r="AB50" s="457">
        <v>5864</v>
      </c>
      <c r="AC50" s="457">
        <v>6755</v>
      </c>
      <c r="AD50" s="457">
        <v>4389</v>
      </c>
      <c r="AE50" s="159">
        <f>SUM(AA50:AD50)</f>
        <v>23967</v>
      </c>
      <c r="AF50" s="457">
        <v>4433</v>
      </c>
      <c r="AG50" s="457">
        <v>5764</v>
      </c>
      <c r="AH50" s="457">
        <v>3751</v>
      </c>
      <c r="AI50" s="457">
        <v>7333</v>
      </c>
      <c r="AJ50" s="159">
        <f>SUM(AF50:AI50)</f>
        <v>21281</v>
      </c>
      <c r="AK50" s="457">
        <v>4440</v>
      </c>
      <c r="AL50" s="457">
        <v>4119</v>
      </c>
      <c r="AM50" s="457">
        <v>4495</v>
      </c>
      <c r="AN50" s="457">
        <v>6419</v>
      </c>
      <c r="AO50" s="159">
        <f>SUM(AK50:AN50)</f>
        <v>19473</v>
      </c>
      <c r="AP50" s="457">
        <v>3207</v>
      </c>
      <c r="AQ50" s="457">
        <v>5075</v>
      </c>
      <c r="AR50" s="457">
        <v>3536</v>
      </c>
      <c r="AS50" s="457">
        <v>2490</v>
      </c>
      <c r="AT50" s="159">
        <f>SUM(AP50:AS50)</f>
        <v>14308</v>
      </c>
      <c r="AU50" s="457">
        <v>449</v>
      </c>
      <c r="AV50" s="457">
        <v>547</v>
      </c>
      <c r="AW50" s="457">
        <v>2125</v>
      </c>
      <c r="AX50" s="457">
        <v>1897</v>
      </c>
      <c r="AY50" s="159">
        <f>SUM(AU50:AX50)</f>
        <v>5018</v>
      </c>
      <c r="AZ50" s="457">
        <v>847</v>
      </c>
      <c r="BA50" s="457">
        <v>142</v>
      </c>
      <c r="BB50" s="457">
        <v>958</v>
      </c>
      <c r="BC50" s="457">
        <v>370</v>
      </c>
      <c r="BD50" s="159">
        <f>SUM(AZ50:BC50)</f>
        <v>2317</v>
      </c>
      <c r="BE50" s="457">
        <v>408</v>
      </c>
      <c r="BF50" s="457">
        <v>1317</v>
      </c>
      <c r="BG50" s="457">
        <v>925</v>
      </c>
      <c r="BH50" s="457">
        <v>2194</v>
      </c>
      <c r="BI50" s="159">
        <f>SUM(BE50:BH50)</f>
        <v>4844</v>
      </c>
      <c r="BJ50" s="457">
        <v>902</v>
      </c>
      <c r="BK50" s="457">
        <v>2744</v>
      </c>
      <c r="BL50" s="457">
        <v>4289</v>
      </c>
      <c r="BM50" s="457">
        <v>3288</v>
      </c>
      <c r="BN50" s="159">
        <f>SUM(BJ50:BM50)</f>
        <v>11223</v>
      </c>
      <c r="BO50" s="457">
        <v>2714</v>
      </c>
      <c r="BP50" s="457">
        <v>3388</v>
      </c>
      <c r="BQ50" s="457">
        <v>4477</v>
      </c>
      <c r="BR50" s="457">
        <v>4942</v>
      </c>
      <c r="BS50" s="159">
        <f>SUM(BO50:BR50)</f>
        <v>15521</v>
      </c>
      <c r="BT50" s="457">
        <v>1452</v>
      </c>
      <c r="BU50" s="457">
        <v>2855</v>
      </c>
      <c r="BV50" s="457">
        <v>1805</v>
      </c>
      <c r="BW50" s="457">
        <v>3875</v>
      </c>
      <c r="BX50" s="159">
        <f>SUM(BT50:BW50)</f>
        <v>9987</v>
      </c>
      <c r="BY50" s="457">
        <v>821</v>
      </c>
      <c r="BZ50" s="457">
        <v>2793</v>
      </c>
      <c r="CA50" s="457">
        <v>3722</v>
      </c>
      <c r="CB50" s="457">
        <v>7018</v>
      </c>
      <c r="CC50" s="73">
        <f>SUM(BY50:CB50)</f>
        <v>14354</v>
      </c>
      <c r="CD50" s="457">
        <v>821</v>
      </c>
      <c r="CE50" s="822">
        <f>AVERAGE(BL7:BM7,BO7:BR7,BT7:BU7)</f>
        <v>3670</v>
      </c>
      <c r="CF50" s="103">
        <f>AVERAGE(BM7,BO7:BR7,BT7:BV7)</f>
        <v>3800.875</v>
      </c>
      <c r="CG50" s="103">
        <f>AVERAGE(BO7:BR7,BT7:BW7)</f>
        <v>4320</v>
      </c>
      <c r="CH50" s="73">
        <f>SUM(CD50:CG50)</f>
        <v>12611.875</v>
      </c>
      <c r="CI50" s="103">
        <f>AVERAGE(BP7:BR7,BT7:BW7,BY7)</f>
        <v>4839.75</v>
      </c>
      <c r="CJ50" s="103">
        <f>AVERAGE(BQ7:BR7,BT7:BW7,BY7:BZ7)</f>
        <v>5160.375</v>
      </c>
      <c r="CK50" s="103">
        <f>AVERAGE(BR7,BT7:BW7,BY7:CA7)</f>
        <v>5465.75</v>
      </c>
      <c r="CL50" s="103">
        <f>AVERAGE(BT7:BW7,BY7:CB7)</f>
        <v>6115.875</v>
      </c>
      <c r="CM50" s="73">
        <f>SUM(CI50:CL50)</f>
        <v>21581.75</v>
      </c>
      <c r="CN50" s="103">
        <f>AVERAGE(BU7:BW7,BY7:CB7,CD7)</f>
        <v>6398.5</v>
      </c>
      <c r="CO50" s="103">
        <f>AVERAGE(BV7:BW7,BY7:CB7,CD7:CE7)</f>
        <v>7001.75</v>
      </c>
      <c r="CP50" s="103">
        <f>AVERAGE(BW7,BY7:CB7,CD7:CF7)</f>
        <v>7340.6262709900748</v>
      </c>
      <c r="CQ50" s="103">
        <f>AVERAGE(BY7:CB7,CD7:CG7)</f>
        <v>7210.1457112173048</v>
      </c>
      <c r="CR50" s="73">
        <f>SUM(CN50:CQ50)</f>
        <v>27951.021982207381</v>
      </c>
      <c r="CS50" s="103">
        <f>AVERAGE(BZ7:CB7,CD7:CG7,CI7)</f>
        <v>7395.1820408480044</v>
      </c>
      <c r="CT50" s="103">
        <f>AVERAGE(CA7:CB7,CD7:CG7,CI7:CJ7)</f>
        <v>7500.4615705869455</v>
      </c>
      <c r="CU50" s="103">
        <f>AVERAGE(CB7,CD7:CG7,CI7:CK7)</f>
        <v>7760.324275643452</v>
      </c>
      <c r="CV50" s="103">
        <f>AVERAGE(CD7:CG7,CI7:CL7)</f>
        <v>7764.1786493537002</v>
      </c>
      <c r="CW50" s="73">
        <f>SUM(CS50:CV50)</f>
        <v>30420.146536432101</v>
      </c>
      <c r="CX50" s="103">
        <f>AVERAGE(CE7:CG7,CI7:CL7,CN7)</f>
        <v>7753.747385695382</v>
      </c>
      <c r="CY50" s="103">
        <f>AVERAGE(CF7:CG7,CI7:CL7,CN7:CO7)</f>
        <v>7769.3103156418456</v>
      </c>
      <c r="CZ50" s="103">
        <f>AVERAGE(CG7,CI7:CL7,CN7:CP7)</f>
        <v>7991.434824699686</v>
      </c>
      <c r="DA50" s="103">
        <f>AVERAGE(CI7:CL7,CN7:CQ7)</f>
        <v>8562.8019711332308</v>
      </c>
      <c r="DB50" s="73">
        <f>SUM(CX50:DA50)</f>
        <v>32077.294497170144</v>
      </c>
    </row>
  </sheetData>
  <pageMargins left="0.7" right="0.7" top="0.75" bottom="0.75" header="0.3" footer="0.3"/>
  <headerFooter>
    <oddFooter>&amp;L_x000D_&amp;1#&amp;"Calibri"&amp;9&amp;K000000 Corporativo | Interno</oddFooter>
  </headerFooter>
  <ignoredErrors>
    <ignoredError sqref="A1:BW1 A39:BY41 A38:BY38 CC38 DC38:XFD38 A44:BY44 A42:BY42 CC42 CF42:XFD42 B8:BY8 A6:BY6 CC6 A31:BY37 A30:BS30 DC30:XFD30 A28:BY29 A27:BY27 CC27 DC27:XFD27 A52:XFD1048576 A45:BY45 CJ45:XFD45 A22:CA22 A20:Z20 CC20 A19:BY19 A18:E18 CX18:DA18 DC18:XFD18 BY18 BT18:BW18 BO18:BR18 BJ18:BM18 BE18:BH18 AZ18:BC18 AU18:AX18 AP18:AS18 AK18:AN18 AF18:AI18 AA18:AD18 V18:Y18 Q18:T18 L18:O18 G18:J18 A5:BX5 CC5 CC7 A21:BY21 CC21 CC19 A43:BX43 CD43:XFD43 CC17 CC16 CC28:CC29 A23:BY26 CA23:XFD23 CC39 CA44:XFD44 CA31:XFD31 A46:BY50 CA47:CC48 CC45 A11:BY11 A10:BX10 A9:BX9 A13:BY17 B12:BX12 A7:BX7 A4:BX4 CC4 A3:XFD3 B2:BS2 CA14 CC9 CC10 CC11 CC15 CC12:CC13 CH4 CN4:XFD4 CC41 CC40 CF40:CH40 CJ40:CM40 CJ16:CM16 CF16:CH16 CC24:CC26 CC32:CC37 CC46 CC49:CC50 CC8 CC14 CC22 CM8 CO8:XFD8 CG6:CH6 CG8:CH8 CO40:CR40 CO16:XFD16 A51:CA51 CC51:XFD51 CF20:CH20 CF5:XFD5 CF7:XFD7 CF21:XFD21 CF19:XFD19 CF17:XFD17 CF9:XFD9 CF10:XFD10 CF11:XFD11 CF15:XFD15 CF12:XFD13 CF14:XFD14 CE28:XFD28 CE26:XFD26 CF39:XFD39 CF41:XFD41 CF32:XFD37 CE47:XFD48 CE45:CH45 CE46:XFD46 CG49:XFD50 CJ20:XFD20 CF22:XFD22 CL2:XFD2 CH38 CT40:XFD40 CF29:XFD29 CL1:XFD1 CF24:XFD24 CF25:XFD25 CJ6:XFD6" formula="1"/>
    <ignoredError sqref="CE49:CF50" formula="1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C229-373A-47C3-9C67-ED31CE6F81CF}">
  <sheetPr>
    <tabColor theme="5" tint="0.79998168889431442"/>
  </sheetPr>
  <dimension ref="A1:DD136"/>
  <sheetViews>
    <sheetView showGridLines="0" zoomScaleNormal="100" workbookViewId="0">
      <pane xSplit="1" ySplit="3" topLeftCell="CE22" activePane="bottomRight" state="frozen"/>
      <selection pane="topRight" activeCell="B1" sqref="B1"/>
      <selection pane="bottomLeft" activeCell="A4" sqref="A4"/>
      <selection pane="bottomRight" activeCell="CR34" sqref="CR34"/>
    </sheetView>
  </sheetViews>
  <sheetFormatPr defaultColWidth="11" defaultRowHeight="11.5" customHeight="1" outlineLevelRow="2" outlineLevelCol="1" x14ac:dyDescent="0.2"/>
  <cols>
    <col min="1" max="1" width="30.7265625" style="6" customWidth="1"/>
    <col min="2" max="5" width="11" style="6" hidden="1" customWidth="1" outlineLevel="1"/>
    <col min="6" max="6" width="0" style="6" hidden="1" customWidth="1" collapsed="1"/>
    <col min="7" max="10" width="11" style="6" hidden="1" customWidth="1" outlineLevel="1"/>
    <col min="11" max="11" width="0" style="6" hidden="1" customWidth="1" collapsed="1"/>
    <col min="12" max="15" width="11" style="6" hidden="1" customWidth="1" outlineLevel="1"/>
    <col min="16" max="16" width="0" style="6" hidden="1" customWidth="1" collapsed="1"/>
    <col min="17" max="20" width="11" style="6" hidden="1" customWidth="1" outlineLevel="1"/>
    <col min="21" max="21" width="0" style="6" hidden="1" customWidth="1" collapsed="1"/>
    <col min="22" max="25" width="11" style="6" hidden="1" customWidth="1" outlineLevel="1"/>
    <col min="26" max="26" width="0" style="6" hidden="1" customWidth="1" collapsed="1"/>
    <col min="27" max="30" width="11" style="6" hidden="1" customWidth="1" outlineLevel="1"/>
    <col min="31" max="31" width="0" style="6" hidden="1" customWidth="1" collapsed="1"/>
    <col min="32" max="35" width="11" style="6" hidden="1" customWidth="1" outlineLevel="1"/>
    <col min="36" max="36" width="0" style="6" hidden="1" customWidth="1" collapsed="1"/>
    <col min="37" max="40" width="11" style="6" hidden="1" customWidth="1" outlineLevel="1"/>
    <col min="41" max="41" width="0" style="6" hidden="1" customWidth="1" collapsed="1"/>
    <col min="42" max="45" width="11" style="6" hidden="1" customWidth="1" outlineLevel="1"/>
    <col min="46" max="46" width="0" style="6" hidden="1" customWidth="1" collapsed="1"/>
    <col min="47" max="50" width="11" style="6" hidden="1" customWidth="1" outlineLevel="1"/>
    <col min="51" max="51" width="0" style="6" hidden="1" customWidth="1" collapsed="1"/>
    <col min="52" max="55" width="11" style="6" hidden="1" customWidth="1" outlineLevel="1"/>
    <col min="56" max="56" width="11" style="6" collapsed="1"/>
    <col min="57" max="60" width="11" style="6" hidden="1" customWidth="1" outlineLevel="1"/>
    <col min="61" max="61" width="11" style="6" collapsed="1"/>
    <col min="62" max="65" width="11" style="6" hidden="1" customWidth="1" outlineLevel="1"/>
    <col min="66" max="66" width="11" style="6" collapsed="1"/>
    <col min="67" max="70" width="11" style="6" hidden="1" customWidth="1" outlineLevel="1"/>
    <col min="71" max="71" width="11" style="6" collapsed="1"/>
    <col min="72" max="75" width="11" style="6" hidden="1" customWidth="1" outlineLevel="1"/>
    <col min="76" max="76" width="11" style="6" collapsed="1"/>
    <col min="77" max="80" width="11" style="6" hidden="1" customWidth="1" outlineLevel="1"/>
    <col min="81" max="81" width="11" style="6" collapsed="1"/>
    <col min="82" max="85" width="11" style="6" customWidth="1" outlineLevel="1"/>
    <col min="86" max="86" width="11" style="6"/>
    <col min="87" max="90" width="11" style="6" customWidth="1" outlineLevel="1"/>
    <col min="91" max="91" width="11" style="6"/>
    <col min="92" max="95" width="11" style="6" customWidth="1" outlineLevel="1"/>
    <col min="96" max="96" width="11" style="6"/>
    <col min="97" max="100" width="11" style="6" customWidth="1" outlineLevel="1"/>
    <col min="101" max="101" width="11" style="6"/>
    <col min="102" max="105" width="11" style="6" hidden="1" customWidth="1" outlineLevel="1"/>
    <col min="106" max="106" width="11" style="6" collapsed="1"/>
    <col min="107" max="16384" width="11" style="6"/>
  </cols>
  <sheetData>
    <row r="1" spans="1:106" s="7" customFormat="1" ht="45.75" customHeight="1" x14ac:dyDescent="0.35">
      <c r="A1" s="312"/>
      <c r="E1" s="312"/>
      <c r="F1" s="312"/>
      <c r="J1" s="312"/>
      <c r="K1" s="312"/>
      <c r="O1" s="312"/>
      <c r="P1" s="312"/>
      <c r="T1" s="312"/>
      <c r="U1" s="312"/>
      <c r="Y1" s="312"/>
      <c r="Z1" s="312"/>
      <c r="AD1" s="312"/>
      <c r="AE1" s="312"/>
      <c r="AI1" s="312"/>
      <c r="AJ1" s="312"/>
      <c r="AN1" s="312"/>
      <c r="AO1" s="312"/>
      <c r="AS1" s="312"/>
      <c r="AT1" s="312"/>
      <c r="AX1" s="312"/>
      <c r="AY1" s="312"/>
      <c r="BC1" s="312"/>
      <c r="BD1" s="312"/>
      <c r="BH1" s="312"/>
      <c r="BI1" s="312"/>
      <c r="BM1" s="312"/>
      <c r="BN1" s="312"/>
      <c r="BR1" s="312"/>
      <c r="BS1" s="312"/>
      <c r="BW1" s="312"/>
      <c r="BX1" s="312"/>
      <c r="BZ1" s="9"/>
      <c r="CA1" s="9"/>
      <c r="CB1" s="313"/>
      <c r="CC1" s="314"/>
      <c r="CD1" s="9"/>
      <c r="CE1" s="9"/>
      <c r="CF1" s="9"/>
      <c r="CG1" s="313"/>
      <c r="CH1" s="314"/>
      <c r="CI1" s="9"/>
      <c r="CJ1" s="9"/>
      <c r="CK1" s="9"/>
      <c r="CL1" s="313"/>
      <c r="CM1" s="314"/>
      <c r="CN1" s="9"/>
      <c r="CO1" s="9"/>
      <c r="CP1" s="9"/>
      <c r="CQ1" s="313"/>
      <c r="CR1" s="314"/>
      <c r="CS1" s="9"/>
      <c r="CT1" s="9"/>
      <c r="CU1" s="9"/>
      <c r="CV1" s="313"/>
      <c r="CW1" s="314"/>
      <c r="CX1" s="9"/>
      <c r="CY1" s="9"/>
      <c r="CZ1" s="9"/>
      <c r="DA1" s="313"/>
      <c r="DB1" s="314"/>
    </row>
    <row r="2" spans="1:106" ht="11.5" customHeight="1" x14ac:dyDescent="0.2">
      <c r="A2" s="11" t="str">
        <f ca="1">Valuation!$A$2</f>
        <v>CYRE3 | TP R$35/sh</v>
      </c>
      <c r="B2" s="7"/>
      <c r="C2" s="7"/>
      <c r="D2" s="7"/>
      <c r="E2" s="312"/>
      <c r="F2" s="312"/>
      <c r="G2" s="7"/>
      <c r="H2" s="7"/>
      <c r="I2" s="7"/>
      <c r="J2" s="312"/>
      <c r="K2" s="312"/>
      <c r="L2" s="7"/>
      <c r="M2" s="7"/>
      <c r="N2" s="7"/>
      <c r="O2" s="312"/>
      <c r="P2" s="312"/>
      <c r="Q2" s="7"/>
      <c r="R2" s="7"/>
      <c r="S2" s="7"/>
      <c r="T2" s="312"/>
      <c r="U2" s="312"/>
      <c r="V2" s="7"/>
      <c r="W2" s="7"/>
      <c r="X2" s="7"/>
      <c r="Y2" s="312"/>
      <c r="Z2" s="312"/>
      <c r="AA2" s="7"/>
      <c r="AB2" s="7"/>
      <c r="AC2" s="7"/>
      <c r="AD2" s="312"/>
      <c r="AE2" s="312"/>
      <c r="AF2" s="7"/>
      <c r="AG2" s="7"/>
      <c r="AH2" s="7"/>
      <c r="AI2" s="312"/>
      <c r="AJ2" s="312"/>
      <c r="AK2" s="7"/>
      <c r="AL2" s="7"/>
      <c r="AM2" s="7"/>
      <c r="AN2" s="312"/>
      <c r="AO2" s="312"/>
      <c r="AP2" s="7"/>
      <c r="AQ2" s="7"/>
      <c r="AR2" s="7"/>
      <c r="AS2" s="312"/>
      <c r="AT2" s="312"/>
      <c r="AU2" s="7"/>
      <c r="AV2" s="7"/>
      <c r="AW2" s="7"/>
      <c r="AX2" s="312"/>
      <c r="AY2" s="312"/>
      <c r="AZ2" s="7"/>
      <c r="BA2" s="7"/>
      <c r="BB2" s="7"/>
      <c r="BC2" s="312"/>
      <c r="BD2" s="312"/>
      <c r="BE2" s="7"/>
      <c r="BF2" s="7"/>
      <c r="BG2" s="7"/>
      <c r="BH2" s="312"/>
      <c r="BI2" s="312"/>
      <c r="BJ2" s="7"/>
      <c r="BK2" s="7"/>
      <c r="BL2" s="7"/>
      <c r="BM2" s="312"/>
      <c r="BN2" s="312"/>
      <c r="BO2" s="7"/>
      <c r="BP2" s="7"/>
      <c r="BQ2" s="7"/>
      <c r="BR2" s="312"/>
      <c r="BS2" s="545"/>
      <c r="BT2" s="7"/>
      <c r="BU2" s="7"/>
      <c r="BV2" s="7"/>
      <c r="BW2" s="312"/>
      <c r="BX2" s="545"/>
      <c r="BY2" s="128"/>
      <c r="BZ2" s="128"/>
      <c r="CA2" s="128"/>
      <c r="CB2" s="703"/>
      <c r="CC2" s="703"/>
      <c r="CD2" s="128"/>
      <c r="CE2" s="128"/>
      <c r="CF2" s="128"/>
      <c r="CG2" s="703"/>
      <c r="CH2" s="703"/>
      <c r="CI2" s="128"/>
      <c r="CJ2" s="128"/>
      <c r="CK2" s="128"/>
      <c r="CL2" s="703"/>
      <c r="CM2" s="703"/>
      <c r="CN2" s="128"/>
      <c r="CO2" s="128"/>
      <c r="CP2" s="128"/>
      <c r="CQ2" s="703"/>
      <c r="CR2" s="703"/>
      <c r="CS2" s="9"/>
      <c r="CT2" s="9"/>
      <c r="CU2" s="9"/>
      <c r="CV2" s="313"/>
      <c r="CW2" s="314"/>
      <c r="CX2" s="9"/>
      <c r="CY2" s="9"/>
      <c r="CZ2" s="9"/>
      <c r="DA2" s="313"/>
      <c r="DB2" s="314"/>
    </row>
    <row r="3" spans="1:106" s="15" customFormat="1" ht="11.5" customHeight="1" thickBot="1" x14ac:dyDescent="0.4">
      <c r="A3" s="124" t="s">
        <v>360</v>
      </c>
      <c r="B3" s="125" t="str">
        <f>Macro!B$3</f>
        <v>1Q10</v>
      </c>
      <c r="C3" s="125" t="str">
        <f>Macro!C$3</f>
        <v>2Q10</v>
      </c>
      <c r="D3" s="125" t="str">
        <f>Macro!D$3</f>
        <v>3Q10</v>
      </c>
      <c r="E3" s="125" t="str">
        <f>Macro!E$3</f>
        <v>4Q10</v>
      </c>
      <c r="F3" s="126" t="str">
        <f>Macro!F$3</f>
        <v>2010</v>
      </c>
      <c r="G3" s="125" t="str">
        <f>Macro!G$3</f>
        <v>1Q11</v>
      </c>
      <c r="H3" s="125" t="str">
        <f>Macro!H$3</f>
        <v>2Q11</v>
      </c>
      <c r="I3" s="125" t="str">
        <f>Macro!I$3</f>
        <v>3Q11</v>
      </c>
      <c r="J3" s="125" t="str">
        <f>Macro!J$3</f>
        <v>4Q11</v>
      </c>
      <c r="K3" s="126" t="str">
        <f>Macro!K$3</f>
        <v>2011</v>
      </c>
      <c r="L3" s="125" t="str">
        <f>Macro!L$3</f>
        <v>1Q12</v>
      </c>
      <c r="M3" s="125" t="str">
        <f>Macro!M$3</f>
        <v>2Q12</v>
      </c>
      <c r="N3" s="125" t="str">
        <f>Macro!N$3</f>
        <v>3Q12</v>
      </c>
      <c r="O3" s="125" t="str">
        <f>Macro!O$3</f>
        <v>4Q12</v>
      </c>
      <c r="P3" s="126" t="str">
        <f>Macro!P$3</f>
        <v>2012</v>
      </c>
      <c r="Q3" s="125" t="str">
        <f>Macro!Q$3</f>
        <v>1Q13</v>
      </c>
      <c r="R3" s="125" t="str">
        <f>Macro!R$3</f>
        <v>2Q13</v>
      </c>
      <c r="S3" s="125" t="str">
        <f>Macro!S$3</f>
        <v>3Q13</v>
      </c>
      <c r="T3" s="125" t="str">
        <f>Macro!T$3</f>
        <v>4Q13</v>
      </c>
      <c r="U3" s="126" t="str">
        <f>Macro!U$3</f>
        <v>2013</v>
      </c>
      <c r="V3" s="125" t="str">
        <f>Macro!V$3</f>
        <v>1Q14</v>
      </c>
      <c r="W3" s="125" t="str">
        <f>Macro!W$3</f>
        <v>2Q14</v>
      </c>
      <c r="X3" s="125" t="str">
        <f>Macro!X$3</f>
        <v>3Q14</v>
      </c>
      <c r="Y3" s="125" t="str">
        <f>Macro!Y$3</f>
        <v>4Q14</v>
      </c>
      <c r="Z3" s="126" t="str">
        <f>Macro!Z$3</f>
        <v>2014</v>
      </c>
      <c r="AA3" s="125" t="str">
        <f>Macro!AA$3</f>
        <v>1Q15</v>
      </c>
      <c r="AB3" s="125" t="str">
        <f>Macro!AB$3</f>
        <v>2Q15</v>
      </c>
      <c r="AC3" s="125" t="str">
        <f>Macro!AC$3</f>
        <v>3Q15</v>
      </c>
      <c r="AD3" s="125" t="str">
        <f>Macro!AD$3</f>
        <v>4Q15</v>
      </c>
      <c r="AE3" s="126" t="str">
        <f>Macro!AE$3</f>
        <v>2015</v>
      </c>
      <c r="AF3" s="125" t="str">
        <f>Macro!AF$3</f>
        <v>1Q16</v>
      </c>
      <c r="AG3" s="125" t="str">
        <f>Macro!AG$3</f>
        <v>2Q16</v>
      </c>
      <c r="AH3" s="125" t="str">
        <f>Macro!AH$3</f>
        <v>3Q16</v>
      </c>
      <c r="AI3" s="125" t="str">
        <f>Macro!AI$3</f>
        <v>4Q16</v>
      </c>
      <c r="AJ3" s="126" t="str">
        <f>Macro!AJ$3</f>
        <v>2016</v>
      </c>
      <c r="AK3" s="125" t="str">
        <f>Macro!AK$3</f>
        <v>1Q17</v>
      </c>
      <c r="AL3" s="125" t="str">
        <f>Macro!AL$3</f>
        <v>2Q17</v>
      </c>
      <c r="AM3" s="125" t="str">
        <f>Macro!AM$3</f>
        <v>3Q17</v>
      </c>
      <c r="AN3" s="125" t="str">
        <f>Macro!AN$3</f>
        <v>4Q17</v>
      </c>
      <c r="AO3" s="126" t="str">
        <f>Macro!AO$3</f>
        <v>2017</v>
      </c>
      <c r="AP3" s="125" t="str">
        <f>Macro!AP$3</f>
        <v>1Q18</v>
      </c>
      <c r="AQ3" s="125" t="str">
        <f>Macro!AQ$3</f>
        <v>2Q18</v>
      </c>
      <c r="AR3" s="125" t="str">
        <f>Macro!AR$3</f>
        <v>3Q18</v>
      </c>
      <c r="AS3" s="125" t="str">
        <f>Macro!AS$3</f>
        <v>4Q18</v>
      </c>
      <c r="AT3" s="126" t="str">
        <f>Macro!AT$3</f>
        <v>2018</v>
      </c>
      <c r="AU3" s="125" t="str">
        <f>Macro!AU$3</f>
        <v>1Q19</v>
      </c>
      <c r="AV3" s="125" t="str">
        <f>Macro!AV$3</f>
        <v>2Q19</v>
      </c>
      <c r="AW3" s="125" t="str">
        <f>Macro!AW$3</f>
        <v>3Q19</v>
      </c>
      <c r="AX3" s="125" t="str">
        <f>Macro!AX$3</f>
        <v>4Q19</v>
      </c>
      <c r="AY3" s="126" t="str">
        <f>Macro!AY$3</f>
        <v>2019</v>
      </c>
      <c r="AZ3" s="125" t="str">
        <f>Macro!AZ$3</f>
        <v>1Q20</v>
      </c>
      <c r="BA3" s="125" t="str">
        <f>Macro!BA$3</f>
        <v>2Q20</v>
      </c>
      <c r="BB3" s="125" t="str">
        <f>Macro!BB$3</f>
        <v>3Q20</v>
      </c>
      <c r="BC3" s="125" t="str">
        <f>Macro!BC$3</f>
        <v>4Q20</v>
      </c>
      <c r="BD3" s="126" t="str">
        <f>Macro!BD$3</f>
        <v>2020</v>
      </c>
      <c r="BE3" s="125" t="str">
        <f>Macro!BE$3</f>
        <v>1Q21</v>
      </c>
      <c r="BF3" s="125" t="str">
        <f>Macro!BF$3</f>
        <v>2Q21</v>
      </c>
      <c r="BG3" s="125" t="str">
        <f>Macro!BG$3</f>
        <v>3Q21</v>
      </c>
      <c r="BH3" s="125" t="str">
        <f>Macro!BH$3</f>
        <v>4Q21</v>
      </c>
      <c r="BI3" s="126" t="str">
        <f>Macro!BI$3</f>
        <v>2021</v>
      </c>
      <c r="BJ3" s="125" t="str">
        <f>Macro!BJ$3</f>
        <v>1Q22</v>
      </c>
      <c r="BK3" s="125" t="str">
        <f>Macro!BK$3</f>
        <v>2Q22</v>
      </c>
      <c r="BL3" s="125" t="str">
        <f>Macro!BL$3</f>
        <v>3Q22</v>
      </c>
      <c r="BM3" s="125" t="str">
        <f>Macro!BM$3</f>
        <v>4Q22</v>
      </c>
      <c r="BN3" s="126" t="str">
        <f>Macro!BN$3</f>
        <v>2022</v>
      </c>
      <c r="BO3" s="125" t="str">
        <f>Macro!BO$3</f>
        <v>1Q23</v>
      </c>
      <c r="BP3" s="125" t="str">
        <f>Macro!BP$3</f>
        <v>2Q23</v>
      </c>
      <c r="BQ3" s="125" t="str">
        <f>Macro!BQ$3</f>
        <v>3Q23</v>
      </c>
      <c r="BR3" s="125" t="str">
        <f>Macro!BR$3</f>
        <v>4Q23</v>
      </c>
      <c r="BS3" s="126" t="str">
        <f>Macro!BS$3</f>
        <v>2023</v>
      </c>
      <c r="BT3" s="125" t="str">
        <f>Macro!BT$3</f>
        <v>1Q24</v>
      </c>
      <c r="BU3" s="125" t="str">
        <f>Macro!BU$3</f>
        <v>2Q24</v>
      </c>
      <c r="BV3" s="125" t="str">
        <f>Macro!BV$3</f>
        <v>3Q24</v>
      </c>
      <c r="BW3" s="125" t="str">
        <f>Macro!BW$3</f>
        <v>4Q24</v>
      </c>
      <c r="BX3" s="126" t="str">
        <f>Macro!BX$3</f>
        <v>2024</v>
      </c>
      <c r="BY3" s="125" t="str">
        <f>Macro!BY$3</f>
        <v>1Q25</v>
      </c>
      <c r="BZ3" s="125" t="str">
        <f>Macro!BZ$3</f>
        <v>2Q25</v>
      </c>
      <c r="CA3" s="125" t="str">
        <f>Macro!CA$3</f>
        <v>3Q25</v>
      </c>
      <c r="CB3" s="125" t="str">
        <f>Macro!CB$3</f>
        <v>4Q25</v>
      </c>
      <c r="CC3" s="126" t="str">
        <f>Macro!CC$3</f>
        <v>2025</v>
      </c>
      <c r="CD3" s="125" t="str">
        <f>Macro!CD$3</f>
        <v>1Q26</v>
      </c>
      <c r="CE3" s="125" t="str">
        <f>Macro!CE$3</f>
        <v>2Q26</v>
      </c>
      <c r="CF3" s="125" t="str">
        <f>Macro!CF$3</f>
        <v>3Q26E</v>
      </c>
      <c r="CG3" s="125" t="str">
        <f>Macro!CG$3</f>
        <v>4Q26E</v>
      </c>
      <c r="CH3" s="126" t="str">
        <f>Macro!CH$3</f>
        <v>2026E</v>
      </c>
      <c r="CI3" s="125" t="str">
        <f>Macro!CI$3</f>
        <v>1Q27E</v>
      </c>
      <c r="CJ3" s="125" t="str">
        <f>Macro!CJ$3</f>
        <v>2Q27E</v>
      </c>
      <c r="CK3" s="125" t="str">
        <f>Macro!CK$3</f>
        <v>3Q27E</v>
      </c>
      <c r="CL3" s="125" t="str">
        <f>Macro!CL$3</f>
        <v>4Q27E</v>
      </c>
      <c r="CM3" s="126" t="str">
        <f>Macro!CM$3</f>
        <v>2027E</v>
      </c>
      <c r="CN3" s="125" t="str">
        <f>Macro!CN$3</f>
        <v>1Q28E</v>
      </c>
      <c r="CO3" s="125" t="str">
        <f>Macro!CO$3</f>
        <v>2Q28E</v>
      </c>
      <c r="CP3" s="125" t="str">
        <f>Macro!CP$3</f>
        <v>3Q28E</v>
      </c>
      <c r="CQ3" s="125" t="str">
        <f>Macro!CQ$3</f>
        <v>4Q28E</v>
      </c>
      <c r="CR3" s="126" t="str">
        <f>Macro!CR$3</f>
        <v>2028E</v>
      </c>
      <c r="CS3" s="125" t="str">
        <f>Macro!CS$3</f>
        <v>1Q29E</v>
      </c>
      <c r="CT3" s="125" t="str">
        <f>Macro!CT$3</f>
        <v>2Q29E</v>
      </c>
      <c r="CU3" s="125" t="str">
        <f>Macro!CU$3</f>
        <v>3Q29E</v>
      </c>
      <c r="CV3" s="125" t="str">
        <f>Macro!CV$3</f>
        <v>4Q29E</v>
      </c>
      <c r="CW3" s="126" t="str">
        <f>Macro!CW$3</f>
        <v>2029E</v>
      </c>
      <c r="CX3" s="125" t="str">
        <f>Macro!CX$3</f>
        <v>1Q30E</v>
      </c>
      <c r="CY3" s="125" t="str">
        <f>Macro!CY$3</f>
        <v>2Q30E</v>
      </c>
      <c r="CZ3" s="125" t="str">
        <f>Macro!CZ$3</f>
        <v>3Q30E</v>
      </c>
      <c r="DA3" s="125" t="str">
        <f>Macro!DA$3</f>
        <v>4Q30E</v>
      </c>
      <c r="DB3" s="126" t="str">
        <f>Macro!DB$3</f>
        <v>2030E</v>
      </c>
    </row>
    <row r="4" spans="1:106" s="7" customFormat="1" ht="11.5" customHeight="1" thickTop="1" x14ac:dyDescent="0.35">
      <c r="A4" s="11" t="s">
        <v>63</v>
      </c>
      <c r="B4" s="478"/>
      <c r="C4" s="478"/>
      <c r="D4" s="478"/>
      <c r="E4" s="478"/>
      <c r="F4" s="226"/>
      <c r="G4" s="478"/>
      <c r="H4" s="478"/>
      <c r="I4" s="478"/>
      <c r="J4" s="478"/>
      <c r="K4" s="226"/>
      <c r="L4" s="478"/>
      <c r="M4" s="478"/>
      <c r="N4" s="478"/>
      <c r="O4" s="478"/>
      <c r="P4" s="226"/>
      <c r="Q4" s="478"/>
      <c r="R4" s="478"/>
      <c r="S4" s="478"/>
      <c r="T4" s="478"/>
      <c r="U4" s="226"/>
      <c r="V4" s="478"/>
      <c r="W4" s="478"/>
      <c r="X4" s="478"/>
      <c r="Y4" s="478"/>
      <c r="Z4" s="226"/>
      <c r="AA4" s="478"/>
      <c r="AB4" s="478"/>
      <c r="AC4" s="478"/>
      <c r="AD4" s="478"/>
      <c r="AE4" s="226"/>
      <c r="AF4" s="478"/>
      <c r="AG4" s="478"/>
      <c r="AH4" s="478"/>
      <c r="AI4" s="478"/>
      <c r="AJ4" s="226"/>
      <c r="AK4" s="478"/>
      <c r="AL4" s="478"/>
      <c r="AM4" s="478"/>
      <c r="AN4" s="478"/>
      <c r="AO4" s="226"/>
      <c r="AP4" s="478"/>
      <c r="AQ4" s="478"/>
      <c r="AR4" s="478"/>
      <c r="AS4" s="478"/>
      <c r="AT4" s="226"/>
      <c r="AU4" s="478"/>
      <c r="AV4" s="478"/>
      <c r="AW4" s="478"/>
      <c r="AX4" s="478"/>
      <c r="AY4" s="226"/>
      <c r="AZ4" s="478">
        <f>Operating!AZ4-'Business lines'!AZ48-'Business lines'!AZ92</f>
        <v>486330.46992869803</v>
      </c>
      <c r="BA4" s="478">
        <f>Operating!BA4-'Business lines'!BA48-'Business lines'!BA92</f>
        <v>0</v>
      </c>
      <c r="BB4" s="478">
        <f>Operating!BB4-'Business lines'!BB48-'Business lines'!BB92</f>
        <v>1001841.3944274478</v>
      </c>
      <c r="BC4" s="478">
        <f>Operating!BC4-'Business lines'!BC48-'Business lines'!BC92</f>
        <v>1245588.015007159</v>
      </c>
      <c r="BD4" s="226">
        <f>SUM(AZ4:BC4)</f>
        <v>2733759.8793633049</v>
      </c>
      <c r="BE4" s="478">
        <f>Operating!BE4-'Business lines'!BE48-'Business lines'!BE92</f>
        <v>307254.30694391602</v>
      </c>
      <c r="BF4" s="478">
        <f>Operating!BF4-'Business lines'!BF48-'Business lines'!BF92</f>
        <v>1187073.0161817484</v>
      </c>
      <c r="BG4" s="478">
        <f>Operating!BG4-'Business lines'!BG48-'Business lines'!BG92</f>
        <v>1376163.6849470045</v>
      </c>
      <c r="BH4" s="478">
        <f>Operating!BH4-'Business lines'!BH48-'Business lines'!BH92</f>
        <v>867513.34815368301</v>
      </c>
      <c r="BI4" s="226">
        <f t="shared" ref="BI4:BI5" si="0">SUM(BE4:BH4)</f>
        <v>3738004.3562263516</v>
      </c>
      <c r="BJ4" s="478">
        <f>Operating!BJ4-'Business lines'!BJ48-'Business lines'!BJ92</f>
        <v>615370.46224540879</v>
      </c>
      <c r="BK4" s="478">
        <f>Operating!BK4-'Business lines'!BK48-'Business lines'!BK92</f>
        <v>1149482.3080774909</v>
      </c>
      <c r="BL4" s="478">
        <f>Operating!BL4-'Business lines'!BL48-'Business lines'!BL92</f>
        <v>1291330.7153291157</v>
      </c>
      <c r="BM4" s="478">
        <f>Operating!BM4-'Business lines'!BM48-'Business lines'!BM92</f>
        <v>1510854.2724655215</v>
      </c>
      <c r="BN4" s="226">
        <f t="shared" ref="BN4:BN5" si="1">SUM(BJ4:BM4)</f>
        <v>4567037.758117537</v>
      </c>
      <c r="BO4" s="478">
        <f>Operating!BO4-'Business lines'!BO48-'Business lines'!BO92</f>
        <v>687983.21982948168</v>
      </c>
      <c r="BP4" s="478">
        <f>Operating!BP4-'Business lines'!BP48-'Business lines'!BP92</f>
        <v>1811051.7496513375</v>
      </c>
      <c r="BQ4" s="478">
        <f>Operating!BQ4-'Business lines'!BQ48-'Business lines'!BQ92</f>
        <v>1086176.1040153722</v>
      </c>
      <c r="BR4" s="478">
        <f>Operating!BR4-'Business lines'!BR48-'Business lines'!BR92</f>
        <v>1491012.0357696016</v>
      </c>
      <c r="BS4" s="226">
        <f t="shared" ref="BS4:BS5" si="2">SUM(BO4:BR4)</f>
        <v>5076223.1092657931</v>
      </c>
      <c r="BT4" s="478">
        <f>Operating!BT4-'Business lines'!BT48-'Business lines'!BT92</f>
        <v>1020756.9878035984</v>
      </c>
      <c r="BU4" s="478">
        <f>Operating!BU4-'Business lines'!BU48-'Business lines'!BU92</f>
        <v>726542.21059515874</v>
      </c>
      <c r="BV4" s="478">
        <f>Operating!BV4-'Business lines'!BV48-'Business lines'!BV92</f>
        <v>1481792.4623201704</v>
      </c>
      <c r="BW4" s="478">
        <f>Operating!BW4-'Business lines'!BW48-'Business lines'!BW92</f>
        <v>4434359.9079323392</v>
      </c>
      <c r="BX4" s="226">
        <f t="shared" ref="BX4:BX5" si="3">SUM(BT4:BW4)</f>
        <v>7663451.5686512664</v>
      </c>
      <c r="BY4" s="478">
        <f>Operating!BY4-'Business lines'!BY48-'Business lines'!BY92</f>
        <v>3194005.0509221181</v>
      </c>
      <c r="BZ4" s="478">
        <f>Operating!BZ4-'Business lines'!BZ48-'Business lines'!BZ92</f>
        <v>1706558.4906603319</v>
      </c>
      <c r="CA4" s="478">
        <f>Operating!CA4-'Business lines'!CA48-'Business lines'!CA92</f>
        <v>3266972.1864659255</v>
      </c>
      <c r="CB4" s="478">
        <f>Operating!CB4-'Business lines'!CB48-'Business lines'!CB92</f>
        <v>2086678.1531944938</v>
      </c>
      <c r="CC4" s="226">
        <f t="shared" ref="CC4:CC5" si="4">SUM(BY4:CB4)</f>
        <v>10254213.881242869</v>
      </c>
      <c r="CD4" s="478">
        <f>Operating!CD4-'Business lines'!CD48-'Business lines'!CD92</f>
        <v>987223.90855656774</v>
      </c>
      <c r="CE4" s="478">
        <f>Operating!CE4-'Business lines'!CE48-'Business lines'!CE92</f>
        <v>1974709.2021034786</v>
      </c>
      <c r="CF4" s="478">
        <f>Operating!CF4-'Business lines'!CF48-'Business lines'!CF92</f>
        <v>1647861.634801931</v>
      </c>
      <c r="CG4" s="478">
        <f>Operating!CG4-'Business lines'!CG48-'Business lines'!CG92</f>
        <v>1485225.8302531198</v>
      </c>
      <c r="CH4" s="226">
        <f>SUM(CD4:CG4)</f>
        <v>6095020.5757150967</v>
      </c>
      <c r="CI4" s="478">
        <f>Operating!CI4-'Business lines'!CI48-'Business lines'!CI92</f>
        <v>605048.40680162259</v>
      </c>
      <c r="CJ4" s="478">
        <f>Operating!CJ4-'Business lines'!CJ48-'Business lines'!CJ92</f>
        <v>930560.81551692099</v>
      </c>
      <c r="CK4" s="478">
        <f>Operating!CK4-'Business lines'!CK48-'Business lines'!CK92</f>
        <v>1907098.0416628176</v>
      </c>
      <c r="CL4" s="478">
        <f>Operating!CL4-'Business lines'!CL48-'Business lines'!CL92</f>
        <v>2232610.4503781153</v>
      </c>
      <c r="CM4" s="226">
        <f>SUM(CI4:CL4)</f>
        <v>5675317.7143594762</v>
      </c>
      <c r="CN4" s="478">
        <f>Operating!CN4-'Business lines'!CN48-'Business lines'!CN92</f>
        <v>-220625.37958799885</v>
      </c>
      <c r="CO4" s="478">
        <f>Operating!CO4-'Business lines'!CO48-'Business lines'!CO92</f>
        <v>958543.32098317007</v>
      </c>
      <c r="CP4" s="478">
        <f>Operating!CP4-'Business lines'!CP48-'Business lines'!CP92</f>
        <v>1969259.3500441727</v>
      </c>
      <c r="CQ4" s="478">
        <f>Operating!CQ4-'Business lines'!CQ48-'Business lines'!CQ92</f>
        <v>3148428.0506153409</v>
      </c>
      <c r="CR4" s="226">
        <f>SUM(CN4:CQ4)</f>
        <v>5855605.3420546856</v>
      </c>
      <c r="CS4" s="478">
        <f>Operating!CS4-'Business lines'!CS48-'Business lines'!CS92</f>
        <v>-228347.2678735794</v>
      </c>
      <c r="CT4" s="478">
        <f>Operating!CT4-'Business lines'!CT48-'Business lines'!CT92</f>
        <v>992092.33721758076</v>
      </c>
      <c r="CU4" s="478">
        <f>Operating!CU4-'Business lines'!CU48-'Business lines'!CU92</f>
        <v>2038183.4272957181</v>
      </c>
      <c r="CV4" s="478">
        <f>Operating!CV4-'Business lines'!CV48-'Business lines'!CV92</f>
        <v>3258623.0323868766</v>
      </c>
      <c r="CW4" s="226">
        <f>SUM(CS4:CV4)</f>
        <v>6060551.5290265959</v>
      </c>
      <c r="CX4" s="478">
        <f>Operating!CX4-'Business lines'!CX48-'Business lines'!CX92</f>
        <v>-236339.42224915465</v>
      </c>
      <c r="CY4" s="478">
        <f>Operating!CY4-'Business lines'!CY48-'Business lines'!CY92</f>
        <v>1026815.5690201954</v>
      </c>
      <c r="CZ4" s="478">
        <f>Operating!CZ4-'Business lines'!CZ48-'Business lines'!CZ92</f>
        <v>2109519.8472510674</v>
      </c>
      <c r="DA4" s="478">
        <f>Operating!DA4-'Business lines'!DA48-'Business lines'!DA92</f>
        <v>3372674.8385204179</v>
      </c>
      <c r="DB4" s="226">
        <f>SUM(CX4:DA4)</f>
        <v>6272670.8325425256</v>
      </c>
    </row>
    <row r="5" spans="1:106" s="7" customFormat="1" ht="11.5" customHeight="1" x14ac:dyDescent="0.35">
      <c r="A5" s="11" t="s">
        <v>64</v>
      </c>
      <c r="B5" s="478"/>
      <c r="C5" s="478"/>
      <c r="D5" s="478"/>
      <c r="E5" s="478"/>
      <c r="F5" s="226"/>
      <c r="G5" s="478"/>
      <c r="H5" s="478"/>
      <c r="I5" s="478"/>
      <c r="J5" s="478"/>
      <c r="K5" s="226"/>
      <c r="L5" s="478"/>
      <c r="M5" s="478"/>
      <c r="N5" s="478"/>
      <c r="O5" s="478"/>
      <c r="P5" s="226"/>
      <c r="Q5" s="478"/>
      <c r="R5" s="478"/>
      <c r="S5" s="478"/>
      <c r="T5" s="478"/>
      <c r="U5" s="226"/>
      <c r="V5" s="478"/>
      <c r="W5" s="478"/>
      <c r="X5" s="478"/>
      <c r="Y5" s="478"/>
      <c r="Z5" s="226"/>
      <c r="AA5" s="478"/>
      <c r="AB5" s="478"/>
      <c r="AC5" s="478"/>
      <c r="AD5" s="478"/>
      <c r="AE5" s="226"/>
      <c r="AF5" s="478"/>
      <c r="AG5" s="478"/>
      <c r="AH5" s="478"/>
      <c r="AI5" s="478"/>
      <c r="AJ5" s="226"/>
      <c r="AK5" s="478"/>
      <c r="AL5" s="478"/>
      <c r="AM5" s="478"/>
      <c r="AN5" s="478"/>
      <c r="AO5" s="226"/>
      <c r="AP5" s="478"/>
      <c r="AQ5" s="478"/>
      <c r="AR5" s="478"/>
      <c r="AS5" s="478"/>
      <c r="AT5" s="226"/>
      <c r="AU5" s="478"/>
      <c r="AV5" s="478"/>
      <c r="AW5" s="478"/>
      <c r="AX5" s="478"/>
      <c r="AY5" s="226"/>
      <c r="AZ5" s="478">
        <f>Operating!AZ5-'Business lines'!AZ49-'Business lines'!AZ93</f>
        <v>363301.68586688407</v>
      </c>
      <c r="BA5" s="478">
        <f>Operating!BA5-'Business lines'!BA49-'Business lines'!BA93</f>
        <v>-0.12549936330469791</v>
      </c>
      <c r="BB5" s="478">
        <f>Operating!BB5-'Business lines'!BB49-'Business lines'!BB93</f>
        <v>957124.23780244775</v>
      </c>
      <c r="BC5" s="478">
        <f>Operating!BC5-'Business lines'!BC49-'Business lines'!BC93</f>
        <v>1140661.1246080806</v>
      </c>
      <c r="BD5" s="226">
        <f>SUM(AZ5:BC5)</f>
        <v>2461086.9227780495</v>
      </c>
      <c r="BE5" s="478">
        <f>Operating!BE5-'Business lines'!BE49-'Business lines'!BE93</f>
        <v>307254.30694391602</v>
      </c>
      <c r="BF5" s="478">
        <f>Operating!BF5-'Business lines'!BF49-'Business lines'!BF93</f>
        <v>1006138.963680436</v>
      </c>
      <c r="BG5" s="478">
        <f>Operating!BG5-'Business lines'!BG49-'Business lines'!BG93</f>
        <v>1247268.6300642111</v>
      </c>
      <c r="BH5" s="478">
        <f>Operating!BH5-'Business lines'!BH49-'Business lines'!BH93</f>
        <v>862974.02925218071</v>
      </c>
      <c r="BI5" s="226">
        <f t="shared" si="0"/>
        <v>3423635.9299407443</v>
      </c>
      <c r="BJ5" s="478">
        <f>Operating!BJ5-'Business lines'!BJ49-'Business lines'!BJ93</f>
        <v>549356.01150041271</v>
      </c>
      <c r="BK5" s="478">
        <f>Operating!BK5-'Business lines'!BK49-'Business lines'!BK93</f>
        <v>786538.26823480066</v>
      </c>
      <c r="BL5" s="478">
        <f>Operating!BL5-'Business lines'!BL49-'Business lines'!BL93</f>
        <v>662240.88895923202</v>
      </c>
      <c r="BM5" s="478">
        <f>Operating!BM5-'Business lines'!BM49-'Business lines'!BM93</f>
        <v>891854.45110207249</v>
      </c>
      <c r="BN5" s="226">
        <f t="shared" si="1"/>
        <v>2889989.6197965178</v>
      </c>
      <c r="BO5" s="478">
        <f>Operating!BO5-'Business lines'!BO49-'Business lines'!BO93</f>
        <v>322186.96721364121</v>
      </c>
      <c r="BP5" s="478">
        <f>Operating!BP5-'Business lines'!BP49-'Business lines'!BP93</f>
        <v>1520305.0175225344</v>
      </c>
      <c r="BQ5" s="478">
        <f>Operating!BQ5-'Business lines'!BQ49-'Business lines'!BQ93</f>
        <v>688969.10795118369</v>
      </c>
      <c r="BR5" s="478">
        <f>Operating!BR5-'Business lines'!BR49-'Business lines'!BR93</f>
        <v>883712.91917575221</v>
      </c>
      <c r="BS5" s="226">
        <f t="shared" si="2"/>
        <v>3415174.0118631115</v>
      </c>
      <c r="BT5" s="478">
        <f>Operating!BT5-'Business lines'!BT49-'Business lines'!BT93</f>
        <v>772336.07314059976</v>
      </c>
      <c r="BU5" s="478">
        <f>Operating!BU5-'Business lines'!BU49-'Business lines'!BU93</f>
        <v>463121.3704690492</v>
      </c>
      <c r="BV5" s="478">
        <f>Operating!BV5-'Business lines'!BV49-'Business lines'!BV93</f>
        <v>1175961.4252821808</v>
      </c>
      <c r="BW5" s="478">
        <f>Operating!BW5-'Business lines'!BW49-'Business lines'!BW93</f>
        <v>3089114.4581407304</v>
      </c>
      <c r="BX5" s="226">
        <f t="shared" si="3"/>
        <v>5500533.3270325605</v>
      </c>
      <c r="BY5" s="478">
        <f>Operating!BY5-'Business lines'!BY49-'Business lines'!BY93</f>
        <v>2286288.6720461333</v>
      </c>
      <c r="BZ5" s="478">
        <f>Operating!BZ5-'Business lines'!BZ49-'Business lines'!BZ93</f>
        <v>1232345.173405156</v>
      </c>
      <c r="CA5" s="478">
        <f>Operating!CA5-'Business lines'!CA49-'Business lines'!CA93</f>
        <v>2270795.1184485257</v>
      </c>
      <c r="CB5" s="478">
        <f>Operating!CB5-'Business lines'!CB49-'Business lines'!CB93</f>
        <v>1439393.0740382664</v>
      </c>
      <c r="CC5" s="226">
        <f t="shared" si="4"/>
        <v>7228822.0379380817</v>
      </c>
      <c r="CD5" s="478">
        <f>Operating!CD5-'Business lines'!CD49-'Business lines'!CD93</f>
        <v>580059.92175396229</v>
      </c>
      <c r="CE5" s="478">
        <f>Operating!CE5-'Business lines'!CE49-'Business lines'!CE93</f>
        <v>1322815.5048246402</v>
      </c>
      <c r="CF5" s="478">
        <f>Operating!CF5-'Business lines'!CF49-'Business lines'!CF93</f>
        <v>959182.58149362239</v>
      </c>
      <c r="CG5" s="478">
        <f>Operating!CG5-'Business lines'!CG49-'Business lines'!CG93</f>
        <v>841271.62319573411</v>
      </c>
      <c r="CH5" s="226">
        <f>SUM(CD5:CG5)</f>
        <v>3703329.6312679593</v>
      </c>
      <c r="CI5" s="478">
        <f>Operating!CI5-'Business lines'!CI49-'Business lines'!CI93</f>
        <v>362043.84356436646</v>
      </c>
      <c r="CJ5" s="478">
        <f>Operating!CJ5-'Business lines'!CJ49-'Business lines'!CJ93</f>
        <v>606178.15010084026</v>
      </c>
      <c r="CK5" s="478">
        <f>Operating!CK5-'Business lines'!CK49-'Business lines'!CK93</f>
        <v>1338581.0697102626</v>
      </c>
      <c r="CL5" s="478">
        <f>Operating!CL5-'Business lines'!CL49-'Business lines'!CL93</f>
        <v>1582715.3762467359</v>
      </c>
      <c r="CM5" s="226">
        <f>SUM(CI5:CL5)</f>
        <v>3889518.4396222052</v>
      </c>
      <c r="CN5" s="478">
        <f>Operating!CN5-'Business lines'!CN49-'Business lines'!CN93</f>
        <v>-171216.50207646075</v>
      </c>
      <c r="CO5" s="478">
        <f>Operating!CO5-'Business lines'!CO49-'Business lines'!CO93</f>
        <v>713160.02335191634</v>
      </c>
      <c r="CP5" s="478">
        <f>Operating!CP5-'Business lines'!CP49-'Business lines'!CP93</f>
        <v>1471197.0451476679</v>
      </c>
      <c r="CQ5" s="478">
        <f>Operating!CQ5-'Business lines'!CQ49-'Business lines'!CQ93</f>
        <v>2355573.5705760438</v>
      </c>
      <c r="CR5" s="226">
        <f>SUM(CN5:CQ5)</f>
        <v>4368714.1369991675</v>
      </c>
      <c r="CS5" s="478">
        <f>Operating!CS5-'Business lines'!CS49-'Business lines'!CS93</f>
        <v>-177209.07964913733</v>
      </c>
      <c r="CT5" s="478">
        <f>Operating!CT5-'Business lines'!CT49-'Business lines'!CT93</f>
        <v>738120.62416923279</v>
      </c>
      <c r="CU5" s="478">
        <f>Operating!CU5-'Business lines'!CU49-'Business lines'!CU93</f>
        <v>1522688.9417278359</v>
      </c>
      <c r="CV5" s="478">
        <f>Operating!CV5-'Business lines'!CV49-'Business lines'!CV93</f>
        <v>2438018.6455462053</v>
      </c>
      <c r="CW5" s="226">
        <f>SUM(CS5:CV5)</f>
        <v>4521619.1317941369</v>
      </c>
      <c r="CX5" s="478">
        <f>Operating!CX5-'Business lines'!CX49-'Business lines'!CX93</f>
        <v>-183411.39743685699</v>
      </c>
      <c r="CY5" s="478">
        <f>Operating!CY5-'Business lines'!CY49-'Business lines'!CY93</f>
        <v>763954.84601515578</v>
      </c>
      <c r="CZ5" s="478">
        <f>Operating!CZ5-'Business lines'!CZ49-'Business lines'!CZ93</f>
        <v>1575983.0546883098</v>
      </c>
      <c r="DA5" s="478">
        <f>Operating!DA5-'Business lines'!DA49-'Business lines'!DA93</f>
        <v>2523349.2981403223</v>
      </c>
      <c r="DB5" s="226">
        <f>SUM(CX5:DA5)</f>
        <v>4679875.8014069311</v>
      </c>
    </row>
    <row r="6" spans="1:106" s="7" customFormat="1" ht="11.5" customHeight="1" x14ac:dyDescent="0.35">
      <c r="A6" s="7" t="s">
        <v>66</v>
      </c>
      <c r="B6" s="340"/>
      <c r="C6" s="340"/>
      <c r="D6" s="340"/>
      <c r="E6" s="340"/>
      <c r="F6" s="341"/>
      <c r="G6" s="340"/>
      <c r="H6" s="340"/>
      <c r="I6" s="340"/>
      <c r="J6" s="340"/>
      <c r="K6" s="341"/>
      <c r="L6" s="340"/>
      <c r="M6" s="340"/>
      <c r="N6" s="340"/>
      <c r="O6" s="340"/>
      <c r="P6" s="341"/>
      <c r="Q6" s="340"/>
      <c r="R6" s="340"/>
      <c r="S6" s="340"/>
      <c r="T6" s="340"/>
      <c r="U6" s="341"/>
      <c r="V6" s="340"/>
      <c r="W6" s="340"/>
      <c r="X6" s="340"/>
      <c r="Y6" s="340"/>
      <c r="Z6" s="341"/>
      <c r="AA6" s="340"/>
      <c r="AB6" s="340"/>
      <c r="AC6" s="340"/>
      <c r="AD6" s="340"/>
      <c r="AE6" s="341"/>
      <c r="AF6" s="340"/>
      <c r="AG6" s="340"/>
      <c r="AH6" s="340"/>
      <c r="AI6" s="340"/>
      <c r="AJ6" s="341"/>
      <c r="AK6" s="340"/>
      <c r="AL6" s="340"/>
      <c r="AM6" s="340"/>
      <c r="AN6" s="340"/>
      <c r="AO6" s="341"/>
      <c r="AP6" s="340"/>
      <c r="AQ6" s="340"/>
      <c r="AR6" s="340"/>
      <c r="AS6" s="340"/>
      <c r="AT6" s="341"/>
      <c r="AU6" s="340"/>
      <c r="AV6" s="340"/>
      <c r="AW6" s="340"/>
      <c r="AX6" s="340"/>
      <c r="AY6" s="341"/>
      <c r="AZ6" s="340">
        <f t="shared" ref="AZ6:BD6" si="5">AZ5/AZ4</f>
        <v>0.74702637060792942</v>
      </c>
      <c r="BA6" s="340" t="e">
        <f t="shared" si="5"/>
        <v>#DIV/0!</v>
      </c>
      <c r="BB6" s="340">
        <f t="shared" si="5"/>
        <v>0.95536503395274863</v>
      </c>
      <c r="BC6" s="340">
        <f t="shared" si="5"/>
        <v>0.91576115927988011</v>
      </c>
      <c r="BD6" s="341">
        <f t="shared" si="5"/>
        <v>0.90025716646014964</v>
      </c>
      <c r="BE6" s="340">
        <f t="shared" ref="BE6:CC6" si="6">BE5/BE4</f>
        <v>1</v>
      </c>
      <c r="BF6" s="340">
        <f t="shared" si="6"/>
        <v>0.84757967704186266</v>
      </c>
      <c r="BG6" s="340">
        <f t="shared" si="6"/>
        <v>0.90633741008232083</v>
      </c>
      <c r="BH6" s="340">
        <f t="shared" si="6"/>
        <v>0.99476743624618191</v>
      </c>
      <c r="BI6" s="341">
        <f t="shared" si="6"/>
        <v>0.91589939541885035</v>
      </c>
      <c r="BJ6" s="340">
        <f t="shared" si="6"/>
        <v>0.89272405031577606</v>
      </c>
      <c r="BK6" s="340">
        <f t="shared" si="6"/>
        <v>0.68425434885577829</v>
      </c>
      <c r="BL6" s="340">
        <f t="shared" si="6"/>
        <v>0.51283600792415873</v>
      </c>
      <c r="BM6" s="340">
        <f t="shared" si="6"/>
        <v>0.59029812957849326</v>
      </c>
      <c r="BN6" s="341">
        <f t="shared" si="6"/>
        <v>0.63279302095976697</v>
      </c>
      <c r="BO6" s="340">
        <f t="shared" si="6"/>
        <v>0.46830643237708042</v>
      </c>
      <c r="BP6" s="340">
        <f t="shared" si="6"/>
        <v>0.83945973261958007</v>
      </c>
      <c r="BQ6" s="340">
        <f t="shared" si="6"/>
        <v>0.63430700178746791</v>
      </c>
      <c r="BR6" s="340">
        <f t="shared" si="6"/>
        <v>0.5926933505400005</v>
      </c>
      <c r="BS6" s="341">
        <f t="shared" si="6"/>
        <v>0.67277854782018631</v>
      </c>
      <c r="BT6" s="340">
        <f t="shared" si="6"/>
        <v>0.75663069895065294</v>
      </c>
      <c r="BU6" s="340">
        <f t="shared" si="6"/>
        <v>0.6374321597773045</v>
      </c>
      <c r="BV6" s="340">
        <f t="shared" si="6"/>
        <v>0.79360737430184825</v>
      </c>
      <c r="BW6" s="340">
        <f t="shared" si="6"/>
        <v>0.69663142421408186</v>
      </c>
      <c r="BX6" s="341">
        <f t="shared" si="6"/>
        <v>0.7177618697994369</v>
      </c>
      <c r="BY6" s="340">
        <f t="shared" si="6"/>
        <v>0.71580621683302459</v>
      </c>
      <c r="BZ6" s="340">
        <f t="shared" si="6"/>
        <v>0.72212302136114603</v>
      </c>
      <c r="CA6" s="340">
        <f t="shared" si="6"/>
        <v>0.69507635475310769</v>
      </c>
      <c r="CB6" s="340">
        <f t="shared" ref="CB6" si="7">CB5/CB4</f>
        <v>0.68980119039186794</v>
      </c>
      <c r="CC6" s="341">
        <f t="shared" si="6"/>
        <v>0.70496111370966519</v>
      </c>
      <c r="CD6" s="340">
        <f t="shared" ref="CD6:CE6" si="8">CD5/CD4</f>
        <v>0.58756672800000864</v>
      </c>
      <c r="CE6" s="340">
        <f t="shared" si="8"/>
        <v>0.66987863499879619</v>
      </c>
      <c r="CF6" s="340">
        <f t="shared" ref="CF6:CG6" si="9">CF5/CF4</f>
        <v>0.58207713635429947</v>
      </c>
      <c r="CG6" s="340">
        <f t="shared" si="9"/>
        <v>0.5664267386545252</v>
      </c>
      <c r="CH6" s="341">
        <f t="shared" ref="CH6:DB6" si="10">CH5/CH4</f>
        <v>0.60759920089908259</v>
      </c>
      <c r="CI6" s="340">
        <f t="shared" si="10"/>
        <v>0.59837169967636972</v>
      </c>
      <c r="CJ6" s="340">
        <f t="shared" si="10"/>
        <v>0.65141164337992452</v>
      </c>
      <c r="CK6" s="340">
        <f t="shared" si="10"/>
        <v>0.70189420809385372</v>
      </c>
      <c r="CL6" s="340">
        <f t="shared" si="10"/>
        <v>0.70890798525944687</v>
      </c>
      <c r="CM6" s="341">
        <f t="shared" si="10"/>
        <v>0.68533932995171198</v>
      </c>
      <c r="CN6" s="340">
        <f t="shared" si="10"/>
        <v>0.77605079885276373</v>
      </c>
      <c r="CO6" s="340">
        <f t="shared" si="10"/>
        <v>0.74400395656654716</v>
      </c>
      <c r="CP6" s="340">
        <f t="shared" si="10"/>
        <v>0.74708140657789301</v>
      </c>
      <c r="CQ6" s="340">
        <f t="shared" si="10"/>
        <v>0.74817449619522391</v>
      </c>
      <c r="CR6" s="341">
        <f t="shared" si="10"/>
        <v>0.74607386970280687</v>
      </c>
      <c r="CS6" s="340">
        <f t="shared" si="10"/>
        <v>0.77605079885276373</v>
      </c>
      <c r="CT6" s="340">
        <f t="shared" si="10"/>
        <v>0.74400395656654672</v>
      </c>
      <c r="CU6" s="340">
        <f t="shared" si="10"/>
        <v>0.74708140657789301</v>
      </c>
      <c r="CV6" s="340">
        <f t="shared" si="10"/>
        <v>0.74817449619522425</v>
      </c>
      <c r="CW6" s="341">
        <f t="shared" si="10"/>
        <v>0.74607386970280709</v>
      </c>
      <c r="CX6" s="340">
        <f t="shared" si="10"/>
        <v>0.77605079885276318</v>
      </c>
      <c r="CY6" s="340">
        <f t="shared" si="10"/>
        <v>0.74400395656654705</v>
      </c>
      <c r="CZ6" s="340">
        <f t="shared" si="10"/>
        <v>0.74708140657789313</v>
      </c>
      <c r="DA6" s="340">
        <f t="shared" si="10"/>
        <v>0.74817449619522403</v>
      </c>
      <c r="DB6" s="341">
        <f t="shared" si="10"/>
        <v>0.7460738697028072</v>
      </c>
    </row>
    <row r="7" spans="1:106" s="7" customFormat="1" ht="11.5" customHeight="1" x14ac:dyDescent="0.35">
      <c r="A7" s="7" t="s">
        <v>65</v>
      </c>
      <c r="B7" s="479"/>
      <c r="C7" s="479"/>
      <c r="D7" s="479"/>
      <c r="E7" s="479"/>
      <c r="F7" s="98"/>
      <c r="G7" s="479"/>
      <c r="H7" s="479"/>
      <c r="I7" s="479"/>
      <c r="J7" s="479"/>
      <c r="K7" s="98"/>
      <c r="L7" s="479"/>
      <c r="M7" s="479"/>
      <c r="N7" s="479"/>
      <c r="O7" s="479"/>
      <c r="P7" s="98"/>
      <c r="Q7" s="479"/>
      <c r="R7" s="479"/>
      <c r="S7" s="479"/>
      <c r="T7" s="479"/>
      <c r="U7" s="98"/>
      <c r="V7" s="479"/>
      <c r="W7" s="479"/>
      <c r="X7" s="479"/>
      <c r="Y7" s="479"/>
      <c r="Z7" s="98"/>
      <c r="AA7" s="479"/>
      <c r="AB7" s="479"/>
      <c r="AC7" s="479"/>
      <c r="AD7" s="479"/>
      <c r="AE7" s="98"/>
      <c r="AF7" s="479"/>
      <c r="AG7" s="479"/>
      <c r="AH7" s="479"/>
      <c r="AI7" s="479"/>
      <c r="AJ7" s="98"/>
      <c r="AK7" s="479"/>
      <c r="AL7" s="479"/>
      <c r="AM7" s="479"/>
      <c r="AN7" s="479"/>
      <c r="AO7" s="98"/>
      <c r="AP7" s="479"/>
      <c r="AQ7" s="479"/>
      <c r="AR7" s="479"/>
      <c r="AS7" s="479"/>
      <c r="AT7" s="98"/>
      <c r="AU7" s="479"/>
      <c r="AV7" s="479"/>
      <c r="AW7" s="479"/>
      <c r="AX7" s="479"/>
      <c r="AY7" s="98"/>
      <c r="AZ7" s="479">
        <f>Operating!AZ7-'Business lines'!AZ51-'Business lines'!AZ95</f>
        <v>496</v>
      </c>
      <c r="BA7" s="479">
        <f>Operating!BA7-'Business lines'!BA51-'Business lines'!BA95</f>
        <v>0</v>
      </c>
      <c r="BB7" s="479">
        <f>Operating!BB7-'Business lines'!BB51-'Business lines'!BB95</f>
        <v>934</v>
      </c>
      <c r="BC7" s="479">
        <f>Operating!BC7-'Business lines'!BC51-'Business lines'!BC95</f>
        <v>1372</v>
      </c>
      <c r="BD7" s="98">
        <f>SUM(AZ7:BC7)</f>
        <v>2802</v>
      </c>
      <c r="BE7" s="479">
        <f>Operating!BE7-'Business lines'!BE51-'Business lines'!BE95</f>
        <v>169</v>
      </c>
      <c r="BF7" s="479">
        <f>Operating!BF7-'Business lines'!BF51-'Business lines'!BF95</f>
        <v>1187</v>
      </c>
      <c r="BG7" s="479">
        <f>Operating!BG7-'Business lines'!BG51-'Business lines'!BG95</f>
        <v>779</v>
      </c>
      <c r="BH7" s="479">
        <f>Operating!BH7-'Business lines'!BH51-'Business lines'!BH95</f>
        <v>3091</v>
      </c>
      <c r="BI7" s="98">
        <f t="shared" ref="BI7" si="11">SUM(BE7:BH7)</f>
        <v>5226</v>
      </c>
      <c r="BJ7" s="479">
        <f>Operating!BJ7-'Business lines'!BJ51-'Business lines'!BJ95</f>
        <v>293</v>
      </c>
      <c r="BK7" s="479">
        <f>Operating!BK7-'Business lines'!BK51-'Business lines'!BK95</f>
        <v>724</v>
      </c>
      <c r="BL7" s="479">
        <f>Operating!BL7-'Business lines'!BL51-'Business lines'!BL95</f>
        <v>981</v>
      </c>
      <c r="BM7" s="479">
        <f>Operating!BM7-'Business lines'!BM51-'Business lines'!BM95</f>
        <v>2362</v>
      </c>
      <c r="BN7" s="98">
        <f t="shared" ref="BN7" si="12">SUM(BJ7:BM7)</f>
        <v>4360</v>
      </c>
      <c r="BO7" s="479">
        <f>Operating!BO7-'Business lines'!BO51-'Business lines'!BO95</f>
        <v>531</v>
      </c>
      <c r="BP7" s="479">
        <f>Operating!BP7-'Business lines'!BP51-'Business lines'!BP95</f>
        <v>1225</v>
      </c>
      <c r="BQ7" s="479">
        <f>Operating!BQ7-'Business lines'!BQ51-'Business lines'!BQ95</f>
        <v>1499</v>
      </c>
      <c r="BR7" s="479">
        <f>Operating!BR7-'Business lines'!BR51-'Business lines'!BR95</f>
        <v>667</v>
      </c>
      <c r="BS7" s="98">
        <f t="shared" ref="BS7" si="13">SUM(BO7:BR7)</f>
        <v>3922</v>
      </c>
      <c r="BT7" s="479">
        <f>Operating!BT7-'Business lines'!BT51-'Business lines'!BT95</f>
        <v>1161</v>
      </c>
      <c r="BU7" s="479">
        <f>Operating!BU7-'Business lines'!BU51-'Business lines'!BU95</f>
        <v>698</v>
      </c>
      <c r="BV7" s="479">
        <f>Operating!BV7-'Business lines'!BV51-'Business lines'!BV95</f>
        <v>844</v>
      </c>
      <c r="BW7" s="479">
        <f>Operating!BW7-'Business lines'!BW51-'Business lines'!BW95</f>
        <v>2343</v>
      </c>
      <c r="BX7" s="98">
        <f t="shared" ref="BX7" si="14">SUM(BT7:BW7)</f>
        <v>5046</v>
      </c>
      <c r="BY7" s="479">
        <f>Operating!BY7-'Business lines'!BY51-'Business lines'!BY95</f>
        <v>1297</v>
      </c>
      <c r="BZ7" s="479">
        <f>Operating!BZ7-'Business lines'!BZ51-'Business lines'!BZ95</f>
        <v>965</v>
      </c>
      <c r="CA7" s="479">
        <f>Operating!CA7-'Business lines'!CA51-'Business lines'!CA95</f>
        <v>1387</v>
      </c>
      <c r="CB7" s="479">
        <f>Operating!CB7-'Business lines'!CB51-'Business lines'!CB95</f>
        <v>1225</v>
      </c>
      <c r="CC7" s="98">
        <f t="shared" ref="CC7" si="15">SUM(BY7:CB7)</f>
        <v>4874</v>
      </c>
      <c r="CD7" s="479">
        <f>Operating!CD7-'Business lines'!CD51-'Business lines'!CD95</f>
        <v>1614</v>
      </c>
      <c r="CE7" s="479">
        <f>Operating!CE7-'Business lines'!CE51-'Business lines'!CE95</f>
        <v>804</v>
      </c>
      <c r="CF7" s="479">
        <f>Operating!CF7-'Business lines'!CF51-'Business lines'!CF95</f>
        <v>736.54493204864139</v>
      </c>
      <c r="CG7" s="479">
        <f>Operating!CG7-'Business lines'!CG51-'Business lines'!CG95</f>
        <v>332.6902859458869</v>
      </c>
      <c r="CH7" s="98">
        <f>SUM(CD7:CG7)</f>
        <v>3487.2352179945283</v>
      </c>
      <c r="CI7" s="479">
        <f>Operating!CI7-'Business lines'!CI51-'Business lines'!CI95</f>
        <v>443.01492827243874</v>
      </c>
      <c r="CJ7" s="479">
        <f>Operating!CJ7-'Business lines'!CJ51-'Business lines'!CJ95</f>
        <v>370.96052913837138</v>
      </c>
      <c r="CK7" s="479">
        <f>Operating!CK7-'Business lines'!CK51-'Business lines'!CK95</f>
        <v>1520.6259316788864</v>
      </c>
      <c r="CL7" s="479">
        <f>Operating!CL7-'Business lines'!CL51-'Business lines'!CL95</f>
        <v>1169.5592809088075</v>
      </c>
      <c r="CM7" s="98">
        <f>SUM(CI7:CL7)</f>
        <v>3504.1606699985041</v>
      </c>
      <c r="CN7" s="479">
        <f>Operating!CN7-'Business lines'!CN51-'Business lines'!CN95</f>
        <v>-2136.1388419312661</v>
      </c>
      <c r="CO7" s="479">
        <f>Operating!CO7-'Business lines'!CO51-'Business lines'!CO95</f>
        <v>335.81470690699643</v>
      </c>
      <c r="CP7" s="479">
        <f>Operating!CP7-'Business lines'!CP51-'Business lines'!CP95</f>
        <v>2408.3175077186024</v>
      </c>
      <c r="CQ7" s="479">
        <f>Operating!CQ7-'Business lines'!CQ51-'Business lines'!CQ95</f>
        <v>4798.4039606214792</v>
      </c>
      <c r="CR7" s="98">
        <f>SUM(CN7:CQ7)</f>
        <v>5406.3973333158119</v>
      </c>
      <c r="CS7" s="479">
        <f>Operating!CS7-'Business lines'!CS51-'Business lines'!CS95</f>
        <v>-2401.4279475745325</v>
      </c>
      <c r="CT7" s="479">
        <f>Operating!CT7-'Business lines'!CT51-'Business lines'!CT95</f>
        <v>70.525601263731005</v>
      </c>
      <c r="CU7" s="479">
        <f>Operating!CU7-'Business lines'!CU51-'Business lines'!CU95</f>
        <v>2143.0284020753352</v>
      </c>
      <c r="CV7" s="479">
        <f>Operating!CV7-'Business lines'!CV51-'Business lines'!CV95</f>
        <v>4533.114854978212</v>
      </c>
      <c r="CW7" s="98">
        <f>SUM(CS7:CV7)</f>
        <v>4345.2409107427457</v>
      </c>
      <c r="CX7" s="479">
        <f>Operating!CX7-'Business lines'!CX51-'Business lines'!CX95</f>
        <v>-2676.0021719153128</v>
      </c>
      <c r="CY7" s="479">
        <f>Operating!CY7-'Business lines'!CY51-'Business lines'!CY95</f>
        <v>-204.04862307705116</v>
      </c>
      <c r="CZ7" s="479">
        <f>Operating!CZ7-'Business lines'!CZ51-'Business lines'!CZ95</f>
        <v>1868.4541777345548</v>
      </c>
      <c r="DA7" s="479">
        <f>Operating!DA7-'Business lines'!DA51-'Business lines'!DA95</f>
        <v>4258.5406306374316</v>
      </c>
      <c r="DB7" s="98">
        <f>SUM(CX7:DA7)</f>
        <v>3246.9440133796224</v>
      </c>
    </row>
    <row r="8" spans="1:106" s="7" customFormat="1" ht="11.5" customHeight="1" x14ac:dyDescent="0.35">
      <c r="A8" s="78" t="s">
        <v>67</v>
      </c>
      <c r="B8" s="93"/>
      <c r="C8" s="93"/>
      <c r="D8" s="93"/>
      <c r="E8" s="93"/>
      <c r="F8" s="73"/>
      <c r="G8" s="93"/>
      <c r="H8" s="93"/>
      <c r="I8" s="93"/>
      <c r="J8" s="93"/>
      <c r="K8" s="73"/>
      <c r="L8" s="93"/>
      <c r="M8" s="93"/>
      <c r="N8" s="93"/>
      <c r="O8" s="93"/>
      <c r="P8" s="73"/>
      <c r="Q8" s="93"/>
      <c r="R8" s="93"/>
      <c r="S8" s="93"/>
      <c r="T8" s="93"/>
      <c r="U8" s="73"/>
      <c r="V8" s="93"/>
      <c r="W8" s="93"/>
      <c r="X8" s="93"/>
      <c r="Y8" s="93"/>
      <c r="Z8" s="73"/>
      <c r="AA8" s="93"/>
      <c r="AB8" s="93"/>
      <c r="AC8" s="93"/>
      <c r="AD8" s="93"/>
      <c r="AE8" s="73"/>
      <c r="AF8" s="93"/>
      <c r="AG8" s="93"/>
      <c r="AH8" s="93"/>
      <c r="AI8" s="93"/>
      <c r="AJ8" s="73"/>
      <c r="AK8" s="93"/>
      <c r="AL8" s="93"/>
      <c r="AM8" s="93"/>
      <c r="AN8" s="93"/>
      <c r="AO8" s="73"/>
      <c r="AP8" s="93"/>
      <c r="AQ8" s="93"/>
      <c r="AR8" s="93"/>
      <c r="AS8" s="93"/>
      <c r="AT8" s="73"/>
      <c r="AU8" s="93"/>
      <c r="AV8" s="93"/>
      <c r="AW8" s="93"/>
      <c r="AX8" s="93"/>
      <c r="AY8" s="73"/>
      <c r="AZ8" s="93">
        <f t="shared" ref="AZ8:BD8" si="16">AZ4*1000/AZ7</f>
        <v>980504.97969495563</v>
      </c>
      <c r="BA8" s="93" t="e">
        <f t="shared" si="16"/>
        <v>#DIV/0!</v>
      </c>
      <c r="BB8" s="93">
        <f t="shared" si="16"/>
        <v>1072635.3259394516</v>
      </c>
      <c r="BC8" s="93">
        <f t="shared" si="16"/>
        <v>907862.98469909548</v>
      </c>
      <c r="BD8" s="73">
        <f t="shared" si="16"/>
        <v>975645.92411252856</v>
      </c>
      <c r="BE8" s="93">
        <f t="shared" ref="BE8:CC8" si="17">BE4*1000/BE7</f>
        <v>1818072.8221533492</v>
      </c>
      <c r="BF8" s="93">
        <f t="shared" si="17"/>
        <v>1000061.5132112455</v>
      </c>
      <c r="BG8" s="93">
        <f t="shared" si="17"/>
        <v>1766577.2592387735</v>
      </c>
      <c r="BH8" s="93">
        <f t="shared" si="17"/>
        <v>280657.82858417439</v>
      </c>
      <c r="BI8" s="73">
        <f t="shared" si="17"/>
        <v>715270.63839004049</v>
      </c>
      <c r="BJ8" s="93">
        <f t="shared" si="17"/>
        <v>2100240.485479211</v>
      </c>
      <c r="BK8" s="93">
        <f t="shared" si="17"/>
        <v>1587682.7459633851</v>
      </c>
      <c r="BL8" s="93">
        <f t="shared" si="17"/>
        <v>1316341.1980928804</v>
      </c>
      <c r="BM8" s="93">
        <f t="shared" si="17"/>
        <v>639650.41171275254</v>
      </c>
      <c r="BN8" s="73">
        <f t="shared" si="17"/>
        <v>1047485.7243388846</v>
      </c>
      <c r="BO8" s="93">
        <f t="shared" si="17"/>
        <v>1295636.9488314157</v>
      </c>
      <c r="BP8" s="93">
        <f t="shared" si="17"/>
        <v>1478409.5915521123</v>
      </c>
      <c r="BQ8" s="93">
        <f t="shared" si="17"/>
        <v>724600.46965668595</v>
      </c>
      <c r="BR8" s="93">
        <f t="shared" si="17"/>
        <v>2235400.3534776634</v>
      </c>
      <c r="BS8" s="73">
        <f t="shared" si="17"/>
        <v>1294294.520465526</v>
      </c>
      <c r="BT8" s="93">
        <f t="shared" si="17"/>
        <v>879204.98518828454</v>
      </c>
      <c r="BU8" s="93">
        <f t="shared" si="17"/>
        <v>1040891.4191907718</v>
      </c>
      <c r="BV8" s="93">
        <f t="shared" si="17"/>
        <v>1755678.2728911971</v>
      </c>
      <c r="BW8" s="93">
        <f t="shared" si="17"/>
        <v>1892599.1924593854</v>
      </c>
      <c r="BX8" s="73">
        <f t="shared" si="17"/>
        <v>1518718.1071445236</v>
      </c>
      <c r="BY8" s="93">
        <f t="shared" si="17"/>
        <v>2462609.9081897596</v>
      </c>
      <c r="BZ8" s="93">
        <f t="shared" si="17"/>
        <v>1768454.3944666653</v>
      </c>
      <c r="CA8" s="93">
        <f t="shared" si="17"/>
        <v>2355423.3500114819</v>
      </c>
      <c r="CB8" s="93">
        <f t="shared" ref="CB8" si="18">CB4*1000/CB7</f>
        <v>1703410.7373016276</v>
      </c>
      <c r="CC8" s="73">
        <f t="shared" si="17"/>
        <v>2103860.0494958698</v>
      </c>
      <c r="CD8" s="93">
        <f t="shared" ref="CD8:CE8" si="19">CD4*1000/CD7</f>
        <v>611662.89253814612</v>
      </c>
      <c r="CE8" s="93">
        <f t="shared" si="19"/>
        <v>2456105.9727655207</v>
      </c>
      <c r="CF8" s="93">
        <f t="shared" ref="CF8:DB8" si="20">CF4*1000/CF7</f>
        <v>2237285.9592130166</v>
      </c>
      <c r="CG8" s="93">
        <f t="shared" si="20"/>
        <v>4464289.7403223133</v>
      </c>
      <c r="CH8" s="73">
        <f t="shared" si="20"/>
        <v>1747808.8499061093</v>
      </c>
      <c r="CI8" s="93">
        <f t="shared" si="20"/>
        <v>1365751.7347350854</v>
      </c>
      <c r="CJ8" s="93">
        <f t="shared" si="20"/>
        <v>2508517.0588858365</v>
      </c>
      <c r="CK8" s="93">
        <f t="shared" si="20"/>
        <v>1254153.3074851858</v>
      </c>
      <c r="CL8" s="93">
        <f t="shared" si="20"/>
        <v>1908933.1227770364</v>
      </c>
      <c r="CM8" s="73">
        <f t="shared" si="20"/>
        <v>1619594.0337295947</v>
      </c>
      <c r="CN8" s="93">
        <f t="shared" si="20"/>
        <v>103282.3219433308</v>
      </c>
      <c r="CO8" s="93">
        <f t="shared" si="20"/>
        <v>2854381.6017225171</v>
      </c>
      <c r="CP8" s="93">
        <f t="shared" si="20"/>
        <v>817690.91647290764</v>
      </c>
      <c r="CQ8" s="93">
        <f t="shared" si="20"/>
        <v>656140.68270474731</v>
      </c>
      <c r="CR8" s="73">
        <f t="shared" si="20"/>
        <v>1083088.2343720321</v>
      </c>
      <c r="CS8" s="93">
        <f t="shared" si="20"/>
        <v>95088.119593266398</v>
      </c>
      <c r="CT8" s="93">
        <f t="shared" si="20"/>
        <v>14067123.419588359</v>
      </c>
      <c r="CU8" s="93">
        <f t="shared" si="20"/>
        <v>951076.2551359171</v>
      </c>
      <c r="CV8" s="93">
        <f t="shared" si="20"/>
        <v>718848.54821366293</v>
      </c>
      <c r="CW8" s="73">
        <f t="shared" si="20"/>
        <v>1394756.1604796378</v>
      </c>
      <c r="CX8" s="93">
        <f t="shared" si="20"/>
        <v>88318.098067909217</v>
      </c>
      <c r="CY8" s="93">
        <f t="shared" si="20"/>
        <v>-5032210.2327172169</v>
      </c>
      <c r="CZ8" s="93">
        <f t="shared" si="20"/>
        <v>1129018.7751935117</v>
      </c>
      <c r="DA8" s="93">
        <f t="shared" si="20"/>
        <v>791979.02076035494</v>
      </c>
      <c r="DB8" s="73">
        <f t="shared" si="20"/>
        <v>1931869.1072882211</v>
      </c>
    </row>
    <row r="9" spans="1:106" s="7" customFormat="1" ht="11.5" customHeight="1" x14ac:dyDescent="0.35">
      <c r="A9" s="11" t="s">
        <v>61</v>
      </c>
      <c r="B9" s="478"/>
      <c r="C9" s="478"/>
      <c r="D9" s="478"/>
      <c r="E9" s="478"/>
      <c r="F9" s="226"/>
      <c r="G9" s="478"/>
      <c r="H9" s="478"/>
      <c r="I9" s="478"/>
      <c r="J9" s="478"/>
      <c r="K9" s="226"/>
      <c r="L9" s="478"/>
      <c r="M9" s="478"/>
      <c r="N9" s="478"/>
      <c r="O9" s="478"/>
      <c r="P9" s="226"/>
      <c r="Q9" s="478"/>
      <c r="R9" s="478"/>
      <c r="S9" s="478"/>
      <c r="T9" s="478"/>
      <c r="U9" s="226"/>
      <c r="V9" s="478"/>
      <c r="W9" s="478"/>
      <c r="X9" s="478"/>
      <c r="Y9" s="478"/>
      <c r="Z9" s="226"/>
      <c r="AA9" s="478"/>
      <c r="AB9" s="478"/>
      <c r="AC9" s="478"/>
      <c r="AD9" s="478"/>
      <c r="AE9" s="226"/>
      <c r="AF9" s="478"/>
      <c r="AG9" s="478"/>
      <c r="AH9" s="478"/>
      <c r="AI9" s="478"/>
      <c r="AJ9" s="226"/>
      <c r="AK9" s="478"/>
      <c r="AL9" s="478"/>
      <c r="AM9" s="478"/>
      <c r="AN9" s="478"/>
      <c r="AO9" s="226"/>
      <c r="AP9" s="478"/>
      <c r="AQ9" s="478"/>
      <c r="AR9" s="478"/>
      <c r="AS9" s="478"/>
      <c r="AT9" s="226"/>
      <c r="AU9" s="478"/>
      <c r="AV9" s="478"/>
      <c r="AW9" s="478"/>
      <c r="AX9" s="478"/>
      <c r="AY9" s="226"/>
      <c r="AZ9" s="478">
        <f>Operating!AZ9-'Business lines'!AZ53-'Business lines'!AZ97</f>
        <v>359105.73356961797</v>
      </c>
      <c r="BA9" s="478">
        <f>Operating!BA9-'Business lines'!BA53-'Business lines'!BA97</f>
        <v>197932.95050180153</v>
      </c>
      <c r="BB9" s="478">
        <f>Operating!BB9-'Business lines'!BB53-'Business lines'!BB97</f>
        <v>1012187.2125987787</v>
      </c>
      <c r="BC9" s="478">
        <f>Operating!BC9-'Business lines'!BC53-'Business lines'!BC97</f>
        <v>915277.23256148142</v>
      </c>
      <c r="BD9" s="225">
        <f>SUM(AZ9:BC9)</f>
        <v>2484503.1292316793</v>
      </c>
      <c r="BE9" s="478">
        <f>Operating!BE9-'Business lines'!BE53-'Business lines'!BE97</f>
        <v>516516.25907475071</v>
      </c>
      <c r="BF9" s="478">
        <f>Operating!BF9-'Business lines'!BF53-'Business lines'!BF97</f>
        <v>970069.75774544338</v>
      </c>
      <c r="BG9" s="478">
        <f>Operating!BG9-'Business lines'!BG53-'Business lines'!BG97</f>
        <v>893446.57418112177</v>
      </c>
      <c r="BH9" s="478">
        <f>Operating!BH9-'Business lines'!BH53-'Business lines'!BH97</f>
        <v>763759.34989229415</v>
      </c>
      <c r="BI9" s="225">
        <f t="shared" ref="BI9:BI10" si="21">SUM(BE9:BH9)</f>
        <v>3143791.94089361</v>
      </c>
      <c r="BJ9" s="478">
        <f>Operating!BJ9-'Business lines'!BJ53-'Business lines'!BJ97</f>
        <v>538413.40864343569</v>
      </c>
      <c r="BK9" s="478">
        <f>Operating!BK9-'Business lines'!BK53-'Business lines'!BK97</f>
        <v>619686.57974089857</v>
      </c>
      <c r="BL9" s="478">
        <f>Operating!BL9-'Business lines'!BL53-'Business lines'!BL97</f>
        <v>831380.16497574328</v>
      </c>
      <c r="BM9" s="478">
        <f>Operating!BM9-'Business lines'!BM53-'Business lines'!BM97</f>
        <v>1190603.7863507238</v>
      </c>
      <c r="BN9" s="225">
        <f t="shared" ref="BN9:BN10" si="22">SUM(BJ9:BM9)</f>
        <v>3180083.9397108015</v>
      </c>
      <c r="BO9" s="478">
        <f>Operating!BO9-'Business lines'!BO53-'Business lines'!BO97</f>
        <v>734141.16826388263</v>
      </c>
      <c r="BP9" s="478">
        <f>Operating!BP9-'Business lines'!BP53-'Business lines'!BP97</f>
        <v>1250670.7107293033</v>
      </c>
      <c r="BQ9" s="478">
        <f>Operating!BQ9-'Business lines'!BQ53-'Business lines'!BQ97</f>
        <v>1063022.8988347035</v>
      </c>
      <c r="BR9" s="478">
        <f>Operating!BR9-'Business lines'!BR53-'Business lines'!BR97</f>
        <v>1255246.5277112878</v>
      </c>
      <c r="BS9" s="225">
        <f t="shared" ref="BS9:BS10" si="23">SUM(BO9:BR9)</f>
        <v>4303081.3055391777</v>
      </c>
      <c r="BT9" s="478">
        <f>Operating!BT9-'Business lines'!BT53-'Business lines'!BT97</f>
        <v>1209606.659820423</v>
      </c>
      <c r="BU9" s="478">
        <f>Operating!BU9-'Business lines'!BU53-'Business lines'!BU97</f>
        <v>1085431.5937807001</v>
      </c>
      <c r="BV9" s="478">
        <f>Operating!BV9-'Business lines'!BV53-'Business lines'!BV97</f>
        <v>1622409.2822695491</v>
      </c>
      <c r="BW9" s="478">
        <f>Operating!BW9-'Business lines'!BW53-'Business lines'!BW97</f>
        <v>2997099.8646177715</v>
      </c>
      <c r="BX9" s="225">
        <f t="shared" ref="BX9:BX10" si="24">SUM(BT9:BW9)</f>
        <v>6914547.4004884437</v>
      </c>
      <c r="BY9" s="478">
        <f>Operating!BY9-'Business lines'!BY53-'Business lines'!BY97</f>
        <v>1551033.7373981699</v>
      </c>
      <c r="BZ9" s="478">
        <f>Operating!BZ9-'Business lines'!BZ53-'Business lines'!BZ97</f>
        <v>1236547.0399803075</v>
      </c>
      <c r="CA9" s="478">
        <f>Operating!CA9-'Business lines'!CA53-'Business lines'!CA97</f>
        <v>2164202.3228515415</v>
      </c>
      <c r="CB9" s="478">
        <f>Operating!CB9-'Business lines'!CB53-'Business lines'!CB97</f>
        <v>1407099.8741983233</v>
      </c>
      <c r="CC9" s="225">
        <f t="shared" ref="CC9:CC10" si="25">SUM(BY9:CB9)</f>
        <v>6358882.9744283417</v>
      </c>
      <c r="CD9" s="478">
        <f>Operating!CD9-'Business lines'!CD53-'Business lines'!CD97</f>
        <v>1300123.8477116027</v>
      </c>
      <c r="CE9" s="478">
        <f>Operating!CE9-'Business lines'!CE53-'Business lines'!CE97</f>
        <v>1249275.5800817471</v>
      </c>
      <c r="CF9" s="478">
        <f>Operating!CF9-'Business lines'!CF53-'Business lines'!CF97</f>
        <v>1327384.7553936483</v>
      </c>
      <c r="CG9" s="478">
        <f>Operating!CG9-'Business lines'!CG53-'Business lines'!CG97</f>
        <v>1409213.1024610216</v>
      </c>
      <c r="CH9" s="225">
        <f>SUM(CD9:CG9)</f>
        <v>5285997.28564802</v>
      </c>
      <c r="CI9" s="478">
        <f>Operating!CI9-'Business lines'!CI53-'Business lines'!CI97</f>
        <v>1316246.4178423032</v>
      </c>
      <c r="CJ9" s="478">
        <f>Operating!CJ9-'Business lines'!CJ53-'Business lines'!CJ97</f>
        <v>1255792.6285634323</v>
      </c>
      <c r="CK9" s="478">
        <f>Operating!CK9-'Business lines'!CK53-'Business lines'!CK97</f>
        <v>1506816.7926102937</v>
      </c>
      <c r="CL9" s="478">
        <f>Operating!CL9-'Business lines'!CL53-'Business lines'!CL97</f>
        <v>1650362.8491988489</v>
      </c>
      <c r="CM9" s="225">
        <f>SUM(CI9:CL9)</f>
        <v>5729218.6882148776</v>
      </c>
      <c r="CN9" s="478">
        <f>Operating!CN9-'Business lines'!CN53-'Business lines'!CN97</f>
        <v>1120491.8645051697</v>
      </c>
      <c r="CO9" s="478">
        <f>Operating!CO9-'Business lines'!CO53-'Business lines'!CO97</f>
        <v>1288965.0615367792</v>
      </c>
      <c r="CP9" s="478">
        <f>Operating!CP9-'Business lines'!CP53-'Business lines'!CP97</f>
        <v>1578249.8997967818</v>
      </c>
      <c r="CQ9" s="478">
        <f>Operating!CQ9-'Business lines'!CQ53-'Business lines'!CQ97</f>
        <v>2055008.760654141</v>
      </c>
      <c r="CR9" s="225">
        <f>SUM(CN9:CQ9)</f>
        <v>6042715.5864928719</v>
      </c>
      <c r="CS9" s="478">
        <f>Operating!CS9-'Business lines'!CS53-'Business lines'!CS97</f>
        <v>1154827.1981376663</v>
      </c>
      <c r="CT9" s="478">
        <f>Operating!CT9-'Business lines'!CT53-'Business lines'!CT97</f>
        <v>1327198.5526635794</v>
      </c>
      <c r="CU9" s="478">
        <f>Operating!CU9-'Business lines'!CU53-'Business lines'!CU97</f>
        <v>1631405.9734030545</v>
      </c>
      <c r="CV9" s="478">
        <f>Operating!CV9-'Business lines'!CV53-'Business lines'!CV97</f>
        <v>2136214.7394607393</v>
      </c>
      <c r="CW9" s="225">
        <f>SUM(CS9:CV9)</f>
        <v>6249646.4636650393</v>
      </c>
      <c r="CX9" s="478">
        <f>Operating!CX9-'Business lines'!CX53-'Business lines'!CX97</f>
        <v>1011607.7000465968</v>
      </c>
      <c r="CY9" s="478">
        <f>Operating!CY9-'Business lines'!CY53-'Business lines'!CY97</f>
        <v>1228665.6162666585</v>
      </c>
      <c r="CZ9" s="478">
        <f>Operating!CZ9-'Business lines'!CZ53-'Business lines'!CZ97</f>
        <v>1578046.4068586854</v>
      </c>
      <c r="DA9" s="478">
        <f>Operating!DA9-'Business lines'!DA53-'Business lines'!DA97</f>
        <v>2126539.7269118261</v>
      </c>
      <c r="DB9" s="225">
        <f>SUM(CX9:DA9)</f>
        <v>5944859.4500837671</v>
      </c>
    </row>
    <row r="10" spans="1:106" s="7" customFormat="1" ht="11.5" customHeight="1" x14ac:dyDescent="0.35">
      <c r="A10" s="11" t="s">
        <v>62</v>
      </c>
      <c r="B10" s="478"/>
      <c r="C10" s="478"/>
      <c r="D10" s="478"/>
      <c r="E10" s="478"/>
      <c r="F10" s="226"/>
      <c r="G10" s="478"/>
      <c r="H10" s="478"/>
      <c r="I10" s="478"/>
      <c r="J10" s="478"/>
      <c r="K10" s="226"/>
      <c r="L10" s="478"/>
      <c r="M10" s="478"/>
      <c r="N10" s="478"/>
      <c r="O10" s="478"/>
      <c r="P10" s="226"/>
      <c r="Q10" s="478"/>
      <c r="R10" s="478"/>
      <c r="S10" s="478"/>
      <c r="T10" s="478"/>
      <c r="U10" s="226"/>
      <c r="V10" s="478"/>
      <c r="W10" s="478"/>
      <c r="X10" s="478"/>
      <c r="Y10" s="478"/>
      <c r="Z10" s="226"/>
      <c r="AA10" s="478"/>
      <c r="AB10" s="478"/>
      <c r="AC10" s="478"/>
      <c r="AD10" s="478"/>
      <c r="AE10" s="226"/>
      <c r="AF10" s="478"/>
      <c r="AG10" s="478"/>
      <c r="AH10" s="478"/>
      <c r="AI10" s="478"/>
      <c r="AJ10" s="226"/>
      <c r="AK10" s="478"/>
      <c r="AL10" s="478"/>
      <c r="AM10" s="478"/>
      <c r="AN10" s="478"/>
      <c r="AO10" s="226"/>
      <c r="AP10" s="478"/>
      <c r="AQ10" s="478"/>
      <c r="AR10" s="478"/>
      <c r="AS10" s="478"/>
      <c r="AT10" s="226"/>
      <c r="AU10" s="478"/>
      <c r="AV10" s="478"/>
      <c r="AW10" s="478"/>
      <c r="AX10" s="478"/>
      <c r="AY10" s="226"/>
      <c r="AZ10" s="478">
        <f>Operating!AZ10-'Business lines'!AZ54-'Business lines'!AZ98</f>
        <v>287822.1093220542</v>
      </c>
      <c r="BA10" s="478">
        <f>Operating!BA10-'Business lines'!BA54-'Business lines'!BA98</f>
        <v>175048.84766151084</v>
      </c>
      <c r="BB10" s="478">
        <f>Operating!BB10-'Business lines'!BB54-'Business lines'!BB98</f>
        <v>944223.19197747379</v>
      </c>
      <c r="BC10" s="478">
        <f>Operating!BC10-'Business lines'!BC54-'Business lines'!BC98</f>
        <v>846650.0679721327</v>
      </c>
      <c r="BD10" s="225">
        <f>SUM(AZ10:BC10)</f>
        <v>2253744.2169331713</v>
      </c>
      <c r="BE10" s="478">
        <f>Operating!BE10-'Business lines'!BE54-'Business lines'!BE98</f>
        <v>477466.72593975492</v>
      </c>
      <c r="BF10" s="478">
        <f>Operating!BF10-'Business lines'!BF54-'Business lines'!BF98</f>
        <v>860133.16735322378</v>
      </c>
      <c r="BG10" s="478">
        <f>Operating!BG10-'Business lines'!BG54-'Business lines'!BG98</f>
        <v>812668.62579776242</v>
      </c>
      <c r="BH10" s="478">
        <f>Operating!BH10-'Business lines'!BH54-'Business lines'!BH98</f>
        <v>693416.79750846652</v>
      </c>
      <c r="BI10" s="225">
        <f t="shared" si="21"/>
        <v>2843685.3165992075</v>
      </c>
      <c r="BJ10" s="478">
        <f>Operating!BJ10-'Business lines'!BJ54-'Business lines'!BJ98</f>
        <v>482933.73088789982</v>
      </c>
      <c r="BK10" s="478">
        <f>Operating!BK10-'Business lines'!BK54-'Business lines'!BK98</f>
        <v>615778.80481022527</v>
      </c>
      <c r="BL10" s="478">
        <f>Operating!BL10-'Business lines'!BL54-'Business lines'!BL98</f>
        <v>704830.4236554536</v>
      </c>
      <c r="BM10" s="478">
        <f>Operating!BM10-'Business lines'!BM54-'Business lines'!BM98</f>
        <v>652958.77160372445</v>
      </c>
      <c r="BN10" s="225">
        <f t="shared" si="22"/>
        <v>2456501.7309573032</v>
      </c>
      <c r="BO10" s="478">
        <f>Operating!BO10-'Business lines'!BO54-'Business lines'!BO98</f>
        <v>449645.96295720292</v>
      </c>
      <c r="BP10" s="478">
        <f>Operating!BP10-'Business lines'!BP54-'Business lines'!BP98</f>
        <v>1051593.4524310171</v>
      </c>
      <c r="BQ10" s="478">
        <f>Operating!BQ10-'Business lines'!BQ54-'Business lines'!BQ98</f>
        <v>741133.57054327591</v>
      </c>
      <c r="BR10" s="478">
        <f>Operating!BR10-'Business lines'!BR54-'Business lines'!BR98</f>
        <v>827708.75791219622</v>
      </c>
      <c r="BS10" s="225">
        <f t="shared" si="23"/>
        <v>3070081.7438436924</v>
      </c>
      <c r="BT10" s="478">
        <f>Operating!BT10-'Business lines'!BT54-'Business lines'!BT98</f>
        <v>947806.37475539383</v>
      </c>
      <c r="BU10" s="478">
        <f>Operating!BU10-'Business lines'!BU54-'Business lines'!BU98</f>
        <v>716846.22650469176</v>
      </c>
      <c r="BV10" s="478">
        <f>Operating!BV10-'Business lines'!BV54-'Business lines'!BV98</f>
        <v>1229367.8443804432</v>
      </c>
      <c r="BW10" s="478">
        <f>Operating!BW10-'Business lines'!BW54-'Business lines'!BW98</f>
        <v>2074783.3655223968</v>
      </c>
      <c r="BX10" s="225">
        <f t="shared" si="24"/>
        <v>4968803.8111629253</v>
      </c>
      <c r="BY10" s="478">
        <f>Operating!BY10-'Business lines'!BY54-'Business lines'!BY98</f>
        <v>1173695.5086485662</v>
      </c>
      <c r="BZ10" s="478">
        <f>Operating!BZ10-'Business lines'!BZ54-'Business lines'!BZ98</f>
        <v>804990.71307855635</v>
      </c>
      <c r="CA10" s="478">
        <f>Operating!CA10-'Business lines'!CA54-'Business lines'!CA98</f>
        <v>1532523.1635292287</v>
      </c>
      <c r="CB10" s="478">
        <f>Operating!CB10-'Business lines'!CB54-'Business lines'!CB98</f>
        <v>1000873.9216350755</v>
      </c>
      <c r="CC10" s="225">
        <f t="shared" si="25"/>
        <v>4512083.3068914264</v>
      </c>
      <c r="CD10" s="478">
        <f>Operating!CD10-'Business lines'!CD54-'Business lines'!CD98</f>
        <v>898533.9350127643</v>
      </c>
      <c r="CE10" s="478">
        <f>Operating!CE10-'Business lines'!CE54-'Business lines'!CE98</f>
        <v>849040.31239668769</v>
      </c>
      <c r="CF10" s="478">
        <f>Operating!CF10-'Business lines'!CF54-'Business lines'!CF98</f>
        <v>851869.52640479407</v>
      </c>
      <c r="CG10" s="478">
        <f>Operating!CG10-'Business lines'!CG54-'Business lines'!CG98</f>
        <v>897955.32331020525</v>
      </c>
      <c r="CH10" s="225">
        <f>SUM(CD10:CG10)</f>
        <v>3497399.0971244513</v>
      </c>
      <c r="CI10" s="478">
        <f>Operating!CI10-'Business lines'!CI54-'Business lines'!CI98</f>
        <v>881081.01506102341</v>
      </c>
      <c r="CJ10" s="478">
        <f>Operating!CJ10-'Business lines'!CJ54-'Business lines'!CJ98</f>
        <v>792172.32388599892</v>
      </c>
      <c r="CK10" s="478">
        <f>Operating!CK10-'Business lines'!CK54-'Business lines'!CK98</f>
        <v>963732.08434257796</v>
      </c>
      <c r="CL10" s="478">
        <f>Operating!CL10-'Business lines'!CL54-'Business lines'!CL98</f>
        <v>1095307.7689516209</v>
      </c>
      <c r="CM10" s="225">
        <f>SUM(CI10:CL10)</f>
        <v>3732293.1922412212</v>
      </c>
      <c r="CN10" s="478">
        <f>Operating!CN10-'Business lines'!CN54-'Business lines'!CN98</f>
        <v>716040.28081179084</v>
      </c>
      <c r="CO10" s="478">
        <f>Operating!CO10-'Business lines'!CO54-'Business lines'!CO98</f>
        <v>877512.36434858479</v>
      </c>
      <c r="CP10" s="478">
        <f>Operating!CP10-'Business lines'!CP54-'Business lines'!CP98</f>
        <v>1120853.9077164317</v>
      </c>
      <c r="CQ10" s="478">
        <f>Operating!CQ10-'Business lines'!CQ54-'Business lines'!CQ98</f>
        <v>1499518.461390814</v>
      </c>
      <c r="CR10" s="225">
        <f>SUM(CN10:CQ10)</f>
        <v>4213925.0142676216</v>
      </c>
      <c r="CS10" s="478">
        <f>Operating!CS10-'Business lines'!CS54-'Business lines'!CS98</f>
        <v>834336.29264580179</v>
      </c>
      <c r="CT10" s="478">
        <f>Operating!CT10-'Business lines'!CT54-'Business lines'!CT98</f>
        <v>973889.43176980643</v>
      </c>
      <c r="CU10" s="478">
        <f>Operating!CU10-'Business lines'!CU54-'Business lines'!CU98</f>
        <v>1212552.8595654271</v>
      </c>
      <c r="CV10" s="478">
        <f>Operating!CV10-'Business lines'!CV54-'Business lines'!CV98</f>
        <v>1601843.2044237724</v>
      </c>
      <c r="CW10" s="225">
        <f>SUM(CS10:CV10)</f>
        <v>4622621.7884048074</v>
      </c>
      <c r="CX10" s="478">
        <f>Operating!CX10-'Business lines'!CX54-'Business lines'!CX98</f>
        <v>758156.51103081834</v>
      </c>
      <c r="CY10" s="478">
        <f>Operating!CY10-'Business lines'!CY54-'Business lines'!CY98</f>
        <v>920559.91646205378</v>
      </c>
      <c r="CZ10" s="478">
        <f>Operating!CZ10-'Business lines'!CZ54-'Business lines'!CZ98</f>
        <v>1182128.651448915</v>
      </c>
      <c r="DA10" s="478">
        <f>Operating!DA10-'Business lines'!DA54-'Business lines'!DA98</f>
        <v>1593007.0805367902</v>
      </c>
      <c r="DB10" s="225">
        <f>SUM(CX10:DA10)</f>
        <v>4453852.1594785769</v>
      </c>
    </row>
    <row r="11" spans="1:106" s="7" customFormat="1" ht="11.5" customHeight="1" x14ac:dyDescent="0.35">
      <c r="A11" s="7" t="s">
        <v>66</v>
      </c>
      <c r="B11" s="340"/>
      <c r="C11" s="340"/>
      <c r="D11" s="340"/>
      <c r="E11" s="340"/>
      <c r="F11" s="341"/>
      <c r="G11" s="340"/>
      <c r="H11" s="340"/>
      <c r="I11" s="340"/>
      <c r="J11" s="340"/>
      <c r="K11" s="341"/>
      <c r="L11" s="340"/>
      <c r="M11" s="340"/>
      <c r="N11" s="340"/>
      <c r="O11" s="340"/>
      <c r="P11" s="341"/>
      <c r="Q11" s="340"/>
      <c r="R11" s="340"/>
      <c r="S11" s="340"/>
      <c r="T11" s="340"/>
      <c r="U11" s="341"/>
      <c r="V11" s="340"/>
      <c r="W11" s="340"/>
      <c r="X11" s="340"/>
      <c r="Y11" s="340"/>
      <c r="Z11" s="341"/>
      <c r="AA11" s="340"/>
      <c r="AB11" s="340"/>
      <c r="AC11" s="340"/>
      <c r="AD11" s="340"/>
      <c r="AE11" s="341"/>
      <c r="AF11" s="340"/>
      <c r="AG11" s="340"/>
      <c r="AH11" s="340"/>
      <c r="AI11" s="340"/>
      <c r="AJ11" s="341"/>
      <c r="AK11" s="340"/>
      <c r="AL11" s="340"/>
      <c r="AM11" s="340"/>
      <c r="AN11" s="340"/>
      <c r="AO11" s="341"/>
      <c r="AP11" s="340"/>
      <c r="AQ11" s="340"/>
      <c r="AR11" s="340"/>
      <c r="AS11" s="340"/>
      <c r="AT11" s="341"/>
      <c r="AU11" s="340"/>
      <c r="AV11" s="340"/>
      <c r="AW11" s="340"/>
      <c r="AX11" s="340"/>
      <c r="AY11" s="341"/>
      <c r="AZ11" s="340">
        <f t="shared" ref="AZ11:BD11" si="26">AZ10/AZ9</f>
        <v>0.80149683621315837</v>
      </c>
      <c r="BA11" s="340">
        <f t="shared" si="26"/>
        <v>0.8843845717336366</v>
      </c>
      <c r="BB11" s="340">
        <f t="shared" si="26"/>
        <v>0.93285429832016153</v>
      </c>
      <c r="BC11" s="340">
        <f t="shared" si="26"/>
        <v>0.92502035214260736</v>
      </c>
      <c r="BD11" s="341">
        <f t="shared" si="26"/>
        <v>0.90712069967492093</v>
      </c>
      <c r="BE11" s="340">
        <f t="shared" ref="BE11:CC11" si="27">BE10/BE9</f>
        <v>0.92439824991192676</v>
      </c>
      <c r="BF11" s="340">
        <f t="shared" si="27"/>
        <v>0.88667145891886656</v>
      </c>
      <c r="BG11" s="340">
        <f t="shared" si="27"/>
        <v>0.90958838422163579</v>
      </c>
      <c r="BH11" s="340">
        <f t="shared" si="27"/>
        <v>0.90789958591832964</v>
      </c>
      <c r="BI11" s="341">
        <f t="shared" si="27"/>
        <v>0.90453992187247023</v>
      </c>
      <c r="BJ11" s="340">
        <f t="shared" si="27"/>
        <v>0.89695710235872428</v>
      </c>
      <c r="BK11" s="340">
        <f t="shared" si="27"/>
        <v>0.99369394939566513</v>
      </c>
      <c r="BL11" s="340">
        <f t="shared" si="27"/>
        <v>0.84778354517998156</v>
      </c>
      <c r="BM11" s="340">
        <f t="shared" si="27"/>
        <v>0.5484265874922879</v>
      </c>
      <c r="BN11" s="341">
        <f t="shared" si="27"/>
        <v>0.77246443097998818</v>
      </c>
      <c r="BO11" s="340">
        <f t="shared" si="27"/>
        <v>0.61247888334683387</v>
      </c>
      <c r="BP11" s="340">
        <f t="shared" si="27"/>
        <v>0.84082360241554044</v>
      </c>
      <c r="BQ11" s="340">
        <f t="shared" si="27"/>
        <v>0.69719436087003772</v>
      </c>
      <c r="BR11" s="340">
        <f t="shared" si="27"/>
        <v>0.65939936071472072</v>
      </c>
      <c r="BS11" s="341">
        <f t="shared" si="27"/>
        <v>0.71346124459505422</v>
      </c>
      <c r="BT11" s="340">
        <f t="shared" si="27"/>
        <v>0.78356577079040246</v>
      </c>
      <c r="BU11" s="340">
        <f t="shared" si="27"/>
        <v>0.66042506097304821</v>
      </c>
      <c r="BV11" s="340">
        <f t="shared" si="27"/>
        <v>0.75774211711899864</v>
      </c>
      <c r="BW11" s="340">
        <f t="shared" si="27"/>
        <v>0.69226367463301053</v>
      </c>
      <c r="BX11" s="341">
        <f t="shared" si="27"/>
        <v>0.7186014533376297</v>
      </c>
      <c r="BY11" s="340">
        <f t="shared" si="27"/>
        <v>0.7567182327171158</v>
      </c>
      <c r="BZ11" s="340">
        <f t="shared" si="27"/>
        <v>0.65099885976952088</v>
      </c>
      <c r="CA11" s="340">
        <f t="shared" si="27"/>
        <v>0.70812379570408379</v>
      </c>
      <c r="CB11" s="340">
        <f t="shared" ref="CB11" si="28">CB10/CB9</f>
        <v>0.71130268717088063</v>
      </c>
      <c r="CC11" s="341">
        <f t="shared" si="27"/>
        <v>0.70957168500133605</v>
      </c>
      <c r="CD11" s="340">
        <f t="shared" ref="CD11:CE11" si="29">CD10/CD9</f>
        <v>0.69111410931682238</v>
      </c>
      <c r="CE11" s="340">
        <f t="shared" si="29"/>
        <v>0.67962611767463688</v>
      </c>
      <c r="CF11" s="340">
        <f t="shared" ref="CF11:CG11" si="30">CF10/CF9</f>
        <v>0.64176533815334069</v>
      </c>
      <c r="CG11" s="340">
        <f t="shared" si="30"/>
        <v>0.63720335962107788</v>
      </c>
      <c r="CH11" s="341">
        <f t="shared" ref="CH11:DB11" si="31">CH10/CH9</f>
        <v>0.66163467518612218</v>
      </c>
      <c r="CI11" s="340">
        <f t="shared" si="31"/>
        <v>0.66938910763028869</v>
      </c>
      <c r="CJ11" s="340">
        <f t="shared" si="31"/>
        <v>0.63081459937554085</v>
      </c>
      <c r="CK11" s="340">
        <f t="shared" si="31"/>
        <v>0.63958146011439287</v>
      </c>
      <c r="CL11" s="340">
        <f t="shared" si="31"/>
        <v>0.66367694200298222</v>
      </c>
      <c r="CM11" s="341">
        <f t="shared" si="31"/>
        <v>0.65144889649938242</v>
      </c>
      <c r="CN11" s="340">
        <f t="shared" si="31"/>
        <v>0.63904103500832443</v>
      </c>
      <c r="CO11" s="340">
        <f t="shared" si="31"/>
        <v>0.68078832431839809</v>
      </c>
      <c r="CP11" s="340">
        <f t="shared" si="31"/>
        <v>0.71018785292541742</v>
      </c>
      <c r="CQ11" s="340">
        <f t="shared" si="31"/>
        <v>0.72968957120819977</v>
      </c>
      <c r="CR11" s="341">
        <f t="shared" si="31"/>
        <v>0.69735617272586858</v>
      </c>
      <c r="CS11" s="340">
        <f t="shared" si="31"/>
        <v>0.72247717579850501</v>
      </c>
      <c r="CT11" s="340">
        <f t="shared" si="31"/>
        <v>0.73379331963200967</v>
      </c>
      <c r="CU11" s="340">
        <f t="shared" si="31"/>
        <v>0.74325635637834842</v>
      </c>
      <c r="CV11" s="340">
        <f t="shared" si="31"/>
        <v>0.74985120869830613</v>
      </c>
      <c r="CW11" s="341">
        <f t="shared" si="31"/>
        <v>0.73966132568944065</v>
      </c>
      <c r="CX11" s="340">
        <f t="shared" si="31"/>
        <v>0.7494570385297542</v>
      </c>
      <c r="CY11" s="340">
        <f t="shared" si="31"/>
        <v>0.74923551556623336</v>
      </c>
      <c r="CZ11" s="340">
        <f t="shared" si="31"/>
        <v>0.74910892753914748</v>
      </c>
      <c r="DA11" s="340">
        <f t="shared" si="31"/>
        <v>0.74910760442277968</v>
      </c>
      <c r="DB11" s="341">
        <f t="shared" si="31"/>
        <v>0.74919385342504929</v>
      </c>
    </row>
    <row r="12" spans="1:106" s="7" customFormat="1" ht="11.5" customHeight="1" x14ac:dyDescent="0.35">
      <c r="A12" s="7" t="s">
        <v>38</v>
      </c>
      <c r="B12" s="479"/>
      <c r="C12" s="479"/>
      <c r="D12" s="479"/>
      <c r="E12" s="479"/>
      <c r="F12" s="98"/>
      <c r="G12" s="479"/>
      <c r="H12" s="479"/>
      <c r="I12" s="479"/>
      <c r="J12" s="479"/>
      <c r="K12" s="98"/>
      <c r="L12" s="479"/>
      <c r="M12" s="479"/>
      <c r="N12" s="479"/>
      <c r="O12" s="479"/>
      <c r="P12" s="98"/>
      <c r="Q12" s="479"/>
      <c r="R12" s="479"/>
      <c r="S12" s="479"/>
      <c r="T12" s="479"/>
      <c r="U12" s="98"/>
      <c r="V12" s="479"/>
      <c r="W12" s="479"/>
      <c r="X12" s="479"/>
      <c r="Y12" s="479"/>
      <c r="Z12" s="98"/>
      <c r="AA12" s="479"/>
      <c r="AB12" s="479"/>
      <c r="AC12" s="479"/>
      <c r="AD12" s="479"/>
      <c r="AE12" s="98"/>
      <c r="AF12" s="479"/>
      <c r="AG12" s="479"/>
      <c r="AH12" s="479"/>
      <c r="AI12" s="479"/>
      <c r="AJ12" s="98"/>
      <c r="AK12" s="479"/>
      <c r="AL12" s="479"/>
      <c r="AM12" s="479"/>
      <c r="AN12" s="479"/>
      <c r="AO12" s="98"/>
      <c r="AP12" s="479"/>
      <c r="AQ12" s="479"/>
      <c r="AR12" s="479"/>
      <c r="AS12" s="479"/>
      <c r="AT12" s="98"/>
      <c r="AU12" s="479"/>
      <c r="AV12" s="479"/>
      <c r="AW12" s="479"/>
      <c r="AX12" s="479"/>
      <c r="AY12" s="98"/>
      <c r="AZ12" s="479">
        <f>Operating!AZ12-'Business lines'!AZ56-'Business lines'!AZ100</f>
        <v>380</v>
      </c>
      <c r="BA12" s="479">
        <f>Operating!BA12-'Business lines'!BA56-'Business lines'!BA100</f>
        <v>225</v>
      </c>
      <c r="BB12" s="479">
        <f>Operating!BB12-'Business lines'!BB56-'Business lines'!BB100</f>
        <v>956</v>
      </c>
      <c r="BC12" s="479">
        <f>Operating!BC12-'Business lines'!BC56-'Business lines'!BC100</f>
        <v>1048</v>
      </c>
      <c r="BD12" s="339">
        <f>SUM(AZ12:BC12)</f>
        <v>2609</v>
      </c>
      <c r="BE12" s="479">
        <f>Operating!BE12-'Business lines'!BE56-'Business lines'!BE100</f>
        <v>472</v>
      </c>
      <c r="BF12" s="479">
        <f>Operating!BF12-'Business lines'!BF56-'Business lines'!BF100</f>
        <v>1295</v>
      </c>
      <c r="BG12" s="479">
        <f>Operating!BG12-'Business lines'!BG56-'Business lines'!BG100</f>
        <v>807</v>
      </c>
      <c r="BH12" s="479">
        <f>Operating!BH12-'Business lines'!BH56-'Business lines'!BH100</f>
        <v>1834</v>
      </c>
      <c r="BI12" s="339">
        <f t="shared" ref="BI12" si="32">SUM(BE12:BH12)</f>
        <v>4408</v>
      </c>
      <c r="BJ12" s="479">
        <f>Operating!BJ12-'Business lines'!BJ56-'Business lines'!BJ100</f>
        <v>587</v>
      </c>
      <c r="BK12" s="479">
        <f>Operating!BK12-'Business lines'!BK56-'Business lines'!BK100</f>
        <v>510</v>
      </c>
      <c r="BL12" s="479">
        <f>Operating!BL12-'Business lines'!BL56-'Business lines'!BL100</f>
        <v>736</v>
      </c>
      <c r="BM12" s="479">
        <f>Operating!BM12-'Business lines'!BM56-'Business lines'!BM100</f>
        <v>1617</v>
      </c>
      <c r="BN12" s="339">
        <f t="shared" ref="BN12" si="33">SUM(BJ12:BM12)</f>
        <v>3450</v>
      </c>
      <c r="BO12" s="479">
        <f>Operating!BO12-'Business lines'!BO56-'Business lines'!BO100</f>
        <v>614</v>
      </c>
      <c r="BP12" s="479">
        <f>Operating!BP12-'Business lines'!BP56-'Business lines'!BP100</f>
        <v>1238</v>
      </c>
      <c r="BQ12" s="479">
        <f>Operating!BQ12-'Business lines'!BQ56-'Business lines'!BQ100</f>
        <v>924</v>
      </c>
      <c r="BR12" s="479">
        <f>Operating!BR12-'Business lines'!BR56-'Business lines'!BR100</f>
        <v>880</v>
      </c>
      <c r="BS12" s="339">
        <f t="shared" ref="BS12" si="34">SUM(BO12:BR12)</f>
        <v>3656</v>
      </c>
      <c r="BT12" s="479">
        <f>Operating!BT12-'Business lines'!BT56-'Business lines'!BT100</f>
        <v>1178.6666666666665</v>
      </c>
      <c r="BU12" s="479">
        <f>Operating!BU12-'Business lines'!BU56-'Business lines'!BU100</f>
        <v>846.33333333333303</v>
      </c>
      <c r="BV12" s="479">
        <f>Operating!BV12-'Business lines'!BV56-'Business lines'!BV100</f>
        <v>1358</v>
      </c>
      <c r="BW12" s="479">
        <f>Operating!BW12-'Business lines'!BW56-'Business lines'!BW100</f>
        <v>2244</v>
      </c>
      <c r="BX12" s="339">
        <f t="shared" ref="BX12" si="35">SUM(BT12:BW12)</f>
        <v>5627</v>
      </c>
      <c r="BY12" s="479">
        <f>Operating!BY12-'Business lines'!BY56-'Business lines'!BY100</f>
        <v>1066</v>
      </c>
      <c r="BZ12" s="479">
        <f>Operating!BZ12-'Business lines'!BZ56-'Business lines'!BZ100</f>
        <v>1254</v>
      </c>
      <c r="CA12" s="479">
        <f>Operating!CA12-'Business lines'!CA56-'Business lines'!CA100</f>
        <v>1181</v>
      </c>
      <c r="CB12" s="479">
        <f>Operating!CB12-'Business lines'!CB56-'Business lines'!CB100</f>
        <v>830</v>
      </c>
      <c r="CC12" s="339">
        <f t="shared" ref="CC12" si="36">SUM(BY12:CB12)</f>
        <v>4331</v>
      </c>
      <c r="CD12" s="479">
        <f>Operating!CD12-'Business lines'!CD56-'Business lines'!CD100</f>
        <v>1567</v>
      </c>
      <c r="CE12" s="479">
        <f>Operating!CE12-'Business lines'!CE56-'Business lines'!CE100</f>
        <v>850</v>
      </c>
      <c r="CF12" s="479">
        <f>Operating!CF12-'Business lines'!CF56-'Business lines'!CF100</f>
        <v>-139.29215657581244</v>
      </c>
      <c r="CG12" s="479">
        <f>Operating!CG12-'Business lines'!CG56-'Business lines'!CG100</f>
        <v>245.64065389881489</v>
      </c>
      <c r="CH12" s="339">
        <f>SUM(CD12:CG12)</f>
        <v>2523.3484973230024</v>
      </c>
      <c r="CI12" s="479">
        <f>Operating!CI12-'Business lines'!CI56-'Business lines'!CI100</f>
        <v>516.20221321588542</v>
      </c>
      <c r="CJ12" s="479">
        <f>Operating!CJ12-'Business lines'!CJ56-'Business lines'!CJ100</f>
        <v>259.76079967750047</v>
      </c>
      <c r="CK12" s="479">
        <f>Operating!CK12-'Business lines'!CK56-'Business lines'!CK100</f>
        <v>995.78256722247716</v>
      </c>
      <c r="CL12" s="479">
        <f>Operating!CL12-'Business lines'!CL56-'Business lines'!CL100</f>
        <v>1171.9826861626934</v>
      </c>
      <c r="CM12" s="339">
        <f>SUM(CI12:CL12)</f>
        <v>2943.7282662785565</v>
      </c>
      <c r="CN12" s="479">
        <f>Operating!CN12-'Business lines'!CN56-'Business lines'!CN100</f>
        <v>297.9140374069475</v>
      </c>
      <c r="CO12" s="479">
        <f>Operating!CO12-'Business lines'!CO56-'Business lines'!CO100</f>
        <v>500.30368893793639</v>
      </c>
      <c r="CP12" s="479">
        <f>Operating!CP12-'Business lines'!CP56-'Business lines'!CP100</f>
        <v>1056.0315200449104</v>
      </c>
      <c r="CQ12" s="479">
        <f>Operating!CQ12-'Business lines'!CQ56-'Business lines'!CQ100</f>
        <v>2134.3505024838951</v>
      </c>
      <c r="CR12" s="339">
        <f>SUM(CN12:CQ12)</f>
        <v>3988.5997488736894</v>
      </c>
      <c r="CS12" s="479">
        <f>Operating!CS12-'Business lines'!CS56-'Business lines'!CS100</f>
        <v>609.79208268590628</v>
      </c>
      <c r="CT12" s="479">
        <f>Operating!CT12-'Business lines'!CT56-'Business lines'!CT100</f>
        <v>902.12535833790844</v>
      </c>
      <c r="CU12" s="479">
        <f>Operating!CU12-'Business lines'!CU56-'Business lines'!CU100</f>
        <v>1469.910970604974</v>
      </c>
      <c r="CV12" s="479">
        <f>Operating!CV12-'Business lines'!CV56-'Business lines'!CV100</f>
        <v>2447.9727091426012</v>
      </c>
      <c r="CW12" s="339">
        <f>SUM(CS12:CV12)</f>
        <v>5429.8011207713898</v>
      </c>
      <c r="CX12" s="479">
        <f>Operating!CX12-'Business lines'!CX56-'Business lines'!CX100</f>
        <v>-9.6542239013269864</v>
      </c>
      <c r="CY12" s="479">
        <f>Operating!CY12-'Business lines'!CY56-'Business lines'!CY100</f>
        <v>358.47229120928114</v>
      </c>
      <c r="CZ12" s="479">
        <f>Operating!CZ12-'Business lines'!CZ56-'Business lines'!CZ100</f>
        <v>993.59350933713995</v>
      </c>
      <c r="DA12" s="479">
        <f>Operating!DA12-'Business lines'!DA56-'Business lines'!DA100</f>
        <v>2021.7416984672655</v>
      </c>
      <c r="DB12" s="339">
        <f>SUM(CX12:DA12)</f>
        <v>3364.1532751123596</v>
      </c>
    </row>
    <row r="13" spans="1:106" s="7" customFormat="1" ht="11.5" customHeight="1" x14ac:dyDescent="0.35">
      <c r="A13" s="78" t="s">
        <v>68</v>
      </c>
      <c r="B13" s="93"/>
      <c r="C13" s="93"/>
      <c r="D13" s="93"/>
      <c r="E13" s="93"/>
      <c r="F13" s="73"/>
      <c r="G13" s="93"/>
      <c r="H13" s="93"/>
      <c r="I13" s="93"/>
      <c r="J13" s="93"/>
      <c r="K13" s="73"/>
      <c r="L13" s="93"/>
      <c r="M13" s="93"/>
      <c r="N13" s="93"/>
      <c r="O13" s="93"/>
      <c r="P13" s="73"/>
      <c r="Q13" s="93"/>
      <c r="R13" s="93"/>
      <c r="S13" s="93"/>
      <c r="T13" s="93"/>
      <c r="U13" s="73"/>
      <c r="V13" s="93"/>
      <c r="W13" s="93"/>
      <c r="X13" s="93"/>
      <c r="Y13" s="93"/>
      <c r="Z13" s="73"/>
      <c r="AA13" s="93"/>
      <c r="AB13" s="93"/>
      <c r="AC13" s="93"/>
      <c r="AD13" s="93"/>
      <c r="AE13" s="73"/>
      <c r="AF13" s="93"/>
      <c r="AG13" s="93"/>
      <c r="AH13" s="93"/>
      <c r="AI13" s="93"/>
      <c r="AJ13" s="73"/>
      <c r="AK13" s="93"/>
      <c r="AL13" s="93"/>
      <c r="AM13" s="93"/>
      <c r="AN13" s="93"/>
      <c r="AO13" s="73"/>
      <c r="AP13" s="93"/>
      <c r="AQ13" s="93"/>
      <c r="AR13" s="93"/>
      <c r="AS13" s="93"/>
      <c r="AT13" s="73"/>
      <c r="AU13" s="93"/>
      <c r="AV13" s="93"/>
      <c r="AW13" s="93"/>
      <c r="AX13" s="93"/>
      <c r="AY13" s="73"/>
      <c r="AZ13" s="93">
        <f t="shared" ref="AZ13:BD13" si="37">AZ9*1000/AZ12</f>
        <v>945015.08834109991</v>
      </c>
      <c r="BA13" s="93">
        <f t="shared" si="37"/>
        <v>879702.00223022897</v>
      </c>
      <c r="BB13" s="93">
        <f t="shared" si="37"/>
        <v>1058773.234935961</v>
      </c>
      <c r="BC13" s="93">
        <f t="shared" si="37"/>
        <v>873356.13794034487</v>
      </c>
      <c r="BD13" s="159">
        <f t="shared" si="37"/>
        <v>952281.76666603272</v>
      </c>
      <c r="BE13" s="93">
        <f t="shared" ref="BE13:CC13" si="38">BE9*1000/BE12</f>
        <v>1094314.1082092177</v>
      </c>
      <c r="BF13" s="93">
        <f t="shared" si="38"/>
        <v>749088.61601964734</v>
      </c>
      <c r="BG13" s="93">
        <f t="shared" si="38"/>
        <v>1107120.9097659502</v>
      </c>
      <c r="BH13" s="93">
        <f t="shared" si="38"/>
        <v>416444.5746413818</v>
      </c>
      <c r="BI13" s="159">
        <f t="shared" si="38"/>
        <v>713201.43849673553</v>
      </c>
      <c r="BJ13" s="93">
        <f t="shared" si="38"/>
        <v>917228.97554247989</v>
      </c>
      <c r="BK13" s="93">
        <f t="shared" si="38"/>
        <v>1215071.7249821541</v>
      </c>
      <c r="BL13" s="93">
        <f t="shared" si="38"/>
        <v>1129592.615456173</v>
      </c>
      <c r="BM13" s="93">
        <f t="shared" si="38"/>
        <v>736304.13503446116</v>
      </c>
      <c r="BN13" s="159">
        <f t="shared" si="38"/>
        <v>921763.46078573959</v>
      </c>
      <c r="BO13" s="93">
        <f t="shared" si="38"/>
        <v>1195669.6551529034</v>
      </c>
      <c r="BP13" s="93">
        <f t="shared" si="38"/>
        <v>1010234.8228831206</v>
      </c>
      <c r="BQ13" s="93">
        <f t="shared" si="38"/>
        <v>1150457.6827215406</v>
      </c>
      <c r="BR13" s="93">
        <f t="shared" si="38"/>
        <v>1426416.5087628269</v>
      </c>
      <c r="BS13" s="159">
        <f t="shared" si="38"/>
        <v>1176991.6043597313</v>
      </c>
      <c r="BT13" s="93">
        <f t="shared" si="38"/>
        <v>1026249.9941915354</v>
      </c>
      <c r="BU13" s="93">
        <f t="shared" si="38"/>
        <v>1282510.7449161487</v>
      </c>
      <c r="BV13" s="93">
        <f t="shared" si="38"/>
        <v>1194704.920669771</v>
      </c>
      <c r="BW13" s="93">
        <f t="shared" si="38"/>
        <v>1335606.0002752992</v>
      </c>
      <c r="BX13" s="159">
        <f t="shared" si="38"/>
        <v>1228815.9588570185</v>
      </c>
      <c r="BY13" s="93">
        <f t="shared" si="38"/>
        <v>1455003.5060020357</v>
      </c>
      <c r="BZ13" s="93">
        <f t="shared" si="38"/>
        <v>986082.16904330731</v>
      </c>
      <c r="CA13" s="93">
        <f t="shared" si="38"/>
        <v>1832516.7848023213</v>
      </c>
      <c r="CB13" s="93">
        <f t="shared" ref="CB13" si="39">CB9*1000/CB12</f>
        <v>1695301.053250992</v>
      </c>
      <c r="CC13" s="159">
        <f t="shared" si="38"/>
        <v>1468225.1153147868</v>
      </c>
      <c r="CD13" s="93">
        <f t="shared" ref="CD13:CE13" si="40">CD9*1000/CD12</f>
        <v>829689.7560380362</v>
      </c>
      <c r="CE13" s="93">
        <f t="shared" si="40"/>
        <v>1469735.9765667613</v>
      </c>
      <c r="CF13" s="93">
        <f t="shared" ref="CF13:DB13" si="41">CF9*1000/CF12</f>
        <v>-9529501.0718797632</v>
      </c>
      <c r="CG13" s="93">
        <f t="shared" si="41"/>
        <v>5736888.7441632906</v>
      </c>
      <c r="CH13" s="159">
        <f t="shared" si="41"/>
        <v>2094834.4199209448</v>
      </c>
      <c r="CI13" s="93">
        <f t="shared" si="41"/>
        <v>2549865.8939143764</v>
      </c>
      <c r="CJ13" s="93">
        <f t="shared" si="41"/>
        <v>4834419.3200919079</v>
      </c>
      <c r="CK13" s="93">
        <f t="shared" si="41"/>
        <v>1513198.6060101828</v>
      </c>
      <c r="CL13" s="93">
        <f t="shared" si="41"/>
        <v>1408180.2305480025</v>
      </c>
      <c r="CM13" s="159">
        <f t="shared" si="41"/>
        <v>1946245.7706593012</v>
      </c>
      <c r="CN13" s="93">
        <f t="shared" si="41"/>
        <v>3761124.7669225782</v>
      </c>
      <c r="CO13" s="93">
        <f t="shared" si="41"/>
        <v>2576365.2957927273</v>
      </c>
      <c r="CP13" s="93">
        <f t="shared" si="41"/>
        <v>1494510.2204237832</v>
      </c>
      <c r="CQ13" s="93">
        <f t="shared" si="41"/>
        <v>962826.28287274344</v>
      </c>
      <c r="CR13" s="159">
        <f t="shared" si="41"/>
        <v>1514996.732424513</v>
      </c>
      <c r="CS13" s="93">
        <f t="shared" si="41"/>
        <v>1893804.84090755</v>
      </c>
      <c r="CT13" s="93">
        <f t="shared" si="41"/>
        <v>1471190.8277457508</v>
      </c>
      <c r="CU13" s="93">
        <f t="shared" si="41"/>
        <v>1109867.2001417975</v>
      </c>
      <c r="CV13" s="93">
        <f t="shared" si="41"/>
        <v>872646.46843589423</v>
      </c>
      <c r="CW13" s="159">
        <f t="shared" si="41"/>
        <v>1150989.9395315563</v>
      </c>
      <c r="CX13" s="93">
        <f t="shared" si="41"/>
        <v>-104783948.49611369</v>
      </c>
      <c r="CY13" s="93">
        <f t="shared" si="41"/>
        <v>3427505.1277236552</v>
      </c>
      <c r="CZ13" s="93">
        <f t="shared" si="41"/>
        <v>1588221.3319926516</v>
      </c>
      <c r="DA13" s="93">
        <f t="shared" si="41"/>
        <v>1051835.5181198523</v>
      </c>
      <c r="DB13" s="159">
        <f t="shared" si="41"/>
        <v>1767119.0828501161</v>
      </c>
    </row>
    <row r="14" spans="1:106" s="7" customFormat="1" ht="11.5" customHeight="1" x14ac:dyDescent="0.35">
      <c r="A14" s="132" t="s">
        <v>265</v>
      </c>
      <c r="B14" s="480"/>
      <c r="C14" s="480"/>
      <c r="D14" s="480"/>
      <c r="E14" s="480"/>
      <c r="F14" s="226"/>
      <c r="G14" s="480"/>
      <c r="H14" s="480"/>
      <c r="I14" s="480"/>
      <c r="J14" s="480"/>
      <c r="K14" s="226"/>
      <c r="L14" s="480"/>
      <c r="M14" s="480"/>
      <c r="N14" s="480"/>
      <c r="O14" s="480"/>
      <c r="P14" s="226"/>
      <c r="Q14" s="480"/>
      <c r="R14" s="480"/>
      <c r="S14" s="480"/>
      <c r="T14" s="480"/>
      <c r="U14" s="226"/>
      <c r="V14" s="480"/>
      <c r="W14" s="480"/>
      <c r="X14" s="480"/>
      <c r="Y14" s="480"/>
      <c r="Z14" s="226"/>
      <c r="AA14" s="480"/>
      <c r="AB14" s="480"/>
      <c r="AC14" s="480"/>
      <c r="AD14" s="480"/>
      <c r="AE14" s="226"/>
      <c r="AF14" s="480"/>
      <c r="AG14" s="480"/>
      <c r="AH14" s="480"/>
      <c r="AI14" s="480"/>
      <c r="AJ14" s="226"/>
      <c r="AK14" s="480"/>
      <c r="AL14" s="480"/>
      <c r="AM14" s="480"/>
      <c r="AN14" s="480"/>
      <c r="AO14" s="226"/>
      <c r="AP14" s="480"/>
      <c r="AQ14" s="480"/>
      <c r="AR14" s="480"/>
      <c r="AS14" s="480"/>
      <c r="AT14" s="226"/>
      <c r="AU14" s="480"/>
      <c r="AV14" s="480"/>
      <c r="AW14" s="480"/>
      <c r="AX14" s="480"/>
      <c r="AY14" s="226"/>
      <c r="AZ14" s="480">
        <f>Operating!AZ24-'Business lines'!AZ58-'Business lines'!AZ102</f>
        <v>3026725.8526823833</v>
      </c>
      <c r="BA14" s="480">
        <f>Operating!BA24-'Business lines'!BA58-'Business lines'!BA102</f>
        <v>2837874.3115494531</v>
      </c>
      <c r="BB14" s="480">
        <f>Operating!BB24-'Business lines'!BB58-'Business lines'!BB102</f>
        <v>2796509.5885978807</v>
      </c>
      <c r="BC14" s="480">
        <f>Operating!BC24-'Business lines'!BC58-'Business lines'!BC102</f>
        <v>3231029.581798322</v>
      </c>
      <c r="BD14" s="226">
        <f>BC14</f>
        <v>3231029.581798322</v>
      </c>
      <c r="BE14" s="480">
        <f>Operating!BE24-'Business lines'!BE58-'Business lines'!BE102</f>
        <v>3088017.1229450237</v>
      </c>
      <c r="BF14" s="480">
        <f>Operating!BF24-'Business lines'!BF58-'Business lines'!BF102</f>
        <v>3425348.0985161206</v>
      </c>
      <c r="BG14" s="480">
        <f>Operating!BG24-'Business lines'!BG58-'Business lines'!BG102</f>
        <v>3980697.9032242084</v>
      </c>
      <c r="BH14" s="480">
        <f>Operating!BH24-'Business lines'!BH58-'Business lines'!BH102</f>
        <v>4084049.1701457025</v>
      </c>
      <c r="BI14" s="226">
        <f t="shared" ref="BI14" si="42">BH14</f>
        <v>4084049.1701457025</v>
      </c>
      <c r="BJ14" s="480">
        <f>Operating!BJ24-'Business lines'!BJ58-'Business lines'!BJ102</f>
        <v>4025368.3010008363</v>
      </c>
      <c r="BK14" s="480">
        <f>Operating!BK24-'Business lines'!BK58-'Business lines'!BK102</f>
        <v>4563214.3521134788</v>
      </c>
      <c r="BL14" s="480">
        <f>Operating!BL24-'Business lines'!BL58-'Business lines'!BL102</f>
        <v>4829898.0985187432</v>
      </c>
      <c r="BM14" s="480">
        <f>Operating!BM24-'Business lines'!BM58-'Business lines'!BM102</f>
        <v>4840468.413166699</v>
      </c>
      <c r="BN14" s="226">
        <f t="shared" ref="BN14" si="43">BM14</f>
        <v>4840468.413166699</v>
      </c>
      <c r="BO14" s="480">
        <f>Operating!BO24-'Business lines'!BO58-'Business lines'!BO102</f>
        <v>4720322.1608109623</v>
      </c>
      <c r="BP14" s="480">
        <f>Operating!BP24-'Business lines'!BP58-'Business lines'!BP102</f>
        <v>5294369.0169918388</v>
      </c>
      <c r="BQ14" s="480">
        <f>Operating!BQ24-'Business lines'!BQ58-'Business lines'!BQ102</f>
        <v>5395783.5212947484</v>
      </c>
      <c r="BR14" s="480">
        <f>Operating!BR24-'Business lines'!BR58-'Business lines'!BR102</f>
        <v>5647463.5413336009</v>
      </c>
      <c r="BS14" s="226">
        <f t="shared" ref="BS14" si="44">BR14</f>
        <v>5647463.5413336009</v>
      </c>
      <c r="BT14" s="480">
        <f>Operating!BT24-'Business lines'!BT58-'Business lines'!BT102</f>
        <v>5441441.3640709613</v>
      </c>
      <c r="BU14" s="480">
        <f>Operating!BU24-'Business lines'!BU58-'Business lines'!BU102</f>
        <v>5107312.57554965</v>
      </c>
      <c r="BV14" s="480">
        <f>Operating!BV24-'Business lines'!BV58-'Business lines'!BV102</f>
        <v>4965577.9647425199</v>
      </c>
      <c r="BW14" s="480">
        <f>Operating!BW24-'Business lines'!BW58-'Business lines'!BW102</f>
        <v>6338682.7228988251</v>
      </c>
      <c r="BX14" s="226">
        <f t="shared" ref="BX14" si="45">BW14</f>
        <v>6338682.7228988251</v>
      </c>
      <c r="BY14" s="480">
        <f>Operating!BY24-'Business lines'!BY58-'Business lines'!BY102</f>
        <v>7982846.7624962609</v>
      </c>
      <c r="BZ14" s="480">
        <f>Operating!BZ24-'Business lines'!BZ58-'Business lines'!BZ102</f>
        <v>8475398.5764360689</v>
      </c>
      <c r="CA14" s="480">
        <f>Operating!CA24-'Business lines'!CA58-'Business lines'!CA102</f>
        <v>9620540.8324817549</v>
      </c>
      <c r="CB14" s="480">
        <f>Operating!CB24-'Business lines'!CB58-'Business lines'!CB102</f>
        <v>10246597.840216622</v>
      </c>
      <c r="CC14" s="226">
        <f t="shared" ref="CC14" si="46">CB14</f>
        <v>10246597.840216622</v>
      </c>
      <c r="CD14" s="480">
        <f>Operating!CD24-'Business lines'!CD58-'Business lines'!CD102</f>
        <v>9668737.3880766518</v>
      </c>
      <c r="CE14" s="480">
        <f>Operating!CE24-'Business lines'!CE58-'Business lines'!CE102</f>
        <v>10583323.312968789</v>
      </c>
      <c r="CF14" s="480">
        <f>Operating!CF24-'Business lines'!CF58-'Business lines'!CF102</f>
        <v>10903800.192377072</v>
      </c>
      <c r="CG14" s="480">
        <f>Operating!CG24-'Business lines'!CG58-'Business lines'!CG102</f>
        <v>10979812.920169171</v>
      </c>
      <c r="CH14" s="226">
        <f>CG14</f>
        <v>10979812.920169171</v>
      </c>
      <c r="CI14" s="480">
        <f>Operating!CI24-'Business lines'!CI58-'Business lines'!CI102</f>
        <v>10268614.909128491</v>
      </c>
      <c r="CJ14" s="480">
        <f>Operating!CJ24-'Business lines'!CJ58-'Business lines'!CJ102</f>
        <v>9943383.0960819814</v>
      </c>
      <c r="CK14" s="480">
        <f>Operating!CK24-'Business lines'!CK58-'Business lines'!CK102</f>
        <v>10343664.345134504</v>
      </c>
      <c r="CL14" s="480">
        <f>Operating!CL24-'Business lines'!CL58-'Business lines'!CL102</f>
        <v>10925911.94631377</v>
      </c>
      <c r="CM14" s="226">
        <f>CL14</f>
        <v>10925911.94631377</v>
      </c>
      <c r="CN14" s="480">
        <f>Operating!CN24-'Business lines'!CN58-'Business lines'!CN102</f>
        <v>9584794.7022206001</v>
      </c>
      <c r="CO14" s="480">
        <f>Operating!CO24-'Business lines'!CO58-'Business lines'!CO102</f>
        <v>9254372.9616669919</v>
      </c>
      <c r="CP14" s="480">
        <f>Operating!CP24-'Business lines'!CP58-'Business lines'!CP102</f>
        <v>9645382.411914384</v>
      </c>
      <c r="CQ14" s="480">
        <f>Operating!CQ24-'Business lines'!CQ58-'Business lines'!CQ102</f>
        <v>10738801.701875586</v>
      </c>
      <c r="CR14" s="226">
        <f>CQ14</f>
        <v>10738801.701875586</v>
      </c>
      <c r="CS14" s="480">
        <f>Operating!CS24-'Business lines'!CS58-'Business lines'!CS102</f>
        <v>9355627.2358643394</v>
      </c>
      <c r="CT14" s="480">
        <f>Operating!CT24-'Business lines'!CT58-'Business lines'!CT102</f>
        <v>9020521.0204183403</v>
      </c>
      <c r="CU14" s="480">
        <f>Operating!CU24-'Business lines'!CU58-'Business lines'!CU102</f>
        <v>9427298.4743110016</v>
      </c>
      <c r="CV14" s="480">
        <f>Operating!CV24-'Business lines'!CV58-'Business lines'!CV102</f>
        <v>10549706.76723714</v>
      </c>
      <c r="CW14" s="226">
        <f>CV14</f>
        <v>10549706.76723714</v>
      </c>
      <c r="CX14" s="480">
        <f>Operating!CX24-'Business lines'!CX58-'Business lines'!CX102</f>
        <v>9301759.6449413896</v>
      </c>
      <c r="CY14" s="480">
        <f>Operating!CY24-'Business lines'!CY58-'Business lines'!CY102</f>
        <v>9099909.597694926</v>
      </c>
      <c r="CZ14" s="480">
        <f>Operating!CZ24-'Business lines'!CZ58-'Business lines'!CZ102</f>
        <v>9631383.0380873084</v>
      </c>
      <c r="DA14" s="480">
        <f>Operating!DA24-'Business lines'!DA58-'Business lines'!DA102</f>
        <v>10877518.149695897</v>
      </c>
      <c r="DB14" s="226">
        <f>DA14</f>
        <v>10877518.149695897</v>
      </c>
    </row>
    <row r="15" spans="1:106" s="7" customFormat="1" ht="11.5" customHeight="1" x14ac:dyDescent="0.35">
      <c r="A15" s="561" t="s">
        <v>402</v>
      </c>
      <c r="B15" s="562"/>
      <c r="C15" s="562"/>
      <c r="D15" s="562"/>
      <c r="E15" s="562"/>
      <c r="F15" s="563"/>
      <c r="G15" s="562"/>
      <c r="H15" s="562"/>
      <c r="I15" s="562"/>
      <c r="J15" s="562"/>
      <c r="K15" s="563"/>
      <c r="L15" s="562"/>
      <c r="M15" s="562"/>
      <c r="N15" s="562"/>
      <c r="O15" s="562"/>
      <c r="P15" s="563"/>
      <c r="Q15" s="562"/>
      <c r="R15" s="562"/>
      <c r="S15" s="562"/>
      <c r="T15" s="562"/>
      <c r="U15" s="563"/>
      <c r="V15" s="562"/>
      <c r="W15" s="562"/>
      <c r="X15" s="562"/>
      <c r="Y15" s="562"/>
      <c r="Z15" s="563"/>
      <c r="AA15" s="562"/>
      <c r="AB15" s="562"/>
      <c r="AC15" s="562"/>
      <c r="AD15" s="562"/>
      <c r="AE15" s="563"/>
      <c r="AF15" s="562"/>
      <c r="AG15" s="562"/>
      <c r="AH15" s="562"/>
      <c r="AI15" s="562"/>
      <c r="AJ15" s="563"/>
      <c r="AK15" s="562"/>
      <c r="AL15" s="562"/>
      <c r="AM15" s="562"/>
      <c r="AN15" s="562"/>
      <c r="AO15" s="563"/>
      <c r="AP15" s="562"/>
      <c r="AQ15" s="562"/>
      <c r="AR15" s="562"/>
      <c r="AS15" s="562"/>
      <c r="AT15" s="563"/>
      <c r="AU15" s="562"/>
      <c r="AV15" s="562"/>
      <c r="AW15" s="562"/>
      <c r="AX15" s="562"/>
      <c r="AY15" s="563"/>
      <c r="AZ15" s="564">
        <f>AZ14/SUM(AZ9,AV9:AX9)*12</f>
        <v>101.1421061734379</v>
      </c>
      <c r="BA15" s="564">
        <f>BA14/SUM(AZ9:BA9,AW9:AX9)*12</f>
        <v>61.134877545106384</v>
      </c>
      <c r="BB15" s="564">
        <f>BB14/SUM(AZ9:BB9,AX9)*12</f>
        <v>21.385139726780476</v>
      </c>
      <c r="BC15" s="564">
        <f>BC14/SUM(AZ9:BC9)*12</f>
        <v>15.605677660615397</v>
      </c>
      <c r="BD15" s="565">
        <f>BD14/SUM(AZ9:BC9)*12</f>
        <v>15.605677660615397</v>
      </c>
      <c r="BE15" s="564">
        <f t="shared" ref="BE15" si="47">BE14/SUM(BE9,BA9:BC9)*12</f>
        <v>14.02627425347549</v>
      </c>
      <c r="BF15" s="564">
        <f t="shared" ref="BF15" si="48">BF14/SUM(BE9:BF9,BB9:BC9)*12</f>
        <v>12.039709910541085</v>
      </c>
      <c r="BG15" s="564">
        <f t="shared" ref="BG15" si="49">BG14/SUM(BE9:BG9,BC9)*12</f>
        <v>14.49586758037964</v>
      </c>
      <c r="BH15" s="564">
        <f t="shared" ref="BH15" si="50">BH14/SUM(BE9:BH9)*12</f>
        <v>15.589005558624194</v>
      </c>
      <c r="BI15" s="565">
        <f t="shared" ref="BI15" si="51">BI14/SUM(BE9:BH9)*12</f>
        <v>15.589005558624194</v>
      </c>
      <c r="BJ15" s="564">
        <f t="shared" ref="BJ15" si="52">BJ14/SUM(BJ9,BF9:BH9)*12</f>
        <v>15.258737744506679</v>
      </c>
      <c r="BK15" s="564">
        <f t="shared" ref="BK15" si="53">BK14/SUM(BJ9:BK9,BG9:BH9)*12</f>
        <v>19.450309816441134</v>
      </c>
      <c r="BL15" s="564">
        <f t="shared" ref="BL15" si="54">BL14/SUM(BJ9:BL9,BH9)*12</f>
        <v>21.051120730237542</v>
      </c>
      <c r="BM15" s="564">
        <f t="shared" ref="BM15" si="55">BM14/SUM(BJ9:BM9)*12</f>
        <v>18.265436403317935</v>
      </c>
      <c r="BN15" s="565">
        <f t="shared" ref="BN15" si="56">BN14/SUM(BJ9:BM9)*12</f>
        <v>18.265436403317935</v>
      </c>
      <c r="BO15" s="564">
        <f t="shared" ref="BO15" si="57">BO14/SUM(BO9,BK9:BM9)*12</f>
        <v>16.779332194669731</v>
      </c>
      <c r="BP15" s="564">
        <f t="shared" ref="BP15" si="58">BP14/SUM(BO9:BP9,BL9:BM9)*12</f>
        <v>15.856168094003831</v>
      </c>
      <c r="BQ15" s="564">
        <f t="shared" ref="BQ15" si="59">BQ14/SUM(BO9:BQ9,BM9)*12</f>
        <v>15.276711287682675</v>
      </c>
      <c r="BR15" s="564">
        <f t="shared" ref="BR15" si="60">BR14/SUM(BO9:BR9)*12</f>
        <v>15.749077854691304</v>
      </c>
      <c r="BS15" s="565">
        <f t="shared" ref="BS15" si="61">BS14/SUM(BO9:BR9)*12</f>
        <v>15.749077854691304</v>
      </c>
      <c r="BT15" s="564">
        <f t="shared" ref="BT15" si="62">BT14/SUM(BT9,BP9:BR9)*12</f>
        <v>13.664676551569531</v>
      </c>
      <c r="BU15" s="564">
        <f t="shared" ref="BU15" si="63">BU14/SUM(BT9:BU9,BQ9:BR9)*12</f>
        <v>13.284990977372095</v>
      </c>
      <c r="BV15" s="564">
        <f t="shared" ref="BV15" si="64">BV14/SUM(BT9:BV9,BR9)*12</f>
        <v>11.519516685981577</v>
      </c>
      <c r="BW15" s="564">
        <f t="shared" ref="BW15" si="65">BW14/SUM(BT9:BW9)*12</f>
        <v>11.00060325993466</v>
      </c>
      <c r="BX15" s="565">
        <f t="shared" ref="BX15" si="66">BX14/SUM(BT9:BW9)*12</f>
        <v>11.00060325993466</v>
      </c>
      <c r="BY15" s="564">
        <f t="shared" ref="BY15" si="67">BY14/SUM(BY9,BU9:BW9)*12</f>
        <v>13.202108337002517</v>
      </c>
      <c r="BZ15" s="564">
        <f t="shared" ref="BZ15" si="68">BZ14/SUM(BY9:BZ9,BV9:BW9)*12</f>
        <v>13.730734196171376</v>
      </c>
      <c r="CA15" s="564">
        <f t="shared" ref="CA15" si="69">CA14/SUM(BY9:CA9,BW9)*12</f>
        <v>14.523611745237428</v>
      </c>
      <c r="CB15" s="564">
        <f t="shared" ref="CB15" si="70">CB14/SUM(BY9:CB9)*12</f>
        <v>19.336599616169757</v>
      </c>
      <c r="CC15" s="565">
        <f t="shared" ref="CC15" si="71">CC14/SUM(BY9:CB9)*12</f>
        <v>19.336599616169757</v>
      </c>
      <c r="CD15" s="564">
        <f t="shared" ref="CD15" si="72">CD14/SUM(CD9,BZ9:CB9)*12</f>
        <v>18.995638495323359</v>
      </c>
      <c r="CE15" s="564">
        <f t="shared" ref="CE15" si="73">CE14/SUM(CD9:CE9,CA9:CB9)*12</f>
        <v>20.749235551713184</v>
      </c>
      <c r="CF15" s="564">
        <f t="shared" ref="CF15" si="74">CF14/SUM(CD9:CF9,CB9)*12</f>
        <v>24.763147882785397</v>
      </c>
      <c r="CG15" s="564">
        <f t="shared" ref="CG15" si="75">CG14/SUM(CD9:CG9)*12</f>
        <v>24.925808304851905</v>
      </c>
      <c r="CH15" s="565">
        <f t="shared" ref="CH15" si="76">CH14/SUM(CD9:CG9)*12</f>
        <v>24.925808304851905</v>
      </c>
      <c r="CI15" s="564">
        <f t="shared" ref="CI15" si="77">CI14/SUM(CI9,CE9:CG9)*12</f>
        <v>23.240398606840646</v>
      </c>
      <c r="CJ15" s="564">
        <f t="shared" ref="CJ15" si="78">CJ14/SUM(CI9:CJ9,CF9:CG9)*12</f>
        <v>22.47669209721689</v>
      </c>
      <c r="CK15" s="564">
        <f t="shared" ref="CK15" si="79">CK14/SUM(CI9:CK9,CG9)*12</f>
        <v>22.617057742027473</v>
      </c>
      <c r="CL15" s="564">
        <f t="shared" ref="CL15" si="80">CL14/SUM(CI9:CL9)*12</f>
        <v>22.884611408788288</v>
      </c>
      <c r="CM15" s="565">
        <f t="shared" ref="CM15" si="81">CM14/SUM(CI9:CL9)*12</f>
        <v>22.884611408788288</v>
      </c>
      <c r="CN15" s="564">
        <f t="shared" ref="CN15" si="82">CN14/SUM(CN9,CJ9:CL9)*12</f>
        <v>20.785810411544009</v>
      </c>
      <c r="CO15" s="564">
        <f t="shared" ref="CO15" si="83">CO14/SUM(CN9:CO9,CK9:CL9)*12</f>
        <v>19.949654371432029</v>
      </c>
      <c r="CP15" s="564">
        <f t="shared" ref="CP15" si="84">CP14/SUM(CN9:CP9,CL9)*12</f>
        <v>20.529116455482811</v>
      </c>
      <c r="CQ15" s="564">
        <f t="shared" ref="CQ15" si="85">CQ14/SUM(CN9:CQ9)*12</f>
        <v>21.325779540337304</v>
      </c>
      <c r="CR15" s="565">
        <f t="shared" ref="CR15" si="86">CR14/SUM(CN9:CQ9)*12</f>
        <v>21.325779540337304</v>
      </c>
      <c r="CS15" s="564">
        <f t="shared" ref="CS15" si="87">CS14/SUM(CS9,CO9:CQ9)*12</f>
        <v>18.474014502425135</v>
      </c>
      <c r="CT15" s="564">
        <f t="shared" ref="CT15" si="88">CT14/SUM(CS9:CT9,CP9:CQ9)*12</f>
        <v>17.700935061310666</v>
      </c>
      <c r="CU15" s="564">
        <f t="shared" ref="CU15" si="89">CU14/SUM(CS9:CU9,CQ9)*12</f>
        <v>18.339737891518002</v>
      </c>
      <c r="CV15" s="564">
        <f t="shared" ref="CV15" si="90">CV14/SUM(CS9:CV9)*12</f>
        <v>20.256582823183329</v>
      </c>
      <c r="CW15" s="565">
        <f t="shared" ref="CW15" si="91">CW14/SUM(CS9:CV9)*12</f>
        <v>20.256582823183329</v>
      </c>
      <c r="CX15" s="564">
        <f t="shared" ref="CX15" si="92">CX14/SUM(CX9,CT9:CV9)*12</f>
        <v>18.279284492974348</v>
      </c>
      <c r="CY15" s="564">
        <f t="shared" ref="CY15" si="93">CY14/SUM(CX9:CY9,CU9:CV9)*12</f>
        <v>18.175905673771844</v>
      </c>
      <c r="CZ15" s="564">
        <f t="shared" ref="CZ15" si="94">CZ14/SUM(CX9:CZ9,CV9)*12</f>
        <v>19.409845922018189</v>
      </c>
      <c r="DA15" s="564">
        <f t="shared" ref="DA15" si="95">DA14/SUM(CX9:DA9)*12</f>
        <v>21.95682150139168</v>
      </c>
      <c r="DB15" s="565">
        <f t="shared" ref="DB15" si="96">DB14/SUM(CX9:DA9)*12</f>
        <v>21.95682150139168</v>
      </c>
    </row>
    <row r="16" spans="1:106" s="7" customFormat="1" ht="11.5" customHeight="1" x14ac:dyDescent="0.35">
      <c r="A16" s="19" t="s">
        <v>276</v>
      </c>
      <c r="B16" s="97"/>
      <c r="C16" s="97"/>
      <c r="D16" s="97"/>
      <c r="E16" s="97"/>
      <c r="F16" s="29"/>
      <c r="G16" s="97"/>
      <c r="H16" s="97"/>
      <c r="I16" s="97"/>
      <c r="J16" s="97"/>
      <c r="K16" s="29"/>
      <c r="L16" s="97"/>
      <c r="M16" s="97"/>
      <c r="N16" s="97"/>
      <c r="O16" s="97"/>
      <c r="P16" s="29"/>
      <c r="Q16" s="97"/>
      <c r="R16" s="97"/>
      <c r="S16" s="97"/>
      <c r="T16" s="97"/>
      <c r="U16" s="29"/>
      <c r="V16" s="97"/>
      <c r="W16" s="97"/>
      <c r="X16" s="97"/>
      <c r="Y16" s="97"/>
      <c r="Z16" s="29"/>
      <c r="AA16" s="97"/>
      <c r="AB16" s="97"/>
      <c r="AC16" s="97"/>
      <c r="AD16" s="97"/>
      <c r="AE16" s="29"/>
      <c r="AF16" s="97"/>
      <c r="AG16" s="97"/>
      <c r="AH16" s="97"/>
      <c r="AI16" s="97"/>
      <c r="AJ16" s="29"/>
      <c r="AK16" s="97"/>
      <c r="AL16" s="97"/>
      <c r="AM16" s="97"/>
      <c r="AN16" s="97"/>
      <c r="AO16" s="29"/>
      <c r="AP16" s="97"/>
      <c r="AQ16" s="97"/>
      <c r="AR16" s="97"/>
      <c r="AS16" s="97"/>
      <c r="AT16" s="29"/>
      <c r="AU16" s="97"/>
      <c r="AV16" s="97"/>
      <c r="AW16" s="97"/>
      <c r="AX16" s="97"/>
      <c r="AY16" s="29"/>
      <c r="AZ16" s="97">
        <f>AY14+AZ4</f>
        <v>486330.46992869803</v>
      </c>
      <c r="BA16" s="97">
        <f>AZ14+BA4</f>
        <v>3026725.8526823833</v>
      </c>
      <c r="BB16" s="97">
        <f>BA14+BB4</f>
        <v>3839715.7059769006</v>
      </c>
      <c r="BC16" s="97">
        <f>BB14+BC4</f>
        <v>4042097.6036050394</v>
      </c>
      <c r="BD16" s="29">
        <f>AY14+SUM(AZ4:BC4)</f>
        <v>2733759.8793633049</v>
      </c>
      <c r="BE16" s="97">
        <f t="shared" ref="BE16:BH16" si="97">BD14+BE4</f>
        <v>3538283.8887422383</v>
      </c>
      <c r="BF16" s="97">
        <f t="shared" si="97"/>
        <v>4275090.1391267721</v>
      </c>
      <c r="BG16" s="97">
        <f t="shared" si="97"/>
        <v>4801511.7834631251</v>
      </c>
      <c r="BH16" s="97">
        <f t="shared" si="97"/>
        <v>4848211.2513778917</v>
      </c>
      <c r="BI16" s="29">
        <f t="shared" ref="BI16" si="98">BD14+SUM(BE4:BH4)</f>
        <v>6969033.9380246736</v>
      </c>
      <c r="BJ16" s="97">
        <f t="shared" ref="BJ16:BM16" si="99">BI14+BJ4</f>
        <v>4699419.632391111</v>
      </c>
      <c r="BK16" s="97">
        <f t="shared" si="99"/>
        <v>5174850.6090783272</v>
      </c>
      <c r="BL16" s="97">
        <f t="shared" si="99"/>
        <v>5854545.0674425941</v>
      </c>
      <c r="BM16" s="97">
        <f t="shared" si="99"/>
        <v>6340752.3709842646</v>
      </c>
      <c r="BN16" s="29">
        <f t="shared" ref="BN16" si="100">BI14+SUM(BJ4:BM4)</f>
        <v>8651086.9282632396</v>
      </c>
      <c r="BO16" s="97">
        <f t="shared" ref="BO16:BR16" si="101">BN14+BO4</f>
        <v>5528451.632996181</v>
      </c>
      <c r="BP16" s="97">
        <f t="shared" si="101"/>
        <v>6531373.9104622994</v>
      </c>
      <c r="BQ16" s="97">
        <f t="shared" si="101"/>
        <v>6380545.1210072115</v>
      </c>
      <c r="BR16" s="97">
        <f t="shared" si="101"/>
        <v>6886795.5570643498</v>
      </c>
      <c r="BS16" s="29">
        <f t="shared" ref="BS16" si="102">BN14+SUM(BO4:BR4)</f>
        <v>9916691.5224324912</v>
      </c>
      <c r="BT16" s="97">
        <f t="shared" ref="BT16:BW16" si="103">BS14+BT4</f>
        <v>6668220.5291371997</v>
      </c>
      <c r="BU16" s="97">
        <f t="shared" si="103"/>
        <v>6167983.5746661201</v>
      </c>
      <c r="BV16" s="97">
        <f t="shared" si="103"/>
        <v>6589105.0378698204</v>
      </c>
      <c r="BW16" s="97">
        <f t="shared" si="103"/>
        <v>9399937.8726748601</v>
      </c>
      <c r="BX16" s="29">
        <f t="shared" ref="BX16" si="104">BS14+SUM(BT4:BW4)</f>
        <v>13310915.109984867</v>
      </c>
      <c r="BY16" s="97">
        <f t="shared" ref="BY16:CE16" si="105">BX14+BY4</f>
        <v>9532687.7738209441</v>
      </c>
      <c r="BZ16" s="97">
        <f t="shared" si="105"/>
        <v>9689405.2531565931</v>
      </c>
      <c r="CA16" s="97">
        <f t="shared" si="105"/>
        <v>11742370.762901995</v>
      </c>
      <c r="CB16" s="97">
        <f t="shared" si="105"/>
        <v>11707218.985676249</v>
      </c>
      <c r="CC16" s="29">
        <f t="shared" ref="CC16" si="106">BX14+SUM(BY4:CB4)</f>
        <v>16592896.604141694</v>
      </c>
      <c r="CD16" s="97">
        <f t="shared" si="105"/>
        <v>11233821.748773189</v>
      </c>
      <c r="CE16" s="97">
        <f t="shared" si="105"/>
        <v>11643446.590180131</v>
      </c>
      <c r="CF16" s="97">
        <f>CE14+CF4</f>
        <v>12231184.94777072</v>
      </c>
      <c r="CG16" s="97">
        <f>CF14+CG4</f>
        <v>12389026.022630192</v>
      </c>
      <c r="CH16" s="29">
        <f>CC14+SUM(CD4:CG4)</f>
        <v>16341618.415931718</v>
      </c>
      <c r="CI16" s="97">
        <f>CH14+CI4</f>
        <v>11584861.326970793</v>
      </c>
      <c r="CJ16" s="97">
        <f>CI14+CJ4</f>
        <v>11199175.724645412</v>
      </c>
      <c r="CK16" s="97">
        <f>CJ14+CK4</f>
        <v>11850481.137744799</v>
      </c>
      <c r="CL16" s="97">
        <f>CK14+CL4</f>
        <v>12576274.79551262</v>
      </c>
      <c r="CM16" s="29">
        <f>CH14+SUM(CI4:CL4)</f>
        <v>16655130.634528648</v>
      </c>
      <c r="CN16" s="97">
        <f>CM14+CN4</f>
        <v>10705286.566725772</v>
      </c>
      <c r="CO16" s="97">
        <f>CN14+CO4</f>
        <v>10543338.02320377</v>
      </c>
      <c r="CP16" s="97">
        <f>CO14+CP4</f>
        <v>11223632.311711164</v>
      </c>
      <c r="CQ16" s="97">
        <f>CP14+CQ4</f>
        <v>12793810.462529724</v>
      </c>
      <c r="CR16" s="29">
        <f>CM14+SUM(CN4:CQ4)</f>
        <v>16781517.288368456</v>
      </c>
      <c r="CS16" s="97">
        <f>CR14+CS4</f>
        <v>10510454.434002006</v>
      </c>
      <c r="CT16" s="97">
        <f>CS14+CT4</f>
        <v>10347719.57308192</v>
      </c>
      <c r="CU16" s="97">
        <f>CT14+CU4</f>
        <v>11058704.447714059</v>
      </c>
      <c r="CV16" s="97">
        <f>CU14+CV4</f>
        <v>12685921.506697878</v>
      </c>
      <c r="CW16" s="29">
        <f>CR14+SUM(CS4:CV4)</f>
        <v>16799353.23090218</v>
      </c>
      <c r="CX16" s="97">
        <f>CW14+CX4</f>
        <v>10313367.344987985</v>
      </c>
      <c r="CY16" s="97">
        <f>CX14+CY4</f>
        <v>10328575.213961584</v>
      </c>
      <c r="CZ16" s="97">
        <f>CY14+CZ4</f>
        <v>11209429.444945993</v>
      </c>
      <c r="DA16" s="97">
        <f>CZ14+DA4</f>
        <v>13004057.876607727</v>
      </c>
      <c r="DB16" s="29">
        <f>CW14+SUM(CX4:DA4)</f>
        <v>16822377.599779665</v>
      </c>
    </row>
    <row r="17" spans="1:106" s="7" customFormat="1" ht="11.5" customHeight="1" x14ac:dyDescent="0.35">
      <c r="A17" s="77" t="s">
        <v>275</v>
      </c>
      <c r="B17" s="101"/>
      <c r="C17" s="101"/>
      <c r="D17" s="101"/>
      <c r="E17" s="101"/>
      <c r="F17" s="102"/>
      <c r="G17" s="101"/>
      <c r="H17" s="101"/>
      <c r="I17" s="101"/>
      <c r="J17" s="101"/>
      <c r="K17" s="102"/>
      <c r="L17" s="101"/>
      <c r="M17" s="101"/>
      <c r="N17" s="101"/>
      <c r="O17" s="101"/>
      <c r="P17" s="102"/>
      <c r="Q17" s="101"/>
      <c r="R17" s="101"/>
      <c r="S17" s="101"/>
      <c r="T17" s="101"/>
      <c r="U17" s="102"/>
      <c r="V17" s="101"/>
      <c r="W17" s="101"/>
      <c r="X17" s="101"/>
      <c r="Y17" s="101"/>
      <c r="Z17" s="102"/>
      <c r="AA17" s="101"/>
      <c r="AB17" s="101"/>
      <c r="AC17" s="101"/>
      <c r="AD17" s="101"/>
      <c r="AE17" s="102"/>
      <c r="AF17" s="101"/>
      <c r="AG17" s="101"/>
      <c r="AH17" s="101"/>
      <c r="AI17" s="101"/>
      <c r="AJ17" s="102"/>
      <c r="AK17" s="101"/>
      <c r="AL17" s="101"/>
      <c r="AM17" s="101"/>
      <c r="AN17" s="101"/>
      <c r="AO17" s="102"/>
      <c r="AP17" s="101"/>
      <c r="AQ17" s="101"/>
      <c r="AR17" s="101"/>
      <c r="AS17" s="101"/>
      <c r="AT17" s="102"/>
      <c r="AU17" s="101"/>
      <c r="AV17" s="101"/>
      <c r="AW17" s="101"/>
      <c r="AX17" s="101"/>
      <c r="AY17" s="102"/>
      <c r="AZ17" s="101">
        <f t="shared" ref="AZ17:BD17" si="107">AZ9/AZ16</f>
        <v>0.73839859061733726</v>
      </c>
      <c r="BA17" s="101">
        <f t="shared" si="107"/>
        <v>6.5395070493876051E-2</v>
      </c>
      <c r="BB17" s="101">
        <f t="shared" si="107"/>
        <v>0.26360993628335772</v>
      </c>
      <c r="BC17" s="101">
        <f t="shared" si="107"/>
        <v>0.22643620276392384</v>
      </c>
      <c r="BD17" s="236">
        <f t="shared" si="107"/>
        <v>0.90882273457401175</v>
      </c>
      <c r="BE17" s="101">
        <f t="shared" ref="BE17:CC17" si="108">BE9/BE16</f>
        <v>0.14597931520366442</v>
      </c>
      <c r="BF17" s="101">
        <f t="shared" si="108"/>
        <v>0.22691211791468552</v>
      </c>
      <c r="BG17" s="101">
        <f t="shared" si="108"/>
        <v>0.1860760973779631</v>
      </c>
      <c r="BH17" s="101">
        <f t="shared" si="108"/>
        <v>0.15753425547932323</v>
      </c>
      <c r="BI17" s="236">
        <f t="shared" si="108"/>
        <v>0.45110871447193684</v>
      </c>
      <c r="BJ17" s="101">
        <f t="shared" si="108"/>
        <v>0.1145701918024898</v>
      </c>
      <c r="BK17" s="101">
        <f t="shared" si="108"/>
        <v>0.11974965589417635</v>
      </c>
      <c r="BL17" s="101">
        <f t="shared" si="108"/>
        <v>0.14200593818964488</v>
      </c>
      <c r="BM17" s="101">
        <f t="shared" si="108"/>
        <v>0.1877701125498942</v>
      </c>
      <c r="BN17" s="236">
        <f t="shared" si="108"/>
        <v>0.36759357131430692</v>
      </c>
      <c r="BO17" s="101">
        <f t="shared" si="108"/>
        <v>0.13279326961679683</v>
      </c>
      <c r="BP17" s="101">
        <f t="shared" si="108"/>
        <v>0.19148661948842233</v>
      </c>
      <c r="BQ17" s="101">
        <f t="shared" si="108"/>
        <v>0.1666037742347159</v>
      </c>
      <c r="BR17" s="101">
        <f t="shared" si="108"/>
        <v>0.18226859172894697</v>
      </c>
      <c r="BS17" s="236">
        <f t="shared" si="108"/>
        <v>0.43392307765197718</v>
      </c>
      <c r="BT17" s="101">
        <f t="shared" si="108"/>
        <v>0.18139871867389093</v>
      </c>
      <c r="BU17" s="101">
        <f t="shared" si="108"/>
        <v>0.17597835348312446</v>
      </c>
      <c r="BV17" s="101">
        <f t="shared" si="108"/>
        <v>0.24622604632116393</v>
      </c>
      <c r="BW17" s="101">
        <f t="shared" si="108"/>
        <v>0.31884251845218975</v>
      </c>
      <c r="BX17" s="236">
        <f t="shared" si="108"/>
        <v>0.5194644653170134</v>
      </c>
      <c r="BY17" s="101">
        <f t="shared" si="108"/>
        <v>0.16270686444359186</v>
      </c>
      <c r="BZ17" s="101">
        <f t="shared" si="108"/>
        <v>0.12761846652842473</v>
      </c>
      <c r="CA17" s="101">
        <f t="shared" si="108"/>
        <v>0.18430710173868528</v>
      </c>
      <c r="CB17" s="101">
        <f t="shared" ref="CB17" si="109">CB9/CB16</f>
        <v>0.12019078791640493</v>
      </c>
      <c r="CC17" s="236">
        <f t="shared" si="108"/>
        <v>0.38322922911730334</v>
      </c>
      <c r="CD17" s="101">
        <f t="shared" ref="CD17:CE17" si="110">CD9/CD16</f>
        <v>0.11573299601745819</v>
      </c>
      <c r="CE17" s="101">
        <f t="shared" si="110"/>
        <v>0.10729431104492404</v>
      </c>
      <c r="CF17" s="101">
        <f t="shared" ref="CF17:DB17" si="111">CF9/CF16</f>
        <v>0.10852462464281354</v>
      </c>
      <c r="CG17" s="101">
        <f t="shared" si="111"/>
        <v>0.11374688372491169</v>
      </c>
      <c r="CH17" s="236">
        <f t="shared" si="111"/>
        <v>0.32346840754123912</v>
      </c>
      <c r="CI17" s="101">
        <f t="shared" si="111"/>
        <v>0.11361779659614406</v>
      </c>
      <c r="CJ17" s="101">
        <f t="shared" si="111"/>
        <v>0.11213259434798209</v>
      </c>
      <c r="CK17" s="101">
        <f t="shared" si="111"/>
        <v>0.1271523725573431</v>
      </c>
      <c r="CL17" s="101">
        <f t="shared" si="111"/>
        <v>0.13122827514771862</v>
      </c>
      <c r="CM17" s="236">
        <f t="shared" si="111"/>
        <v>0.34399121891829093</v>
      </c>
      <c r="CN17" s="101">
        <f t="shared" si="111"/>
        <v>0.10466715276804345</v>
      </c>
      <c r="CO17" s="101">
        <f t="shared" si="111"/>
        <v>0.12225398243896059</v>
      </c>
      <c r="CP17" s="101">
        <f t="shared" si="111"/>
        <v>0.14061846075890921</v>
      </c>
      <c r="CQ17" s="101">
        <f t="shared" si="111"/>
        <v>0.16062523097968448</v>
      </c>
      <c r="CR17" s="236">
        <f t="shared" si="111"/>
        <v>0.36008159945591911</v>
      </c>
      <c r="CS17" s="101">
        <f t="shared" si="111"/>
        <v>0.10987414534634439</v>
      </c>
      <c r="CT17" s="101">
        <f t="shared" si="111"/>
        <v>0.12826000388685566</v>
      </c>
      <c r="CU17" s="101">
        <f t="shared" si="111"/>
        <v>0.14752234143849299</v>
      </c>
      <c r="CV17" s="101">
        <f t="shared" si="111"/>
        <v>0.16839255534829428</v>
      </c>
      <c r="CW17" s="236">
        <f t="shared" si="111"/>
        <v>0.37201708766792879</v>
      </c>
      <c r="CX17" s="101">
        <f t="shared" si="111"/>
        <v>9.8087042399222849E-2</v>
      </c>
      <c r="CY17" s="101">
        <f t="shared" si="111"/>
        <v>0.11895789988592209</v>
      </c>
      <c r="CZ17" s="101">
        <f t="shared" si="111"/>
        <v>0.14077847713918934</v>
      </c>
      <c r="DA17" s="101">
        <f t="shared" si="111"/>
        <v>0.16352893435956936</v>
      </c>
      <c r="DB17" s="236">
        <f t="shared" si="111"/>
        <v>0.35338996612236495</v>
      </c>
    </row>
    <row r="18" spans="1:106" s="7" customFormat="1" ht="11.5" customHeight="1" x14ac:dyDescent="0.35">
      <c r="A18" s="7" t="s">
        <v>397</v>
      </c>
      <c r="B18" s="46"/>
      <c r="C18" s="46"/>
      <c r="D18" s="46"/>
      <c r="E18" s="46"/>
      <c r="F18" s="536"/>
      <c r="G18" s="46"/>
      <c r="H18" s="46"/>
      <c r="I18" s="46"/>
      <c r="J18" s="46"/>
      <c r="K18" s="536"/>
      <c r="L18" s="46"/>
      <c r="M18" s="46"/>
      <c r="N18" s="46"/>
      <c r="O18" s="46"/>
      <c r="P18" s="536"/>
      <c r="Q18" s="46"/>
      <c r="R18" s="46"/>
      <c r="S18" s="46"/>
      <c r="T18" s="46"/>
      <c r="U18" s="536"/>
      <c r="V18" s="46"/>
      <c r="W18" s="46"/>
      <c r="X18" s="46"/>
      <c r="Y18" s="46"/>
      <c r="Z18" s="536"/>
      <c r="AA18" s="46"/>
      <c r="AB18" s="46"/>
      <c r="AC18" s="46"/>
      <c r="AD18" s="46"/>
      <c r="AE18" s="536"/>
      <c r="AF18" s="46"/>
      <c r="AG18" s="46"/>
      <c r="AH18" s="46"/>
      <c r="AI18" s="46"/>
      <c r="AJ18" s="536"/>
      <c r="AK18" s="46"/>
      <c r="AL18" s="46"/>
      <c r="AM18" s="46"/>
      <c r="AN18" s="46"/>
      <c r="AO18" s="536"/>
      <c r="AP18" s="46"/>
      <c r="AQ18" s="46"/>
      <c r="AR18" s="46"/>
      <c r="AS18" s="46"/>
      <c r="AT18" s="536"/>
      <c r="AU18" s="46"/>
      <c r="AV18" s="46"/>
      <c r="AW18" s="46"/>
      <c r="AX18" s="46"/>
      <c r="AY18" s="536"/>
      <c r="AZ18" s="537"/>
      <c r="BA18" s="537"/>
      <c r="BB18" s="537"/>
      <c r="BC18" s="538"/>
      <c r="BD18" s="538"/>
      <c r="BE18" s="537"/>
      <c r="BF18" s="537"/>
      <c r="BG18" s="537"/>
      <c r="BH18" s="538"/>
      <c r="BI18" s="538"/>
      <c r="BJ18" s="537"/>
      <c r="BK18" s="537"/>
      <c r="BL18" s="537"/>
      <c r="BM18" s="538">
        <f t="shared" ref="BM18" si="112">SUM(BJ9:BM9,BE9:BH9,AZ9:BC9)</f>
        <v>8808379.0098360907</v>
      </c>
      <c r="BN18" s="538">
        <f t="shared" ref="BN18" si="113">BN9+BI9+BD9</f>
        <v>8808379.0098360907</v>
      </c>
      <c r="BO18" s="537">
        <f>SUM(BO9,BJ9:BM9,BE9:BH9,BA9:BC9)</f>
        <v>9183414.4445303548</v>
      </c>
      <c r="BP18" s="537">
        <f>SUM(BO9:BP9,BJ9:BM9,BE9:BH9,BB9:BC9)</f>
        <v>10236152.204757858</v>
      </c>
      <c r="BQ18" s="537">
        <f>SUM(BO9:BQ9,BJ9:BM9,BE9:BH9,BC9)</f>
        <v>10286987.890993781</v>
      </c>
      <c r="BR18" s="538">
        <f>SUM(BO9:BR9,BJ9:BM9,BE9:BH9)</f>
        <v>10626957.18614359</v>
      </c>
      <c r="BS18" s="538">
        <f>BS9+BN9+BI9</f>
        <v>10626957.186143588</v>
      </c>
      <c r="BT18" s="537">
        <f>SUM(BT9,BO9:BR9,BJ9:BM9,BF9:BH9)</f>
        <v>11320047.586889261</v>
      </c>
      <c r="BU18" s="537">
        <f>SUM(BT9:BU9,BO9:BR9,BJ9:BM9,BG9:BH9)</f>
        <v>11435409.422924517</v>
      </c>
      <c r="BV18" s="537">
        <f>SUM(BT9:BV9,BO9:BR9,BJ9:BM9,BH9)</f>
        <v>12164372.131012946</v>
      </c>
      <c r="BW18" s="538">
        <f>SUM(BT9:BW9,BO9:BR9,BJ9:BM9)</f>
        <v>14397712.645738421</v>
      </c>
      <c r="BX18" s="538">
        <f>BX9+BS9+BN9</f>
        <v>14397712.645738423</v>
      </c>
      <c r="BY18" s="537">
        <f>SUM(BY9,BT9:BW9,BO9:BR9,BK9:BM9)</f>
        <v>15410332.974493155</v>
      </c>
      <c r="BZ18" s="537">
        <f>SUM(BY9:BZ9,BT9:BW9,BO9:BR9,BL9:BM9)</f>
        <v>16027193.434732564</v>
      </c>
      <c r="CA18" s="537">
        <f>SUM(BY9:CA9,BT9:BW9,BO9:BR9,BM9)</f>
        <v>17360015.592608362</v>
      </c>
      <c r="CB18" s="538">
        <f>SUM(BY9:CB9,BT9:BW9,BO9:BR9)</f>
        <v>17576511.68045596</v>
      </c>
      <c r="CC18" s="539">
        <f>CC9+BX9+BS9</f>
        <v>17576511.68045596</v>
      </c>
      <c r="CD18" s="537">
        <f>SUM(CD9,BY9:CB9,BT9:BW9,BP9:BR9)</f>
        <v>18142494.359903682</v>
      </c>
      <c r="CE18" s="537">
        <f>SUM(CD9:CE9,BY9:CB9,BT9:BW9,BQ9:BR9)</f>
        <v>18141099.229256123</v>
      </c>
      <c r="CF18" s="537">
        <f t="shared" ref="CF18" si="114">SUM(CD9:CF9,BY9:CB9,BT9:BW9,BR9)</f>
        <v>18405461.085815068</v>
      </c>
      <c r="CG18" s="538">
        <f t="shared" ref="CG18" si="115">SUM(CD9:CG9,BY9:CB9,BT9:BW9)</f>
        <v>18559427.660564803</v>
      </c>
      <c r="CH18" s="539">
        <f t="shared" ref="CH18" si="116">CH9+CC9+BX9</f>
        <v>18559427.660564806</v>
      </c>
      <c r="CI18" s="537">
        <f t="shared" ref="CI18" si="117">SUM(CI9,CD9:CG9,BY9:CB9,BU9:BW9)</f>
        <v>18666067.418586683</v>
      </c>
      <c r="CJ18" s="537">
        <f t="shared" ref="CJ18" si="118">SUM(CI9:CJ9,CD9:CG9,BY9:CB9,BV9:BW9)</f>
        <v>18836428.453369416</v>
      </c>
      <c r="CK18" s="537">
        <f t="shared" ref="CK18" si="119">SUM(CI9:CK9,CD9:CG9,BY9:CB9,BW9)</f>
        <v>18720835.963710163</v>
      </c>
      <c r="CL18" s="538">
        <f t="shared" ref="CL18" si="120">SUM(CI9:CL9,CD9:CG9,BY9:CB9)</f>
        <v>17374098.948291238</v>
      </c>
      <c r="CM18" s="539">
        <f t="shared" ref="CM18" si="121">CM9+CH9+CC9</f>
        <v>17374098.948291238</v>
      </c>
      <c r="CN18" s="537">
        <f t="shared" ref="CN18" si="122">SUM(CN9,CI9:CL9,CD9:CG9,BZ9:CB9)</f>
        <v>16943557.075398244</v>
      </c>
      <c r="CO18" s="537">
        <f t="shared" ref="CO18" si="123">SUM(CN9:CO9,CI9:CL9,CD9:CG9,CA9:CB9)</f>
        <v>16995975.096954715</v>
      </c>
      <c r="CP18" s="537">
        <f t="shared" ref="CP18" si="124">SUM(CN9:CP9,CI9:CL9,CD9:CG9,CB9)</f>
        <v>16410022.673899952</v>
      </c>
      <c r="CQ18" s="538">
        <f t="shared" ref="CQ18" si="125">SUM(CN9:CQ9,CI9:CL9,CD9:CG9)</f>
        <v>17057931.560355771</v>
      </c>
      <c r="CR18" s="539">
        <f t="shared" ref="CR18" si="126">CR9+CM9+CH9</f>
        <v>17057931.560355768</v>
      </c>
      <c r="CS18" s="537">
        <f t="shared" ref="CS18" si="127">SUM(CS9,CN9:CQ9,CI9:CL9,CE9:CG9)</f>
        <v>16912634.910781834</v>
      </c>
      <c r="CT18" s="537">
        <f t="shared" ref="CT18" si="128">SUM(CS9:CT9,CN9:CQ9,CI9:CL9,CF9:CG9)</f>
        <v>16990557.883363664</v>
      </c>
      <c r="CU18" s="537">
        <f t="shared" ref="CU18" si="129">SUM(CS9:CU9,CN9:CQ9,CI9:CL9,CG9)</f>
        <v>17294579.101373069</v>
      </c>
      <c r="CV18" s="538">
        <f t="shared" ref="CV18" si="130">SUM(CS9:CV9,CN9:CQ9,CI9:CL9)</f>
        <v>18021580.738372788</v>
      </c>
      <c r="CW18" s="539">
        <f t="shared" ref="CW18" si="131">CW9+CR9+CM9</f>
        <v>18021580.738372788</v>
      </c>
      <c r="CX18" s="537">
        <f t="shared" ref="CX18" si="132">SUM(CX9,CS9:CV9,CN9:CQ9,CJ9:CL9)</f>
        <v>17716942.020577081</v>
      </c>
      <c r="CY18" s="537">
        <f t="shared" ref="CY18" si="133">SUM(CX9:CY9,CS9:CV9,CN9:CQ9,CK9:CL9)</f>
        <v>17689815.008280307</v>
      </c>
      <c r="CZ18" s="537">
        <f t="shared" ref="CZ18" si="134">SUM(CX9:CZ9,CS9:CV9,CN9:CQ9,CL9)</f>
        <v>17761044.622528702</v>
      </c>
      <c r="DA18" s="538">
        <f t="shared" ref="DA18" si="135">SUM(CX9:DA9,CS9:CV9,CN9:CQ9)</f>
        <v>18237221.500241682</v>
      </c>
      <c r="DB18" s="539">
        <f t="shared" ref="DB18" si="136">DB9+CW9+CR9</f>
        <v>18237221.500241678</v>
      </c>
    </row>
    <row r="19" spans="1:106" s="7" customFormat="1" ht="11.5" customHeight="1" x14ac:dyDescent="0.35">
      <c r="A19" s="11" t="s">
        <v>398</v>
      </c>
      <c r="B19" s="204"/>
      <c r="C19" s="204"/>
      <c r="D19" s="204"/>
      <c r="E19" s="204"/>
      <c r="F19" s="476"/>
      <c r="G19" s="204"/>
      <c r="H19" s="204"/>
      <c r="I19" s="204"/>
      <c r="J19" s="204"/>
      <c r="K19" s="476"/>
      <c r="L19" s="204"/>
      <c r="M19" s="204"/>
      <c r="N19" s="204"/>
      <c r="O19" s="204"/>
      <c r="P19" s="476"/>
      <c r="Q19" s="204"/>
      <c r="R19" s="204"/>
      <c r="S19" s="204"/>
      <c r="T19" s="204"/>
      <c r="U19" s="476"/>
      <c r="V19" s="204"/>
      <c r="W19" s="204"/>
      <c r="X19" s="204"/>
      <c r="Y19" s="204"/>
      <c r="Z19" s="476"/>
      <c r="AA19" s="204"/>
      <c r="AB19" s="204"/>
      <c r="AC19" s="204"/>
      <c r="AD19" s="204"/>
      <c r="AE19" s="476"/>
      <c r="AF19" s="204"/>
      <c r="AG19" s="204"/>
      <c r="AH19" s="204"/>
      <c r="AI19" s="204"/>
      <c r="AJ19" s="476"/>
      <c r="AK19" s="204"/>
      <c r="AL19" s="204"/>
      <c r="AM19" s="204"/>
      <c r="AN19" s="204"/>
      <c r="AO19" s="476"/>
      <c r="AP19" s="204"/>
      <c r="AQ19" s="204"/>
      <c r="AR19" s="204"/>
      <c r="AS19" s="204"/>
      <c r="AT19" s="476"/>
      <c r="AU19" s="204"/>
      <c r="AV19" s="204"/>
      <c r="AW19" s="204"/>
      <c r="AX19" s="204"/>
      <c r="AY19" s="476"/>
      <c r="AZ19" s="204"/>
      <c r="BA19" s="204"/>
      <c r="BB19" s="204"/>
      <c r="BC19" s="476"/>
      <c r="BD19" s="102"/>
      <c r="BE19" s="204"/>
      <c r="BF19" s="204"/>
      <c r="BG19" s="204"/>
      <c r="BH19" s="476"/>
      <c r="BI19" s="102"/>
      <c r="BJ19" s="204"/>
      <c r="BK19" s="204"/>
      <c r="BL19" s="204"/>
      <c r="BM19" s="476">
        <f t="shared" ref="BM19:BN19" si="137">BM21/BM18</f>
        <v>8.1159954969302867E-2</v>
      </c>
      <c r="BN19" s="102">
        <f t="shared" si="137"/>
        <v>0.32899457014475092</v>
      </c>
      <c r="BO19" s="204">
        <f>BO21/BO18</f>
        <v>7.9028929753348978E-2</v>
      </c>
      <c r="BP19" s="204">
        <f>BP21/BP18</f>
        <v>7.8998350745605336E-2</v>
      </c>
      <c r="BQ19" s="204">
        <f t="shared" ref="BQ19:BS19" si="138">BQ21/BQ18</f>
        <v>7.8743306569423493E-2</v>
      </c>
      <c r="BR19" s="476">
        <f t="shared" si="138"/>
        <v>9.1312076675816686E-2</v>
      </c>
      <c r="BS19" s="102">
        <f t="shared" si="138"/>
        <v>0.31192329748913589</v>
      </c>
      <c r="BT19" s="204">
        <f>BT21/BT18</f>
        <v>8.3359491891675797E-2</v>
      </c>
      <c r="BU19" s="204">
        <f>BU21/BU18</f>
        <v>8.4018961626691049E-2</v>
      </c>
      <c r="BV19" s="204">
        <f t="shared" ref="BV19:BX19" si="139">BV21/BV18</f>
        <v>9.2154807134604735E-2</v>
      </c>
      <c r="BW19" s="476">
        <f t="shared" si="139"/>
        <v>0.10638586185985749</v>
      </c>
      <c r="BX19" s="102">
        <f t="shared" si="139"/>
        <v>0.3165185463085522</v>
      </c>
      <c r="BY19" s="204">
        <f>BY21/BY18</f>
        <v>7.720156112402396E-2</v>
      </c>
      <c r="BZ19" s="204">
        <f>BZ21/BZ18</f>
        <v>6.487917605846967E-2</v>
      </c>
      <c r="CA19" s="204">
        <f t="shared" ref="CA19:CB19" si="140">CA21/CA18</f>
        <v>6.8379929112872134E-2</v>
      </c>
      <c r="CB19" s="476">
        <f t="shared" si="140"/>
        <v>0.11769630365179992</v>
      </c>
      <c r="CC19" s="102">
        <f t="shared" ref="CC19:CG19" si="141">CC21/CC18</f>
        <v>0.31208126270297737</v>
      </c>
      <c r="CD19" s="204">
        <f>CD21/CD18</f>
        <v>6.2863869006320239E-2</v>
      </c>
      <c r="CE19" s="204">
        <f>CE21/CE18</f>
        <v>7.5211841078616407E-2</v>
      </c>
      <c r="CF19" s="204">
        <f t="shared" si="141"/>
        <v>8.2140447386184312E-2</v>
      </c>
      <c r="CG19" s="476">
        <f t="shared" si="141"/>
        <v>9.0349291244043187E-2</v>
      </c>
      <c r="CH19" s="102">
        <f t="shared" ref="CH19:DB19" si="142">CH21/CH18</f>
        <v>0.30677652933090599</v>
      </c>
      <c r="CI19" s="204">
        <f t="shared" si="142"/>
        <v>7.6273307438730328E-2</v>
      </c>
      <c r="CJ19" s="204">
        <f t="shared" si="142"/>
        <v>7.5699662859703032E-2</v>
      </c>
      <c r="CK19" s="204">
        <f t="shared" si="142"/>
        <v>8.1763726809785026E-2</v>
      </c>
      <c r="CL19" s="476">
        <f t="shared" si="142"/>
        <v>9.5952809971098937E-2</v>
      </c>
      <c r="CM19" s="102">
        <f t="shared" si="142"/>
        <v>0.34807059246532823</v>
      </c>
      <c r="CN19" s="204">
        <f t="shared" si="142"/>
        <v>9.4068774989558138E-2</v>
      </c>
      <c r="CO19" s="204">
        <f t="shared" si="142"/>
        <v>9.4059220868835974E-2</v>
      </c>
      <c r="CP19" s="204">
        <f t="shared" si="142"/>
        <v>0.10090690394919623</v>
      </c>
      <c r="CQ19" s="476">
        <f t="shared" si="142"/>
        <v>0.10781971516514935</v>
      </c>
      <c r="CR19" s="102">
        <f t="shared" si="142"/>
        <v>0.39204951161957413</v>
      </c>
      <c r="CS19" s="204">
        <f t="shared" si="142"/>
        <v>0.10006930264984581</v>
      </c>
      <c r="CT19" s="204">
        <f t="shared" si="142"/>
        <v>9.913917641965303E-2</v>
      </c>
      <c r="CU19" s="204">
        <f t="shared" si="142"/>
        <v>0.10230522806742405</v>
      </c>
      <c r="CV19" s="476">
        <f t="shared" si="142"/>
        <v>0.1086593240540623</v>
      </c>
      <c r="CW19" s="102">
        <f t="shared" si="142"/>
        <v>0.39421648082993516</v>
      </c>
      <c r="CX19" s="204">
        <f t="shared" si="142"/>
        <v>0.10356856069264779</v>
      </c>
      <c r="CY19" s="204">
        <f t="shared" si="142"/>
        <v>0.10254367564183575</v>
      </c>
      <c r="CZ19" s="204">
        <f t="shared" si="142"/>
        <v>0.10708611007787169</v>
      </c>
      <c r="DA19" s="476">
        <f t="shared" si="142"/>
        <v>0.11477614969302359</v>
      </c>
      <c r="DB19" s="102">
        <f t="shared" si="142"/>
        <v>0.41914587052971858</v>
      </c>
    </row>
    <row r="20" spans="1:106" s="7" customFormat="1" ht="11.5" customHeight="1" thickBot="1" x14ac:dyDescent="0.4">
      <c r="A20" s="318" t="s">
        <v>359</v>
      </c>
      <c r="B20" s="129" t="str">
        <f>Macro!B$3</f>
        <v>1Q10</v>
      </c>
      <c r="C20" s="129" t="str">
        <f>Macro!C$3</f>
        <v>2Q10</v>
      </c>
      <c r="D20" s="129" t="str">
        <f>Macro!D$3</f>
        <v>3Q10</v>
      </c>
      <c r="E20" s="319" t="str">
        <f>Macro!E$3</f>
        <v>4Q10</v>
      </c>
      <c r="F20" s="319" t="str">
        <f>Macro!F$3</f>
        <v>2010</v>
      </c>
      <c r="G20" s="129" t="str">
        <f>Macro!G$3</f>
        <v>1Q11</v>
      </c>
      <c r="H20" s="129" t="str">
        <f>Macro!H$3</f>
        <v>2Q11</v>
      </c>
      <c r="I20" s="129" t="str">
        <f>Macro!I$3</f>
        <v>3Q11</v>
      </c>
      <c r="J20" s="319" t="str">
        <f>Macro!J$3</f>
        <v>4Q11</v>
      </c>
      <c r="K20" s="319" t="str">
        <f>Macro!K$3</f>
        <v>2011</v>
      </c>
      <c r="L20" s="129" t="str">
        <f>Macro!L$3</f>
        <v>1Q12</v>
      </c>
      <c r="M20" s="129" t="str">
        <f>Macro!M$3</f>
        <v>2Q12</v>
      </c>
      <c r="N20" s="129" t="str">
        <f>Macro!N$3</f>
        <v>3Q12</v>
      </c>
      <c r="O20" s="319" t="str">
        <f>Macro!O$3</f>
        <v>4Q12</v>
      </c>
      <c r="P20" s="319" t="str">
        <f>Macro!P$3</f>
        <v>2012</v>
      </c>
      <c r="Q20" s="129" t="str">
        <f>Macro!Q$3</f>
        <v>1Q13</v>
      </c>
      <c r="R20" s="129" t="str">
        <f>Macro!R$3</f>
        <v>2Q13</v>
      </c>
      <c r="S20" s="129" t="str">
        <f>Macro!S$3</f>
        <v>3Q13</v>
      </c>
      <c r="T20" s="319" t="str">
        <f>Macro!T$3</f>
        <v>4Q13</v>
      </c>
      <c r="U20" s="319" t="str">
        <f>Macro!U$3</f>
        <v>2013</v>
      </c>
      <c r="V20" s="129" t="str">
        <f>Macro!V$3</f>
        <v>1Q14</v>
      </c>
      <c r="W20" s="129" t="str">
        <f>Macro!W$3</f>
        <v>2Q14</v>
      </c>
      <c r="X20" s="129" t="str">
        <f>Macro!X$3</f>
        <v>3Q14</v>
      </c>
      <c r="Y20" s="319" t="str">
        <f>Macro!Y$3</f>
        <v>4Q14</v>
      </c>
      <c r="Z20" s="319" t="str">
        <f>Macro!Z$3</f>
        <v>2014</v>
      </c>
      <c r="AA20" s="129" t="str">
        <f>Macro!AA$3</f>
        <v>1Q15</v>
      </c>
      <c r="AB20" s="129" t="str">
        <f>Macro!AB$3</f>
        <v>2Q15</v>
      </c>
      <c r="AC20" s="129" t="str">
        <f>Macro!AC$3</f>
        <v>3Q15</v>
      </c>
      <c r="AD20" s="319" t="str">
        <f>Macro!AD$3</f>
        <v>4Q15</v>
      </c>
      <c r="AE20" s="319" t="str">
        <f>Macro!AE$3</f>
        <v>2015</v>
      </c>
      <c r="AF20" s="129" t="str">
        <f>Macro!AF$3</f>
        <v>1Q16</v>
      </c>
      <c r="AG20" s="129" t="str">
        <f>Macro!AG$3</f>
        <v>2Q16</v>
      </c>
      <c r="AH20" s="129" t="str">
        <f>Macro!AH$3</f>
        <v>3Q16</v>
      </c>
      <c r="AI20" s="319" t="str">
        <f>Macro!AI$3</f>
        <v>4Q16</v>
      </c>
      <c r="AJ20" s="319" t="str">
        <f>Macro!AJ$3</f>
        <v>2016</v>
      </c>
      <c r="AK20" s="129" t="str">
        <f>Macro!AK$3</f>
        <v>1Q17</v>
      </c>
      <c r="AL20" s="129" t="str">
        <f>Macro!AL$3</f>
        <v>2Q17</v>
      </c>
      <c r="AM20" s="129" t="str">
        <f>Macro!AM$3</f>
        <v>3Q17</v>
      </c>
      <c r="AN20" s="319" t="str">
        <f>Macro!AN$3</f>
        <v>4Q17</v>
      </c>
      <c r="AO20" s="319" t="str">
        <f>Macro!AO$3</f>
        <v>2017</v>
      </c>
      <c r="AP20" s="129" t="str">
        <f>Macro!AP$3</f>
        <v>1Q18</v>
      </c>
      <c r="AQ20" s="129" t="str">
        <f>Macro!AQ$3</f>
        <v>2Q18</v>
      </c>
      <c r="AR20" s="129" t="str">
        <f>Macro!AR$3</f>
        <v>3Q18</v>
      </c>
      <c r="AS20" s="319" t="str">
        <f>Macro!AS$3</f>
        <v>4Q18</v>
      </c>
      <c r="AT20" s="319" t="str">
        <f>Macro!AT$3</f>
        <v>2018</v>
      </c>
      <c r="AU20" s="129" t="str">
        <f>Macro!AU$3</f>
        <v>1Q19</v>
      </c>
      <c r="AV20" s="129" t="str">
        <f>Macro!AV$3</f>
        <v>2Q19</v>
      </c>
      <c r="AW20" s="129" t="str">
        <f>Macro!AW$3</f>
        <v>3Q19</v>
      </c>
      <c r="AX20" s="319" t="str">
        <f>Macro!AX$3</f>
        <v>4Q19</v>
      </c>
      <c r="AY20" s="319" t="str">
        <f>Macro!AY$3</f>
        <v>2019</v>
      </c>
      <c r="AZ20" s="129" t="str">
        <f>Macro!AZ$3</f>
        <v>1Q20</v>
      </c>
      <c r="BA20" s="129" t="str">
        <f>Macro!BA$3</f>
        <v>2Q20</v>
      </c>
      <c r="BB20" s="129" t="str">
        <f>Macro!BB$3</f>
        <v>3Q20</v>
      </c>
      <c r="BC20" s="129" t="str">
        <f>Macro!BC$3</f>
        <v>4Q20</v>
      </c>
      <c r="BD20" s="131" t="str">
        <f>Macro!BD$3</f>
        <v>2020</v>
      </c>
      <c r="BE20" s="129" t="str">
        <f>Macro!BE$3</f>
        <v>1Q21</v>
      </c>
      <c r="BF20" s="129" t="str">
        <f>Macro!BF$3</f>
        <v>2Q21</v>
      </c>
      <c r="BG20" s="129" t="str">
        <f>Macro!BG$3</f>
        <v>3Q21</v>
      </c>
      <c r="BH20" s="129" t="str">
        <f>Macro!BH$3</f>
        <v>4Q21</v>
      </c>
      <c r="BI20" s="131" t="str">
        <f>Macro!BI$3</f>
        <v>2021</v>
      </c>
      <c r="BJ20" s="129" t="str">
        <f>Macro!BJ$3</f>
        <v>1Q22</v>
      </c>
      <c r="BK20" s="129" t="str">
        <f>Macro!BK$3</f>
        <v>2Q22</v>
      </c>
      <c r="BL20" s="129" t="str">
        <f>Macro!BL$3</f>
        <v>3Q22</v>
      </c>
      <c r="BM20" s="129" t="str">
        <f>Macro!BM$3</f>
        <v>4Q22</v>
      </c>
      <c r="BN20" s="131" t="str">
        <f>Macro!BN$3</f>
        <v>2022</v>
      </c>
      <c r="BO20" s="129" t="str">
        <f>Macro!BO$3</f>
        <v>1Q23</v>
      </c>
      <c r="BP20" s="129" t="str">
        <f>Macro!BP$3</f>
        <v>2Q23</v>
      </c>
      <c r="BQ20" s="129" t="str">
        <f>Macro!BQ$3</f>
        <v>3Q23</v>
      </c>
      <c r="BR20" s="129" t="str">
        <f>Macro!BR$3</f>
        <v>4Q23</v>
      </c>
      <c r="BS20" s="131" t="str">
        <f>Macro!BS$3</f>
        <v>2023</v>
      </c>
      <c r="BT20" s="129" t="str">
        <f>Macro!BT$3</f>
        <v>1Q24</v>
      </c>
      <c r="BU20" s="129" t="str">
        <f>Macro!BU$3</f>
        <v>2Q24</v>
      </c>
      <c r="BV20" s="129" t="str">
        <f>Macro!BV$3</f>
        <v>3Q24</v>
      </c>
      <c r="BW20" s="129" t="str">
        <f>Macro!BW$3</f>
        <v>4Q24</v>
      </c>
      <c r="BX20" s="131" t="str">
        <f>Macro!BX$3</f>
        <v>2024</v>
      </c>
      <c r="BY20" s="129" t="str">
        <f>Macro!BY$3</f>
        <v>1Q25</v>
      </c>
      <c r="BZ20" s="129" t="str">
        <f>Macro!BZ$3</f>
        <v>2Q25</v>
      </c>
      <c r="CA20" s="129" t="str">
        <f>Macro!CA$3</f>
        <v>3Q25</v>
      </c>
      <c r="CB20" s="129" t="str">
        <f>Macro!CB$3</f>
        <v>4Q25</v>
      </c>
      <c r="CC20" s="131" t="str">
        <f>Macro!CC$3</f>
        <v>2025</v>
      </c>
      <c r="CD20" s="129" t="str">
        <f>Macro!CD$3</f>
        <v>1Q26</v>
      </c>
      <c r="CE20" s="129" t="str">
        <f>Macro!CE$3</f>
        <v>2Q26</v>
      </c>
      <c r="CF20" s="129" t="str">
        <f>Macro!CF$3</f>
        <v>3Q26E</v>
      </c>
      <c r="CG20" s="129" t="str">
        <f>Macro!CG$3</f>
        <v>4Q26E</v>
      </c>
      <c r="CH20" s="131" t="str">
        <f>Macro!CH$3</f>
        <v>2026E</v>
      </c>
      <c r="CI20" s="129" t="str">
        <f>Macro!CI$3</f>
        <v>1Q27E</v>
      </c>
      <c r="CJ20" s="129" t="str">
        <f>Macro!CJ$3</f>
        <v>2Q27E</v>
      </c>
      <c r="CK20" s="129" t="str">
        <f>Macro!CK$3</f>
        <v>3Q27E</v>
      </c>
      <c r="CL20" s="129" t="str">
        <f>Macro!CL$3</f>
        <v>4Q27E</v>
      </c>
      <c r="CM20" s="131" t="str">
        <f>Macro!CM$3</f>
        <v>2027E</v>
      </c>
      <c r="CN20" s="129" t="str">
        <f>Macro!CN$3</f>
        <v>1Q28E</v>
      </c>
      <c r="CO20" s="129" t="str">
        <f>Macro!CO$3</f>
        <v>2Q28E</v>
      </c>
      <c r="CP20" s="129" t="str">
        <f>Macro!CP$3</f>
        <v>3Q28E</v>
      </c>
      <c r="CQ20" s="129" t="str">
        <f>Macro!CQ$3</f>
        <v>4Q28E</v>
      </c>
      <c r="CR20" s="131" t="str">
        <f>Macro!CR$3</f>
        <v>2028E</v>
      </c>
      <c r="CS20" s="129" t="str">
        <f>Macro!CS$3</f>
        <v>1Q29E</v>
      </c>
      <c r="CT20" s="129" t="str">
        <f>Macro!CT$3</f>
        <v>2Q29E</v>
      </c>
      <c r="CU20" s="129" t="str">
        <f>Macro!CU$3</f>
        <v>3Q29E</v>
      </c>
      <c r="CV20" s="129" t="str">
        <f>Macro!CV$3</f>
        <v>4Q29E</v>
      </c>
      <c r="CW20" s="131" t="str">
        <f>Macro!CW$3</f>
        <v>2029E</v>
      </c>
      <c r="CX20" s="129" t="str">
        <f>Macro!CX$3</f>
        <v>1Q30E</v>
      </c>
      <c r="CY20" s="129" t="str">
        <f>Macro!CY$3</f>
        <v>2Q30E</v>
      </c>
      <c r="CZ20" s="129" t="str">
        <f>Macro!CZ$3</f>
        <v>3Q30E</v>
      </c>
      <c r="DA20" s="129" t="str">
        <f>Macro!DA$3</f>
        <v>4Q30E</v>
      </c>
      <c r="DB20" s="131" t="str">
        <f>Macro!DB$3</f>
        <v>2030E</v>
      </c>
    </row>
    <row r="21" spans="1:106" s="7" customFormat="1" ht="11.5" customHeight="1" thickTop="1" x14ac:dyDescent="0.35">
      <c r="A21" s="321" t="s">
        <v>350</v>
      </c>
      <c r="B21" s="133"/>
      <c r="C21" s="133"/>
      <c r="D21" s="133"/>
      <c r="E21" s="316"/>
      <c r="F21" s="316"/>
      <c r="G21" s="133"/>
      <c r="H21" s="133"/>
      <c r="I21" s="133"/>
      <c r="J21" s="316"/>
      <c r="K21" s="316"/>
      <c r="L21" s="133"/>
      <c r="M21" s="133"/>
      <c r="N21" s="133"/>
      <c r="O21" s="316"/>
      <c r="P21" s="316"/>
      <c r="Q21" s="133"/>
      <c r="R21" s="133"/>
      <c r="S21" s="133"/>
      <c r="T21" s="316"/>
      <c r="U21" s="316"/>
      <c r="V21" s="133"/>
      <c r="W21" s="133"/>
      <c r="X21" s="133"/>
      <c r="Y21" s="316"/>
      <c r="Z21" s="316"/>
      <c r="AA21" s="133"/>
      <c r="AB21" s="133"/>
      <c r="AC21" s="133"/>
      <c r="AD21" s="316"/>
      <c r="AE21" s="316"/>
      <c r="AF21" s="133"/>
      <c r="AG21" s="133"/>
      <c r="AH21" s="133"/>
      <c r="AI21" s="316"/>
      <c r="AJ21" s="316"/>
      <c r="AK21" s="133"/>
      <c r="AL21" s="133"/>
      <c r="AM21" s="133"/>
      <c r="AN21" s="316"/>
      <c r="AO21" s="316"/>
      <c r="AP21" s="133"/>
      <c r="AQ21" s="133"/>
      <c r="AR21" s="133"/>
      <c r="AS21" s="316"/>
      <c r="AT21" s="316"/>
      <c r="AU21" s="133"/>
      <c r="AV21" s="133"/>
      <c r="AW21" s="133"/>
      <c r="AX21" s="316"/>
      <c r="AY21" s="316"/>
      <c r="AZ21" s="543">
        <f>IS!AZ4-'Business lines'!AZ65-'Business lines'!AZ109</f>
        <v>785189</v>
      </c>
      <c r="BA21" s="543">
        <f>IS!BA4-'Business lines'!BA65-'Business lines'!BA109</f>
        <v>860738</v>
      </c>
      <c r="BB21" s="543">
        <f>IS!BB4-'Business lines'!BB65-'Business lines'!BB109</f>
        <v>1192465</v>
      </c>
      <c r="BC21" s="543">
        <f>IS!BC4-'Business lines'!BC65-'Business lines'!BC109</f>
        <v>1087405</v>
      </c>
      <c r="BD21" s="134">
        <f>IS!BD4-'Business lines'!BD65-'Business lines'!BD109</f>
        <v>3925797</v>
      </c>
      <c r="BE21" s="543">
        <f>IS!BE4-'Business lines'!BE65-'Business lines'!BE109</f>
        <v>491913.94281045743</v>
      </c>
      <c r="BF21" s="543">
        <f>IS!BF4-'Business lines'!BF65-'Business lines'!BF109</f>
        <v>772542.64379084972</v>
      </c>
      <c r="BG21" s="543">
        <f>IS!BG4-'Business lines'!BG65-'Business lines'!BG109</f>
        <v>776412.01307189546</v>
      </c>
      <c r="BH21" s="543">
        <f>IS!BH4-'Business lines'!BH65-'Business lines'!BH109</f>
        <v>799712.15196078422</v>
      </c>
      <c r="BI21" s="134">
        <f>IS!BI4-'Business lines'!BI65-'Business lines'!BI109</f>
        <v>2840580.7516339868</v>
      </c>
      <c r="BJ21" s="543">
        <f>IS!BJ4-'Business lines'!BJ65-'Business lines'!BJ109</f>
        <v>783564.84803921566</v>
      </c>
      <c r="BK21" s="543">
        <f>IS!BK4-'Business lines'!BK65-'Business lines'!BK109</f>
        <v>585633.07516339864</v>
      </c>
      <c r="BL21" s="543">
        <f>IS!BL4-'Business lines'!BL65-'Business lines'!BL109</f>
        <v>813823.29901960795</v>
      </c>
      <c r="BM21" s="543">
        <f>IS!BM4-'Business lines'!BM65-'Business lines'!BM109</f>
        <v>714887.64379084972</v>
      </c>
      <c r="BN21" s="134">
        <f>IS!BN4-'Business lines'!BN65-'Business lines'!BN109</f>
        <v>2897908.8660130715</v>
      </c>
      <c r="BO21" s="543">
        <f>IS!BO4-'Business lines'!BO65-'Business lines'!BO109</f>
        <v>725755.41503267968</v>
      </c>
      <c r="BP21" s="543">
        <f>IS!BP4-'Business lines'!BP65-'Business lines'!BP109</f>
        <v>808639.14215686265</v>
      </c>
      <c r="BQ21" s="543">
        <f>IS!BQ4-'Business lines'!BQ65-'Business lines'!BQ109</f>
        <v>810031.4411764706</v>
      </c>
      <c r="BR21" s="543">
        <f>IS!BR4-'Business lines'!BR65-'Business lines'!BR109</f>
        <v>970369.52941176458</v>
      </c>
      <c r="BS21" s="134">
        <f>IS!BS4-'Business lines'!BS65-'Business lines'!BS109</f>
        <v>3314795.5277777771</v>
      </c>
      <c r="BT21" s="543">
        <f>IS!BT4-'Business lines'!BT65-'Business lines'!BT109</f>
        <v>943633.41503267956</v>
      </c>
      <c r="BU21" s="543">
        <f>IS!BU4-'Business lines'!BU65-'Business lines'!BU109</f>
        <v>960791.22549019614</v>
      </c>
      <c r="BV21" s="543">
        <f>IS!BV4-'Business lines'!BV65-'Business lines'!BV109</f>
        <v>1121005.3676470588</v>
      </c>
      <c r="BW21" s="543">
        <f>IS!BW4-'Business lines'!BW65-'Business lines'!BW109</f>
        <v>1531713.0686274508</v>
      </c>
      <c r="BX21" s="134">
        <f>IS!BX4-'Business lines'!BX65-'Business lines'!BX109</f>
        <v>4557143.0767973848</v>
      </c>
      <c r="BY21" s="543">
        <f>IS!BY4-'Business lines'!BY65-'Business lines'!BY109</f>
        <v>1189701.7630718953</v>
      </c>
      <c r="BZ21" s="543">
        <f>IS!BZ4-'Business lines'!BZ65-'Business lines'!BZ109</f>
        <v>1039831.1045751632</v>
      </c>
      <c r="CA21" s="543">
        <f>IS!CA4-'Business lines'!CA65-'Business lines'!CA109</f>
        <v>1187076.6356209149</v>
      </c>
      <c r="CB21" s="543">
        <f>IS!CB4-'Business lines'!CB65-'Business lines'!CB109</f>
        <v>2068690.4558823528</v>
      </c>
      <c r="CC21" s="134">
        <f>IS!CC4-'Business lines'!CC65-'Business lines'!CC109</f>
        <v>5485299.9591503264</v>
      </c>
      <c r="CD21" s="543">
        <f>IS!CD4-'Business lines'!CD65-'Business lines'!CD109</f>
        <v>1140507.3888888888</v>
      </c>
      <c r="CE21" s="543">
        <f>IS!CE4-'Business lines'!CE65-'Business lines'!CE109</f>
        <v>1364425.4722222222</v>
      </c>
      <c r="CF21" s="543">
        <f>IS!CF4-'Business lines'!CF65-'Business lines'!CF109</f>
        <v>1511832.8079378554</v>
      </c>
      <c r="CG21" s="543">
        <f>IS!CG4-'Business lines'!CG65-'Business lines'!CG109</f>
        <v>1676831.1350271204</v>
      </c>
      <c r="CH21" s="134">
        <f>IS!CH4-'Business lines'!CH65-'Business lines'!CH109</f>
        <v>5693596.8040760867</v>
      </c>
      <c r="CI21" s="543">
        <f>IS!CI4-'Business lines'!CI65-'Business lines'!CI109</f>
        <v>1423722.6988899293</v>
      </c>
      <c r="CJ21" s="543">
        <f>IS!CJ4-'Business lines'!CJ65-'Business lines'!CJ109</f>
        <v>1425911.2834009822</v>
      </c>
      <c r="CK21" s="543">
        <f>IS!CK4-'Business lines'!CK65-'Business lines'!CK109</f>
        <v>1530685.3173875962</v>
      </c>
      <c r="CL21" s="543">
        <f>IS!CL4-'Business lines'!CL65-'Business lines'!CL109</f>
        <v>1667093.614804459</v>
      </c>
      <c r="CM21" s="134">
        <f>IS!CM4-'Business lines'!CM65-'Business lines'!CM109</f>
        <v>6047412.9144829679</v>
      </c>
      <c r="CN21" s="543">
        <f>IS!CN4-'Business lines'!CN65-'Business lines'!CN109</f>
        <v>1593859.6580483732</v>
      </c>
      <c r="CO21" s="543">
        <f>IS!CO4-'Business lines'!CO65-'Business lines'!CO109</f>
        <v>1598628.1755256995</v>
      </c>
      <c r="CP21" s="543">
        <f>IS!CP4-'Business lines'!CP65-'Business lines'!CP109</f>
        <v>1655884.5817593548</v>
      </c>
      <c r="CQ21" s="543">
        <f>IS!CQ4-'Business lines'!CQ65-'Business lines'!CQ109</f>
        <v>1839181.3221441708</v>
      </c>
      <c r="CR21" s="134">
        <f>IS!CR4-'Business lines'!CR65-'Business lines'!CR109</f>
        <v>6687553.7374775987</v>
      </c>
      <c r="CS21" s="543">
        <f>IS!CS4-'Business lines'!CS65-'Business lines'!CS109</f>
        <v>1692435.5814933754</v>
      </c>
      <c r="CT21" s="543">
        <f>IS!CT4-'Business lines'!CT65-'Business lines'!CT109</f>
        <v>1684429.915467117</v>
      </c>
      <c r="CU21" s="543">
        <f>IS!CU4-'Business lines'!CU65-'Business lines'!CU109</f>
        <v>1769325.8592960774</v>
      </c>
      <c r="CV21" s="543">
        <f>IS!CV4-'Business lines'!CV65-'Business lines'!CV109</f>
        <v>1958212.781417296</v>
      </c>
      <c r="CW21" s="134">
        <f>IS!CW4-'Business lines'!CW65-'Business lines'!CW109</f>
        <v>7104404.1376738651</v>
      </c>
      <c r="CX21" s="543">
        <f>IS!CX4-'Business lines'!CX65-'Business lines'!CX109</f>
        <v>1834918.1849462593</v>
      </c>
      <c r="CY21" s="543">
        <f>IS!CY4-'Business lines'!CY65-'Business lines'!CY109</f>
        <v>1813978.6523731737</v>
      </c>
      <c r="CZ21" s="543">
        <f>IS!CZ4-'Business lines'!CZ65-'Business lines'!CZ109</f>
        <v>1901961.1795460996</v>
      </c>
      <c r="DA21" s="543">
        <f>IS!DA4-'Business lines'!DA65-'Business lines'!DA109</f>
        <v>2093198.0648965675</v>
      </c>
      <c r="DB21" s="134">
        <f>IS!DB4-'Business lines'!DB65-'Business lines'!DB109</f>
        <v>7644056.0817620987</v>
      </c>
    </row>
    <row r="22" spans="1:106" s="7" customFormat="1" ht="11.5" customHeight="1" x14ac:dyDescent="0.35">
      <c r="A22" s="322" t="s">
        <v>351</v>
      </c>
      <c r="B22" s="48"/>
      <c r="C22" s="48"/>
      <c r="D22" s="48"/>
      <c r="E22" s="317"/>
      <c r="F22" s="317"/>
      <c r="G22" s="48"/>
      <c r="H22" s="48"/>
      <c r="I22" s="48"/>
      <c r="J22" s="317"/>
      <c r="K22" s="317"/>
      <c r="L22" s="48"/>
      <c r="M22" s="48"/>
      <c r="N22" s="48"/>
      <c r="O22" s="317"/>
      <c r="P22" s="317"/>
      <c r="Q22" s="48"/>
      <c r="R22" s="48"/>
      <c r="S22" s="48"/>
      <c r="T22" s="317"/>
      <c r="U22" s="317"/>
      <c r="V22" s="48"/>
      <c r="W22" s="48"/>
      <c r="X22" s="48"/>
      <c r="Y22" s="317"/>
      <c r="Z22" s="317"/>
      <c r="AA22" s="48"/>
      <c r="AB22" s="48"/>
      <c r="AC22" s="48"/>
      <c r="AD22" s="317"/>
      <c r="AE22" s="317"/>
      <c r="AF22" s="48"/>
      <c r="AG22" s="48"/>
      <c r="AH22" s="48"/>
      <c r="AI22" s="317"/>
      <c r="AJ22" s="317"/>
      <c r="AK22" s="48"/>
      <c r="AL22" s="48"/>
      <c r="AM22" s="48"/>
      <c r="AN22" s="317"/>
      <c r="AO22" s="317"/>
      <c r="AP22" s="48"/>
      <c r="AQ22" s="48"/>
      <c r="AR22" s="48"/>
      <c r="AS22" s="317"/>
      <c r="AT22" s="317"/>
      <c r="AU22" s="48"/>
      <c r="AV22" s="48"/>
      <c r="AW22" s="48"/>
      <c r="AX22" s="317"/>
      <c r="AY22" s="317"/>
      <c r="AZ22" s="23">
        <f t="shared" ref="AZ22:BS22" si="143">AZ23-AZ21</f>
        <v>-20434</v>
      </c>
      <c r="BA22" s="23">
        <f t="shared" si="143"/>
        <v>-21930</v>
      </c>
      <c r="BB22" s="23">
        <f t="shared" si="143"/>
        <v>-28962</v>
      </c>
      <c r="BC22" s="23">
        <f t="shared" si="143"/>
        <v>-30775</v>
      </c>
      <c r="BD22" s="154">
        <f t="shared" si="143"/>
        <v>-102101</v>
      </c>
      <c r="BE22" s="23">
        <f t="shared" si="143"/>
        <v>-15304.942810457433</v>
      </c>
      <c r="BF22" s="23">
        <f t="shared" si="143"/>
        <v>-22753.643790849717</v>
      </c>
      <c r="BG22" s="23">
        <f t="shared" si="143"/>
        <v>-22113.013071895461</v>
      </c>
      <c r="BH22" s="23">
        <f t="shared" si="143"/>
        <v>-23452.15196078422</v>
      </c>
      <c r="BI22" s="154">
        <f t="shared" si="143"/>
        <v>-83623.751633986831</v>
      </c>
      <c r="BJ22" s="23">
        <f t="shared" si="143"/>
        <v>-17557.848039215663</v>
      </c>
      <c r="BK22" s="23">
        <f t="shared" si="143"/>
        <v>-19480.075163398637</v>
      </c>
      <c r="BL22" s="23">
        <f t="shared" si="143"/>
        <v>-24108.299019607948</v>
      </c>
      <c r="BM22" s="23">
        <f t="shared" si="143"/>
        <v>-27121.643790849717</v>
      </c>
      <c r="BN22" s="154">
        <f t="shared" si="143"/>
        <v>-88267.8660130715</v>
      </c>
      <c r="BO22" s="23">
        <f t="shared" si="143"/>
        <v>-21591.415032679681</v>
      </c>
      <c r="BP22" s="23">
        <f t="shared" si="143"/>
        <v>-27293.142156862654</v>
      </c>
      <c r="BQ22" s="23">
        <f t="shared" si="143"/>
        <v>-29054.441176470602</v>
      </c>
      <c r="BR22" s="23">
        <f t="shared" si="143"/>
        <v>-34246.529411764583</v>
      </c>
      <c r="BS22" s="154">
        <f t="shared" si="143"/>
        <v>-112185.52777777705</v>
      </c>
      <c r="BT22" s="23">
        <f t="shared" ref="BT22" si="144">BT23-BT21</f>
        <v>-27708.415032679564</v>
      </c>
      <c r="BU22" s="23">
        <f t="shared" ref="BU22:DB22" si="145">BU23-BU21</f>
        <v>-32704.225490196142</v>
      </c>
      <c r="BV22" s="23">
        <f t="shared" si="145"/>
        <v>-37065.367647058796</v>
      </c>
      <c r="BW22" s="23">
        <f t="shared" si="145"/>
        <v>-47010.068627450848</v>
      </c>
      <c r="BX22" s="154">
        <f t="shared" si="145"/>
        <v>-144488.07679738477</v>
      </c>
      <c r="BY22" s="23">
        <f t="shared" si="145"/>
        <v>-33698.763071895344</v>
      </c>
      <c r="BZ22" s="23">
        <f t="shared" si="145"/>
        <v>-37309.104575163219</v>
      </c>
      <c r="CA22" s="23">
        <f t="shared" si="145"/>
        <v>-42037.635620914865</v>
      </c>
      <c r="CB22" s="23">
        <f t="shared" ref="CB22" si="146">CB23-CB21</f>
        <v>-55941.455882352777</v>
      </c>
      <c r="CC22" s="154">
        <f t="shared" si="145"/>
        <v>-168986.95915032644</v>
      </c>
      <c r="CD22" s="23">
        <f t="shared" ref="CD22:CE22" si="147">CD23-CD21</f>
        <v>-36704.38888888876</v>
      </c>
      <c r="CE22" s="23">
        <f t="shared" si="147"/>
        <v>-43413.472222222248</v>
      </c>
      <c r="CF22" s="23">
        <f t="shared" si="145"/>
        <v>-42891.888920091093</v>
      </c>
      <c r="CG22" s="23">
        <f t="shared" si="145"/>
        <v>-47198.677773125935</v>
      </c>
      <c r="CH22" s="154">
        <f t="shared" si="145"/>
        <v>-170208.42780432943</v>
      </c>
      <c r="CI22" s="23">
        <f t="shared" si="145"/>
        <v>-29613.432136910502</v>
      </c>
      <c r="CJ22" s="23">
        <f t="shared" si="145"/>
        <v>-29658.954694740474</v>
      </c>
      <c r="CK22" s="23">
        <f t="shared" si="145"/>
        <v>-31838.254601662047</v>
      </c>
      <c r="CL22" s="23">
        <f t="shared" si="145"/>
        <v>-34675.547187932534</v>
      </c>
      <c r="CM22" s="154">
        <f t="shared" si="145"/>
        <v>-125786.18862124719</v>
      </c>
      <c r="CN22" s="23">
        <f t="shared" si="145"/>
        <v>-33152.280887406319</v>
      </c>
      <c r="CO22" s="23">
        <f t="shared" si="145"/>
        <v>-33251.466050934745</v>
      </c>
      <c r="CP22" s="23">
        <f t="shared" si="145"/>
        <v>-34442.399300594814</v>
      </c>
      <c r="CQ22" s="23">
        <f t="shared" si="145"/>
        <v>-38254.971500598593</v>
      </c>
      <c r="CR22" s="154">
        <f t="shared" si="145"/>
        <v>-139101.11773953401</v>
      </c>
      <c r="CS22" s="23">
        <f t="shared" si="145"/>
        <v>-35202.660095062107</v>
      </c>
      <c r="CT22" s="23">
        <f t="shared" si="145"/>
        <v>-35036.142241715919</v>
      </c>
      <c r="CU22" s="23">
        <f t="shared" si="145"/>
        <v>-36801.97787335841</v>
      </c>
      <c r="CV22" s="23">
        <f t="shared" si="145"/>
        <v>-40730.825853479793</v>
      </c>
      <c r="CW22" s="154">
        <f t="shared" si="145"/>
        <v>-147771.60606361553</v>
      </c>
      <c r="CX22" s="23">
        <f t="shared" si="145"/>
        <v>-38166.298246881692</v>
      </c>
      <c r="CY22" s="23">
        <f t="shared" si="145"/>
        <v>-37730.755969362101</v>
      </c>
      <c r="CZ22" s="23">
        <f t="shared" si="145"/>
        <v>-39560.792534558335</v>
      </c>
      <c r="DA22" s="23">
        <f t="shared" si="145"/>
        <v>-43538.519749848638</v>
      </c>
      <c r="DB22" s="154">
        <f t="shared" si="145"/>
        <v>-158996.36650064774</v>
      </c>
    </row>
    <row r="23" spans="1:106" s="7" customFormat="1" ht="11.5" customHeight="1" x14ac:dyDescent="0.35">
      <c r="A23" s="315" t="s">
        <v>110</v>
      </c>
      <c r="B23" s="48"/>
      <c r="C23" s="48"/>
      <c r="D23" s="48"/>
      <c r="E23" s="317"/>
      <c r="F23" s="317"/>
      <c r="G23" s="48"/>
      <c r="H23" s="48"/>
      <c r="I23" s="48"/>
      <c r="J23" s="317"/>
      <c r="K23" s="317"/>
      <c r="L23" s="48"/>
      <c r="M23" s="48"/>
      <c r="N23" s="48"/>
      <c r="O23" s="317"/>
      <c r="P23" s="317"/>
      <c r="Q23" s="48"/>
      <c r="R23" s="48"/>
      <c r="S23" s="48"/>
      <c r="T23" s="317"/>
      <c r="U23" s="317"/>
      <c r="V23" s="48"/>
      <c r="W23" s="48"/>
      <c r="X23" s="48"/>
      <c r="Y23" s="317"/>
      <c r="Z23" s="317"/>
      <c r="AA23" s="48"/>
      <c r="AB23" s="48"/>
      <c r="AC23" s="48"/>
      <c r="AD23" s="317"/>
      <c r="AE23" s="317"/>
      <c r="AF23" s="48"/>
      <c r="AG23" s="48"/>
      <c r="AH23" s="48"/>
      <c r="AI23" s="317"/>
      <c r="AJ23" s="317"/>
      <c r="AK23" s="48"/>
      <c r="AL23" s="48"/>
      <c r="AM23" s="48"/>
      <c r="AN23" s="317"/>
      <c r="AO23" s="317"/>
      <c r="AP23" s="48"/>
      <c r="AQ23" s="48"/>
      <c r="AR23" s="48"/>
      <c r="AS23" s="317"/>
      <c r="AT23" s="317"/>
      <c r="AU23" s="48"/>
      <c r="AV23" s="48"/>
      <c r="AW23" s="48"/>
      <c r="AX23" s="317"/>
      <c r="AY23" s="317"/>
      <c r="AZ23" s="461">
        <f>IS!AZ9-'Business lines'!AZ67-'Business lines'!AZ111</f>
        <v>764755</v>
      </c>
      <c r="BA23" s="461">
        <f>IS!BA9-'Business lines'!BA67-'Business lines'!BA111</f>
        <v>838808</v>
      </c>
      <c r="BB23" s="461">
        <f>IS!BB9-'Business lines'!BB67-'Business lines'!BB111</f>
        <v>1163503</v>
      </c>
      <c r="BC23" s="461">
        <f>IS!BC9-'Business lines'!BC67-'Business lines'!BC111</f>
        <v>1056630</v>
      </c>
      <c r="BD23" s="134">
        <f>IS!BD9-'Business lines'!BD67-'Business lines'!BD111</f>
        <v>3823696</v>
      </c>
      <c r="BE23" s="461">
        <f>IS!BE9-'Business lines'!BE67-'Business lines'!BE111</f>
        <v>476609</v>
      </c>
      <c r="BF23" s="461">
        <f>IS!BF9-'Business lines'!BF67-'Business lines'!BF111</f>
        <v>749789</v>
      </c>
      <c r="BG23" s="461">
        <f>IS!BG9-'Business lines'!BG67-'Business lines'!BG111</f>
        <v>754299</v>
      </c>
      <c r="BH23" s="461">
        <f>IS!BH9-'Business lines'!BH67-'Business lines'!BH111</f>
        <v>776260</v>
      </c>
      <c r="BI23" s="134">
        <f>IS!BI9-'Business lines'!BI67-'Business lines'!BI111</f>
        <v>2756957</v>
      </c>
      <c r="BJ23" s="461">
        <f>IS!BJ9-'Business lines'!BJ67-'Business lines'!BJ111</f>
        <v>766007</v>
      </c>
      <c r="BK23" s="461">
        <f>IS!BK9-'Business lines'!BK67-'Business lines'!BK111</f>
        <v>566153</v>
      </c>
      <c r="BL23" s="461">
        <f>IS!BL9-'Business lines'!BL67-'Business lines'!BL111</f>
        <v>789715</v>
      </c>
      <c r="BM23" s="461">
        <f>IS!BM9-'Business lines'!BM67-'Business lines'!BM111</f>
        <v>687766</v>
      </c>
      <c r="BN23" s="134">
        <f>IS!BN9-'Business lines'!BN67-'Business lines'!BN111</f>
        <v>2809641</v>
      </c>
      <c r="BO23" s="461">
        <f>IS!BO9-'Business lines'!BO67-'Business lines'!BO111</f>
        <v>704164</v>
      </c>
      <c r="BP23" s="461">
        <f>IS!BP9-'Business lines'!BP67-'Business lines'!BP111</f>
        <v>781346</v>
      </c>
      <c r="BQ23" s="461">
        <f>IS!BQ9-'Business lines'!BQ67-'Business lines'!BQ111</f>
        <v>780977</v>
      </c>
      <c r="BR23" s="461">
        <f>IS!BR9-'Business lines'!BR67-'Business lines'!BR111</f>
        <v>936123</v>
      </c>
      <c r="BS23" s="134">
        <f>IS!BS9-'Business lines'!BS67-'Business lines'!BS111</f>
        <v>3202610</v>
      </c>
      <c r="BT23" s="461">
        <f>IS!BT9-'Business lines'!BT67-'Business lines'!BT111</f>
        <v>915925</v>
      </c>
      <c r="BU23" s="461">
        <f>IS!BU9-'Business lines'!BU67-'Business lines'!BU111</f>
        <v>928087</v>
      </c>
      <c r="BV23" s="461">
        <f>IS!BV9-'Business lines'!BV67-'Business lines'!BV111</f>
        <v>1083940</v>
      </c>
      <c r="BW23" s="461">
        <f>IS!BW9-'Business lines'!BW67-'Business lines'!BW111</f>
        <v>1484703</v>
      </c>
      <c r="BX23" s="134">
        <f>IS!BX9-'Business lines'!BX67-'Business lines'!BX111</f>
        <v>4412655</v>
      </c>
      <c r="BY23" s="461">
        <f>IS!BY9-'Business lines'!BY67-'Business lines'!BY111</f>
        <v>1156003</v>
      </c>
      <c r="BZ23" s="461">
        <f>IS!BZ9-'Business lines'!BZ67-'Business lines'!BZ111</f>
        <v>1002522</v>
      </c>
      <c r="CA23" s="461">
        <f>IS!CA9-'Business lines'!CA67-'Business lines'!CA111</f>
        <v>1145039</v>
      </c>
      <c r="CB23" s="461">
        <f>IS!CB9-'Business lines'!CB67-'Business lines'!CB111</f>
        <v>2012749</v>
      </c>
      <c r="CC23" s="134">
        <f>IS!CC9-'Business lines'!CC67-'Business lines'!CC111</f>
        <v>5316313</v>
      </c>
      <c r="CD23" s="461">
        <f>IS!CD9-'Business lines'!CD67-'Business lines'!CD111</f>
        <v>1103803</v>
      </c>
      <c r="CE23" s="461">
        <f>IS!CE9-'Business lines'!CE67-'Business lines'!CE111</f>
        <v>1321012</v>
      </c>
      <c r="CF23" s="461">
        <f>IS!CF9-'Business lines'!CF67-'Business lines'!CF111</f>
        <v>1468940.9190177643</v>
      </c>
      <c r="CG23" s="461">
        <f>IS!CG9-'Business lines'!CG67-'Business lines'!CG111</f>
        <v>1629632.4572539944</v>
      </c>
      <c r="CH23" s="134">
        <f>IS!CH9-'Business lines'!CH67-'Business lines'!CH111</f>
        <v>5523388.3762717573</v>
      </c>
      <c r="CI23" s="461">
        <f>IS!CI9-'Business lines'!CI67-'Business lines'!CI111</f>
        <v>1394109.2667530188</v>
      </c>
      <c r="CJ23" s="461">
        <f>IS!CJ9-'Business lines'!CJ67-'Business lines'!CJ111</f>
        <v>1396252.3287062417</v>
      </c>
      <c r="CK23" s="461">
        <f>IS!CK9-'Business lines'!CK67-'Business lines'!CK111</f>
        <v>1498847.0627859342</v>
      </c>
      <c r="CL23" s="461">
        <f>IS!CL9-'Business lines'!CL67-'Business lines'!CL111</f>
        <v>1632418.0676165265</v>
      </c>
      <c r="CM23" s="134">
        <f>IS!CM9-'Business lines'!CM67-'Business lines'!CM111</f>
        <v>5921626.7258617207</v>
      </c>
      <c r="CN23" s="461">
        <f>IS!CN9-'Business lines'!CN67-'Business lines'!CN111</f>
        <v>1560707.3771609669</v>
      </c>
      <c r="CO23" s="461">
        <f>IS!CO9-'Business lines'!CO67-'Business lines'!CO111</f>
        <v>1565376.7094747648</v>
      </c>
      <c r="CP23" s="461">
        <f>IS!CP9-'Business lines'!CP67-'Business lines'!CP111</f>
        <v>1621442.18245876</v>
      </c>
      <c r="CQ23" s="461">
        <f>IS!CQ9-'Business lines'!CQ67-'Business lines'!CQ111</f>
        <v>1800926.3506435722</v>
      </c>
      <c r="CR23" s="134">
        <f>IS!CR9-'Business lines'!CR67-'Business lines'!CR111</f>
        <v>6548452.6197380647</v>
      </c>
      <c r="CS23" s="461">
        <f>IS!CS9-'Business lines'!CS67-'Business lines'!CS111</f>
        <v>1657232.9213983133</v>
      </c>
      <c r="CT23" s="461">
        <f>IS!CT9-'Business lines'!CT67-'Business lines'!CT111</f>
        <v>1649393.7732254011</v>
      </c>
      <c r="CU23" s="461">
        <f>IS!CU9-'Business lines'!CU67-'Business lines'!CU111</f>
        <v>1732523.881422719</v>
      </c>
      <c r="CV23" s="461">
        <f>IS!CV9-'Business lines'!CV67-'Business lines'!CV111</f>
        <v>1917481.9555638162</v>
      </c>
      <c r="CW23" s="134">
        <f>IS!CW9-'Business lines'!CW67-'Business lines'!CW111</f>
        <v>6956632.5316102495</v>
      </c>
      <c r="CX23" s="461">
        <f>IS!CX9-'Business lines'!CX67-'Business lines'!CX111</f>
        <v>1796751.8866993776</v>
      </c>
      <c r="CY23" s="461">
        <f>IS!CY9-'Business lines'!CY67-'Business lines'!CY111</f>
        <v>1776247.8964038116</v>
      </c>
      <c r="CZ23" s="461">
        <f>IS!CZ9-'Business lines'!CZ67-'Business lines'!CZ111</f>
        <v>1862400.3870115413</v>
      </c>
      <c r="DA23" s="461">
        <f>IS!DA9-'Business lines'!DA67-'Business lines'!DA111</f>
        <v>2049659.5451467189</v>
      </c>
      <c r="DB23" s="134">
        <f>IS!DB9-'Business lines'!DB67-'Business lines'!DB111</f>
        <v>7485059.715261451</v>
      </c>
    </row>
    <row r="24" spans="1:106" s="7" customFormat="1" ht="11.5" customHeight="1" x14ac:dyDescent="0.35">
      <c r="A24" s="322" t="s">
        <v>352</v>
      </c>
      <c r="B24" s="23"/>
      <c r="C24" s="23"/>
      <c r="D24" s="23"/>
      <c r="E24" s="324"/>
      <c r="F24" s="324"/>
      <c r="G24" s="23"/>
      <c r="H24" s="23"/>
      <c r="I24" s="23"/>
      <c r="J24" s="324"/>
      <c r="K24" s="324"/>
      <c r="L24" s="23"/>
      <c r="M24" s="23"/>
      <c r="N24" s="23"/>
      <c r="O24" s="324"/>
      <c r="P24" s="324"/>
      <c r="Q24" s="23"/>
      <c r="R24" s="23"/>
      <c r="S24" s="23"/>
      <c r="T24" s="324"/>
      <c r="U24" s="324"/>
      <c r="V24" s="23"/>
      <c r="W24" s="23"/>
      <c r="X24" s="23"/>
      <c r="Y24" s="324"/>
      <c r="Z24" s="324"/>
      <c r="AA24" s="23"/>
      <c r="AB24" s="23"/>
      <c r="AC24" s="23"/>
      <c r="AD24" s="324"/>
      <c r="AE24" s="324"/>
      <c r="AF24" s="23"/>
      <c r="AG24" s="23"/>
      <c r="AH24" s="23"/>
      <c r="AI24" s="324"/>
      <c r="AJ24" s="324"/>
      <c r="AK24" s="23"/>
      <c r="AL24" s="23"/>
      <c r="AM24" s="23"/>
      <c r="AN24" s="324"/>
      <c r="AO24" s="324"/>
      <c r="AP24" s="23"/>
      <c r="AQ24" s="23"/>
      <c r="AR24" s="23"/>
      <c r="AS24" s="324"/>
      <c r="AT24" s="324"/>
      <c r="AU24" s="23"/>
      <c r="AV24" s="23"/>
      <c r="AW24" s="23"/>
      <c r="AX24" s="324"/>
      <c r="AY24" s="324"/>
      <c r="AZ24" s="448">
        <f>IS!AZ11+IS!AZ14-'Business lines'!AZ68-'Business lines'!AZ112</f>
        <v>-492257</v>
      </c>
      <c r="BA24" s="448">
        <f>IS!BA11+IS!BA14-'Business lines'!BA68-'Business lines'!BA112</f>
        <v>-547111</v>
      </c>
      <c r="BB24" s="448">
        <f>IS!BB11+IS!BB14-'Business lines'!BB68-'Business lines'!BB112</f>
        <v>-766665</v>
      </c>
      <c r="BC24" s="448">
        <f>IS!BC11+IS!BC14-'Business lines'!BC68-'Business lines'!BC112</f>
        <v>-699927</v>
      </c>
      <c r="BD24" s="57">
        <f>IS!BD11+IS!BD14-'Business lines'!BD68-'Business lines'!BD112</f>
        <v>-2505960</v>
      </c>
      <c r="BE24" s="448">
        <f>IS!BE11+IS!BE14-'Business lines'!BE68-'Business lines'!BE112</f>
        <v>-306100</v>
      </c>
      <c r="BF24" s="448">
        <f>IS!BF11+IS!BF14-'Business lines'!BF68-'Business lines'!BF112</f>
        <v>-452184</v>
      </c>
      <c r="BG24" s="448">
        <f>IS!BG11+IS!BG14-'Business lines'!BG68-'Business lines'!BG112</f>
        <v>-456721</v>
      </c>
      <c r="BH24" s="448">
        <f>IS!BH11+IS!BH14-'Business lines'!BH68-'Business lines'!BH112</f>
        <v>-485358</v>
      </c>
      <c r="BI24" s="57">
        <f>IS!BI11+IS!BI14-'Business lines'!BI68-'Business lines'!BI112</f>
        <v>-1700363</v>
      </c>
      <c r="BJ24" s="448">
        <f>IS!BJ11+IS!BJ14-'Business lines'!BJ68-'Business lines'!BJ112</f>
        <v>-512857</v>
      </c>
      <c r="BK24" s="448">
        <f>IS!BK11+IS!BK14-'Business lines'!BK68-'Business lines'!BK112</f>
        <v>-341026</v>
      </c>
      <c r="BL24" s="448">
        <f>IS!BL11+IS!BL14-'Business lines'!BL68-'Business lines'!BL112</f>
        <v>-499097</v>
      </c>
      <c r="BM24" s="448">
        <f>IS!BM11+IS!BM14-'Business lines'!BM68-'Business lines'!BM112</f>
        <v>-447055</v>
      </c>
      <c r="BN24" s="57">
        <f>IS!BN11+IS!BN14-'Business lines'!BN68-'Business lines'!BN112</f>
        <v>-1800035</v>
      </c>
      <c r="BO24" s="448">
        <f>IS!BO11+IS!BO14-'Business lines'!BO68-'Business lines'!BO112</f>
        <v>-450275</v>
      </c>
      <c r="BP24" s="448">
        <f>IS!BP11+IS!BP14-'Business lines'!BP68-'Business lines'!BP112</f>
        <v>-466697</v>
      </c>
      <c r="BQ24" s="448">
        <f>IS!BQ11+IS!BQ14-'Business lines'!BQ68-'Business lines'!BQ112</f>
        <v>-474766</v>
      </c>
      <c r="BR24" s="448">
        <f>IS!BR11+IS!BR14-'Business lines'!BR68-'Business lines'!BR112</f>
        <v>-560808</v>
      </c>
      <c r="BS24" s="57">
        <f>IS!BS11+IS!BS14-'Business lines'!BS68-'Business lines'!BS112</f>
        <v>-1952546</v>
      </c>
      <c r="BT24" s="448">
        <f>IS!BT11+IS!BT14-'Business lines'!BT68-'Business lines'!BT112</f>
        <v>-585851</v>
      </c>
      <c r="BU24" s="448">
        <f>IS!BU11+IS!BU14-'Business lines'!BU68-'Business lines'!BU112</f>
        <v>-565382</v>
      </c>
      <c r="BV24" s="448">
        <f>IS!BV11+IS!BV14-'Business lines'!BV68-'Business lines'!BV112</f>
        <v>-677982</v>
      </c>
      <c r="BW24" s="448">
        <f>IS!BW11+IS!BW14-'Business lines'!BW68-'Business lines'!BW112</f>
        <v>-980572</v>
      </c>
      <c r="BX24" s="57">
        <f>IS!BX11+IS!BX14-'Business lines'!BX68-'Business lines'!BX112</f>
        <v>-2809787</v>
      </c>
      <c r="BY24" s="448">
        <f>IS!BY11+IS!BY14-'Business lines'!BY68-'Business lines'!BY112</f>
        <v>-747346</v>
      </c>
      <c r="BZ24" s="448">
        <f>IS!BZ11+IS!BZ14-'Business lines'!BZ68-'Business lines'!BZ112</f>
        <v>-615366</v>
      </c>
      <c r="CA24" s="448">
        <f>IS!CA11+IS!CA14-'Business lines'!CA68-'Business lines'!CA112</f>
        <v>-705841</v>
      </c>
      <c r="CB24" s="448">
        <f>IS!CB11+IS!CB14-'Business lines'!CB68-'Business lines'!CB112</f>
        <v>-1330361</v>
      </c>
      <c r="CC24" s="57">
        <f>IS!CC11+IS!CC14-'Business lines'!CC68-'Business lines'!CC112</f>
        <v>-3398914</v>
      </c>
      <c r="CD24" s="448">
        <f>IS!CD11+IS!CD14-'Business lines'!CD68-'Business lines'!CD112</f>
        <v>-683701</v>
      </c>
      <c r="CE24" s="448">
        <f>IS!CE11+IS!CE14-'Business lines'!CE68-'Business lines'!CE112</f>
        <v>-796406</v>
      </c>
      <c r="CF24" s="448">
        <f>IS!CF11+IS!CF14-'Business lines'!CF68-'Business lines'!CF112</f>
        <v>-916917.8803703601</v>
      </c>
      <c r="CG24" s="448">
        <f>IS!CG11+IS!CG14-'Business lines'!CG68-'Business lines'!CG112</f>
        <v>-1021152.9226505964</v>
      </c>
      <c r="CH24" s="57">
        <f>IS!CH11+IS!CH14-'Business lines'!CH68-'Business lines'!CH112</f>
        <v>-3418177.8030209555</v>
      </c>
      <c r="CI24" s="448">
        <f>IS!CI11+IS!CI14-'Business lines'!CI68-'Business lines'!CI112</f>
        <v>-867166.78372102196</v>
      </c>
      <c r="CJ24" s="448">
        <f>IS!CJ11+IS!CJ14-'Business lines'!CJ68-'Business lines'!CJ112</f>
        <v>-869785.22322851699</v>
      </c>
      <c r="CK24" s="448">
        <f>IS!CK11+IS!CK14-'Business lines'!CK68-'Business lines'!CK112</f>
        <v>-937411.51265248668</v>
      </c>
      <c r="CL24" s="448">
        <f>IS!CL11+IS!CL14-'Business lines'!CL68-'Business lines'!CL112</f>
        <v>-1024624.3601696009</v>
      </c>
      <c r="CM24" s="57">
        <f>IS!CM11+IS!CM14-'Business lines'!CM68-'Business lines'!CM112</f>
        <v>-3698987.8797716275</v>
      </c>
      <c r="CN24" s="448">
        <f>IS!CN11+IS!CN14-'Business lines'!CN68-'Business lines'!CN112</f>
        <v>-971539.87386807473</v>
      </c>
      <c r="CO24" s="448">
        <f>IS!CO11+IS!CO14-'Business lines'!CO68-'Business lines'!CO112</f>
        <v>-974978.55797428859</v>
      </c>
      <c r="CP24" s="448">
        <f>IS!CP11+IS!CP14-'Business lines'!CP68-'Business lines'!CP112</f>
        <v>-1010750.2923634329</v>
      </c>
      <c r="CQ24" s="448">
        <f>IS!CQ11+IS!CQ14-'Business lines'!CQ68-'Business lines'!CQ112</f>
        <v>-1127990.8546993809</v>
      </c>
      <c r="CR24" s="57">
        <f>IS!CR11+IS!CR14-'Business lines'!CR68-'Business lines'!CR112</f>
        <v>-4085259.5789051768</v>
      </c>
      <c r="CS24" s="448">
        <f>IS!CS11+IS!CS14-'Business lines'!CS68-'Business lines'!CS112</f>
        <v>-1034088.728711189</v>
      </c>
      <c r="CT24" s="448">
        <f>IS!CT11+IS!CT14-'Business lines'!CT68-'Business lines'!CT112</f>
        <v>-1029415.4570817664</v>
      </c>
      <c r="CU24" s="448">
        <f>IS!CU11+IS!CU14-'Business lines'!CU68-'Business lines'!CU112</f>
        <v>-1083393.6672950117</v>
      </c>
      <c r="CV24" s="448">
        <f>IS!CV11+IS!CV14-'Business lines'!CV68-'Business lines'!CV112</f>
        <v>-1203500.7515069779</v>
      </c>
      <c r="CW24" s="57">
        <f>IS!CW11+IS!CW14-'Business lines'!CW68-'Business lines'!CW112</f>
        <v>-4350398.6045949459</v>
      </c>
      <c r="CX24" s="448">
        <f>IS!CX11+IS!CX14-'Business lines'!CX68-'Business lines'!CX112</f>
        <v>-1124543.0600608457</v>
      </c>
      <c r="CY24" s="448">
        <f>IS!CY11+IS!CY14-'Business lines'!CY68-'Business lines'!CY112</f>
        <v>-1110832.9689022894</v>
      </c>
      <c r="CZ24" s="448">
        <f>IS!CZ11+IS!CZ14-'Business lines'!CZ68-'Business lines'!CZ112</f>
        <v>-1166505.4764693915</v>
      </c>
      <c r="DA24" s="448">
        <f>IS!DA11+IS!DA14-'Business lines'!DA68-'Business lines'!DA112</f>
        <v>-1287935.7790434363</v>
      </c>
      <c r="DB24" s="57">
        <f>IS!DB11+IS!DB14-'Business lines'!DB68-'Business lines'!DB112</f>
        <v>-4689817.2844759636</v>
      </c>
    </row>
    <row r="25" spans="1:106" s="7" customFormat="1" ht="11.5" customHeight="1" x14ac:dyDescent="0.35">
      <c r="A25" s="322" t="s">
        <v>353</v>
      </c>
      <c r="B25" s="23"/>
      <c r="C25" s="23"/>
      <c r="D25" s="23"/>
      <c r="E25" s="324"/>
      <c r="F25" s="324"/>
      <c r="G25" s="23"/>
      <c r="H25" s="23"/>
      <c r="I25" s="23"/>
      <c r="J25" s="324"/>
      <c r="K25" s="324"/>
      <c r="L25" s="23"/>
      <c r="M25" s="23"/>
      <c r="N25" s="23"/>
      <c r="O25" s="324"/>
      <c r="P25" s="324"/>
      <c r="Q25" s="23"/>
      <c r="R25" s="23"/>
      <c r="S25" s="23"/>
      <c r="T25" s="324"/>
      <c r="U25" s="324"/>
      <c r="V25" s="23"/>
      <c r="W25" s="23"/>
      <c r="X25" s="23"/>
      <c r="Y25" s="324"/>
      <c r="Z25" s="324"/>
      <c r="AA25" s="23"/>
      <c r="AB25" s="23"/>
      <c r="AC25" s="23"/>
      <c r="AD25" s="324"/>
      <c r="AE25" s="324"/>
      <c r="AF25" s="23"/>
      <c r="AG25" s="23"/>
      <c r="AH25" s="23"/>
      <c r="AI25" s="324"/>
      <c r="AJ25" s="324"/>
      <c r="AK25" s="23"/>
      <c r="AL25" s="23"/>
      <c r="AM25" s="23"/>
      <c r="AN25" s="324"/>
      <c r="AO25" s="324"/>
      <c r="AP25" s="23"/>
      <c r="AQ25" s="23"/>
      <c r="AR25" s="23"/>
      <c r="AS25" s="324"/>
      <c r="AT25" s="324"/>
      <c r="AU25" s="23"/>
      <c r="AV25" s="23"/>
      <c r="AW25" s="23"/>
      <c r="AX25" s="324"/>
      <c r="AY25" s="324"/>
      <c r="AZ25" s="448">
        <f>IS!AZ13-'Business lines'!AZ69-'Business lines'!AZ113</f>
        <v>-11643</v>
      </c>
      <c r="BA25" s="448">
        <f>IS!BA13-'Business lines'!BA69-'Business lines'!BA113</f>
        <v>-16826</v>
      </c>
      <c r="BB25" s="448">
        <f>IS!BB13-'Business lines'!BB69-'Business lines'!BB113</f>
        <v>-18257</v>
      </c>
      <c r="BC25" s="448">
        <f>IS!BC13-'Business lines'!BC69-'Business lines'!BC113</f>
        <v>-20627</v>
      </c>
      <c r="BD25" s="57">
        <f>IS!BD13-'Business lines'!BD69-'Business lines'!BD113</f>
        <v>-67353</v>
      </c>
      <c r="BE25" s="448">
        <f>IS!BE13-'Business lines'!BE69-'Business lines'!BE113</f>
        <v>-9011</v>
      </c>
      <c r="BF25" s="448">
        <f>IS!BF13-'Business lines'!BF69-'Business lines'!BF113</f>
        <v>-10376</v>
      </c>
      <c r="BG25" s="448">
        <f>IS!BG13-'Business lines'!BG69-'Business lines'!BG113</f>
        <v>-11595</v>
      </c>
      <c r="BH25" s="448">
        <f>IS!BH13-'Business lines'!BH69-'Business lines'!BH113</f>
        <v>-15267</v>
      </c>
      <c r="BI25" s="57">
        <f>IS!BI13-'Business lines'!BI69-'Business lines'!BI113</f>
        <v>-46249</v>
      </c>
      <c r="BJ25" s="448">
        <f>IS!BJ13-'Business lines'!BJ69-'Business lines'!BJ113</f>
        <v>-16267</v>
      </c>
      <c r="BK25" s="448">
        <f>IS!BK13-'Business lines'!BK69-'Business lines'!BK113</f>
        <v>-19511</v>
      </c>
      <c r="BL25" s="448">
        <f>IS!BL13-'Business lines'!BL69-'Business lines'!BL113</f>
        <v>-22791</v>
      </c>
      <c r="BM25" s="448">
        <f>IS!BM13-'Business lines'!BM69-'Business lines'!BM113</f>
        <v>-23445</v>
      </c>
      <c r="BN25" s="57">
        <f>IS!BN13-'Business lines'!BN69-'Business lines'!BN113</f>
        <v>-82014</v>
      </c>
      <c r="BO25" s="448">
        <f>IS!BO13-'Business lines'!BO69-'Business lines'!BO113</f>
        <v>-24675</v>
      </c>
      <c r="BP25" s="448">
        <f>IS!BP13-'Business lines'!BP69-'Business lines'!BP113</f>
        <v>-30381</v>
      </c>
      <c r="BQ25" s="448">
        <f>IS!BQ13-'Business lines'!BQ69-'Business lines'!BQ113</f>
        <v>-30001</v>
      </c>
      <c r="BR25" s="448">
        <f>IS!BR13-'Business lines'!BR69-'Business lines'!BR113</f>
        <v>-29630</v>
      </c>
      <c r="BS25" s="57">
        <f>IS!BS13-'Business lines'!BS69-'Business lines'!BS113</f>
        <v>-114687</v>
      </c>
      <c r="BT25" s="448">
        <f>IS!BT13-'Business lines'!BT69-'Business lines'!BT113</f>
        <v>-27119</v>
      </c>
      <c r="BU25" s="448">
        <f>IS!BU13-'Business lines'!BU69-'Business lines'!BU113</f>
        <v>-35198</v>
      </c>
      <c r="BV25" s="448">
        <f>IS!BV13-'Business lines'!BV69-'Business lines'!BV113</f>
        <v>-35854</v>
      </c>
      <c r="BW25" s="448">
        <f>IS!BW13-'Business lines'!BW69-'Business lines'!BW113</f>
        <v>-35818</v>
      </c>
      <c r="BX25" s="57">
        <f>IS!BX13-'Business lines'!BX69-'Business lines'!BX113</f>
        <v>-133989</v>
      </c>
      <c r="BY25" s="448">
        <f>IS!BY13-'Business lines'!BY69-'Business lines'!BY113</f>
        <v>-36495</v>
      </c>
      <c r="BZ25" s="448">
        <f>IS!BZ13-'Business lines'!BZ69-'Business lines'!BZ113</f>
        <v>-45571</v>
      </c>
      <c r="CA25" s="448">
        <f>IS!CA13-'Business lines'!CA69-'Business lines'!CA113</f>
        <v>-48623</v>
      </c>
      <c r="CB25" s="448">
        <f>IS!CB13-'Business lines'!CB69-'Business lines'!CB113</f>
        <v>-47541</v>
      </c>
      <c r="CC25" s="57">
        <f>IS!CC13-'Business lines'!CC69-'Business lines'!CC113</f>
        <v>-178230</v>
      </c>
      <c r="CD25" s="448">
        <f>IS!CD13-'Business lines'!CD69-'Business lines'!CD113</f>
        <v>-65240</v>
      </c>
      <c r="CE25" s="448">
        <f>IS!CE13-'Business lines'!CE69-'Business lines'!CE113</f>
        <v>-72755</v>
      </c>
      <c r="CF25" s="448">
        <f>IS!CF13-'Business lines'!CF69-'Business lines'!CF113</f>
        <v>-46224.914195601217</v>
      </c>
      <c r="CG25" s="448">
        <f>IS!CG13-'Business lines'!CG69-'Business lines'!CG113</f>
        <v>-50918.880174704318</v>
      </c>
      <c r="CH25" s="57">
        <f>IS!CH13-'Business lines'!CH69-'Business lines'!CH113</f>
        <v>-235138.79437030555</v>
      </c>
      <c r="CI25" s="448">
        <f>IS!CI13-'Business lines'!CI69-'Business lines'!CI113</f>
        <v>-40384.913432379253</v>
      </c>
      <c r="CJ25" s="448">
        <f>IS!CJ13-'Business lines'!CJ69-'Business lines'!CJ113</f>
        <v>-43619.306923456352</v>
      </c>
      <c r="CK25" s="448">
        <f>IS!CK13-'Business lines'!CK69-'Business lines'!CK113</f>
        <v>-48174.929865229598</v>
      </c>
      <c r="CL25" s="448">
        <f>IS!CL13-'Business lines'!CL69-'Business lines'!CL113</f>
        <v>-52656.217553876209</v>
      </c>
      <c r="CM25" s="57">
        <f>IS!CM13-'Business lines'!CM69-'Business lines'!CM113</f>
        <v>-184835.36777494143</v>
      </c>
      <c r="CN25" s="448">
        <f>IS!CN13-'Business lines'!CN69-'Business lines'!CN113</f>
        <v>-43612.153988655322</v>
      </c>
      <c r="CO25" s="448">
        <f>IS!CO13-'Business lines'!CO69-'Business lines'!CO113</f>
        <v>-45175.763909725662</v>
      </c>
      <c r="CP25" s="448">
        <f>IS!CP13-'Business lines'!CP69-'Business lines'!CP113</f>
        <v>-48885.281815886177</v>
      </c>
      <c r="CQ25" s="448">
        <f>IS!CQ13-'Business lines'!CQ69-'Business lines'!CQ113</f>
        <v>-55426.339189077684</v>
      </c>
      <c r="CR25" s="57">
        <f>IS!CR13-'Business lines'!CR69-'Business lines'!CR113</f>
        <v>-193099.53890334483</v>
      </c>
      <c r="CS25" s="448">
        <f>IS!CS13-'Business lines'!CS69-'Business lines'!CS113</f>
        <v>-53590.165699088262</v>
      </c>
      <c r="CT25" s="448">
        <f>IS!CT13-'Business lines'!CT69-'Business lines'!CT113</f>
        <v>-53021.344733163918</v>
      </c>
      <c r="CU25" s="448">
        <f>IS!CU13-'Business lines'!CU69-'Business lines'!CU113</f>
        <v>-55103.295262292486</v>
      </c>
      <c r="CV25" s="448">
        <f>IS!CV13-'Business lines'!CV69-'Business lines'!CV113</f>
        <v>-61057.081504176727</v>
      </c>
      <c r="CW25" s="57">
        <f>IS!CW13-'Business lines'!CW69-'Business lines'!CW113</f>
        <v>-222771.88719872138</v>
      </c>
      <c r="CX25" s="448">
        <f>IS!CX13-'Business lines'!CX69-'Business lines'!CX113</f>
        <v>-56012.706011408605</v>
      </c>
      <c r="CY25" s="448">
        <f>IS!CY13-'Business lines'!CY69-'Business lines'!CY113</f>
        <v>-55214.348168241093</v>
      </c>
      <c r="CZ25" s="448">
        <f>IS!CZ13-'Business lines'!CZ69-'Business lines'!CZ113</f>
        <v>-57342.395131665689</v>
      </c>
      <c r="DA25" s="448">
        <f>IS!DA13-'Business lines'!DA69-'Business lines'!DA113</f>
        <v>-63379.135185809369</v>
      </c>
      <c r="DB25" s="57">
        <f>IS!DB13-'Business lines'!DB69-'Business lines'!DB113</f>
        <v>-231948.58449712474</v>
      </c>
    </row>
    <row r="26" spans="1:106" s="7" customFormat="1" ht="11.5" customHeight="1" x14ac:dyDescent="0.35">
      <c r="A26" s="325" t="s">
        <v>354</v>
      </c>
      <c r="B26" s="48"/>
      <c r="C26" s="48"/>
      <c r="D26" s="48"/>
      <c r="E26" s="317"/>
      <c r="F26" s="317"/>
      <c r="G26" s="48"/>
      <c r="H26" s="48"/>
      <c r="I26" s="48"/>
      <c r="J26" s="317"/>
      <c r="K26" s="317"/>
      <c r="L26" s="48"/>
      <c r="M26" s="48"/>
      <c r="N26" s="48"/>
      <c r="O26" s="317"/>
      <c r="P26" s="317"/>
      <c r="Q26" s="48"/>
      <c r="R26" s="48"/>
      <c r="S26" s="48"/>
      <c r="T26" s="317"/>
      <c r="U26" s="317"/>
      <c r="V26" s="48"/>
      <c r="W26" s="48"/>
      <c r="X26" s="48"/>
      <c r="Y26" s="317"/>
      <c r="Z26" s="317"/>
      <c r="AA26" s="48"/>
      <c r="AB26" s="48"/>
      <c r="AC26" s="48"/>
      <c r="AD26" s="317"/>
      <c r="AE26" s="317"/>
      <c r="AF26" s="48"/>
      <c r="AG26" s="48"/>
      <c r="AH26" s="48"/>
      <c r="AI26" s="317"/>
      <c r="AJ26" s="317"/>
      <c r="AK26" s="48"/>
      <c r="AL26" s="48"/>
      <c r="AM26" s="48"/>
      <c r="AN26" s="317"/>
      <c r="AO26" s="317"/>
      <c r="AP26" s="48"/>
      <c r="AQ26" s="48"/>
      <c r="AR26" s="48"/>
      <c r="AS26" s="317"/>
      <c r="AT26" s="317"/>
      <c r="AU26" s="48"/>
      <c r="AV26" s="48"/>
      <c r="AW26" s="48"/>
      <c r="AX26" s="317"/>
      <c r="AY26" s="317"/>
      <c r="AZ26" s="48">
        <f t="shared" ref="AZ26:BS26" si="148">AZ23+AZ24+AZ25</f>
        <v>260855</v>
      </c>
      <c r="BA26" s="48">
        <f t="shared" si="148"/>
        <v>274871</v>
      </c>
      <c r="BB26" s="48">
        <f t="shared" si="148"/>
        <v>378581</v>
      </c>
      <c r="BC26" s="48">
        <f t="shared" si="148"/>
        <v>336076</v>
      </c>
      <c r="BD26" s="56">
        <f t="shared" si="148"/>
        <v>1250383</v>
      </c>
      <c r="BE26" s="48">
        <f t="shared" si="148"/>
        <v>161498</v>
      </c>
      <c r="BF26" s="48">
        <f t="shared" si="148"/>
        <v>287229</v>
      </c>
      <c r="BG26" s="48">
        <f t="shared" si="148"/>
        <v>285983</v>
      </c>
      <c r="BH26" s="48">
        <f t="shared" si="148"/>
        <v>275635</v>
      </c>
      <c r="BI26" s="56">
        <f t="shared" si="148"/>
        <v>1010345</v>
      </c>
      <c r="BJ26" s="48">
        <f t="shared" si="148"/>
        <v>236883</v>
      </c>
      <c r="BK26" s="48">
        <f t="shared" si="148"/>
        <v>205616</v>
      </c>
      <c r="BL26" s="48">
        <f t="shared" si="148"/>
        <v>267827</v>
      </c>
      <c r="BM26" s="48">
        <f t="shared" si="148"/>
        <v>217266</v>
      </c>
      <c r="BN26" s="56">
        <f t="shared" si="148"/>
        <v>927592</v>
      </c>
      <c r="BO26" s="48">
        <f t="shared" si="148"/>
        <v>229214</v>
      </c>
      <c r="BP26" s="48">
        <f t="shared" si="148"/>
        <v>284268</v>
      </c>
      <c r="BQ26" s="48">
        <f t="shared" si="148"/>
        <v>276210</v>
      </c>
      <c r="BR26" s="48">
        <f t="shared" si="148"/>
        <v>345685</v>
      </c>
      <c r="BS26" s="56">
        <f t="shared" si="148"/>
        <v>1135377</v>
      </c>
      <c r="BT26" s="48">
        <f t="shared" ref="BT26" si="149">BT23+BT24+BT25</f>
        <v>302955</v>
      </c>
      <c r="BU26" s="48">
        <f t="shared" ref="BU26:DB26" si="150">BU23+BU24+BU25</f>
        <v>327507</v>
      </c>
      <c r="BV26" s="48">
        <f t="shared" si="150"/>
        <v>370104</v>
      </c>
      <c r="BW26" s="48">
        <f t="shared" si="150"/>
        <v>468313</v>
      </c>
      <c r="BX26" s="56">
        <f t="shared" si="150"/>
        <v>1468879</v>
      </c>
      <c r="BY26" s="48">
        <f t="shared" si="150"/>
        <v>372162</v>
      </c>
      <c r="BZ26" s="48">
        <f t="shared" si="150"/>
        <v>341585</v>
      </c>
      <c r="CA26" s="48">
        <f t="shared" si="150"/>
        <v>390575</v>
      </c>
      <c r="CB26" s="48">
        <f t="shared" ref="CB26" si="151">CB23+CB24+CB25</f>
        <v>634847</v>
      </c>
      <c r="CC26" s="56">
        <f t="shared" si="150"/>
        <v>1739169</v>
      </c>
      <c r="CD26" s="48">
        <f t="shared" ref="CD26:CE26" si="152">CD23+CD24+CD25</f>
        <v>354862</v>
      </c>
      <c r="CE26" s="48">
        <f t="shared" si="152"/>
        <v>451851</v>
      </c>
      <c r="CF26" s="48">
        <f t="shared" si="150"/>
        <v>505798.12445180293</v>
      </c>
      <c r="CG26" s="48">
        <f t="shared" si="150"/>
        <v>557560.6544286937</v>
      </c>
      <c r="CH26" s="56">
        <f t="shared" si="150"/>
        <v>1870071.7788804963</v>
      </c>
      <c r="CI26" s="48">
        <f t="shared" si="150"/>
        <v>486557.56959961762</v>
      </c>
      <c r="CJ26" s="48">
        <f t="shared" si="150"/>
        <v>482847.79855426832</v>
      </c>
      <c r="CK26" s="48">
        <f t="shared" si="150"/>
        <v>513260.62026821793</v>
      </c>
      <c r="CL26" s="48">
        <f t="shared" si="150"/>
        <v>555137.48989304935</v>
      </c>
      <c r="CM26" s="56">
        <f t="shared" si="150"/>
        <v>2037803.4783151518</v>
      </c>
      <c r="CN26" s="48">
        <f t="shared" si="150"/>
        <v>545555.34930423682</v>
      </c>
      <c r="CO26" s="48">
        <f t="shared" si="150"/>
        <v>545222.38759075047</v>
      </c>
      <c r="CP26" s="48">
        <f t="shared" si="150"/>
        <v>561806.6082794409</v>
      </c>
      <c r="CQ26" s="48">
        <f t="shared" si="150"/>
        <v>617509.15675511351</v>
      </c>
      <c r="CR26" s="56">
        <f t="shared" si="150"/>
        <v>2270093.501929543</v>
      </c>
      <c r="CS26" s="48">
        <f t="shared" si="150"/>
        <v>569554.026988036</v>
      </c>
      <c r="CT26" s="48">
        <f t="shared" si="150"/>
        <v>566956.97141047067</v>
      </c>
      <c r="CU26" s="48">
        <f t="shared" si="150"/>
        <v>594026.9188654148</v>
      </c>
      <c r="CV26" s="48">
        <f t="shared" si="150"/>
        <v>652924.12255266157</v>
      </c>
      <c r="CW26" s="56">
        <f t="shared" si="150"/>
        <v>2383462.0398165821</v>
      </c>
      <c r="CX26" s="48">
        <f t="shared" si="150"/>
        <v>616196.12062712328</v>
      </c>
      <c r="CY26" s="48">
        <f t="shared" si="150"/>
        <v>610200.57933328114</v>
      </c>
      <c r="CZ26" s="48">
        <f t="shared" si="150"/>
        <v>638552.51541048405</v>
      </c>
      <c r="DA26" s="48">
        <f t="shared" si="150"/>
        <v>698344.63091747323</v>
      </c>
      <c r="DB26" s="56">
        <f t="shared" si="150"/>
        <v>2563293.8462883625</v>
      </c>
    </row>
    <row r="27" spans="1:106" s="7" customFormat="1" ht="11.5" customHeight="1" x14ac:dyDescent="0.35">
      <c r="A27" s="322" t="s">
        <v>355</v>
      </c>
      <c r="B27" s="23"/>
      <c r="C27" s="23"/>
      <c r="D27" s="23"/>
      <c r="E27" s="324"/>
      <c r="F27" s="324"/>
      <c r="G27" s="23"/>
      <c r="H27" s="23"/>
      <c r="I27" s="23"/>
      <c r="J27" s="324"/>
      <c r="K27" s="324"/>
      <c r="L27" s="23"/>
      <c r="M27" s="23"/>
      <c r="N27" s="23"/>
      <c r="O27" s="324"/>
      <c r="P27" s="324"/>
      <c r="Q27" s="23"/>
      <c r="R27" s="23"/>
      <c r="S27" s="23"/>
      <c r="T27" s="324"/>
      <c r="U27" s="324"/>
      <c r="V27" s="23"/>
      <c r="W27" s="23"/>
      <c r="X27" s="23"/>
      <c r="Y27" s="324"/>
      <c r="Z27" s="324"/>
      <c r="AA27" s="23"/>
      <c r="AB27" s="23"/>
      <c r="AC27" s="23"/>
      <c r="AD27" s="324"/>
      <c r="AE27" s="324"/>
      <c r="AF27" s="23"/>
      <c r="AG27" s="23"/>
      <c r="AH27" s="23"/>
      <c r="AI27" s="324"/>
      <c r="AJ27" s="324"/>
      <c r="AK27" s="23"/>
      <c r="AL27" s="23"/>
      <c r="AM27" s="23"/>
      <c r="AN27" s="324"/>
      <c r="AO27" s="324"/>
      <c r="AP27" s="23"/>
      <c r="AQ27" s="23"/>
      <c r="AR27" s="23"/>
      <c r="AS27" s="324"/>
      <c r="AT27" s="324"/>
      <c r="AU27" s="23"/>
      <c r="AV27" s="23"/>
      <c r="AW27" s="23"/>
      <c r="AX27" s="324"/>
      <c r="AY27" s="324"/>
      <c r="AZ27" s="448">
        <f>IS!AZ18-'Business lines'!AZ71-'Business lines'!AZ115</f>
        <v>-90755</v>
      </c>
      <c r="BA27" s="448">
        <f>IS!BA18-'Business lines'!BA71-'Business lines'!BA115</f>
        <v>-89321</v>
      </c>
      <c r="BB27" s="448">
        <f>IS!BB18-'Business lines'!BB71-'Business lines'!BB115</f>
        <v>-71523</v>
      </c>
      <c r="BC27" s="448">
        <f>IS!BC18-'Business lines'!BC71-'Business lines'!BC115</f>
        <v>-74719</v>
      </c>
      <c r="BD27" s="57">
        <f>IS!BD18-'Business lines'!BD71-'Business lines'!BD115</f>
        <v>-326318</v>
      </c>
      <c r="BE27" s="448">
        <f>IS!BE18-'Business lines'!BE71-'Business lines'!BE115</f>
        <v>-37475.660000000003</v>
      </c>
      <c r="BF27" s="448">
        <f>IS!BF18-'Business lines'!BF71-'Business lines'!BF115</f>
        <v>-40562.6</v>
      </c>
      <c r="BG27" s="448">
        <f>IS!BG18-'Business lines'!BG71-'Business lines'!BG115</f>
        <v>-51838.8</v>
      </c>
      <c r="BH27" s="448">
        <f>IS!BH18-'Business lines'!BH71-'Business lines'!BH115</f>
        <v>-64326.36</v>
      </c>
      <c r="BI27" s="57">
        <f>IS!BI18-'Business lines'!BI71-'Business lines'!BI115</f>
        <v>-194203.41999999998</v>
      </c>
      <c r="BJ27" s="448">
        <f>IS!BJ18-'Business lines'!BJ71-'Business lines'!BJ115</f>
        <v>-66941.56</v>
      </c>
      <c r="BK27" s="448">
        <f>IS!BK18-'Business lines'!BK71-'Business lines'!BK115</f>
        <v>-53429.600000000006</v>
      </c>
      <c r="BL27" s="448">
        <f>IS!BL18-'Business lines'!BL71-'Business lines'!BL115</f>
        <v>-90794.68</v>
      </c>
      <c r="BM27" s="448">
        <f>IS!BM18-'Business lines'!BM71-'Business lines'!BM115</f>
        <v>-101830</v>
      </c>
      <c r="BN27" s="57">
        <f>IS!BN18-'Business lines'!BN71-'Business lines'!BN115</f>
        <v>-312995.83999999997</v>
      </c>
      <c r="BO27" s="448">
        <f>IS!BO18-'Business lines'!BO71-'Business lines'!BO115</f>
        <v>-105680.46</v>
      </c>
      <c r="BP27" s="448">
        <f>IS!BP18-'Business lines'!BP71-'Business lines'!BP115</f>
        <v>-103390.63</v>
      </c>
      <c r="BQ27" s="448">
        <f>IS!BQ18-'Business lines'!BQ71-'Business lines'!BQ115</f>
        <v>-102822.90999999999</v>
      </c>
      <c r="BR27" s="448">
        <f>IS!BR18-'Business lines'!BR71-'Business lines'!BR115</f>
        <v>-130242.69</v>
      </c>
      <c r="BS27" s="57">
        <f>IS!BS18-'Business lines'!BS71-'Business lines'!BS115</f>
        <v>-442136.69000000006</v>
      </c>
      <c r="BT27" s="448">
        <f>IS!BT18-'Business lines'!BT71-'Business lines'!BT115</f>
        <v>-115677.16</v>
      </c>
      <c r="BU27" s="448">
        <f>IS!BU18-'Business lines'!BU71-'Business lines'!BU115</f>
        <v>-94546.4</v>
      </c>
      <c r="BV27" s="448">
        <f>IS!BV18-'Business lines'!BV71-'Business lines'!BV115</f>
        <v>-114951.06</v>
      </c>
      <c r="BW27" s="448">
        <f>IS!BW18-'Business lines'!BW71-'Business lines'!BW115</f>
        <v>-127901.21</v>
      </c>
      <c r="BX27" s="57">
        <f>IS!BX18-'Business lines'!BX71-'Business lines'!BX115</f>
        <v>-453075.83000000007</v>
      </c>
      <c r="BY27" s="448">
        <f>IS!BY18-'Business lines'!BY71-'Business lines'!BY115</f>
        <v>-154401.09</v>
      </c>
      <c r="BZ27" s="448">
        <f>IS!BZ18-'Business lines'!BZ71-'Business lines'!BZ115</f>
        <v>-159330.12</v>
      </c>
      <c r="CA27" s="448">
        <f>IS!CA18-'Business lines'!CA71-'Business lines'!CA115</f>
        <v>-178393.22</v>
      </c>
      <c r="CB27" s="448">
        <f>IS!CB18-'Business lines'!CB71-'Business lines'!CB115</f>
        <v>-199465.06999999998</v>
      </c>
      <c r="CC27" s="57">
        <f>IS!CC18-'Business lines'!CC71-'Business lines'!CC115</f>
        <v>-691589.5</v>
      </c>
      <c r="CD27" s="448">
        <f>IS!CD18-'Business lines'!CD71-'Business lines'!CD115</f>
        <v>-216869.93</v>
      </c>
      <c r="CE27" s="448">
        <f>IS!CE18-'Business lines'!CE71-'Business lines'!CE115</f>
        <v>-220736.44999999998</v>
      </c>
      <c r="CF27" s="448">
        <f>IS!CF18-'Business lines'!CF71-'Business lines'!CF115</f>
        <v>-194633.25245476203</v>
      </c>
      <c r="CG27" s="448">
        <f>IS!CG18-'Business lines'!CG71-'Business lines'!CG115</f>
        <v>-206342.20225106415</v>
      </c>
      <c r="CH27" s="57">
        <f>IS!CH18-'Business lines'!CH71-'Business lines'!CH115</f>
        <v>-838581.83470582624</v>
      </c>
      <c r="CI27" s="448">
        <f>IS!CI18-'Business lines'!CI71-'Business lines'!CI115</f>
        <v>-190810.07237090438</v>
      </c>
      <c r="CJ27" s="448">
        <f>IS!CJ18-'Business lines'!CJ71-'Business lines'!CJ115</f>
        <v>-190042.76911769834</v>
      </c>
      <c r="CK27" s="448">
        <f>IS!CK18-'Business lines'!CK71-'Business lines'!CK115</f>
        <v>-208468.91707998145</v>
      </c>
      <c r="CL27" s="448">
        <f>IS!CL18-'Business lines'!CL71-'Business lines'!CL115</f>
        <v>-220623.33259195468</v>
      </c>
      <c r="CM27" s="57">
        <f>IS!CM18-'Business lines'!CM71-'Business lines'!CM115</f>
        <v>-809945.09116053884</v>
      </c>
      <c r="CN27" s="448">
        <f>IS!CN18-'Business lines'!CN71-'Business lines'!CN115</f>
        <v>-188094.85625638551</v>
      </c>
      <c r="CO27" s="448">
        <f>IS!CO18-'Business lines'!CO71-'Business lines'!CO115</f>
        <v>-201674.98519781965</v>
      </c>
      <c r="CP27" s="448">
        <f>IS!CP18-'Business lines'!CP71-'Business lines'!CP115</f>
        <v>-219885.73546991113</v>
      </c>
      <c r="CQ27" s="448">
        <f>IS!CQ18-'Business lines'!CQ71-'Business lines'!CQ115</f>
        <v>-252161.88992442226</v>
      </c>
      <c r="CR27" s="57">
        <f>IS!CR18-'Business lines'!CR71-'Business lines'!CR115</f>
        <v>-861817.46684853849</v>
      </c>
      <c r="CS27" s="448">
        <f>IS!CS18-'Business lines'!CS71-'Business lines'!CS115</f>
        <v>-195275.7924700756</v>
      </c>
      <c r="CT27" s="448">
        <f>IS!CT18-'Business lines'!CT71-'Business lines'!CT115</f>
        <v>-208127.84011542649</v>
      </c>
      <c r="CU27" s="448">
        <f>IS!CU18-'Business lines'!CU71-'Business lines'!CU115</f>
        <v>-229048.79108263232</v>
      </c>
      <c r="CV27" s="448">
        <f>IS!CV18-'Business lines'!CV71-'Business lines'!CV115</f>
        <v>-263431.34300815122</v>
      </c>
      <c r="CW27" s="57">
        <f>IS!CW18-'Business lines'!CW71-'Business lines'!CW115</f>
        <v>-895883.76667628577</v>
      </c>
      <c r="CX27" s="448">
        <f>IS!CX18-'Business lines'!CX71-'Business lines'!CX115</f>
        <v>-193704.53003994358</v>
      </c>
      <c r="CY27" s="448">
        <f>IS!CY18-'Business lines'!CY71-'Business lines'!CY115</f>
        <v>-209133.87496832531</v>
      </c>
      <c r="CZ27" s="448">
        <f>IS!CZ18-'Business lines'!CZ71-'Business lines'!CZ115</f>
        <v>-232821.59006850387</v>
      </c>
      <c r="DA27" s="448">
        <f>IS!DA18-'Business lines'!DA71-'Business lines'!DA115</f>
        <v>-269767.15450774715</v>
      </c>
      <c r="DB27" s="57">
        <f>IS!DB18-'Business lines'!DB71-'Business lines'!DB115</f>
        <v>-905427.14958451991</v>
      </c>
    </row>
    <row r="28" spans="1:106" s="7" customFormat="1" ht="11.5" customHeight="1" x14ac:dyDescent="0.35">
      <c r="A28" s="322" t="s">
        <v>356</v>
      </c>
      <c r="B28" s="23"/>
      <c r="C28" s="23"/>
      <c r="D28" s="23"/>
      <c r="E28" s="324"/>
      <c r="F28" s="324"/>
      <c r="G28" s="23"/>
      <c r="H28" s="23"/>
      <c r="I28" s="23"/>
      <c r="J28" s="324"/>
      <c r="K28" s="324"/>
      <c r="L28" s="23"/>
      <c r="M28" s="23"/>
      <c r="N28" s="23"/>
      <c r="O28" s="324"/>
      <c r="P28" s="324"/>
      <c r="Q28" s="23"/>
      <c r="R28" s="23"/>
      <c r="S28" s="23"/>
      <c r="T28" s="324"/>
      <c r="U28" s="324"/>
      <c r="V28" s="23"/>
      <c r="W28" s="23"/>
      <c r="X28" s="23"/>
      <c r="Y28" s="324"/>
      <c r="Z28" s="324"/>
      <c r="AA28" s="23"/>
      <c r="AB28" s="23"/>
      <c r="AC28" s="23"/>
      <c r="AD28" s="324"/>
      <c r="AE28" s="324"/>
      <c r="AF28" s="23"/>
      <c r="AG28" s="23"/>
      <c r="AH28" s="23"/>
      <c r="AI28" s="324"/>
      <c r="AJ28" s="324"/>
      <c r="AK28" s="23"/>
      <c r="AL28" s="23"/>
      <c r="AM28" s="23"/>
      <c r="AN28" s="324"/>
      <c r="AO28" s="324"/>
      <c r="AP28" s="23"/>
      <c r="AQ28" s="23"/>
      <c r="AR28" s="23"/>
      <c r="AS28" s="324"/>
      <c r="AT28" s="324"/>
      <c r="AU28" s="23"/>
      <c r="AV28" s="23"/>
      <c r="AW28" s="23"/>
      <c r="AX28" s="324"/>
      <c r="AY28" s="324"/>
      <c r="AZ28" s="448">
        <f>IS!AZ21-'Business lines'!AZ72-'Business lines'!AZ116</f>
        <v>-78603</v>
      </c>
      <c r="BA28" s="448">
        <f>IS!BA21-'Business lines'!BA72-'Business lines'!BA116</f>
        <v>-83473</v>
      </c>
      <c r="BB28" s="448">
        <f>IS!BB21-'Business lines'!BB72-'Business lines'!BB116</f>
        <v>-84062</v>
      </c>
      <c r="BC28" s="448">
        <f>IS!BC21-'Business lines'!BC72-'Business lines'!BC116</f>
        <v>-93376</v>
      </c>
      <c r="BD28" s="57">
        <f>IS!BD21-'Business lines'!BD72-'Business lines'!BD116</f>
        <v>-339514</v>
      </c>
      <c r="BE28" s="448">
        <f>IS!BE21-'Business lines'!BE72-'Business lines'!BE116</f>
        <v>-102866.34</v>
      </c>
      <c r="BF28" s="448">
        <f>IS!BF21-'Business lines'!BF72-'Business lines'!BF116</f>
        <v>-117002.40000000001</v>
      </c>
      <c r="BG28" s="448">
        <f>IS!BG21-'Business lines'!BG72-'Business lines'!BG116</f>
        <v>-110777.2</v>
      </c>
      <c r="BH28" s="448">
        <f>IS!BH21-'Business lines'!BH72-'Business lines'!BH116</f>
        <v>-90661.64</v>
      </c>
      <c r="BI28" s="57">
        <f>IS!BI21-'Business lines'!BI72-'Business lines'!BI116</f>
        <v>-421307.58</v>
      </c>
      <c r="BJ28" s="448">
        <f>IS!BJ21-'Business lines'!BJ72-'Business lines'!BJ116</f>
        <v>-125996.44</v>
      </c>
      <c r="BK28" s="448">
        <f>IS!BK21-'Business lines'!BK72-'Business lines'!BK116</f>
        <v>-127887.4</v>
      </c>
      <c r="BL28" s="448">
        <f>IS!BL21-'Business lines'!BL72-'Business lines'!BL116</f>
        <v>-130556.31999999999</v>
      </c>
      <c r="BM28" s="448">
        <f>IS!BM21-'Business lines'!BM72-'Business lines'!BM116</f>
        <v>-62940</v>
      </c>
      <c r="BN28" s="57">
        <f>IS!BN21-'Business lines'!BN72-'Business lines'!BN116</f>
        <v>-447380.16000000003</v>
      </c>
      <c r="BO28" s="448">
        <f>IS!BO21-'Business lines'!BO72-'Business lines'!BO116</f>
        <v>-69649.539999999994</v>
      </c>
      <c r="BP28" s="448">
        <f>IS!BP21-'Business lines'!BP72-'Business lines'!BP116</f>
        <v>-77137.37</v>
      </c>
      <c r="BQ28" s="448">
        <f>IS!BQ21-'Business lines'!BQ72-'Business lines'!BQ116</f>
        <v>-60386.09</v>
      </c>
      <c r="BR28" s="448">
        <f>IS!BR21-'Business lines'!BR72-'Business lines'!BR116</f>
        <v>-61375.310000000027</v>
      </c>
      <c r="BS28" s="57">
        <f>IS!BS21-'Business lines'!BS72-'Business lines'!BS116</f>
        <v>-268548.31000000006</v>
      </c>
      <c r="BT28" s="448">
        <f>IS!BT21-'Business lines'!BT72-'Business lines'!BT116</f>
        <v>-66696.84</v>
      </c>
      <c r="BU28" s="448">
        <f>IS!BU21-'Business lines'!BU72-'Business lines'!BU116</f>
        <v>-71214.600000000006</v>
      </c>
      <c r="BV28" s="448">
        <f>IS!BV21-'Business lines'!BV72-'Business lines'!BV116</f>
        <v>-44987.939999999988</v>
      </c>
      <c r="BW28" s="448">
        <f>IS!BW21-'Business lines'!BW72-'Business lines'!BW116</f>
        <v>-50771.790000000037</v>
      </c>
      <c r="BX28" s="57">
        <f>IS!BX21-'Business lines'!BX72-'Business lines'!BX116</f>
        <v>-233671.17</v>
      </c>
      <c r="BY28" s="448">
        <f>IS!BY21-'Business lines'!BY72-'Business lines'!BY116</f>
        <v>-61446.909999999996</v>
      </c>
      <c r="BZ28" s="448">
        <f>IS!BZ21-'Business lines'!BZ72-'Business lines'!BZ116</f>
        <v>-54821.880000000012</v>
      </c>
      <c r="CA28" s="448">
        <f>IS!CA21-'Business lines'!CA72-'Business lines'!CA116</f>
        <v>-38806.780000000013</v>
      </c>
      <c r="CB28" s="448">
        <f>IS!CB21-'Business lines'!CB72-'Business lines'!CB116</f>
        <v>-21467.929999999993</v>
      </c>
      <c r="CC28" s="57">
        <f>IS!CC21-'Business lines'!CC72-'Business lines'!CC116</f>
        <v>-176543.50000000006</v>
      </c>
      <c r="CD28" s="448">
        <f>IS!CD21-'Business lines'!CD72-'Business lines'!CD116</f>
        <v>-43957.070000000007</v>
      </c>
      <c r="CE28" s="448">
        <f>IS!CE21-'Business lines'!CE72-'Business lines'!CE116</f>
        <v>-38800.550000000003</v>
      </c>
      <c r="CF28" s="448">
        <f>IS!CF21-'Business lines'!CF72-'Business lines'!CF116</f>
        <v>-57714.04658197808</v>
      </c>
      <c r="CG28" s="448">
        <f>IS!CG21-'Business lines'!CG72-'Business lines'!CG116</f>
        <v>-43204.191267002971</v>
      </c>
      <c r="CH28" s="57">
        <f>IS!CH21-'Business lines'!CH72-'Business lines'!CH116</f>
        <v>-183675.85784898108</v>
      </c>
      <c r="CI28" s="448">
        <f>IS!CI21-'Business lines'!CI72-'Business lines'!CI116</f>
        <v>-30571.387865019038</v>
      </c>
      <c r="CJ28" s="448">
        <f>IS!CJ21-'Business lines'!CJ72-'Business lines'!CJ116</f>
        <v>-46598.168799487445</v>
      </c>
      <c r="CK28" s="448">
        <f>IS!CK21-'Business lines'!CK72-'Business lines'!CK116</f>
        <v>-67899.311844023556</v>
      </c>
      <c r="CL28" s="448">
        <f>IS!CL21-'Business lines'!CL72-'Business lines'!CL116</f>
        <v>-51512.49483956115</v>
      </c>
      <c r="CM28" s="57">
        <f>IS!CM21-'Business lines'!CM72-'Business lines'!CM116</f>
        <v>-196581.36334809117</v>
      </c>
      <c r="CN28" s="448">
        <f>IS!CN21-'Business lines'!CN72-'Business lines'!CN116</f>
        <v>-34195.964219619789</v>
      </c>
      <c r="CO28" s="448">
        <f>IS!CO21-'Business lines'!CO72-'Business lines'!CO116</f>
        <v>-50863.816391466949</v>
      </c>
      <c r="CP28" s="448">
        <f>IS!CP21-'Business lines'!CP72-'Business lines'!CP116</f>
        <v>-73017.005157784501</v>
      </c>
      <c r="CQ28" s="448">
        <f>IS!CQ21-'Business lines'!CQ72-'Business lines'!CQ116</f>
        <v>-55974.715473143595</v>
      </c>
      <c r="CR28" s="57">
        <f>IS!CR21-'Business lines'!CR72-'Business lines'!CR116</f>
        <v>-214051.50124201484</v>
      </c>
      <c r="CS28" s="448">
        <f>IS!CS21-'Business lines'!CS72-'Business lines'!CS116</f>
        <v>-27830.73450230647</v>
      </c>
      <c r="CT28" s="448">
        <f>IS!CT21-'Business lines'!CT72-'Business lines'!CT116</f>
        <v>-45081.961500168283</v>
      </c>
      <c r="CU28" s="448">
        <f>IS!CU21-'Business lines'!CU72-'Business lines'!CU116</f>
        <v>-68010.511873306968</v>
      </c>
      <c r="CV28" s="448">
        <f>IS!CV21-'Business lines'!CV72-'Business lines'!CV116</f>
        <v>-50371.742049703607</v>
      </c>
      <c r="CW28" s="57">
        <f>IS!CW21-'Business lines'!CW72-'Business lines'!CW116</f>
        <v>-191294.9499254853</v>
      </c>
      <c r="CX28" s="448">
        <f>IS!CX21-'Business lines'!CX72-'Business lines'!CX116</f>
        <v>-19648.228701887201</v>
      </c>
      <c r="CY28" s="448">
        <f>IS!CY21-'Business lines'!CY72-'Business lines'!CY116</f>
        <v>-37503.248644674153</v>
      </c>
      <c r="CZ28" s="448">
        <f>IS!CZ21-'Business lines'!CZ72-'Business lines'!CZ116</f>
        <v>-61234.29828087271</v>
      </c>
      <c r="DA28" s="448">
        <f>IS!DA21-'Business lines'!DA72-'Business lines'!DA116</f>
        <v>-42978.171513443216</v>
      </c>
      <c r="DB28" s="57">
        <f>IS!DB21-'Business lines'!DB72-'Business lines'!DB116</f>
        <v>-161363.94714087731</v>
      </c>
    </row>
    <row r="29" spans="1:106" s="7" customFormat="1" ht="11.5" customHeight="1" x14ac:dyDescent="0.35">
      <c r="A29" s="326" t="s">
        <v>115</v>
      </c>
      <c r="B29" s="48"/>
      <c r="C29" s="48"/>
      <c r="D29" s="48"/>
      <c r="E29" s="317"/>
      <c r="F29" s="317"/>
      <c r="G29" s="48"/>
      <c r="H29" s="48"/>
      <c r="I29" s="48"/>
      <c r="J29" s="317"/>
      <c r="K29" s="317"/>
      <c r="L29" s="48"/>
      <c r="M29" s="48"/>
      <c r="N29" s="48"/>
      <c r="O29" s="317"/>
      <c r="P29" s="317"/>
      <c r="Q29" s="48"/>
      <c r="R29" s="48"/>
      <c r="S29" s="48"/>
      <c r="T29" s="317"/>
      <c r="U29" s="317"/>
      <c r="V29" s="48"/>
      <c r="W29" s="48"/>
      <c r="X29" s="48"/>
      <c r="Y29" s="317"/>
      <c r="Z29" s="317"/>
      <c r="AA29" s="48"/>
      <c r="AB29" s="48"/>
      <c r="AC29" s="48"/>
      <c r="AD29" s="317"/>
      <c r="AE29" s="317"/>
      <c r="AF29" s="48"/>
      <c r="AG29" s="48"/>
      <c r="AH29" s="48"/>
      <c r="AI29" s="317"/>
      <c r="AJ29" s="317"/>
      <c r="AK29" s="48"/>
      <c r="AL29" s="48"/>
      <c r="AM29" s="48"/>
      <c r="AN29" s="317"/>
      <c r="AO29" s="317"/>
      <c r="AP29" s="48"/>
      <c r="AQ29" s="48"/>
      <c r="AR29" s="48"/>
      <c r="AS29" s="317"/>
      <c r="AT29" s="317"/>
      <c r="AU29" s="48"/>
      <c r="AV29" s="48"/>
      <c r="AW29" s="48"/>
      <c r="AX29" s="317"/>
      <c r="AY29" s="317"/>
      <c r="AZ29" s="48">
        <f t="shared" ref="AZ29:BS29" si="153">AZ26+AZ27+AZ28</f>
        <v>91497</v>
      </c>
      <c r="BA29" s="48">
        <f t="shared" si="153"/>
        <v>102077</v>
      </c>
      <c r="BB29" s="48">
        <f t="shared" si="153"/>
        <v>222996</v>
      </c>
      <c r="BC29" s="48">
        <f t="shared" si="153"/>
        <v>167981</v>
      </c>
      <c r="BD29" s="56">
        <f t="shared" si="153"/>
        <v>584551</v>
      </c>
      <c r="BE29" s="48">
        <f t="shared" si="153"/>
        <v>21156</v>
      </c>
      <c r="BF29" s="48">
        <f t="shared" si="153"/>
        <v>129663.99999999999</v>
      </c>
      <c r="BG29" s="48">
        <f t="shared" si="153"/>
        <v>123367.00000000001</v>
      </c>
      <c r="BH29" s="48">
        <f t="shared" si="153"/>
        <v>120647.00000000001</v>
      </c>
      <c r="BI29" s="56">
        <f t="shared" si="153"/>
        <v>394834.00000000006</v>
      </c>
      <c r="BJ29" s="48">
        <f t="shared" si="153"/>
        <v>43945</v>
      </c>
      <c r="BK29" s="48">
        <f t="shared" si="153"/>
        <v>24299</v>
      </c>
      <c r="BL29" s="48">
        <f t="shared" si="153"/>
        <v>46476.000000000015</v>
      </c>
      <c r="BM29" s="48">
        <f t="shared" si="153"/>
        <v>52496</v>
      </c>
      <c r="BN29" s="56">
        <f t="shared" si="153"/>
        <v>167216</v>
      </c>
      <c r="BO29" s="48">
        <f t="shared" si="153"/>
        <v>53884</v>
      </c>
      <c r="BP29" s="48">
        <f t="shared" si="153"/>
        <v>103740</v>
      </c>
      <c r="BQ29" s="48">
        <f t="shared" si="153"/>
        <v>113001.00000000003</v>
      </c>
      <c r="BR29" s="48">
        <f t="shared" si="153"/>
        <v>154066.99999999997</v>
      </c>
      <c r="BS29" s="56">
        <f t="shared" si="153"/>
        <v>424691.99999999988</v>
      </c>
      <c r="BT29" s="48">
        <f t="shared" ref="BT29" si="154">BT26+BT27+BT28</f>
        <v>120581</v>
      </c>
      <c r="BU29" s="48">
        <f t="shared" ref="BU29:DB29" si="155">BU26+BU27+BU28</f>
        <v>161746</v>
      </c>
      <c r="BV29" s="48">
        <f t="shared" si="155"/>
        <v>210165</v>
      </c>
      <c r="BW29" s="48">
        <f t="shared" si="155"/>
        <v>289639.99999999994</v>
      </c>
      <c r="BX29" s="56">
        <f t="shared" si="155"/>
        <v>782131.99999999988</v>
      </c>
      <c r="BY29" s="48">
        <f t="shared" si="155"/>
        <v>156314</v>
      </c>
      <c r="BZ29" s="48">
        <f t="shared" si="155"/>
        <v>127433</v>
      </c>
      <c r="CA29" s="48">
        <f t="shared" si="155"/>
        <v>173375</v>
      </c>
      <c r="CB29" s="48">
        <f t="shared" ref="CB29" si="156">CB26+CB27+CB28</f>
        <v>413914.00000000006</v>
      </c>
      <c r="CC29" s="56">
        <f t="shared" si="155"/>
        <v>871036</v>
      </c>
      <c r="CD29" s="48">
        <f t="shared" ref="CD29:CE29" si="157">CD26+CD27+CD28</f>
        <v>94035</v>
      </c>
      <c r="CE29" s="48">
        <f t="shared" si="157"/>
        <v>192314</v>
      </c>
      <c r="CF29" s="48">
        <f t="shared" si="155"/>
        <v>253450.82541506283</v>
      </c>
      <c r="CG29" s="48">
        <f t="shared" si="155"/>
        <v>308014.26091062662</v>
      </c>
      <c r="CH29" s="56">
        <f t="shared" si="155"/>
        <v>847814.08632568899</v>
      </c>
      <c r="CI29" s="48">
        <f t="shared" si="155"/>
        <v>265176.10936369421</v>
      </c>
      <c r="CJ29" s="48">
        <f t="shared" si="155"/>
        <v>246206.86063708257</v>
      </c>
      <c r="CK29" s="48">
        <f t="shared" si="155"/>
        <v>236892.3913442129</v>
      </c>
      <c r="CL29" s="48">
        <f t="shared" si="155"/>
        <v>283001.6624615335</v>
      </c>
      <c r="CM29" s="56">
        <f t="shared" si="155"/>
        <v>1031277.0238065218</v>
      </c>
      <c r="CN29" s="48">
        <f t="shared" si="155"/>
        <v>323264.5288282315</v>
      </c>
      <c r="CO29" s="48">
        <f t="shared" si="155"/>
        <v>292683.58600146387</v>
      </c>
      <c r="CP29" s="48">
        <f t="shared" si="155"/>
        <v>268903.86765174527</v>
      </c>
      <c r="CQ29" s="48">
        <f t="shared" si="155"/>
        <v>309372.55135754764</v>
      </c>
      <c r="CR29" s="56">
        <f t="shared" si="155"/>
        <v>1194224.5338389897</v>
      </c>
      <c r="CS29" s="48">
        <f t="shared" si="155"/>
        <v>346447.5000156539</v>
      </c>
      <c r="CT29" s="48">
        <f t="shared" si="155"/>
        <v>313747.1697948759</v>
      </c>
      <c r="CU29" s="48">
        <f t="shared" si="155"/>
        <v>296967.61590947548</v>
      </c>
      <c r="CV29" s="48">
        <f t="shared" si="155"/>
        <v>339121.03749480675</v>
      </c>
      <c r="CW29" s="56">
        <f t="shared" si="155"/>
        <v>1296283.323214811</v>
      </c>
      <c r="CX29" s="48">
        <f t="shared" si="155"/>
        <v>402843.36188529251</v>
      </c>
      <c r="CY29" s="48">
        <f t="shared" si="155"/>
        <v>363563.45572028169</v>
      </c>
      <c r="CZ29" s="48">
        <f t="shared" si="155"/>
        <v>344496.62706110749</v>
      </c>
      <c r="DA29" s="48">
        <f t="shared" si="155"/>
        <v>385599.30489628285</v>
      </c>
      <c r="DB29" s="56">
        <f t="shared" si="155"/>
        <v>1496502.7495629652</v>
      </c>
    </row>
    <row r="30" spans="1:106" s="7" customFormat="1" ht="11.5" customHeight="1" x14ac:dyDescent="0.35">
      <c r="A30" s="326" t="s">
        <v>231</v>
      </c>
      <c r="B30" s="48"/>
      <c r="C30" s="48"/>
      <c r="D30" s="48"/>
      <c r="E30" s="317"/>
      <c r="F30" s="317"/>
      <c r="G30" s="48"/>
      <c r="H30" s="48"/>
      <c r="I30" s="48"/>
      <c r="J30" s="317"/>
      <c r="K30" s="317"/>
      <c r="L30" s="48"/>
      <c r="M30" s="48"/>
      <c r="N30" s="48"/>
      <c r="O30" s="317"/>
      <c r="P30" s="317"/>
      <c r="Q30" s="48"/>
      <c r="R30" s="48"/>
      <c r="S30" s="48"/>
      <c r="T30" s="317"/>
      <c r="U30" s="317"/>
      <c r="V30" s="48"/>
      <c r="W30" s="48"/>
      <c r="X30" s="48"/>
      <c r="Y30" s="317"/>
      <c r="Z30" s="317"/>
      <c r="AA30" s="48"/>
      <c r="AB30" s="48"/>
      <c r="AC30" s="48"/>
      <c r="AD30" s="317"/>
      <c r="AE30" s="317"/>
      <c r="AF30" s="48"/>
      <c r="AG30" s="48"/>
      <c r="AH30" s="48"/>
      <c r="AI30" s="317"/>
      <c r="AJ30" s="317"/>
      <c r="AK30" s="48"/>
      <c r="AL30" s="48"/>
      <c r="AM30" s="48"/>
      <c r="AN30" s="317"/>
      <c r="AO30" s="317"/>
      <c r="AP30" s="48"/>
      <c r="AQ30" s="48"/>
      <c r="AR30" s="48"/>
      <c r="AS30" s="317"/>
      <c r="AT30" s="317"/>
      <c r="AU30" s="48"/>
      <c r="AV30" s="48"/>
      <c r="AW30" s="48"/>
      <c r="AX30" s="317"/>
      <c r="AY30" s="317"/>
      <c r="AZ30" s="48">
        <f t="shared" ref="AZ30:BS30" si="158">AZ31+AZ32</f>
        <v>3251</v>
      </c>
      <c r="BA30" s="48">
        <f t="shared" si="158"/>
        <v>6501</v>
      </c>
      <c r="BB30" s="48">
        <f t="shared" si="158"/>
        <v>24471</v>
      </c>
      <c r="BC30" s="48">
        <f t="shared" si="158"/>
        <v>50278</v>
      </c>
      <c r="BD30" s="56">
        <f t="shared" si="158"/>
        <v>84501</v>
      </c>
      <c r="BE30" s="48">
        <f t="shared" si="158"/>
        <v>10887</v>
      </c>
      <c r="BF30" s="48">
        <f t="shared" si="158"/>
        <v>9293</v>
      </c>
      <c r="BG30" s="48">
        <f t="shared" si="158"/>
        <v>8859</v>
      </c>
      <c r="BH30" s="48">
        <f t="shared" si="158"/>
        <v>13958</v>
      </c>
      <c r="BI30" s="56">
        <f t="shared" si="158"/>
        <v>42997</v>
      </c>
      <c r="BJ30" s="48">
        <f t="shared" si="158"/>
        <v>9333</v>
      </c>
      <c r="BK30" s="48">
        <f t="shared" si="158"/>
        <v>25501</v>
      </c>
      <c r="BL30" s="48">
        <f t="shared" si="158"/>
        <v>7027</v>
      </c>
      <c r="BM30" s="48">
        <f t="shared" si="158"/>
        <v>26466</v>
      </c>
      <c r="BN30" s="56">
        <f t="shared" si="158"/>
        <v>68327</v>
      </c>
      <c r="BO30" s="48">
        <f t="shared" si="158"/>
        <v>45587</v>
      </c>
      <c r="BP30" s="48">
        <f t="shared" si="158"/>
        <v>29183</v>
      </c>
      <c r="BQ30" s="48">
        <f t="shared" si="158"/>
        <v>28081</v>
      </c>
      <c r="BR30" s="48">
        <f t="shared" si="158"/>
        <v>33921</v>
      </c>
      <c r="BS30" s="56">
        <f t="shared" si="158"/>
        <v>136772</v>
      </c>
      <c r="BT30" s="48">
        <f t="shared" ref="BT30" si="159">BT31+BT32</f>
        <v>13135</v>
      </c>
      <c r="BU30" s="48">
        <f t="shared" ref="BU30:DB30" si="160">BU31+BU32</f>
        <v>44695</v>
      </c>
      <c r="BV30" s="48">
        <f t="shared" si="160"/>
        <v>39210</v>
      </c>
      <c r="BW30" s="48">
        <f t="shared" si="160"/>
        <v>16645</v>
      </c>
      <c r="BX30" s="56">
        <f t="shared" si="160"/>
        <v>113685</v>
      </c>
      <c r="BY30" s="48">
        <f t="shared" si="160"/>
        <v>59001</v>
      </c>
      <c r="BZ30" s="48">
        <f t="shared" si="160"/>
        <v>66436</v>
      </c>
      <c r="CA30" s="48">
        <f t="shared" si="160"/>
        <v>56503</v>
      </c>
      <c r="CB30" s="48">
        <f t="shared" ref="CB30" si="161">CB31+CB32</f>
        <v>65739</v>
      </c>
      <c r="CC30" s="56">
        <f t="shared" si="160"/>
        <v>247679</v>
      </c>
      <c r="CD30" s="48">
        <f t="shared" ref="CD30:CE30" si="162">CD31+CD32</f>
        <v>37699</v>
      </c>
      <c r="CE30" s="48">
        <f t="shared" si="162"/>
        <v>69311</v>
      </c>
      <c r="CF30" s="48">
        <f t="shared" ca="1" si="160"/>
        <v>71084.385359738895</v>
      </c>
      <c r="CG30" s="48">
        <f t="shared" ca="1" si="160"/>
        <v>65048.767711541033</v>
      </c>
      <c r="CH30" s="56">
        <f t="shared" ca="1" si="160"/>
        <v>243143.1530712801</v>
      </c>
      <c r="CI30" s="48">
        <f t="shared" ca="1" si="160"/>
        <v>99372.710725058569</v>
      </c>
      <c r="CJ30" s="48">
        <f t="shared" ca="1" si="160"/>
        <v>71717.207997380989</v>
      </c>
      <c r="CK30" s="48">
        <f t="shared" ca="1" si="160"/>
        <v>65167.88085806137</v>
      </c>
      <c r="CL30" s="48">
        <f t="shared" ca="1" si="160"/>
        <v>77841.107000877266</v>
      </c>
      <c r="CM30" s="56">
        <f t="shared" ca="1" si="160"/>
        <v>314098.90658137831</v>
      </c>
      <c r="CN30" s="48">
        <f t="shared" ca="1" si="160"/>
        <v>91614.646291390934</v>
      </c>
      <c r="CO30" s="48">
        <f t="shared" ca="1" si="160"/>
        <v>70518.055630663817</v>
      </c>
      <c r="CP30" s="48">
        <f t="shared" ca="1" si="160"/>
        <v>51312.60954616766</v>
      </c>
      <c r="CQ30" s="48">
        <f t="shared" ca="1" si="160"/>
        <v>68228.910777073877</v>
      </c>
      <c r="CR30" s="56">
        <f t="shared" ca="1" si="160"/>
        <v>281674.22224529635</v>
      </c>
      <c r="CS30" s="48">
        <f t="shared" ca="1" si="160"/>
        <v>73833.830190654757</v>
      </c>
      <c r="CT30" s="48">
        <f t="shared" ca="1" si="160"/>
        <v>58524.309562437527</v>
      </c>
      <c r="CU30" s="48">
        <f t="shared" ca="1" si="160"/>
        <v>43983.288555063831</v>
      </c>
      <c r="CV30" s="48">
        <f t="shared" ca="1" si="160"/>
        <v>61507.702852549817</v>
      </c>
      <c r="CW30" s="56">
        <f t="shared" ca="1" si="160"/>
        <v>237849.13116070617</v>
      </c>
      <c r="CX30" s="48">
        <f t="shared" ca="1" si="160"/>
        <v>77037.016076945205</v>
      </c>
      <c r="CY30" s="48">
        <f t="shared" ca="1" si="160"/>
        <v>60075.165989132714</v>
      </c>
      <c r="CZ30" s="48">
        <f t="shared" ca="1" si="160"/>
        <v>47982.250155978982</v>
      </c>
      <c r="DA30" s="48">
        <f t="shared" ca="1" si="160"/>
        <v>72634.420117128233</v>
      </c>
      <c r="DB30" s="56">
        <f t="shared" ca="1" si="160"/>
        <v>257728.85233918508</v>
      </c>
    </row>
    <row r="31" spans="1:106" s="7" customFormat="1" ht="11.5" customHeight="1" x14ac:dyDescent="0.35">
      <c r="A31" s="327" t="s">
        <v>122</v>
      </c>
      <c r="B31" s="161"/>
      <c r="C31" s="161"/>
      <c r="D31" s="161"/>
      <c r="E31" s="328"/>
      <c r="F31" s="324"/>
      <c r="G31" s="161"/>
      <c r="H31" s="161"/>
      <c r="I31" s="161"/>
      <c r="J31" s="328"/>
      <c r="K31" s="324"/>
      <c r="L31" s="161"/>
      <c r="M31" s="161"/>
      <c r="N31" s="161"/>
      <c r="O31" s="328"/>
      <c r="P31" s="324"/>
      <c r="Q31" s="161"/>
      <c r="R31" s="161"/>
      <c r="S31" s="161"/>
      <c r="T31" s="328"/>
      <c r="U31" s="324"/>
      <c r="V31" s="161"/>
      <c r="W31" s="161"/>
      <c r="X31" s="161"/>
      <c r="Y31" s="328"/>
      <c r="Z31" s="324"/>
      <c r="AA31" s="161"/>
      <c r="AB31" s="161"/>
      <c r="AC31" s="161"/>
      <c r="AD31" s="328"/>
      <c r="AE31" s="324"/>
      <c r="AF31" s="161"/>
      <c r="AG31" s="161"/>
      <c r="AH31" s="161"/>
      <c r="AI31" s="328"/>
      <c r="AJ31" s="324"/>
      <c r="AK31" s="161"/>
      <c r="AL31" s="161"/>
      <c r="AM31" s="161"/>
      <c r="AN31" s="328"/>
      <c r="AO31" s="324"/>
      <c r="AP31" s="161"/>
      <c r="AQ31" s="161"/>
      <c r="AR31" s="161"/>
      <c r="AS31" s="328"/>
      <c r="AT31" s="324"/>
      <c r="AU31" s="161"/>
      <c r="AV31" s="161"/>
      <c r="AW31" s="161"/>
      <c r="AX31" s="328"/>
      <c r="AY31" s="324"/>
      <c r="AZ31" s="422">
        <f>IS!AZ24-'Business lines'!AZ75-'Business lines'!AZ119</f>
        <v>31141</v>
      </c>
      <c r="BA31" s="422">
        <f>IS!BA24-'Business lines'!BA75-'Business lines'!BA119</f>
        <v>42555</v>
      </c>
      <c r="BB31" s="422">
        <f>IS!BB24-'Business lines'!BB75-'Business lines'!BB119</f>
        <v>55454</v>
      </c>
      <c r="BC31" s="422">
        <f>IS!BC24-'Business lines'!BC75-'Business lines'!BC119</f>
        <v>73281</v>
      </c>
      <c r="BD31" s="57">
        <f>IS!BD24-'Business lines'!BD75-'Business lines'!BD119</f>
        <v>202431</v>
      </c>
      <c r="BE31" s="422">
        <f>IS!BE24-'Business lines'!BE75-'Business lines'!BE119</f>
        <v>53921</v>
      </c>
      <c r="BF31" s="422">
        <f>IS!BF24-'Business lines'!BF75-'Business lines'!BF119</f>
        <v>51865</v>
      </c>
      <c r="BG31" s="422">
        <f>IS!BG24-'Business lines'!BG75-'Business lines'!BG119</f>
        <v>71473</v>
      </c>
      <c r="BH31" s="422">
        <f>IS!BH24-'Business lines'!BH75-'Business lines'!BH119</f>
        <v>94603</v>
      </c>
      <c r="BI31" s="57">
        <f>IS!BI24-'Business lines'!BI75-'Business lines'!BI119</f>
        <v>271862</v>
      </c>
      <c r="BJ31" s="422">
        <f>IS!BJ24-'Business lines'!BJ75-'Business lines'!BJ119</f>
        <v>95875</v>
      </c>
      <c r="BK31" s="422">
        <f>IS!BK24-'Business lines'!BK75-'Business lines'!BK119</f>
        <v>130109</v>
      </c>
      <c r="BL31" s="422">
        <f>IS!BL24-'Business lines'!BL75-'Business lines'!BL119</f>
        <v>130948</v>
      </c>
      <c r="BM31" s="422">
        <f>IS!BM24-'Business lines'!BM75-'Business lines'!BM119</f>
        <v>215781</v>
      </c>
      <c r="BN31" s="57">
        <f>IS!BN24-'Business lines'!BN75-'Business lines'!BN119</f>
        <v>572713</v>
      </c>
      <c r="BO31" s="422">
        <f>IS!BO24-'Business lines'!BO75-'Business lines'!BO119</f>
        <v>190820</v>
      </c>
      <c r="BP31" s="422">
        <f>IS!BP24-'Business lines'!BP75-'Business lines'!BP119</f>
        <v>178032</v>
      </c>
      <c r="BQ31" s="422">
        <f>IS!BQ24-'Business lines'!BQ75-'Business lines'!BQ119</f>
        <v>156108</v>
      </c>
      <c r="BR31" s="422">
        <f>IS!BR24-'Business lines'!BR75-'Business lines'!BR119</f>
        <v>169765</v>
      </c>
      <c r="BS31" s="57">
        <f>IS!BS24-'Business lines'!BS75-'Business lines'!BS119</f>
        <v>694725</v>
      </c>
      <c r="BT31" s="422">
        <f>IS!BT24-'Business lines'!BT75-'Business lines'!BT119</f>
        <v>157466</v>
      </c>
      <c r="BU31" s="422">
        <f>IS!BU24-'Business lines'!BU75-'Business lines'!BU119</f>
        <v>182301</v>
      </c>
      <c r="BV31" s="422">
        <f>IS!BV24-'Business lines'!BV75-'Business lines'!BV119</f>
        <v>169528</v>
      </c>
      <c r="BW31" s="422">
        <f>IS!BW24-'Business lines'!BW75-'Business lines'!BW119</f>
        <v>174178</v>
      </c>
      <c r="BX31" s="57">
        <f>IS!BX24-'Business lines'!BX75-'Business lines'!BX119</f>
        <v>683473</v>
      </c>
      <c r="BY31" s="422">
        <f>IS!BY24-'Business lines'!BY75-'Business lines'!BY119</f>
        <v>211618</v>
      </c>
      <c r="BZ31" s="422">
        <f>IS!BZ24-'Business lines'!BZ75-'Business lines'!BZ119</f>
        <v>252543</v>
      </c>
      <c r="CA31" s="422">
        <f>IS!CA24-'Business lines'!CA75-'Business lines'!CA119</f>
        <v>246895</v>
      </c>
      <c r="CB31" s="422">
        <f>IS!CB24-'Business lines'!CB75-'Business lines'!CB119</f>
        <v>264922</v>
      </c>
      <c r="CC31" s="57">
        <f>IS!CC24-'Business lines'!CC75-'Business lines'!CC119</f>
        <v>975978</v>
      </c>
      <c r="CD31" s="422">
        <f>IS!CD24-'Business lines'!CD75-'Business lines'!CD119</f>
        <v>260988</v>
      </c>
      <c r="CE31" s="422">
        <f>IS!CE24-'Business lines'!CE75-'Business lines'!CE119</f>
        <v>332564</v>
      </c>
      <c r="CF31" s="422">
        <f ca="1">IS!CF24-'Business lines'!CF75-'Business lines'!CF119</f>
        <v>290756.11223774194</v>
      </c>
      <c r="CG31" s="422">
        <f ca="1">IS!CG24-'Business lines'!CG75-'Business lines'!CG119</f>
        <v>287420.38311044325</v>
      </c>
      <c r="CH31" s="57">
        <f ca="1">IS!CH24-'Business lines'!CH75-'Business lines'!CH119</f>
        <v>1171728.4953481853</v>
      </c>
      <c r="CI31" s="422">
        <f ca="1">IS!CI24-'Business lines'!CI75-'Business lines'!CI119</f>
        <v>356219.33171639824</v>
      </c>
      <c r="CJ31" s="422">
        <f ca="1">IS!CJ24-'Business lines'!CJ75-'Business lines'!CJ119</f>
        <v>325784.0117524016</v>
      </c>
      <c r="CK31" s="422">
        <f ca="1">IS!CK24-'Business lines'!CK75-'Business lines'!CK119</f>
        <v>306168.28274188004</v>
      </c>
      <c r="CL31" s="422">
        <f ca="1">IS!CL24-'Business lines'!CL75-'Business lines'!CL119</f>
        <v>309270.79276349378</v>
      </c>
      <c r="CM31" s="57">
        <f ca="1">IS!CM24-'Business lines'!CM75-'Business lines'!CM119</f>
        <v>1297442.4189741737</v>
      </c>
      <c r="CN31" s="422">
        <f ca="1">IS!CN24-'Business lines'!CN75-'Business lines'!CN119</f>
        <v>324523.48561159649</v>
      </c>
      <c r="CO31" s="422">
        <f ca="1">IS!CO24-'Business lines'!CO75-'Business lines'!CO119</f>
        <v>304400.7823344841</v>
      </c>
      <c r="CP31" s="422">
        <f ca="1">IS!CP24-'Business lines'!CP75-'Business lines'!CP119</f>
        <v>287211.21019171382</v>
      </c>
      <c r="CQ31" s="422">
        <f ca="1">IS!CQ24-'Business lines'!CQ75-'Business lines'!CQ119</f>
        <v>307085.62097259209</v>
      </c>
      <c r="CR31" s="57">
        <f ca="1">IS!CR24-'Business lines'!CR75-'Business lines'!CR119</f>
        <v>1223221.0991103866</v>
      </c>
      <c r="CS31" s="422">
        <f ca="1">IS!CS24-'Business lines'!CS75-'Business lines'!CS119</f>
        <v>281345.50577641756</v>
      </c>
      <c r="CT31" s="422">
        <f ca="1">IS!CT24-'Business lines'!CT75-'Business lines'!CT119</f>
        <v>265802.20020616159</v>
      </c>
      <c r="CU31" s="422">
        <f ca="1">IS!CU24-'Business lines'!CU75-'Business lines'!CU119</f>
        <v>252220.7272686038</v>
      </c>
      <c r="CV31" s="422">
        <f ca="1">IS!CV24-'Business lines'!CV75-'Business lines'!CV119</f>
        <v>272022.07723711233</v>
      </c>
      <c r="CW31" s="57">
        <f ca="1">IS!CW24-'Business lines'!CW75-'Business lines'!CW119</f>
        <v>1071390.5104882955</v>
      </c>
      <c r="CX31" s="422">
        <f ca="1">IS!CX24-'Business lines'!CX75-'Business lines'!CX119</f>
        <v>289230.79735442292</v>
      </c>
      <c r="CY31" s="422">
        <f ca="1">IS!CY24-'Business lines'!CY75-'Business lines'!CY119</f>
        <v>272691.07505480229</v>
      </c>
      <c r="CZ31" s="422">
        <f ca="1">IS!CZ24-'Business lines'!CZ75-'Business lines'!CZ119</f>
        <v>261797.99004360451</v>
      </c>
      <c r="DA31" s="422">
        <f ca="1">IS!DA24-'Business lines'!DA75-'Business lines'!DA119</f>
        <v>289216.52640404622</v>
      </c>
      <c r="DB31" s="57">
        <f ca="1">IS!DB24-'Business lines'!DB75-'Business lines'!DB119</f>
        <v>1112936.3888568759</v>
      </c>
    </row>
    <row r="32" spans="1:106" s="7" customFormat="1" ht="11.5" customHeight="1" x14ac:dyDescent="0.35">
      <c r="A32" s="327" t="s">
        <v>123</v>
      </c>
      <c r="B32" s="161"/>
      <c r="C32" s="161"/>
      <c r="D32" s="161"/>
      <c r="E32" s="328"/>
      <c r="F32" s="324"/>
      <c r="G32" s="161"/>
      <c r="H32" s="161"/>
      <c r="I32" s="161"/>
      <c r="J32" s="328"/>
      <c r="K32" s="324"/>
      <c r="L32" s="161"/>
      <c r="M32" s="161"/>
      <c r="N32" s="161"/>
      <c r="O32" s="328"/>
      <c r="P32" s="324"/>
      <c r="Q32" s="161"/>
      <c r="R32" s="161"/>
      <c r="S32" s="161"/>
      <c r="T32" s="328"/>
      <c r="U32" s="324"/>
      <c r="V32" s="161"/>
      <c r="W32" s="161"/>
      <c r="X32" s="161"/>
      <c r="Y32" s="328"/>
      <c r="Z32" s="324"/>
      <c r="AA32" s="161"/>
      <c r="AB32" s="161"/>
      <c r="AC32" s="161"/>
      <c r="AD32" s="328"/>
      <c r="AE32" s="324"/>
      <c r="AF32" s="161"/>
      <c r="AG32" s="161"/>
      <c r="AH32" s="161"/>
      <c r="AI32" s="328"/>
      <c r="AJ32" s="324"/>
      <c r="AK32" s="161"/>
      <c r="AL32" s="161"/>
      <c r="AM32" s="161"/>
      <c r="AN32" s="328"/>
      <c r="AO32" s="324"/>
      <c r="AP32" s="161"/>
      <c r="AQ32" s="161"/>
      <c r="AR32" s="161"/>
      <c r="AS32" s="328"/>
      <c r="AT32" s="324"/>
      <c r="AU32" s="161"/>
      <c r="AV32" s="161"/>
      <c r="AW32" s="161"/>
      <c r="AX32" s="328"/>
      <c r="AY32" s="324"/>
      <c r="AZ32" s="422">
        <f>IS!AZ26-'Business lines'!AZ76-'Business lines'!AZ120</f>
        <v>-27890</v>
      </c>
      <c r="BA32" s="422">
        <f>IS!BA26-'Business lines'!BA76-'Business lines'!BA120</f>
        <v>-36054</v>
      </c>
      <c r="BB32" s="422">
        <f>IS!BB26-'Business lines'!BB76-'Business lines'!BB120</f>
        <v>-30983</v>
      </c>
      <c r="BC32" s="422">
        <f>IS!BC26-'Business lines'!BC76-'Business lines'!BC120</f>
        <v>-23003</v>
      </c>
      <c r="BD32" s="57">
        <f>IS!BD26-'Business lines'!BD76-'Business lines'!BD120</f>
        <v>-117930</v>
      </c>
      <c r="BE32" s="422">
        <f>IS!BE26-'Business lines'!BE76-'Business lines'!BE120</f>
        <v>-43034</v>
      </c>
      <c r="BF32" s="422">
        <f>IS!BF26-'Business lines'!BF76-'Business lines'!BF120</f>
        <v>-42572</v>
      </c>
      <c r="BG32" s="422">
        <f>IS!BG26-'Business lines'!BG76-'Business lines'!BG120</f>
        <v>-62614</v>
      </c>
      <c r="BH32" s="422">
        <f>IS!BH26-'Business lines'!BH76-'Business lines'!BH120</f>
        <v>-80645</v>
      </c>
      <c r="BI32" s="57">
        <f>IS!BI26-'Business lines'!BI76-'Business lines'!BI120</f>
        <v>-228865</v>
      </c>
      <c r="BJ32" s="422">
        <f>IS!BJ26-'Business lines'!BJ76-'Business lines'!BJ120</f>
        <v>-86542</v>
      </c>
      <c r="BK32" s="422">
        <f>IS!BK26-'Business lines'!BK76-'Business lines'!BK120</f>
        <v>-104608</v>
      </c>
      <c r="BL32" s="422">
        <f>IS!BL26-'Business lines'!BL76-'Business lines'!BL120</f>
        <v>-123921</v>
      </c>
      <c r="BM32" s="422">
        <f>IS!BM26-'Business lines'!BM76-'Business lines'!BM120</f>
        <v>-189315</v>
      </c>
      <c r="BN32" s="57">
        <f>IS!BN26-'Business lines'!BN76-'Business lines'!BN120</f>
        <v>-504386</v>
      </c>
      <c r="BO32" s="422">
        <f>IS!BO26-'Business lines'!BO76-'Business lines'!BO120</f>
        <v>-145233</v>
      </c>
      <c r="BP32" s="422">
        <f>IS!BP26-'Business lines'!BP76-'Business lines'!BP120</f>
        <v>-148849</v>
      </c>
      <c r="BQ32" s="422">
        <f>IS!BQ26-'Business lines'!BQ76-'Business lines'!BQ120</f>
        <v>-128027</v>
      </c>
      <c r="BR32" s="422">
        <f>IS!BR26-'Business lines'!BR76-'Business lines'!BR120</f>
        <v>-135844</v>
      </c>
      <c r="BS32" s="57">
        <f>IS!BS26-'Business lines'!BS76-'Business lines'!BS120</f>
        <v>-557953</v>
      </c>
      <c r="BT32" s="422">
        <f>IS!BT26-'Business lines'!BT76-'Business lines'!BT120</f>
        <v>-144331</v>
      </c>
      <c r="BU32" s="422">
        <f>IS!BU26-'Business lines'!BU76-'Business lines'!BU120</f>
        <v>-137606</v>
      </c>
      <c r="BV32" s="422">
        <f>IS!BV26-'Business lines'!BV76-'Business lines'!BV120</f>
        <v>-130318</v>
      </c>
      <c r="BW32" s="422">
        <f>IS!BW26-'Business lines'!BW76-'Business lines'!BW120</f>
        <v>-157533</v>
      </c>
      <c r="BX32" s="57">
        <f>IS!BX26-'Business lines'!BX76-'Business lines'!BX120</f>
        <v>-569788</v>
      </c>
      <c r="BY32" s="422">
        <f>IS!BY26-'Business lines'!BY76-'Business lines'!BY120</f>
        <v>-152617</v>
      </c>
      <c r="BZ32" s="422">
        <f>IS!BZ26-'Business lines'!BZ76-'Business lines'!BZ120</f>
        <v>-186107</v>
      </c>
      <c r="CA32" s="422">
        <f>IS!CA26-'Business lines'!CA76-'Business lines'!CA120</f>
        <v>-190392</v>
      </c>
      <c r="CB32" s="422">
        <f>IS!CB26-'Business lines'!CB76-'Business lines'!CB120</f>
        <v>-199183</v>
      </c>
      <c r="CC32" s="57">
        <f>IS!CC26-'Business lines'!CC76-'Business lines'!CC120</f>
        <v>-728299</v>
      </c>
      <c r="CD32" s="422">
        <f>IS!CD26-'Business lines'!CD76-'Business lines'!CD120</f>
        <v>-223289</v>
      </c>
      <c r="CE32" s="422">
        <f>IS!CE26-'Business lines'!CE76-'Business lines'!CE120</f>
        <v>-263253</v>
      </c>
      <c r="CF32" s="422">
        <f>IS!CF26-'Business lines'!CF76-'Business lines'!CF120</f>
        <v>-219671.72687800304</v>
      </c>
      <c r="CG32" s="422">
        <f>IS!CG26-'Business lines'!CG76-'Business lines'!CG120</f>
        <v>-222371.61539890221</v>
      </c>
      <c r="CH32" s="57">
        <f>IS!CH26-'Business lines'!CH76-'Business lines'!CH120</f>
        <v>-928585.3422769052</v>
      </c>
      <c r="CI32" s="422">
        <f>IS!CI26-'Business lines'!CI76-'Business lines'!CI120</f>
        <v>-256846.62099133967</v>
      </c>
      <c r="CJ32" s="422">
        <f>IS!CJ26-'Business lines'!CJ76-'Business lines'!CJ120</f>
        <v>-254066.80375502061</v>
      </c>
      <c r="CK32" s="422">
        <f>IS!CK26-'Business lines'!CK76-'Business lines'!CK120</f>
        <v>-241000.40188381867</v>
      </c>
      <c r="CL32" s="422">
        <f>IS!CL26-'Business lines'!CL76-'Business lines'!CL120</f>
        <v>-231429.68576261651</v>
      </c>
      <c r="CM32" s="57">
        <f>IS!CM26-'Business lines'!CM76-'Business lines'!CM120</f>
        <v>-983343.51239279541</v>
      </c>
      <c r="CN32" s="422">
        <f>IS!CN26-'Business lines'!CN76-'Business lines'!CN120</f>
        <v>-232908.83932020556</v>
      </c>
      <c r="CO32" s="422">
        <f>IS!CO26-'Business lines'!CO76-'Business lines'!CO120</f>
        <v>-233882.72670382028</v>
      </c>
      <c r="CP32" s="422">
        <f>IS!CP26-'Business lines'!CP76-'Business lines'!CP120</f>
        <v>-235898.60064554616</v>
      </c>
      <c r="CQ32" s="422">
        <f>IS!CQ26-'Business lines'!CQ76-'Business lines'!CQ120</f>
        <v>-238856.71019551822</v>
      </c>
      <c r="CR32" s="57">
        <f>IS!CR26-'Business lines'!CR76-'Business lines'!CR120</f>
        <v>-941546.87686509022</v>
      </c>
      <c r="CS32" s="422">
        <f>IS!CS26-'Business lines'!CS76-'Business lines'!CS120</f>
        <v>-207511.6755857628</v>
      </c>
      <c r="CT32" s="422">
        <f>IS!CT26-'Business lines'!CT76-'Business lines'!CT120</f>
        <v>-207277.89064372407</v>
      </c>
      <c r="CU32" s="422">
        <f>IS!CU26-'Business lines'!CU76-'Business lines'!CU120</f>
        <v>-208237.43871353997</v>
      </c>
      <c r="CV32" s="422">
        <f>IS!CV26-'Business lines'!CV76-'Business lines'!CV120</f>
        <v>-210514.37438456251</v>
      </c>
      <c r="CW32" s="57">
        <f>IS!CW26-'Business lines'!CW76-'Business lines'!CW120</f>
        <v>-833541.3793275893</v>
      </c>
      <c r="CX32" s="422">
        <f>IS!CX26-'Business lines'!CX76-'Business lines'!CX120</f>
        <v>-212193.78127747771</v>
      </c>
      <c r="CY32" s="422">
        <f>IS!CY26-'Business lines'!CY76-'Business lines'!CY120</f>
        <v>-212615.90906566958</v>
      </c>
      <c r="CZ32" s="422">
        <f>IS!CZ26-'Business lines'!CZ76-'Business lines'!CZ120</f>
        <v>-213815.73988762553</v>
      </c>
      <c r="DA32" s="422">
        <f>IS!DA26-'Business lines'!DA76-'Business lines'!DA120</f>
        <v>-216582.10628691799</v>
      </c>
      <c r="DB32" s="57">
        <f>IS!DB26-'Business lines'!DB76-'Business lines'!DB120</f>
        <v>-855207.53651769087</v>
      </c>
    </row>
    <row r="33" spans="1:106" s="7" customFormat="1" ht="11.5" customHeight="1" x14ac:dyDescent="0.35">
      <c r="A33" s="322" t="s">
        <v>118</v>
      </c>
      <c r="B33" s="161"/>
      <c r="C33" s="161"/>
      <c r="D33" s="161"/>
      <c r="E33" s="328"/>
      <c r="F33" s="324"/>
      <c r="G33" s="161"/>
      <c r="H33" s="161"/>
      <c r="I33" s="161"/>
      <c r="J33" s="328"/>
      <c r="K33" s="324"/>
      <c r="L33" s="161"/>
      <c r="M33" s="161"/>
      <c r="N33" s="161"/>
      <c r="O33" s="328"/>
      <c r="P33" s="324"/>
      <c r="Q33" s="161"/>
      <c r="R33" s="161"/>
      <c r="S33" s="161"/>
      <c r="T33" s="328"/>
      <c r="U33" s="324"/>
      <c r="V33" s="161"/>
      <c r="W33" s="161"/>
      <c r="X33" s="161"/>
      <c r="Y33" s="328"/>
      <c r="Z33" s="324"/>
      <c r="AA33" s="161"/>
      <c r="AB33" s="161"/>
      <c r="AC33" s="161"/>
      <c r="AD33" s="328"/>
      <c r="AE33" s="324"/>
      <c r="AF33" s="161"/>
      <c r="AG33" s="161"/>
      <c r="AH33" s="161"/>
      <c r="AI33" s="328"/>
      <c r="AJ33" s="324"/>
      <c r="AK33" s="161"/>
      <c r="AL33" s="161"/>
      <c r="AM33" s="161"/>
      <c r="AN33" s="328"/>
      <c r="AO33" s="324"/>
      <c r="AP33" s="161"/>
      <c r="AQ33" s="161"/>
      <c r="AR33" s="161"/>
      <c r="AS33" s="328"/>
      <c r="AT33" s="324"/>
      <c r="AU33" s="161"/>
      <c r="AV33" s="161"/>
      <c r="AW33" s="161"/>
      <c r="AX33" s="328"/>
      <c r="AY33" s="324"/>
      <c r="AZ33" s="560">
        <f>IS!AZ31+IS!AZ32+IS!AZ33-'Business lines'!AZ77-'Business lines'!AZ121</f>
        <v>-40355</v>
      </c>
      <c r="BA33" s="560">
        <f>IS!BA31+IS!BA32+IS!BA33-'Business lines'!BA77-'Business lines'!BA121</f>
        <v>-20788</v>
      </c>
      <c r="BB33" s="560">
        <f>IS!BB31+IS!BB32+IS!BB33-'Business lines'!BB77-'Business lines'!BB121</f>
        <v>1123896</v>
      </c>
      <c r="BC33" s="560">
        <f>IS!BC31+IS!BC32+IS!BC33-'Business lines'!BC77-'Business lines'!BC121</f>
        <v>26862</v>
      </c>
      <c r="BD33" s="57">
        <f>IS!BD31+IS!BD32+IS!BD33-'Business lines'!BD77-'Business lines'!BD121</f>
        <v>1089615</v>
      </c>
      <c r="BE33" s="560">
        <f>IS!BE31+IS!BE32+IS!BE33-'Business lines'!BE77-'Business lines'!BE121</f>
        <v>-31171</v>
      </c>
      <c r="BF33" s="560">
        <f>IS!BF31+IS!BF32+IS!BF33-'Business lines'!BF77-'Business lines'!BF121</f>
        <v>-14738</v>
      </c>
      <c r="BG33" s="560">
        <f>IS!BG31+IS!BG32+IS!BG33-'Business lines'!BG77-'Business lines'!BG121</f>
        <v>-35335</v>
      </c>
      <c r="BH33" s="560">
        <f>IS!BH31+IS!BH32+IS!BH33-'Business lines'!BH77-'Business lines'!BH121</f>
        <v>-9530</v>
      </c>
      <c r="BI33" s="57">
        <f>IS!BI31+IS!BI32+IS!BI33-'Business lines'!BI77-'Business lines'!BI121</f>
        <v>-90774</v>
      </c>
      <c r="BJ33" s="560">
        <f>IS!BJ31+IS!BJ32+IS!BJ33-'Business lines'!BJ77-'Business lines'!BJ121</f>
        <v>-30483</v>
      </c>
      <c r="BK33" s="560">
        <f>IS!BK31+IS!BK32+IS!BK33-'Business lines'!BK77-'Business lines'!BK121</f>
        <v>-21795</v>
      </c>
      <c r="BL33" s="560">
        <f>IS!BL31+IS!BL32+IS!BL33-'Business lines'!BL77-'Business lines'!BL121</f>
        <v>27790</v>
      </c>
      <c r="BM33" s="560">
        <f>IS!BM31+IS!BM32+IS!BM33-'Business lines'!BM77-'Business lines'!BM121</f>
        <v>13030</v>
      </c>
      <c r="BN33" s="57">
        <f>IS!BN31+IS!BN32+IS!BN33-'Business lines'!BN77-'Business lines'!BN121</f>
        <v>-11458</v>
      </c>
      <c r="BO33" s="560">
        <f>IS!BO31+IS!BO32+IS!BO33-'Business lines'!BO77-'Business lines'!BO121</f>
        <v>-37625</v>
      </c>
      <c r="BP33" s="560">
        <f>IS!BP31+IS!BP32+IS!BP33-'Business lines'!BP77-'Business lines'!BP121</f>
        <v>16531</v>
      </c>
      <c r="BQ33" s="560">
        <f>IS!BQ31+IS!BQ32+IS!BQ33-'Business lines'!BQ77-'Business lines'!BQ121</f>
        <v>-54025</v>
      </c>
      <c r="BR33" s="560">
        <f>IS!BR31+IS!BR32+IS!BR33-'Business lines'!BR77-'Business lines'!BR121</f>
        <v>-25956</v>
      </c>
      <c r="BS33" s="57">
        <f>IS!BS31+IS!BS32+IS!BS33-'Business lines'!BS77-'Business lines'!BS121</f>
        <v>-101075</v>
      </c>
      <c r="BT33" s="560">
        <f>IS!BT31+IS!BT32+IS!BT33-'Business lines'!BT77-'Business lines'!BT121</f>
        <v>-18668</v>
      </c>
      <c r="BU33" s="560">
        <f>IS!BU31+IS!BU32+IS!BU33-'Business lines'!BU77-'Business lines'!BU121</f>
        <v>-10492</v>
      </c>
      <c r="BV33" s="560">
        <f>IS!BV31+IS!BV32+IS!BV33-'Business lines'!BV77-'Business lines'!BV121</f>
        <v>-3423</v>
      </c>
      <c r="BW33" s="560">
        <f>IS!BW31+IS!BW32+IS!BW33-'Business lines'!BW77-'Business lines'!BW121</f>
        <v>58296</v>
      </c>
      <c r="BX33" s="57">
        <f>IS!BX31+IS!BX32+IS!BX33-'Business lines'!BX77-'Business lines'!BX121</f>
        <v>25713</v>
      </c>
      <c r="BY33" s="560">
        <f>IS!BY31+IS!BY32+IS!BY33-'Business lines'!BY77-'Business lines'!BY121</f>
        <v>-70720</v>
      </c>
      <c r="BZ33" s="560">
        <f>IS!BZ31+IS!BZ32+IS!BZ33-'Business lines'!BZ77-'Business lines'!BZ121</f>
        <v>-38346</v>
      </c>
      <c r="CA33" s="560">
        <f>IS!CA31+IS!CA32+IS!CA33-'Business lines'!CA77-'Business lines'!CA121</f>
        <v>188788</v>
      </c>
      <c r="CB33" s="560">
        <f>IS!CB31+IS!CB32+IS!CB33-'Business lines'!CB77-'Business lines'!CB121</f>
        <v>-71050</v>
      </c>
      <c r="CC33" s="57">
        <f>IS!CC31+IS!CC32+IS!CC33-'Business lines'!CC77-'Business lines'!CC121</f>
        <v>8672</v>
      </c>
      <c r="CD33" s="560">
        <f>IS!CD31+IS!CD32+IS!CD33-'Business lines'!CD77-'Business lines'!CD121</f>
        <v>-64455</v>
      </c>
      <c r="CE33" s="560">
        <f>IS!CE31+IS!CE32+IS!CE33-'Business lines'!CE77-'Business lines'!CE121</f>
        <v>-68131</v>
      </c>
      <c r="CF33" s="560">
        <f>IS!CF31+IS!CF32+IS!CF33-'Business lines'!CF77-'Business lines'!CF121</f>
        <v>-82962.331762318136</v>
      </c>
      <c r="CG33" s="560">
        <f>IS!CG31+IS!CG32+IS!CG33-'Business lines'!CG77-'Business lines'!CG121</f>
        <v>-86310.81190767065</v>
      </c>
      <c r="CH33" s="57">
        <f>IS!CH31+IS!CH32+IS!CH33-'Business lines'!CH77-'Business lines'!CH121</f>
        <v>-301859.14366998879</v>
      </c>
      <c r="CI33" s="560">
        <f>IS!CI31+IS!CI32+IS!CI33-'Business lines'!CI77-'Business lines'!CI121</f>
        <v>-83916.933190111129</v>
      </c>
      <c r="CJ33" s="560">
        <f>IS!CJ31+IS!CJ32+IS!CJ33-'Business lines'!CJ77-'Business lines'!CJ121</f>
        <v>-84989.256693244504</v>
      </c>
      <c r="CK33" s="560">
        <f>IS!CK31+IS!CK32+IS!CK33-'Business lines'!CK77-'Business lines'!CK121</f>
        <v>-87374.493749505622</v>
      </c>
      <c r="CL33" s="560">
        <f>IS!CL31+IS!CL32+IS!CL33-'Business lines'!CL77-'Business lines'!CL121</f>
        <v>-90036.435523738735</v>
      </c>
      <c r="CM33" s="57">
        <f>IS!CM31+IS!CM32+IS!CM33-'Business lines'!CM77-'Business lines'!CM121</f>
        <v>-346317.11915659998</v>
      </c>
      <c r="CN33" s="560">
        <f>IS!CN31+IS!CN32+IS!CN33-'Business lines'!CN77-'Business lines'!CN121</f>
        <v>-90087.213952290476</v>
      </c>
      <c r="CO33" s="560">
        <f>IS!CO31+IS!CO32+IS!CO33-'Business lines'!CO77-'Business lines'!CO121</f>
        <v>-90887.30554966809</v>
      </c>
      <c r="CP33" s="560">
        <f>IS!CP31+IS!CP32+IS!CP33-'Business lines'!CP77-'Business lines'!CP121</f>
        <v>-93064.880547231209</v>
      </c>
      <c r="CQ33" s="560">
        <f>IS!CQ31+IS!CQ32+IS!CQ33-'Business lines'!CQ77-'Business lines'!CQ121</f>
        <v>-96595.341235103857</v>
      </c>
      <c r="CR33" s="57">
        <f>IS!CR31+IS!CR32+IS!CR33-'Business lines'!CR77-'Business lines'!CR121</f>
        <v>-370634.74128429365</v>
      </c>
      <c r="CS33" s="560">
        <f>IS!CS31+IS!CS32+IS!CS33-'Business lines'!CS77-'Business lines'!CS121</f>
        <v>-95646.202219465311</v>
      </c>
      <c r="CT33" s="560">
        <f>IS!CT31+IS!CT32+IS!CT33-'Business lines'!CT77-'Business lines'!CT121</f>
        <v>-96201.711483474326</v>
      </c>
      <c r="CU33" s="560">
        <f>IS!CU31+IS!CU32+IS!CU33-'Business lines'!CU77-'Business lines'!CU121</f>
        <v>-98218.100822800276</v>
      </c>
      <c r="CV33" s="560">
        <f>IS!CV31+IS!CV32+IS!CV33-'Business lines'!CV77-'Business lines'!CV121</f>
        <v>-101701.94463967194</v>
      </c>
      <c r="CW33" s="57">
        <f>IS!CW31+IS!CW32+IS!CW33-'Business lines'!CW77-'Business lines'!CW121</f>
        <v>-391767.95916541183</v>
      </c>
      <c r="CX33" s="560">
        <f>IS!CX31+IS!CX32+IS!CX33-'Business lines'!CX77-'Business lines'!CX121</f>
        <v>-100651.90518647723</v>
      </c>
      <c r="CY33" s="560">
        <f>IS!CY31+IS!CY32+IS!CY33-'Business lines'!CY77-'Business lines'!CY121</f>
        <v>-101074.24504837813</v>
      </c>
      <c r="CZ33" s="560">
        <f>IS!CZ31+IS!CZ32+IS!CZ33-'Business lines'!CZ77-'Business lines'!CZ121</f>
        <v>-103073.52469460927</v>
      </c>
      <c r="DA33" s="560">
        <f>IS!DA31+IS!DA32+IS!DA33-'Business lines'!DA77-'Business lines'!DA121</f>
        <v>-106572.20576942539</v>
      </c>
      <c r="DB33" s="57">
        <f>IS!DB31+IS!DB32+IS!DB33-'Business lines'!DB77-'Business lines'!DB121</f>
        <v>-411371.88069888996</v>
      </c>
    </row>
    <row r="34" spans="1:106" s="11" customFormat="1" ht="11.5" customHeight="1" x14ac:dyDescent="0.35">
      <c r="A34" s="186" t="s">
        <v>357</v>
      </c>
      <c r="B34" s="161"/>
      <c r="C34" s="161"/>
      <c r="D34" s="161"/>
      <c r="E34" s="161"/>
      <c r="F34" s="20"/>
      <c r="G34" s="161"/>
      <c r="H34" s="161"/>
      <c r="I34" s="161"/>
      <c r="J34" s="161"/>
      <c r="K34" s="20"/>
      <c r="L34" s="161"/>
      <c r="M34" s="161"/>
      <c r="N34" s="161"/>
      <c r="O34" s="161"/>
      <c r="P34" s="20"/>
      <c r="Q34" s="161"/>
      <c r="R34" s="161"/>
      <c r="S34" s="161"/>
      <c r="T34" s="161"/>
      <c r="U34" s="20"/>
      <c r="V34" s="161"/>
      <c r="W34" s="161"/>
      <c r="X34" s="161"/>
      <c r="Y34" s="161"/>
      <c r="Z34" s="20"/>
      <c r="AA34" s="161"/>
      <c r="AB34" s="161"/>
      <c r="AC34" s="161"/>
      <c r="AD34" s="161"/>
      <c r="AE34" s="20"/>
      <c r="AF34" s="161"/>
      <c r="AG34" s="161"/>
      <c r="AH34" s="161"/>
      <c r="AI34" s="161"/>
      <c r="AJ34" s="20"/>
      <c r="AK34" s="161"/>
      <c r="AL34" s="161"/>
      <c r="AM34" s="161"/>
      <c r="AN34" s="161"/>
      <c r="AO34" s="20"/>
      <c r="AP34" s="161"/>
      <c r="AQ34" s="161"/>
      <c r="AR34" s="161"/>
      <c r="AS34" s="161"/>
      <c r="AT34" s="20"/>
      <c r="AU34" s="161"/>
      <c r="AV34" s="161"/>
      <c r="AW34" s="161"/>
      <c r="AX34" s="161"/>
      <c r="AY34" s="20"/>
      <c r="AZ34" s="559">
        <f>IS!AZ32-'Business lines'!AZ78-'Business lines'!AZ122</f>
        <v>-17199</v>
      </c>
      <c r="BA34" s="559">
        <f>IS!BA32-'Business lines'!BA78-'Business lines'!BA122</f>
        <v>-13725</v>
      </c>
      <c r="BB34" s="559">
        <f>IS!BB32-'Business lines'!BB78-'Business lines'!BB122</f>
        <v>-8963</v>
      </c>
      <c r="BC34" s="559">
        <f>IS!BC32-'Business lines'!BC78-'Business lines'!BC122</f>
        <v>-11276</v>
      </c>
      <c r="BD34" s="20">
        <f>IS!BD32-'Business lines'!BD78-'Business lines'!BD122</f>
        <v>-51163</v>
      </c>
      <c r="BE34" s="559">
        <f>IS!BE32-'Business lines'!BE78-'Business lines'!BE122</f>
        <v>-10932</v>
      </c>
      <c r="BF34" s="559">
        <f>IS!BF32-'Business lines'!BF78-'Business lines'!BF122</f>
        <v>-10462</v>
      </c>
      <c r="BG34" s="559">
        <f>IS!BG32-'Business lines'!BG78-'Business lines'!BG122</f>
        <v>-11020</v>
      </c>
      <c r="BH34" s="559">
        <f>IS!BH32-'Business lines'!BH78-'Business lines'!BH122</f>
        <v>-7609</v>
      </c>
      <c r="BI34" s="20">
        <f>IS!BI32-'Business lines'!BI78-'Business lines'!BI122</f>
        <v>-40023</v>
      </c>
      <c r="BJ34" s="559">
        <f>IS!BJ32-'Business lines'!BJ78-'Business lines'!BJ122</f>
        <v>-8532</v>
      </c>
      <c r="BK34" s="559">
        <f>IS!BK32-'Business lines'!BK78-'Business lines'!BK122</f>
        <v>-9251</v>
      </c>
      <c r="BL34" s="559">
        <f>IS!BL32-'Business lines'!BL78-'Business lines'!BL122</f>
        <v>-22832</v>
      </c>
      <c r="BM34" s="559">
        <f>IS!BM32-'Business lines'!BM78-'Business lines'!BM122</f>
        <v>-2859</v>
      </c>
      <c r="BN34" s="20">
        <f>IS!BN32-'Business lines'!BN78-'Business lines'!BN122</f>
        <v>-43474</v>
      </c>
      <c r="BO34" s="559">
        <f>IS!BO32-'Business lines'!BO78-'Business lines'!BO122</f>
        <v>-29284</v>
      </c>
      <c r="BP34" s="559">
        <f>IS!BP32-'Business lines'!BP78-'Business lines'!BP122</f>
        <v>-16071</v>
      </c>
      <c r="BQ34" s="559">
        <f>IS!BQ32-'Business lines'!BQ78-'Business lines'!BQ122</f>
        <v>-42302</v>
      </c>
      <c r="BR34" s="559">
        <f>IS!BR32-'Business lines'!BR78-'Business lines'!BR122</f>
        <v>20569</v>
      </c>
      <c r="BS34" s="20">
        <f>IS!BS32-'Business lines'!BS78-'Business lines'!BS122</f>
        <v>-67088</v>
      </c>
      <c r="BT34" s="559">
        <f>IS!BT32-'Business lines'!BT78-'Business lines'!BT122</f>
        <v>-23638</v>
      </c>
      <c r="BU34" s="559">
        <f>IS!BU32-'Business lines'!BU78-'Business lines'!BU122</f>
        <v>-16365</v>
      </c>
      <c r="BV34" s="559">
        <f>IS!BV32-'Business lines'!BV78-'Business lines'!BV122</f>
        <v>-39999</v>
      </c>
      <c r="BW34" s="559">
        <f>IS!BW32-'Business lines'!BW78-'Business lines'!BW122</f>
        <v>-20057</v>
      </c>
      <c r="BX34" s="20">
        <f>IS!BX32-'Business lines'!BX78-'Business lines'!BX122</f>
        <v>-100059</v>
      </c>
      <c r="BY34" s="559">
        <f>IS!BY32-'Business lines'!BY78-'Business lines'!BY122</f>
        <v>-30272</v>
      </c>
      <c r="BZ34" s="559">
        <f>IS!BZ32-'Business lines'!BZ78-'Business lines'!BZ122</f>
        <v>-23802</v>
      </c>
      <c r="CA34" s="559">
        <f>IS!CA32-'Business lines'!CA78-'Business lines'!CA122</f>
        <v>-28629</v>
      </c>
      <c r="CB34" s="559">
        <f>IS!CB32-'Business lines'!CB78-'Business lines'!CB122</f>
        <v>-49872</v>
      </c>
      <c r="CC34" s="20">
        <f>IS!CC32-'Business lines'!CC78-'Business lines'!CC122</f>
        <v>-132575</v>
      </c>
      <c r="CD34" s="559">
        <f>IS!CD32-'Business lines'!CD78-'Business lines'!CD122</f>
        <v>-54583</v>
      </c>
      <c r="CE34" s="559">
        <f>IS!CE32-'Business lines'!CE78-'Business lines'!CE122</f>
        <v>-41166</v>
      </c>
      <c r="CF34" s="559">
        <f>IS!CF32-'Business lines'!CF78-'Business lines'!CF122</f>
        <v>-42795.670501209162</v>
      </c>
      <c r="CG34" s="559">
        <f>IS!CG32-'Business lines'!CG78-'Business lines'!CG122</f>
        <v>-43074.129503825498</v>
      </c>
      <c r="CH34" s="20">
        <f>IS!CH32-'Business lines'!CH78-'Business lines'!CH122</f>
        <v>-181618.80000503466</v>
      </c>
      <c r="CI34" s="559">
        <f>IS!CI32-'Business lines'!CI78-'Business lines'!CI122</f>
        <v>-43354.400358323808</v>
      </c>
      <c r="CJ34" s="559">
        <f>IS!CJ32-'Business lines'!CJ78-'Business lines'!CJ122</f>
        <v>-43636.494853898243</v>
      </c>
      <c r="CK34" s="559">
        <f>IS!CK32-'Business lines'!CK78-'Business lines'!CK122</f>
        <v>-43920.424856451791</v>
      </c>
      <c r="CL34" s="559">
        <f>IS!CL32-'Business lines'!CL78-'Business lines'!CL122</f>
        <v>-44206.202309095461</v>
      </c>
      <c r="CM34" s="20">
        <f>IS!CM32-'Business lines'!CM78-'Business lines'!CM122</f>
        <v>-175117.52237776929</v>
      </c>
      <c r="CN34" s="559">
        <f>IS!CN32-'Business lines'!CN78-'Business lines'!CN122</f>
        <v>-44493.839232650585</v>
      </c>
      <c r="CO34" s="559">
        <f>IS!CO32-'Business lines'!CO78-'Business lines'!CO122</f>
        <v>-44783.347726154512</v>
      </c>
      <c r="CP34" s="559">
        <f>IS!CP32-'Business lines'!CP78-'Business lines'!CP122</f>
        <v>-45074.739967369504</v>
      </c>
      <c r="CQ34" s="559">
        <f>IS!CQ32-'Business lines'!CQ78-'Business lines'!CQ122</f>
        <v>-45368.02821329498</v>
      </c>
      <c r="CR34" s="20">
        <f>IS!CR32-'Business lines'!CR78-'Business lines'!CR122</f>
        <v>-179719.95513946959</v>
      </c>
      <c r="CS34" s="559">
        <f>IS!CS32-'Business lines'!CS78-'Business lines'!CS122</f>
        <v>-45663.224800683121</v>
      </c>
      <c r="CT34" s="559">
        <f>IS!CT32-'Business lines'!CT78-'Business lines'!CT122</f>
        <v>-45960.342146557734</v>
      </c>
      <c r="CU34" s="559">
        <f>IS!CU32-'Business lines'!CU78-'Business lines'!CU122</f>
        <v>-46259.392748736624</v>
      </c>
      <c r="CV34" s="559">
        <f>IS!CV32-'Business lines'!CV78-'Business lines'!CV122</f>
        <v>-46560.38918635725</v>
      </c>
      <c r="CW34" s="20">
        <f>IS!CW32-'Business lines'!CW78-'Business lines'!CW122</f>
        <v>-184443.34888233471</v>
      </c>
      <c r="CX34" s="559">
        <f>IS!CX32-'Business lines'!CX78-'Business lines'!CX122</f>
        <v>-46863.344120405891</v>
      </c>
      <c r="CY34" s="559">
        <f>IS!CY32-'Business lines'!CY78-'Business lines'!CY122</f>
        <v>-47168.270294250178</v>
      </c>
      <c r="CZ34" s="559">
        <f>IS!CZ32-'Business lines'!CZ78-'Business lines'!CZ122</f>
        <v>-47475.180534175102</v>
      </c>
      <c r="DA34" s="559">
        <f>IS!DA32-'Business lines'!DA78-'Business lines'!DA122</f>
        <v>-47784.087749922626</v>
      </c>
      <c r="DB34" s="20">
        <f>IS!DB32-'Business lines'!DB78-'Business lines'!DB122</f>
        <v>-189290.88269875379</v>
      </c>
    </row>
    <row r="35" spans="1:106" s="7" customFormat="1" ht="11.5" customHeight="1" outlineLevel="1" x14ac:dyDescent="0.35">
      <c r="A35" s="322" t="s">
        <v>358</v>
      </c>
      <c r="B35" s="161"/>
      <c r="C35" s="161"/>
      <c r="D35" s="161"/>
      <c r="E35" s="328"/>
      <c r="F35" s="324"/>
      <c r="G35" s="161"/>
      <c r="H35" s="161"/>
      <c r="I35" s="161"/>
      <c r="J35" s="328"/>
      <c r="K35" s="324"/>
      <c r="L35" s="161"/>
      <c r="M35" s="161"/>
      <c r="N35" s="161"/>
      <c r="O35" s="328"/>
      <c r="P35" s="324"/>
      <c r="Q35" s="161"/>
      <c r="R35" s="161"/>
      <c r="S35" s="161"/>
      <c r="T35" s="328"/>
      <c r="U35" s="324"/>
      <c r="V35" s="161"/>
      <c r="W35" s="161"/>
      <c r="X35" s="161"/>
      <c r="Y35" s="328"/>
      <c r="Z35" s="324"/>
      <c r="AA35" s="161"/>
      <c r="AB35" s="161"/>
      <c r="AC35" s="161"/>
      <c r="AD35" s="328"/>
      <c r="AE35" s="324"/>
      <c r="AF35" s="161"/>
      <c r="AG35" s="161"/>
      <c r="AH35" s="161"/>
      <c r="AI35" s="328"/>
      <c r="AJ35" s="324"/>
      <c r="AK35" s="161"/>
      <c r="AL35" s="161"/>
      <c r="AM35" s="161"/>
      <c r="AN35" s="328"/>
      <c r="AO35" s="324"/>
      <c r="AP35" s="161"/>
      <c r="AQ35" s="161"/>
      <c r="AR35" s="161"/>
      <c r="AS35" s="328"/>
      <c r="AT35" s="324"/>
      <c r="AU35" s="161"/>
      <c r="AV35" s="161"/>
      <c r="AW35" s="161"/>
      <c r="AX35" s="328"/>
      <c r="AY35" s="324"/>
      <c r="AZ35" s="422">
        <f>IS!AZ34-'Business lines'!AZ79-'Business lines'!AZ123</f>
        <v>10692</v>
      </c>
      <c r="BA35" s="422">
        <f>IS!BA34-'Business lines'!BA79-'Business lines'!BA123</f>
        <v>21467</v>
      </c>
      <c r="BB35" s="422">
        <f>IS!BB34-'Business lines'!BB79-'Business lines'!BB123</f>
        <v>64800</v>
      </c>
      <c r="BC35" s="422">
        <f>IS!BC34-'Business lines'!BC79-'Business lines'!BC123</f>
        <v>58753</v>
      </c>
      <c r="BD35" s="20">
        <f>IS!BD34-'Business lines'!BD79-'Business lines'!BD123</f>
        <v>155712</v>
      </c>
      <c r="BE35" s="422">
        <f>IS!BE34-'Business lines'!BE79-'Business lines'!BE123</f>
        <v>79017</v>
      </c>
      <c r="BF35" s="422">
        <f>IS!BF34-'Business lines'!BF79-'Business lines'!BF123</f>
        <v>74405</v>
      </c>
      <c r="BG35" s="422">
        <f>IS!BG34-'Business lines'!BG79-'Business lines'!BG123</f>
        <v>78321</v>
      </c>
      <c r="BH35" s="422">
        <f>IS!BH34-'Business lines'!BH79-'Business lines'!BH123</f>
        <v>65424</v>
      </c>
      <c r="BI35" s="20">
        <f>IS!BI34-'Business lines'!BI79-'Business lines'!BI123</f>
        <v>297167</v>
      </c>
      <c r="BJ35" s="422">
        <f>IS!BJ34-'Business lines'!BJ79-'Business lines'!BJ123</f>
        <v>60334</v>
      </c>
      <c r="BK35" s="422">
        <f>IS!BK34-'Business lines'!BK79-'Business lines'!BK123</f>
        <v>38724</v>
      </c>
      <c r="BL35" s="422">
        <f>IS!BL34-'Business lines'!BL79-'Business lines'!BL123</f>
        <v>59701</v>
      </c>
      <c r="BM35" s="422">
        <f>IS!BM34-'Business lines'!BM79-'Business lines'!BM123</f>
        <v>58326</v>
      </c>
      <c r="BN35" s="20">
        <f>IS!BN34-'Business lines'!BN79-'Business lines'!BN123</f>
        <v>217085</v>
      </c>
      <c r="BO35" s="422">
        <f>IS!BO34-'Business lines'!BO79-'Business lines'!BO123</f>
        <v>47138</v>
      </c>
      <c r="BP35" s="422">
        <f>IS!BP34-'Business lines'!BP79-'Business lines'!BP123</f>
        <v>33021</v>
      </c>
      <c r="BQ35" s="422">
        <f>IS!BQ34-'Business lines'!BQ79-'Business lines'!BQ123</f>
        <v>89430</v>
      </c>
      <c r="BR35" s="422">
        <f>IS!BR34-'Business lines'!BR79-'Business lines'!BR123</f>
        <v>92470</v>
      </c>
      <c r="BS35" s="20">
        <f>IS!BS34-'Business lines'!BS79-'Business lines'!BS123</f>
        <v>262059</v>
      </c>
      <c r="BT35" s="422">
        <f>IS!BT34-'Business lines'!BT79-'Business lines'!BT123</f>
        <v>100891</v>
      </c>
      <c r="BU35" s="422">
        <f>IS!BU34-'Business lines'!BU79-'Business lines'!BU123</f>
        <v>116467</v>
      </c>
      <c r="BV35" s="422">
        <f>IS!BV34-'Business lines'!BV79-'Business lines'!BV123</f>
        <v>135914</v>
      </c>
      <c r="BW35" s="422">
        <f>IS!BW34-'Business lines'!BW79-'Business lines'!BW123</f>
        <v>147608</v>
      </c>
      <c r="BX35" s="20">
        <f>IS!BX34-'Business lines'!BX79-'Business lines'!BX123</f>
        <v>500880</v>
      </c>
      <c r="BY35" s="422">
        <f>IS!BY34-'Business lines'!BY79-'Business lines'!BY123</f>
        <v>112558</v>
      </c>
      <c r="BZ35" s="422">
        <f>IS!BZ34-'Business lines'!BZ79-'Business lines'!BZ123</f>
        <v>139609</v>
      </c>
      <c r="CA35" s="422">
        <f>IS!CA34-'Business lines'!CA79-'Business lines'!CA123</f>
        <v>131891</v>
      </c>
      <c r="CB35" s="422">
        <f>IS!CB34-'Business lines'!CB79-'Business lines'!CB123</f>
        <v>164048</v>
      </c>
      <c r="CC35" s="20">
        <f>IS!CC34-'Business lines'!CC79-'Business lines'!CC123</f>
        <v>548106</v>
      </c>
      <c r="CD35" s="422">
        <f>IS!CD34-'Business lines'!CD79-'Business lines'!CD123</f>
        <v>128141</v>
      </c>
      <c r="CE35" s="422">
        <f>IS!CE34-'Business lines'!CE79-'Business lines'!CE123</f>
        <v>106557</v>
      </c>
      <c r="CF35" s="422">
        <f>IS!CF34-'Business lines'!CF79-'Business lines'!CF123</f>
        <v>154463.81171802973</v>
      </c>
      <c r="CG35" s="422">
        <f>IS!CG34-'Business lines'!CG79-'Business lines'!CG123</f>
        <v>188103.31338163698</v>
      </c>
      <c r="CH35" s="20">
        <f>IS!CH34-'Business lines'!CH79-'Business lines'!CH123</f>
        <v>577265.12509966665</v>
      </c>
      <c r="CI35" s="422">
        <f>IS!CI34-'Business lines'!CI79-'Business lines'!CI123</f>
        <v>173748.47330537115</v>
      </c>
      <c r="CJ35" s="422">
        <f>IS!CJ34-'Business lines'!CJ79-'Business lines'!CJ123</f>
        <v>163141.6190489954</v>
      </c>
      <c r="CK35" s="422">
        <f>IS!CK34-'Business lines'!CK79-'Business lines'!CK123</f>
        <v>194877.06425683227</v>
      </c>
      <c r="CL35" s="422">
        <f>IS!CL34-'Business lines'!CL79-'Business lines'!CL123</f>
        <v>207115.09806536284</v>
      </c>
      <c r="CM35" s="20">
        <f>IS!CM34-'Business lines'!CM79-'Business lines'!CM123</f>
        <v>738882.25467656157</v>
      </c>
      <c r="CN35" s="422">
        <f>IS!CN34-'Business lines'!CN79-'Business lines'!CN123</f>
        <v>204977.08595358167</v>
      </c>
      <c r="CO35" s="422">
        <f>IS!CO34-'Business lines'!CO79-'Business lines'!CO123</f>
        <v>185908.0462986177</v>
      </c>
      <c r="CP35" s="422">
        <f>IS!CP34-'Business lines'!CP79-'Business lines'!CP123</f>
        <v>217881.71626190571</v>
      </c>
      <c r="CQ35" s="422">
        <f>IS!CQ34-'Business lines'!CQ79-'Business lines'!CQ123</f>
        <v>229813.33127642304</v>
      </c>
      <c r="CR35" s="20">
        <f>IS!CR34-'Business lines'!CR79-'Business lines'!CR123</f>
        <v>838580.17979052814</v>
      </c>
      <c r="CS35" s="422">
        <f>IS!CS34-'Business lines'!CS79-'Business lines'!CS123</f>
        <v>228042.67649778494</v>
      </c>
      <c r="CT35" s="422">
        <f>IS!CT34-'Business lines'!CT79-'Business lines'!CT123</f>
        <v>200901.72858721323</v>
      </c>
      <c r="CU35" s="422">
        <f>IS!CU34-'Business lines'!CU79-'Business lines'!CU123</f>
        <v>232629.3067947104</v>
      </c>
      <c r="CV35" s="422">
        <f>IS!CV34-'Business lines'!CV79-'Business lines'!CV123</f>
        <v>241939.13208085339</v>
      </c>
      <c r="CW35" s="20">
        <f>IS!CW34-'Business lines'!CW79-'Business lines'!CW123</f>
        <v>903512.84396056202</v>
      </c>
      <c r="CX35" s="422">
        <f>IS!CX34-'Business lines'!CX79-'Business lines'!CX123</f>
        <v>240504.27652857837</v>
      </c>
      <c r="CY35" s="422">
        <f>IS!CY34-'Business lines'!CY79-'Business lines'!CY123</f>
        <v>210186.1660594196</v>
      </c>
      <c r="CZ35" s="422">
        <f>IS!CZ34-'Business lines'!CZ79-'Business lines'!CZ123</f>
        <v>245975.78034542644</v>
      </c>
      <c r="DA35" s="422">
        <f>IS!DA34-'Business lines'!DA79-'Business lines'!DA123</f>
        <v>256061.66570271234</v>
      </c>
      <c r="DB35" s="20">
        <f>IS!DB34-'Business lines'!DB79-'Business lines'!DB123</f>
        <v>952727.88863613678</v>
      </c>
    </row>
    <row r="36" spans="1:106" s="7" customFormat="1" ht="11.5" customHeight="1" x14ac:dyDescent="0.35">
      <c r="A36" s="326" t="s">
        <v>119</v>
      </c>
      <c r="B36" s="48"/>
      <c r="C36" s="48"/>
      <c r="D36" s="48"/>
      <c r="E36" s="317"/>
      <c r="F36" s="317"/>
      <c r="G36" s="48"/>
      <c r="H36" s="48"/>
      <c r="I36" s="48"/>
      <c r="J36" s="317"/>
      <c r="K36" s="317"/>
      <c r="L36" s="48"/>
      <c r="M36" s="48"/>
      <c r="N36" s="48"/>
      <c r="O36" s="317"/>
      <c r="P36" s="317"/>
      <c r="Q36" s="48"/>
      <c r="R36" s="48"/>
      <c r="S36" s="48"/>
      <c r="T36" s="317"/>
      <c r="U36" s="317"/>
      <c r="V36" s="48"/>
      <c r="W36" s="48"/>
      <c r="X36" s="48"/>
      <c r="Y36" s="317"/>
      <c r="Z36" s="317"/>
      <c r="AA36" s="48"/>
      <c r="AB36" s="48"/>
      <c r="AC36" s="48"/>
      <c r="AD36" s="317"/>
      <c r="AE36" s="317"/>
      <c r="AF36" s="48"/>
      <c r="AG36" s="48"/>
      <c r="AH36" s="48"/>
      <c r="AI36" s="317"/>
      <c r="AJ36" s="317"/>
      <c r="AK36" s="48"/>
      <c r="AL36" s="48"/>
      <c r="AM36" s="48"/>
      <c r="AN36" s="317"/>
      <c r="AO36" s="317"/>
      <c r="AP36" s="48"/>
      <c r="AQ36" s="48"/>
      <c r="AR36" s="48"/>
      <c r="AS36" s="317"/>
      <c r="AT36" s="317"/>
      <c r="AU36" s="48"/>
      <c r="AV36" s="48"/>
      <c r="AW36" s="48"/>
      <c r="AX36" s="317"/>
      <c r="AY36" s="317"/>
      <c r="AZ36" s="48">
        <f t="shared" ref="AZ36:BS36" si="163">AZ29+AZ30+AZ33+AZ35</f>
        <v>65085</v>
      </c>
      <c r="BA36" s="48">
        <f t="shared" si="163"/>
        <v>109257</v>
      </c>
      <c r="BB36" s="48">
        <f t="shared" si="163"/>
        <v>1436163</v>
      </c>
      <c r="BC36" s="48">
        <f t="shared" si="163"/>
        <v>303874</v>
      </c>
      <c r="BD36" s="56">
        <f t="shared" si="163"/>
        <v>1914379</v>
      </c>
      <c r="BE36" s="48">
        <f t="shared" si="163"/>
        <v>79889</v>
      </c>
      <c r="BF36" s="48">
        <f t="shared" si="163"/>
        <v>198624</v>
      </c>
      <c r="BG36" s="48">
        <f t="shared" si="163"/>
        <v>175212</v>
      </c>
      <c r="BH36" s="48">
        <f t="shared" si="163"/>
        <v>190499</v>
      </c>
      <c r="BI36" s="56">
        <f t="shared" si="163"/>
        <v>644224</v>
      </c>
      <c r="BJ36" s="48">
        <f t="shared" si="163"/>
        <v>83129</v>
      </c>
      <c r="BK36" s="48">
        <f t="shared" si="163"/>
        <v>66729</v>
      </c>
      <c r="BL36" s="48">
        <f t="shared" si="163"/>
        <v>140994</v>
      </c>
      <c r="BM36" s="48">
        <f t="shared" si="163"/>
        <v>150318</v>
      </c>
      <c r="BN36" s="56">
        <f t="shared" si="163"/>
        <v>441170</v>
      </c>
      <c r="BO36" s="48">
        <f t="shared" si="163"/>
        <v>108984</v>
      </c>
      <c r="BP36" s="48">
        <f t="shared" si="163"/>
        <v>182475</v>
      </c>
      <c r="BQ36" s="48">
        <f t="shared" si="163"/>
        <v>176487.00000000003</v>
      </c>
      <c r="BR36" s="48">
        <f t="shared" si="163"/>
        <v>254501.99999999997</v>
      </c>
      <c r="BS36" s="56">
        <f t="shared" si="163"/>
        <v>722447.99999999988</v>
      </c>
      <c r="BT36" s="48">
        <f t="shared" ref="BT36" si="164">BT29+BT30+BT33+BT35</f>
        <v>215939</v>
      </c>
      <c r="BU36" s="48">
        <f t="shared" ref="BU36:DB36" si="165">BU29+BU30+BU33+BU35</f>
        <v>312416</v>
      </c>
      <c r="BV36" s="48">
        <f t="shared" si="165"/>
        <v>381866</v>
      </c>
      <c r="BW36" s="48">
        <f t="shared" si="165"/>
        <v>512188.99999999994</v>
      </c>
      <c r="BX36" s="56">
        <f t="shared" si="165"/>
        <v>1422410</v>
      </c>
      <c r="BY36" s="48">
        <f t="shared" si="165"/>
        <v>257153</v>
      </c>
      <c r="BZ36" s="48">
        <f t="shared" si="165"/>
        <v>295132</v>
      </c>
      <c r="CA36" s="48">
        <f t="shared" si="165"/>
        <v>550557</v>
      </c>
      <c r="CB36" s="48">
        <f t="shared" ref="CB36" si="166">CB29+CB30+CB33+CB35</f>
        <v>572651</v>
      </c>
      <c r="CC36" s="56">
        <f t="shared" si="165"/>
        <v>1675493</v>
      </c>
      <c r="CD36" s="48">
        <f t="shared" ref="CD36:CE36" si="167">CD29+CD30+CD33+CD35</f>
        <v>195420</v>
      </c>
      <c r="CE36" s="48">
        <f t="shared" si="167"/>
        <v>300051</v>
      </c>
      <c r="CF36" s="48">
        <f t="shared" ca="1" si="165"/>
        <v>396036.69073051331</v>
      </c>
      <c r="CG36" s="48">
        <f t="shared" ca="1" si="165"/>
        <v>474855.530096134</v>
      </c>
      <c r="CH36" s="56">
        <f t="shared" ca="1" si="165"/>
        <v>1366363.220826647</v>
      </c>
      <c r="CI36" s="48">
        <f t="shared" ca="1" si="165"/>
        <v>454380.36020401283</v>
      </c>
      <c r="CJ36" s="48">
        <f t="shared" ca="1" si="165"/>
        <v>396076.43099021446</v>
      </c>
      <c r="CK36" s="48">
        <f t="shared" ca="1" si="165"/>
        <v>409562.84270960093</v>
      </c>
      <c r="CL36" s="48">
        <f t="shared" ca="1" si="165"/>
        <v>477921.43200403487</v>
      </c>
      <c r="CM36" s="56">
        <f t="shared" ca="1" si="165"/>
        <v>1737941.0659078618</v>
      </c>
      <c r="CN36" s="48">
        <f t="shared" ca="1" si="165"/>
        <v>529769.04712091363</v>
      </c>
      <c r="CO36" s="48">
        <f t="shared" ca="1" si="165"/>
        <v>458222.38238107727</v>
      </c>
      <c r="CP36" s="48">
        <f t="shared" ca="1" si="165"/>
        <v>445033.31291258743</v>
      </c>
      <c r="CQ36" s="48">
        <f t="shared" ca="1" si="165"/>
        <v>510819.45217594074</v>
      </c>
      <c r="CR36" s="56">
        <f t="shared" ca="1" si="165"/>
        <v>1943844.1945905206</v>
      </c>
      <c r="CS36" s="48">
        <f t="shared" ca="1" si="165"/>
        <v>552677.80448462826</v>
      </c>
      <c r="CT36" s="48">
        <f t="shared" ca="1" si="165"/>
        <v>476971.49646105233</v>
      </c>
      <c r="CU36" s="48">
        <f t="shared" ca="1" si="165"/>
        <v>475362.11043644941</v>
      </c>
      <c r="CV36" s="48">
        <f t="shared" ca="1" si="165"/>
        <v>540865.92778853793</v>
      </c>
      <c r="CW36" s="56">
        <f t="shared" ca="1" si="165"/>
        <v>2045877.3391706673</v>
      </c>
      <c r="CX36" s="48">
        <f t="shared" ca="1" si="165"/>
        <v>619732.74930433882</v>
      </c>
      <c r="CY36" s="48">
        <f t="shared" ca="1" si="165"/>
        <v>532750.54272045591</v>
      </c>
      <c r="CZ36" s="48">
        <f t="shared" ca="1" si="165"/>
        <v>535381.13286790368</v>
      </c>
      <c r="DA36" s="48">
        <f t="shared" ca="1" si="165"/>
        <v>607723.18494669802</v>
      </c>
      <c r="DB36" s="56">
        <f t="shared" ca="1" si="165"/>
        <v>2295587.609839397</v>
      </c>
    </row>
    <row r="37" spans="1:106" s="7" customFormat="1" ht="11.5" customHeight="1" x14ac:dyDescent="0.35">
      <c r="A37" s="322" t="s">
        <v>120</v>
      </c>
      <c r="B37" s="161"/>
      <c r="C37" s="161"/>
      <c r="D37" s="161"/>
      <c r="E37" s="328"/>
      <c r="F37" s="324"/>
      <c r="G37" s="161"/>
      <c r="H37" s="161"/>
      <c r="I37" s="161"/>
      <c r="J37" s="328"/>
      <c r="K37" s="324"/>
      <c r="L37" s="161"/>
      <c r="M37" s="161"/>
      <c r="N37" s="161"/>
      <c r="O37" s="328"/>
      <c r="P37" s="324"/>
      <c r="Q37" s="161"/>
      <c r="R37" s="161"/>
      <c r="S37" s="161"/>
      <c r="T37" s="328"/>
      <c r="U37" s="324"/>
      <c r="V37" s="161"/>
      <c r="W37" s="161"/>
      <c r="X37" s="161"/>
      <c r="Y37" s="328"/>
      <c r="Z37" s="324"/>
      <c r="AA37" s="161"/>
      <c r="AB37" s="161"/>
      <c r="AC37" s="161"/>
      <c r="AD37" s="328"/>
      <c r="AE37" s="324"/>
      <c r="AF37" s="161"/>
      <c r="AG37" s="161"/>
      <c r="AH37" s="161"/>
      <c r="AI37" s="328"/>
      <c r="AJ37" s="324"/>
      <c r="AK37" s="161"/>
      <c r="AL37" s="161"/>
      <c r="AM37" s="161"/>
      <c r="AN37" s="328"/>
      <c r="AO37" s="324"/>
      <c r="AP37" s="161"/>
      <c r="AQ37" s="161"/>
      <c r="AR37" s="161"/>
      <c r="AS37" s="328"/>
      <c r="AT37" s="324"/>
      <c r="AU37" s="161"/>
      <c r="AV37" s="161"/>
      <c r="AW37" s="161"/>
      <c r="AX37" s="328"/>
      <c r="AY37" s="324"/>
      <c r="AZ37" s="422">
        <f>IS!AZ38+IS!AZ40-'Business lines'!AZ81-'Business lines'!AZ125</f>
        <v>-16849</v>
      </c>
      <c r="BA37" s="422">
        <f>IS!BA38+IS!BA40-'Business lines'!BA81-'Business lines'!BA125</f>
        <v>-16332</v>
      </c>
      <c r="BB37" s="422">
        <f>IS!BB38+IS!BB40-'Business lines'!BB81-'Business lines'!BB125</f>
        <v>-21288</v>
      </c>
      <c r="BC37" s="422">
        <f>IS!BC38+IS!BC40-'Business lines'!BC81-'Business lines'!BC125</f>
        <v>-30413</v>
      </c>
      <c r="BD37" s="57">
        <f>IS!BD38+IS!BD40-'Business lines'!BD81-'Business lines'!BD125</f>
        <v>-84882</v>
      </c>
      <c r="BE37" s="422">
        <f>IS!BE38+IS!BE40-'Business lines'!BE81-'Business lines'!BE125</f>
        <v>-7726.2383999999993</v>
      </c>
      <c r="BF37" s="422">
        <f>IS!BF38+IS!BF40-'Business lines'!BF81-'Business lines'!BF125</f>
        <v>-12748.184000000001</v>
      </c>
      <c r="BG37" s="422">
        <f>IS!BG38+IS!BG40-'Business lines'!BG81-'Business lines'!BG125</f>
        <v>-16330.432000000001</v>
      </c>
      <c r="BH37" s="422">
        <f>IS!BH38+IS!BH40-'Business lines'!BH81-'Business lines'!BH125</f>
        <v>-12764.7264</v>
      </c>
      <c r="BI37" s="57">
        <f>IS!BI38+IS!BI40-'Business lines'!BI81-'Business lines'!BI125</f>
        <v>-49569.580800000003</v>
      </c>
      <c r="BJ37" s="422">
        <f>IS!BJ38+IS!BJ40-'Business lines'!BJ81-'Business lines'!BJ125</f>
        <v>-17473.616000000002</v>
      </c>
      <c r="BK37" s="422">
        <f>IS!BK38+IS!BK40-'Business lines'!BK81-'Business lines'!BK125</f>
        <v>-17376.544000000002</v>
      </c>
      <c r="BL37" s="422">
        <f>IS!BL38+IS!BL40-'Business lines'!BL81-'Business lines'!BL125</f>
        <v>-17727.363200000003</v>
      </c>
      <c r="BM37" s="422">
        <f>IS!BM38+IS!BM40-'Business lines'!BM81-'Business lines'!BM125</f>
        <v>-20476.52</v>
      </c>
      <c r="BN37" s="57">
        <f>IS!BN38+IS!BN40-'Business lines'!BN81-'Business lines'!BN125</f>
        <v>-73054.0432</v>
      </c>
      <c r="BO37" s="422">
        <f>IS!BO38+IS!BO40-'Business lines'!BO81-'Business lines'!BO125</f>
        <v>-20855.169600000001</v>
      </c>
      <c r="BP37" s="422">
        <f>IS!BP38+IS!BP40-'Business lines'!BP81-'Business lines'!BP125</f>
        <v>-23471.1872</v>
      </c>
      <c r="BQ37" s="422">
        <f>IS!BQ38+IS!BQ40-'Business lines'!BQ81-'Business lines'!BQ125</f>
        <v>-24783.808000000005</v>
      </c>
      <c r="BR37" s="422">
        <f>IS!BR38+IS!BR40-'Business lines'!BR81-'Business lines'!BR125</f>
        <v>-28839.126400000001</v>
      </c>
      <c r="BS37" s="57">
        <f>IS!BS38+IS!BS40-'Business lines'!BS81-'Business lines'!BS125</f>
        <v>-97949.291200000007</v>
      </c>
      <c r="BT37" s="422">
        <f>IS!BT38+IS!BT40-'Business lines'!BT81-'Business lines'!BT125</f>
        <v>-24426.8688</v>
      </c>
      <c r="BU37" s="422">
        <f>IS!BU38+IS!BU40-'Business lines'!BU81-'Business lines'!BU125</f>
        <v>-23468.616000000002</v>
      </c>
      <c r="BV37" s="422">
        <f>IS!BV38+IS!BV40-'Business lines'!BV81-'Business lines'!BV125</f>
        <v>-33538.348800000007</v>
      </c>
      <c r="BW37" s="422">
        <f>IS!BW38+IS!BW40-'Business lines'!BW81-'Business lines'!BW125</f>
        <v>-35777.932800000002</v>
      </c>
      <c r="BX37" s="57">
        <f>IS!BX38+IS!BX40-'Business lines'!BX81-'Business lines'!BX125</f>
        <v>-117211.76640000002</v>
      </c>
      <c r="BY37" s="422">
        <f>IS!BY38+IS!BY40-'Business lines'!BY81-'Business lines'!BY125</f>
        <v>-28852.572800000002</v>
      </c>
      <c r="BZ37" s="422">
        <f>IS!BZ38+IS!BZ40-'Business lines'!BZ81-'Business lines'!BZ125</f>
        <v>-28524.526400000002</v>
      </c>
      <c r="CA37" s="422">
        <f>IS!CA38+IS!CA40-'Business lines'!CA81-'Business lines'!CA125</f>
        <v>-36958.585599999999</v>
      </c>
      <c r="CB37" s="422">
        <f>IS!CB38+IS!CB40-'Business lines'!CB81-'Business lines'!CB125</f>
        <v>25162.559999999998</v>
      </c>
      <c r="CC37" s="57">
        <f>IS!CC38+IS!CC40-'Business lines'!CC81-'Business lines'!CC125</f>
        <v>-69173.12480000002</v>
      </c>
      <c r="CD37" s="422">
        <f>IS!CD38+IS!CD40-'Business lines'!CD81-'Business lines'!CD125</f>
        <v>-33534.384000000005</v>
      </c>
      <c r="CE37" s="422">
        <f>IS!CE38+IS!CE40-'Business lines'!CE81-'Business lines'!CE125</f>
        <v>-32706.707200000004</v>
      </c>
      <c r="CF37" s="422">
        <f>IS!CF38+IS!CF40-'Business lines'!CF81-'Business lines'!CF125</f>
        <v>-27719.102310694419</v>
      </c>
      <c r="CG37" s="422">
        <f>IS!CG38+IS!CG40-'Business lines'!CG81-'Business lines'!CG125</f>
        <v>-30787.09034514222</v>
      </c>
      <c r="CH37" s="57">
        <f>IS!CH38+IS!CH40-'Business lines'!CH81-'Business lines'!CH125</f>
        <v>-124747.28385583662</v>
      </c>
      <c r="CI37" s="422">
        <f>IS!CI38+IS!CI40-'Business lines'!CI81-'Business lines'!CI125</f>
        <v>-26236.420663780955</v>
      </c>
      <c r="CJ37" s="422">
        <f>IS!CJ38+IS!CJ40-'Business lines'!CJ81-'Business lines'!CJ125</f>
        <v>-26257.029971783977</v>
      </c>
      <c r="CK37" s="422">
        <f>IS!CK38+IS!CK40-'Business lines'!CK81-'Business lines'!CK125</f>
        <v>-28211.755819270096</v>
      </c>
      <c r="CL37" s="422">
        <f>IS!CL38+IS!CL40-'Business lines'!CL81-'Business lines'!CL125</f>
        <v>-30766.412176632541</v>
      </c>
      <c r="CM37" s="57">
        <f>IS!CM38+IS!CM40-'Business lines'!CM81-'Business lines'!CM125</f>
        <v>-111471.61863146754</v>
      </c>
      <c r="CN37" s="422">
        <f>IS!CN38+IS!CN40-'Business lines'!CN81-'Business lines'!CN125</f>
        <v>-29366.737965663568</v>
      </c>
      <c r="CO37" s="422">
        <f>IS!CO38+IS!CO40-'Business lines'!CO81-'Business lines'!CO125</f>
        <v>-29444.459084263992</v>
      </c>
      <c r="CP37" s="422">
        <f>IS!CP38+IS!CP40-'Business lines'!CP81-'Business lines'!CP125</f>
        <v>-30492.675342414706</v>
      </c>
      <c r="CQ37" s="422">
        <f>IS!CQ38+IS!CQ40-'Business lines'!CQ81-'Business lines'!CQ125</f>
        <v>-33924.260506835126</v>
      </c>
      <c r="CR37" s="57">
        <f>IS!CR38+IS!CR40-'Business lines'!CR81-'Business lines'!CR125</f>
        <v>-123228.13289917738</v>
      </c>
      <c r="CS37" s="422">
        <f>IS!CS38+IS!CS40-'Business lines'!CS81-'Business lines'!CS125</f>
        <v>-31140.457968361265</v>
      </c>
      <c r="CT37" s="422">
        <f>IS!CT38+IS!CT40-'Business lines'!CT81-'Business lines'!CT125</f>
        <v>-30979.747966734161</v>
      </c>
      <c r="CU37" s="422">
        <f>IS!CU38+IS!CU40-'Business lines'!CU81-'Business lines'!CU125</f>
        <v>-32563.218230892879</v>
      </c>
      <c r="CV37" s="422">
        <f>IS!CV38+IS!CV40-'Business lines'!CV81-'Business lines'!CV125</f>
        <v>-36103.606840075838</v>
      </c>
      <c r="CW37" s="57">
        <f>IS!CW38+IS!CW40-'Business lines'!CW81-'Business lines'!CW125</f>
        <v>-130787.03100606416</v>
      </c>
      <c r="CX37" s="422">
        <f>IS!CX38+IS!CX40-'Business lines'!CX81-'Business lines'!CX125</f>
        <v>-33773.010415314246</v>
      </c>
      <c r="CY37" s="422">
        <f>IS!CY38+IS!CY40-'Business lines'!CY81-'Business lines'!CY125</f>
        <v>-33367.790027453921</v>
      </c>
      <c r="CZ37" s="422">
        <f>IS!CZ38+IS!CZ40-'Business lines'!CZ81-'Business lines'!CZ125</f>
        <v>-35011.199244040195</v>
      </c>
      <c r="DA37" s="422">
        <f>IS!DA38+IS!DA40-'Business lines'!DA81-'Business lines'!DA125</f>
        <v>-38596.51947197823</v>
      </c>
      <c r="DB37" s="57">
        <f>IS!DB38+IS!DB40-'Business lines'!DB81-'Business lines'!DB125</f>
        <v>-140748.51915878657</v>
      </c>
    </row>
    <row r="38" spans="1:106" s="7" customFormat="1" ht="11.5" customHeight="1" x14ac:dyDescent="0.35">
      <c r="A38" s="322" t="s">
        <v>121</v>
      </c>
      <c r="B38" s="161"/>
      <c r="C38" s="161"/>
      <c r="D38" s="161"/>
      <c r="E38" s="328"/>
      <c r="F38" s="324"/>
      <c r="G38" s="161"/>
      <c r="H38" s="161"/>
      <c r="I38" s="161"/>
      <c r="J38" s="328"/>
      <c r="K38" s="324"/>
      <c r="L38" s="161"/>
      <c r="M38" s="161"/>
      <c r="N38" s="161"/>
      <c r="O38" s="328"/>
      <c r="P38" s="324"/>
      <c r="Q38" s="161"/>
      <c r="R38" s="161"/>
      <c r="S38" s="161"/>
      <c r="T38" s="328"/>
      <c r="U38" s="324"/>
      <c r="V38" s="161"/>
      <c r="W38" s="161"/>
      <c r="X38" s="161"/>
      <c r="Y38" s="328"/>
      <c r="Z38" s="324"/>
      <c r="AA38" s="161"/>
      <c r="AB38" s="161"/>
      <c r="AC38" s="161"/>
      <c r="AD38" s="328"/>
      <c r="AE38" s="324"/>
      <c r="AF38" s="161"/>
      <c r="AG38" s="161"/>
      <c r="AH38" s="161"/>
      <c r="AI38" s="328"/>
      <c r="AJ38" s="324"/>
      <c r="AK38" s="161"/>
      <c r="AL38" s="161"/>
      <c r="AM38" s="161"/>
      <c r="AN38" s="328"/>
      <c r="AO38" s="324"/>
      <c r="AP38" s="161"/>
      <c r="AQ38" s="161"/>
      <c r="AR38" s="161"/>
      <c r="AS38" s="328"/>
      <c r="AT38" s="324"/>
      <c r="AU38" s="161"/>
      <c r="AV38" s="161"/>
      <c r="AW38" s="161"/>
      <c r="AX38" s="328"/>
      <c r="AY38" s="324"/>
      <c r="AZ38" s="422">
        <f>IS!AZ43-'Business lines'!AZ82-'Business lines'!AZ126</f>
        <v>-20301</v>
      </c>
      <c r="BA38" s="422">
        <f>IS!BA43-'Business lines'!BA82-'Business lines'!BA126</f>
        <v>-25114</v>
      </c>
      <c r="BB38" s="422">
        <f>IS!BB43-'Business lines'!BB82-'Business lines'!BB126</f>
        <v>-11594</v>
      </c>
      <c r="BC38" s="422">
        <f>IS!BC43-'Business lines'!BC82-'Business lines'!BC126</f>
        <v>-12230</v>
      </c>
      <c r="BD38" s="57">
        <f>IS!BD43-'Business lines'!BD82-'Business lines'!BD126</f>
        <v>-69239</v>
      </c>
      <c r="BE38" s="422">
        <f>IS!BE43-'Business lines'!BE82-'Business lines'!BE126</f>
        <v>-15908</v>
      </c>
      <c r="BF38" s="422">
        <f>IS!BF43-'Business lines'!BF82-'Business lines'!BF126</f>
        <v>-23378</v>
      </c>
      <c r="BG38" s="422">
        <f>IS!BG43-'Business lines'!BG82-'Business lines'!BG126</f>
        <v>-28696</v>
      </c>
      <c r="BH38" s="422">
        <f>IS!BH43-'Business lines'!BH82-'Business lines'!BH126</f>
        <v>-34977</v>
      </c>
      <c r="BI38" s="57">
        <f>IS!BI43-'Business lines'!BI82-'Business lines'!BI126</f>
        <v>-102959</v>
      </c>
      <c r="BJ38" s="422">
        <f>IS!BJ43-'Business lines'!BJ82-'Business lines'!BJ126</f>
        <v>-8906</v>
      </c>
      <c r="BK38" s="422">
        <f>IS!BK43-'Business lines'!BK82-'Business lines'!BK126</f>
        <v>-10817</v>
      </c>
      <c r="BL38" s="422">
        <f>IS!BL43-'Business lines'!BL82-'Business lines'!BL126</f>
        <v>-20969</v>
      </c>
      <c r="BM38" s="422">
        <f>IS!BM43-'Business lines'!BM82-'Business lines'!BM126</f>
        <v>-9019</v>
      </c>
      <c r="BN38" s="57">
        <f>IS!BN43-'Business lines'!BN82-'Business lines'!BN126</f>
        <v>-49711</v>
      </c>
      <c r="BO38" s="422">
        <f>IS!BO43-'Business lines'!BO82-'Business lines'!BO126</f>
        <v>-27484</v>
      </c>
      <c r="BP38" s="422">
        <f>IS!BP43-'Business lines'!BP82-'Business lines'!BP126</f>
        <v>-28640</v>
      </c>
      <c r="BQ38" s="422">
        <f>IS!BQ43-'Business lines'!BQ82-'Business lines'!BQ126</f>
        <v>-53319</v>
      </c>
      <c r="BR38" s="422">
        <f>IS!BR43-'Business lines'!BR82-'Business lines'!BR126</f>
        <v>-54167</v>
      </c>
      <c r="BS38" s="57">
        <f>IS!BS43-'Business lines'!BS82-'Business lines'!BS126</f>
        <v>-163610</v>
      </c>
      <c r="BT38" s="422">
        <f>IS!BT43-'Business lines'!BT82-'Business lines'!BT126</f>
        <v>-47545</v>
      </c>
      <c r="BU38" s="422">
        <f>IS!BU43-'Business lines'!BU82-'Business lines'!BU126</f>
        <v>-65938</v>
      </c>
      <c r="BV38" s="422">
        <f>IS!BV43-'Business lines'!BV82-'Business lines'!BV126</f>
        <v>-67911</v>
      </c>
      <c r="BW38" s="422">
        <f>IS!BW43-'Business lines'!BW82-'Business lines'!BW126</f>
        <v>-90662</v>
      </c>
      <c r="BX38" s="57">
        <f>IS!BX43-'Business lines'!BX82-'Business lines'!BX126</f>
        <v>-272056</v>
      </c>
      <c r="BY38" s="422">
        <f>IS!BY43-'Business lines'!BY82-'Business lines'!BY126</f>
        <v>-66181</v>
      </c>
      <c r="BZ38" s="422">
        <f>IS!BZ43-'Business lines'!BZ82-'Business lines'!BZ126</f>
        <v>-91196</v>
      </c>
      <c r="CA38" s="422">
        <f>IS!CA43-'Business lines'!CA82-'Business lines'!CA126</f>
        <v>-73848</v>
      </c>
      <c r="CB38" s="422">
        <f>IS!CB43-'Business lines'!CB82-'Business lines'!CB126</f>
        <v>-157848</v>
      </c>
      <c r="CC38" s="57">
        <f>IS!CC43-'Business lines'!CC82-'Business lines'!CC126</f>
        <v>-389073</v>
      </c>
      <c r="CD38" s="422">
        <f>IS!CD43-'Business lines'!CD82-'Business lines'!CD126</f>
        <v>-63283</v>
      </c>
      <c r="CE38" s="422">
        <f>IS!CE43-'Business lines'!CE82-'Business lines'!CE126</f>
        <v>-67151</v>
      </c>
      <c r="CF38" s="422">
        <f>IS!CF43-'Business lines'!CF82-'Business lines'!CF126</f>
        <v>-80216.875</v>
      </c>
      <c r="CG38" s="422">
        <f>IS!CG43-'Business lines'!CG82-'Business lines'!CG126</f>
        <v>-82399.517267450734</v>
      </c>
      <c r="CH38" s="57">
        <f>IS!CH43-'Business lines'!CH82-'Business lines'!CH126</f>
        <v>-293050.39226745075</v>
      </c>
      <c r="CI38" s="422">
        <f>IS!CI43-'Business lines'!CI82-'Business lines'!CI126</f>
        <v>-92760.440128405462</v>
      </c>
      <c r="CJ38" s="422">
        <f>IS!CJ43-'Business lines'!CJ82-'Business lines'!CJ126</f>
        <v>-96257.920725014657</v>
      </c>
      <c r="CK38" s="422">
        <f>IS!CK43-'Business lines'!CK82-'Business lines'!CK126</f>
        <v>-97097.01854009158</v>
      </c>
      <c r="CL38" s="422">
        <f>IS!CL43-'Business lines'!CL82-'Business lines'!CL126</f>
        <v>-98064.720294716302</v>
      </c>
      <c r="CM38" s="57">
        <f>IS!CM43-'Business lines'!CM82-'Business lines'!CM126</f>
        <v>-384180.09968822799</v>
      </c>
      <c r="CN38" s="422">
        <f>IS!CN43-'Business lines'!CN82-'Business lines'!CN126</f>
        <v>-107674.7633960299</v>
      </c>
      <c r="CO38" s="422">
        <f>IS!CO43-'Business lines'!CO82-'Business lines'!CO126</f>
        <v>-110322.50143714179</v>
      </c>
      <c r="CP38" s="422">
        <f>IS!CP43-'Business lines'!CP82-'Business lines'!CP126</f>
        <v>-111968.17538323598</v>
      </c>
      <c r="CQ38" s="422">
        <f>IS!CQ43-'Business lines'!CQ82-'Business lines'!CQ126</f>
        <v>-113705.99136566227</v>
      </c>
      <c r="CR38" s="57">
        <f>IS!CR43-'Business lines'!CR82-'Business lines'!CR126</f>
        <v>-443671.4315820699</v>
      </c>
      <c r="CS38" s="422">
        <f>IS!CS43-'Business lines'!CS82-'Business lines'!CS126</f>
        <v>-114302.37953415942</v>
      </c>
      <c r="CT38" s="422">
        <f>IS!CT43-'Business lines'!CT82-'Business lines'!CT126</f>
        <v>-115668.70320734076</v>
      </c>
      <c r="CU38" s="422">
        <f>IS!CU43-'Business lines'!CU82-'Business lines'!CU126</f>
        <v>-116659.95304619013</v>
      </c>
      <c r="CV38" s="422">
        <f>IS!CV43-'Business lines'!CV82-'Business lines'!CV126</f>
        <v>-117576.3454035336</v>
      </c>
      <c r="CW38" s="57">
        <f>IS!CW43-'Business lines'!CW82-'Business lines'!CW126</f>
        <v>-464207.38119122392</v>
      </c>
      <c r="CX38" s="422">
        <f>IS!CX43-'Business lines'!CX82-'Business lines'!CX126</f>
        <v>-118375.99884215923</v>
      </c>
      <c r="CY38" s="422">
        <f>IS!CY43-'Business lines'!CY82-'Business lines'!CY126</f>
        <v>-120941.20144398409</v>
      </c>
      <c r="CZ38" s="422">
        <f>IS!CZ43-'Business lines'!CZ82-'Business lines'!CZ126</f>
        <v>-121213.0519895201</v>
      </c>
      <c r="DA38" s="422">
        <f>IS!DA43-'Business lines'!DA82-'Business lines'!DA126</f>
        <v>-120337.55281862339</v>
      </c>
      <c r="DB38" s="57">
        <f>IS!DB43-'Business lines'!DB82-'Business lines'!DB126</f>
        <v>-480867.8050942868</v>
      </c>
    </row>
    <row r="39" spans="1:106" s="7" customFormat="1" ht="11.5" customHeight="1" x14ac:dyDescent="0.35">
      <c r="A39" s="315" t="s">
        <v>128</v>
      </c>
      <c r="B39" s="48"/>
      <c r="C39" s="48"/>
      <c r="D39" s="48"/>
      <c r="E39" s="317"/>
      <c r="F39" s="317"/>
      <c r="G39" s="48"/>
      <c r="H39" s="48"/>
      <c r="I39" s="48"/>
      <c r="J39" s="317"/>
      <c r="K39" s="317"/>
      <c r="L39" s="48"/>
      <c r="M39" s="48"/>
      <c r="N39" s="48"/>
      <c r="O39" s="317"/>
      <c r="P39" s="317"/>
      <c r="Q39" s="48"/>
      <c r="R39" s="48"/>
      <c r="S39" s="48"/>
      <c r="T39" s="317"/>
      <c r="U39" s="317"/>
      <c r="V39" s="48"/>
      <c r="W39" s="48"/>
      <c r="X39" s="48"/>
      <c r="Y39" s="317"/>
      <c r="Z39" s="317"/>
      <c r="AA39" s="48"/>
      <c r="AB39" s="48"/>
      <c r="AC39" s="48"/>
      <c r="AD39" s="317"/>
      <c r="AE39" s="317"/>
      <c r="AF39" s="48"/>
      <c r="AG39" s="48"/>
      <c r="AH39" s="48"/>
      <c r="AI39" s="317"/>
      <c r="AJ39" s="317"/>
      <c r="AK39" s="48"/>
      <c r="AL39" s="48"/>
      <c r="AM39" s="48"/>
      <c r="AN39" s="317"/>
      <c r="AO39" s="317"/>
      <c r="AP39" s="48"/>
      <c r="AQ39" s="48"/>
      <c r="AR39" s="48"/>
      <c r="AS39" s="317"/>
      <c r="AT39" s="317"/>
      <c r="AU39" s="48"/>
      <c r="AV39" s="48"/>
      <c r="AW39" s="48"/>
      <c r="AX39" s="317"/>
      <c r="AY39" s="317"/>
      <c r="AZ39" s="48">
        <f t="shared" ref="AZ39:BS39" si="168">AZ36+AZ37+AZ38</f>
        <v>27935</v>
      </c>
      <c r="BA39" s="48">
        <f t="shared" si="168"/>
        <v>67811</v>
      </c>
      <c r="BB39" s="48">
        <f t="shared" si="168"/>
        <v>1403281</v>
      </c>
      <c r="BC39" s="48">
        <f t="shared" si="168"/>
        <v>261231</v>
      </c>
      <c r="BD39" s="56">
        <f t="shared" si="168"/>
        <v>1760258</v>
      </c>
      <c r="BE39" s="48">
        <f t="shared" si="168"/>
        <v>56254.761599999998</v>
      </c>
      <c r="BF39" s="48">
        <f t="shared" si="168"/>
        <v>162497.81599999999</v>
      </c>
      <c r="BG39" s="48">
        <f t="shared" si="168"/>
        <v>130185.568</v>
      </c>
      <c r="BH39" s="48">
        <f t="shared" si="168"/>
        <v>142757.27360000001</v>
      </c>
      <c r="BI39" s="56">
        <f t="shared" si="168"/>
        <v>491695.4192</v>
      </c>
      <c r="BJ39" s="48">
        <f t="shared" si="168"/>
        <v>56749.383999999991</v>
      </c>
      <c r="BK39" s="48">
        <f t="shared" si="168"/>
        <v>38535.455999999998</v>
      </c>
      <c r="BL39" s="48">
        <f t="shared" si="168"/>
        <v>102297.63679999999</v>
      </c>
      <c r="BM39" s="48">
        <f t="shared" si="168"/>
        <v>120822.48</v>
      </c>
      <c r="BN39" s="56">
        <f t="shared" si="168"/>
        <v>318404.95679999999</v>
      </c>
      <c r="BO39" s="48">
        <f t="shared" si="168"/>
        <v>60644.830400000006</v>
      </c>
      <c r="BP39" s="48">
        <f t="shared" si="168"/>
        <v>130363.81280000001</v>
      </c>
      <c r="BQ39" s="48">
        <f t="shared" si="168"/>
        <v>98384.192000000039</v>
      </c>
      <c r="BR39" s="48">
        <f t="shared" si="168"/>
        <v>171495.87359999996</v>
      </c>
      <c r="BS39" s="56">
        <f t="shared" si="168"/>
        <v>460888.70879999991</v>
      </c>
      <c r="BT39" s="48">
        <f t="shared" ref="BT39" si="169">BT36+BT37+BT38</f>
        <v>143967.1312</v>
      </c>
      <c r="BU39" s="48">
        <f t="shared" ref="BU39:DB39" si="170">BU36+BU37+BU38</f>
        <v>223009.38400000002</v>
      </c>
      <c r="BV39" s="48">
        <f t="shared" si="170"/>
        <v>280416.65119999996</v>
      </c>
      <c r="BW39" s="48">
        <f t="shared" si="170"/>
        <v>385749.06719999993</v>
      </c>
      <c r="BX39" s="56">
        <f t="shared" si="170"/>
        <v>1033142.2335999999</v>
      </c>
      <c r="BY39" s="48">
        <f t="shared" si="170"/>
        <v>162119.42720000001</v>
      </c>
      <c r="BZ39" s="48">
        <f t="shared" si="170"/>
        <v>175411.47360000003</v>
      </c>
      <c r="CA39" s="48">
        <f t="shared" si="170"/>
        <v>439750.41440000001</v>
      </c>
      <c r="CB39" s="48">
        <f t="shared" ref="CB39" si="171">CB36+CB37+CB38</f>
        <v>439965.56000000006</v>
      </c>
      <c r="CC39" s="56">
        <f t="shared" si="170"/>
        <v>1217246.8751999999</v>
      </c>
      <c r="CD39" s="48">
        <f t="shared" ref="CD39:CE39" si="172">CD36+CD37+CD38</f>
        <v>98602.61599999998</v>
      </c>
      <c r="CE39" s="48">
        <f t="shared" si="172"/>
        <v>200193.2928</v>
      </c>
      <c r="CF39" s="48">
        <f t="shared" ca="1" si="170"/>
        <v>288100.7134198189</v>
      </c>
      <c r="CG39" s="48">
        <f t="shared" ca="1" si="170"/>
        <v>361668.92248354101</v>
      </c>
      <c r="CH39" s="56">
        <f t="shared" ca="1" si="170"/>
        <v>948565.54470335972</v>
      </c>
      <c r="CI39" s="48">
        <f t="shared" ca="1" si="170"/>
        <v>335383.49941182643</v>
      </c>
      <c r="CJ39" s="48">
        <f t="shared" ca="1" si="170"/>
        <v>273561.48029341584</v>
      </c>
      <c r="CK39" s="48">
        <f t="shared" ca="1" si="170"/>
        <v>284254.06835023925</v>
      </c>
      <c r="CL39" s="48">
        <f t="shared" ca="1" si="170"/>
        <v>349090.29953268601</v>
      </c>
      <c r="CM39" s="56">
        <f t="shared" ca="1" si="170"/>
        <v>1242289.3475881664</v>
      </c>
      <c r="CN39" s="48">
        <f t="shared" ca="1" si="170"/>
        <v>392727.5457592202</v>
      </c>
      <c r="CO39" s="48">
        <f t="shared" ca="1" si="170"/>
        <v>318455.42185967148</v>
      </c>
      <c r="CP39" s="48">
        <f t="shared" ca="1" si="170"/>
        <v>302572.46218693675</v>
      </c>
      <c r="CQ39" s="48">
        <f t="shared" ca="1" si="170"/>
        <v>363189.20030344336</v>
      </c>
      <c r="CR39" s="56">
        <f t="shared" ca="1" si="170"/>
        <v>1376944.6301092734</v>
      </c>
      <c r="CS39" s="48">
        <f t="shared" ca="1" si="170"/>
        <v>407234.96698210755</v>
      </c>
      <c r="CT39" s="48">
        <f t="shared" ca="1" si="170"/>
        <v>330323.04528697743</v>
      </c>
      <c r="CU39" s="48">
        <f t="shared" ca="1" si="170"/>
        <v>326138.93915936636</v>
      </c>
      <c r="CV39" s="48">
        <f t="shared" ca="1" si="170"/>
        <v>387185.97554492851</v>
      </c>
      <c r="CW39" s="56">
        <f t="shared" ca="1" si="170"/>
        <v>1450882.9269733792</v>
      </c>
      <c r="CX39" s="48">
        <f t="shared" ca="1" si="170"/>
        <v>467583.74004686537</v>
      </c>
      <c r="CY39" s="48">
        <f t="shared" ca="1" si="170"/>
        <v>378441.55124901794</v>
      </c>
      <c r="CZ39" s="48">
        <f t="shared" ca="1" si="170"/>
        <v>379156.88163434342</v>
      </c>
      <c r="DA39" s="48">
        <f t="shared" ca="1" si="170"/>
        <v>448789.11265609646</v>
      </c>
      <c r="DB39" s="56">
        <f t="shared" ca="1" si="170"/>
        <v>1673971.2855863236</v>
      </c>
    </row>
    <row r="40" spans="1:106" s="7" customFormat="1" ht="11.5" customHeight="1" x14ac:dyDescent="0.35">
      <c r="A40" s="329" t="s">
        <v>129</v>
      </c>
      <c r="B40" s="49"/>
      <c r="C40" s="49"/>
      <c r="D40" s="49"/>
      <c r="E40" s="330"/>
      <c r="F40" s="330"/>
      <c r="G40" s="49"/>
      <c r="H40" s="49"/>
      <c r="I40" s="49"/>
      <c r="J40" s="330"/>
      <c r="K40" s="330"/>
      <c r="L40" s="49"/>
      <c r="M40" s="49"/>
      <c r="N40" s="49"/>
      <c r="O40" s="330"/>
      <c r="P40" s="330"/>
      <c r="Q40" s="49"/>
      <c r="R40" s="49"/>
      <c r="S40" s="49"/>
      <c r="T40" s="330"/>
      <c r="U40" s="330"/>
      <c r="V40" s="49"/>
      <c r="W40" s="49"/>
      <c r="X40" s="49"/>
      <c r="Y40" s="330"/>
      <c r="Z40" s="330"/>
      <c r="AA40" s="49"/>
      <c r="AB40" s="49"/>
      <c r="AC40" s="49"/>
      <c r="AD40" s="330"/>
      <c r="AE40" s="330"/>
      <c r="AF40" s="49"/>
      <c r="AG40" s="49"/>
      <c r="AH40" s="49"/>
      <c r="AI40" s="330"/>
      <c r="AJ40" s="330"/>
      <c r="AK40" s="49"/>
      <c r="AL40" s="49"/>
      <c r="AM40" s="49"/>
      <c r="AN40" s="330"/>
      <c r="AO40" s="330"/>
      <c r="AP40" s="49"/>
      <c r="AQ40" s="49"/>
      <c r="AR40" s="49"/>
      <c r="AS40" s="330"/>
      <c r="AT40" s="330"/>
      <c r="AU40" s="49"/>
      <c r="AV40" s="49"/>
      <c r="AW40" s="49"/>
      <c r="AX40" s="330"/>
      <c r="AY40" s="330"/>
      <c r="AZ40" s="49">
        <f t="shared" ref="AZ40:BS40" si="173">AZ39</f>
        <v>27935</v>
      </c>
      <c r="BA40" s="49">
        <f t="shared" si="173"/>
        <v>67811</v>
      </c>
      <c r="BB40" s="49">
        <f t="shared" si="173"/>
        <v>1403281</v>
      </c>
      <c r="BC40" s="49">
        <f t="shared" si="173"/>
        <v>261231</v>
      </c>
      <c r="BD40" s="50">
        <f t="shared" si="173"/>
        <v>1760258</v>
      </c>
      <c r="BE40" s="49">
        <f t="shared" si="173"/>
        <v>56254.761599999998</v>
      </c>
      <c r="BF40" s="49">
        <f t="shared" si="173"/>
        <v>162497.81599999999</v>
      </c>
      <c r="BG40" s="49">
        <f t="shared" si="173"/>
        <v>130185.568</v>
      </c>
      <c r="BH40" s="49">
        <f t="shared" si="173"/>
        <v>142757.27360000001</v>
      </c>
      <c r="BI40" s="50">
        <f t="shared" si="173"/>
        <v>491695.4192</v>
      </c>
      <c r="BJ40" s="49">
        <f t="shared" si="173"/>
        <v>56749.383999999991</v>
      </c>
      <c r="BK40" s="49">
        <f t="shared" si="173"/>
        <v>38535.455999999998</v>
      </c>
      <c r="BL40" s="49">
        <f t="shared" si="173"/>
        <v>102297.63679999999</v>
      </c>
      <c r="BM40" s="49">
        <f t="shared" si="173"/>
        <v>120822.48</v>
      </c>
      <c r="BN40" s="50">
        <f t="shared" si="173"/>
        <v>318404.95679999999</v>
      </c>
      <c r="BO40" s="49">
        <f t="shared" si="173"/>
        <v>60644.830400000006</v>
      </c>
      <c r="BP40" s="49">
        <f t="shared" si="173"/>
        <v>130363.81280000001</v>
      </c>
      <c r="BQ40" s="49">
        <f t="shared" si="173"/>
        <v>98384.192000000039</v>
      </c>
      <c r="BR40" s="49">
        <f t="shared" si="173"/>
        <v>171495.87359999996</v>
      </c>
      <c r="BS40" s="50">
        <f t="shared" si="173"/>
        <v>460888.70879999991</v>
      </c>
      <c r="BT40" s="49">
        <f t="shared" ref="BT40" si="174">BT39</f>
        <v>143967.1312</v>
      </c>
      <c r="BU40" s="49">
        <f t="shared" ref="BU40:DB40" si="175">BU39</f>
        <v>223009.38400000002</v>
      </c>
      <c r="BV40" s="49">
        <f t="shared" si="175"/>
        <v>280416.65119999996</v>
      </c>
      <c r="BW40" s="49">
        <f t="shared" si="175"/>
        <v>385749.06719999993</v>
      </c>
      <c r="BX40" s="50">
        <f t="shared" si="175"/>
        <v>1033142.2335999999</v>
      </c>
      <c r="BY40" s="49">
        <f t="shared" si="175"/>
        <v>162119.42720000001</v>
      </c>
      <c r="BZ40" s="49">
        <f t="shared" si="175"/>
        <v>175411.47360000003</v>
      </c>
      <c r="CA40" s="49">
        <f t="shared" si="175"/>
        <v>439750.41440000001</v>
      </c>
      <c r="CB40" s="49">
        <f t="shared" ref="CB40" si="176">CB39</f>
        <v>439965.56000000006</v>
      </c>
      <c r="CC40" s="50">
        <f t="shared" si="175"/>
        <v>1217246.8751999999</v>
      </c>
      <c r="CD40" s="49">
        <f t="shared" ref="CD40:CE40" si="177">CD39</f>
        <v>98602.61599999998</v>
      </c>
      <c r="CE40" s="49">
        <f t="shared" si="177"/>
        <v>200193.2928</v>
      </c>
      <c r="CF40" s="49">
        <f t="shared" ca="1" si="175"/>
        <v>288100.7134198189</v>
      </c>
      <c r="CG40" s="49">
        <f t="shared" ca="1" si="175"/>
        <v>361668.92248354101</v>
      </c>
      <c r="CH40" s="50">
        <f t="shared" ca="1" si="175"/>
        <v>948565.54470335972</v>
      </c>
      <c r="CI40" s="49">
        <f t="shared" ca="1" si="175"/>
        <v>335383.49941182643</v>
      </c>
      <c r="CJ40" s="49">
        <f t="shared" ca="1" si="175"/>
        <v>273561.48029341584</v>
      </c>
      <c r="CK40" s="49">
        <f t="shared" ca="1" si="175"/>
        <v>284254.06835023925</v>
      </c>
      <c r="CL40" s="49">
        <f t="shared" ca="1" si="175"/>
        <v>349090.29953268601</v>
      </c>
      <c r="CM40" s="50">
        <f t="shared" ca="1" si="175"/>
        <v>1242289.3475881664</v>
      </c>
      <c r="CN40" s="49">
        <f t="shared" ca="1" si="175"/>
        <v>392727.5457592202</v>
      </c>
      <c r="CO40" s="49">
        <f t="shared" ca="1" si="175"/>
        <v>318455.42185967148</v>
      </c>
      <c r="CP40" s="49">
        <f t="shared" ca="1" si="175"/>
        <v>302572.46218693675</v>
      </c>
      <c r="CQ40" s="49">
        <f t="shared" ca="1" si="175"/>
        <v>363189.20030344336</v>
      </c>
      <c r="CR40" s="50">
        <f t="shared" ca="1" si="175"/>
        <v>1376944.6301092734</v>
      </c>
      <c r="CS40" s="49">
        <f t="shared" ca="1" si="175"/>
        <v>407234.96698210755</v>
      </c>
      <c r="CT40" s="49">
        <f t="shared" ca="1" si="175"/>
        <v>330323.04528697743</v>
      </c>
      <c r="CU40" s="49">
        <f t="shared" ca="1" si="175"/>
        <v>326138.93915936636</v>
      </c>
      <c r="CV40" s="49">
        <f t="shared" ca="1" si="175"/>
        <v>387185.97554492851</v>
      </c>
      <c r="CW40" s="50">
        <f t="shared" ca="1" si="175"/>
        <v>1450882.9269733792</v>
      </c>
      <c r="CX40" s="49">
        <f t="shared" ca="1" si="175"/>
        <v>467583.74004686537</v>
      </c>
      <c r="CY40" s="49">
        <f t="shared" ca="1" si="175"/>
        <v>378441.55124901794</v>
      </c>
      <c r="CZ40" s="49">
        <f t="shared" ca="1" si="175"/>
        <v>379156.88163434342</v>
      </c>
      <c r="DA40" s="49">
        <f t="shared" ca="1" si="175"/>
        <v>448789.11265609646</v>
      </c>
      <c r="DB40" s="50">
        <f t="shared" ca="1" si="175"/>
        <v>1673971.2855863236</v>
      </c>
    </row>
    <row r="41" spans="1:106" s="7" customFormat="1" ht="11.5" customHeight="1" x14ac:dyDescent="0.35">
      <c r="A41" s="315" t="s">
        <v>85</v>
      </c>
      <c r="B41" s="204"/>
      <c r="C41" s="204"/>
      <c r="D41" s="204"/>
      <c r="E41" s="476"/>
      <c r="F41" s="476"/>
      <c r="G41" s="204"/>
      <c r="H41" s="204"/>
      <c r="I41" s="204"/>
      <c r="J41" s="476"/>
      <c r="K41" s="476"/>
      <c r="L41" s="204"/>
      <c r="M41" s="204"/>
      <c r="N41" s="204"/>
      <c r="O41" s="476"/>
      <c r="P41" s="476"/>
      <c r="Q41" s="204"/>
      <c r="R41" s="204"/>
      <c r="S41" s="204"/>
      <c r="T41" s="476"/>
      <c r="U41" s="476"/>
      <c r="V41" s="204"/>
      <c r="W41" s="204"/>
      <c r="X41" s="204"/>
      <c r="Y41" s="476"/>
      <c r="Z41" s="476"/>
      <c r="AA41" s="204"/>
      <c r="AB41" s="204"/>
      <c r="AC41" s="204"/>
      <c r="AD41" s="476"/>
      <c r="AE41" s="476"/>
      <c r="AF41" s="204"/>
      <c r="AG41" s="204"/>
      <c r="AH41" s="204"/>
      <c r="AI41" s="476"/>
      <c r="AJ41" s="476"/>
      <c r="AK41" s="204"/>
      <c r="AL41" s="204"/>
      <c r="AM41" s="204"/>
      <c r="AN41" s="476"/>
      <c r="AO41" s="476"/>
      <c r="AP41" s="204"/>
      <c r="AQ41" s="204"/>
      <c r="AR41" s="204"/>
      <c r="AS41" s="476"/>
      <c r="AT41" s="476"/>
      <c r="AU41" s="204"/>
      <c r="AV41" s="204"/>
      <c r="AW41" s="204"/>
      <c r="AX41" s="476"/>
      <c r="AY41" s="476"/>
      <c r="AZ41" s="204">
        <f t="shared" ref="AZ41:BS41" si="178">AZ26/AZ23</f>
        <v>0.34109616805382115</v>
      </c>
      <c r="BA41" s="204">
        <f t="shared" si="178"/>
        <v>0.32769239206111528</v>
      </c>
      <c r="BB41" s="204">
        <f t="shared" si="178"/>
        <v>0.32538033851223419</v>
      </c>
      <c r="BC41" s="204">
        <f t="shared" si="178"/>
        <v>0.31806403376773329</v>
      </c>
      <c r="BD41" s="136">
        <f t="shared" si="178"/>
        <v>0.3270089986233215</v>
      </c>
      <c r="BE41" s="204">
        <f t="shared" si="178"/>
        <v>0.33884798650466108</v>
      </c>
      <c r="BF41" s="204">
        <f t="shared" si="178"/>
        <v>0.38307977310950148</v>
      </c>
      <c r="BG41" s="204">
        <f t="shared" si="178"/>
        <v>0.3791374507986886</v>
      </c>
      <c r="BH41" s="204">
        <f t="shared" si="178"/>
        <v>0.35508077190632004</v>
      </c>
      <c r="BI41" s="136">
        <f t="shared" si="178"/>
        <v>0.36647107662542433</v>
      </c>
      <c r="BJ41" s="204">
        <f t="shared" si="178"/>
        <v>0.30924391030369175</v>
      </c>
      <c r="BK41" s="204">
        <f t="shared" si="178"/>
        <v>0.36318097758026541</v>
      </c>
      <c r="BL41" s="204">
        <f t="shared" si="178"/>
        <v>0.33914386835757204</v>
      </c>
      <c r="BM41" s="204">
        <f t="shared" si="178"/>
        <v>0.31590104774007438</v>
      </c>
      <c r="BN41" s="136">
        <f t="shared" si="178"/>
        <v>0.3301460933976974</v>
      </c>
      <c r="BO41" s="204">
        <f t="shared" si="178"/>
        <v>0.32551223862622913</v>
      </c>
      <c r="BP41" s="204">
        <f t="shared" si="178"/>
        <v>0.36381833400311769</v>
      </c>
      <c r="BQ41" s="204">
        <f t="shared" si="178"/>
        <v>0.35367238727901079</v>
      </c>
      <c r="BR41" s="204">
        <f t="shared" si="178"/>
        <v>0.36927305492974749</v>
      </c>
      <c r="BS41" s="136">
        <f t="shared" si="178"/>
        <v>0.35451616025679056</v>
      </c>
      <c r="BT41" s="204">
        <f t="shared" ref="BT41" si="179">BT26/BT23</f>
        <v>0.33076398176706606</v>
      </c>
      <c r="BU41" s="204">
        <f t="shared" ref="BU41:DB41" si="180">BU26/BU23</f>
        <v>0.35288394299241344</v>
      </c>
      <c r="BV41" s="204">
        <f t="shared" si="180"/>
        <v>0.34144325331660424</v>
      </c>
      <c r="BW41" s="204">
        <f t="shared" si="180"/>
        <v>0.31542537463721698</v>
      </c>
      <c r="BX41" s="136">
        <f t="shared" si="180"/>
        <v>0.33287873173860183</v>
      </c>
      <c r="BY41" s="204">
        <f t="shared" si="180"/>
        <v>0.32193861088595793</v>
      </c>
      <c r="BZ41" s="204">
        <f t="shared" si="180"/>
        <v>0.34072568981029844</v>
      </c>
      <c r="CA41" s="204">
        <f t="shared" si="180"/>
        <v>0.34110191879927232</v>
      </c>
      <c r="CB41" s="204">
        <f t="shared" ref="CB41" si="181">CB26/CB23</f>
        <v>0.31541290046597964</v>
      </c>
      <c r="CC41" s="136">
        <f t="shared" si="180"/>
        <v>0.32713818768759478</v>
      </c>
      <c r="CD41" s="204">
        <f t="shared" ref="CD41:CE41" si="182">CD26/CD23</f>
        <v>0.32149033840277658</v>
      </c>
      <c r="CE41" s="204">
        <f t="shared" si="182"/>
        <v>0.3420491259731176</v>
      </c>
      <c r="CF41" s="204">
        <f t="shared" si="180"/>
        <v>0.3443284327527717</v>
      </c>
      <c r="CG41" s="204">
        <f t="shared" si="180"/>
        <v>0.34213889883379534</v>
      </c>
      <c r="CH41" s="136">
        <f t="shared" si="180"/>
        <v>0.33857329079270354</v>
      </c>
      <c r="CI41" s="204">
        <f t="shared" si="180"/>
        <v>0.34900963733843138</v>
      </c>
      <c r="CJ41" s="204">
        <f t="shared" si="180"/>
        <v>0.34581700501203244</v>
      </c>
      <c r="CK41" s="204">
        <f t="shared" si="180"/>
        <v>0.34243695238272748</v>
      </c>
      <c r="CL41" s="204">
        <f t="shared" si="180"/>
        <v>0.34007066014871962</v>
      </c>
      <c r="CM41" s="136">
        <f t="shared" si="180"/>
        <v>0.34412899911697975</v>
      </c>
      <c r="CN41" s="204">
        <f t="shared" si="180"/>
        <v>0.34955646220923181</v>
      </c>
      <c r="CO41" s="204">
        <f t="shared" si="180"/>
        <v>0.3483010730201106</v>
      </c>
      <c r="CP41" s="204">
        <f t="shared" si="180"/>
        <v>0.34648574852512815</v>
      </c>
      <c r="CQ41" s="204">
        <f t="shared" si="180"/>
        <v>0.34288418098521506</v>
      </c>
      <c r="CR41" s="136">
        <f t="shared" si="180"/>
        <v>0.34666105624512339</v>
      </c>
      <c r="CS41" s="204">
        <f t="shared" si="180"/>
        <v>0.34367771701485805</v>
      </c>
      <c r="CT41" s="204">
        <f t="shared" si="180"/>
        <v>0.34373657801665053</v>
      </c>
      <c r="CU41" s="204">
        <f t="shared" si="180"/>
        <v>0.34286795422272048</v>
      </c>
      <c r="CV41" s="204">
        <f t="shared" si="180"/>
        <v>0.34051122132238049</v>
      </c>
      <c r="CW41" s="136">
        <f t="shared" si="180"/>
        <v>0.34261721155837493</v>
      </c>
      <c r="CX41" s="204">
        <f t="shared" si="180"/>
        <v>0.34295003399666485</v>
      </c>
      <c r="CY41" s="204">
        <f t="shared" si="180"/>
        <v>0.34353345643290678</v>
      </c>
      <c r="CZ41" s="204">
        <f t="shared" si="180"/>
        <v>0.34286532577193185</v>
      </c>
      <c r="DA41" s="204">
        <f t="shared" si="180"/>
        <v>0.34071250153277738</v>
      </c>
      <c r="DB41" s="136">
        <f t="shared" si="180"/>
        <v>0.34245469559341085</v>
      </c>
    </row>
    <row r="42" spans="1:106" s="7" customFormat="1" ht="11.5" customHeight="1" x14ac:dyDescent="0.35">
      <c r="A42" s="329" t="s">
        <v>225</v>
      </c>
      <c r="B42" s="101"/>
      <c r="C42" s="101"/>
      <c r="D42" s="101"/>
      <c r="E42" s="477"/>
      <c r="F42" s="477"/>
      <c r="G42" s="101"/>
      <c r="H42" s="101"/>
      <c r="I42" s="101"/>
      <c r="J42" s="477"/>
      <c r="K42" s="477"/>
      <c r="L42" s="101"/>
      <c r="M42" s="101"/>
      <c r="N42" s="101"/>
      <c r="O42" s="477"/>
      <c r="P42" s="477"/>
      <c r="Q42" s="101"/>
      <c r="R42" s="101"/>
      <c r="S42" s="101"/>
      <c r="T42" s="477"/>
      <c r="U42" s="477"/>
      <c r="V42" s="101"/>
      <c r="W42" s="101"/>
      <c r="X42" s="101"/>
      <c r="Y42" s="477"/>
      <c r="Z42" s="477"/>
      <c r="AA42" s="101"/>
      <c r="AB42" s="101"/>
      <c r="AC42" s="101"/>
      <c r="AD42" s="477"/>
      <c r="AE42" s="477"/>
      <c r="AF42" s="101"/>
      <c r="AG42" s="101"/>
      <c r="AH42" s="101"/>
      <c r="AI42" s="477"/>
      <c r="AJ42" s="477"/>
      <c r="AK42" s="101"/>
      <c r="AL42" s="101"/>
      <c r="AM42" s="101"/>
      <c r="AN42" s="477"/>
      <c r="AO42" s="477"/>
      <c r="AP42" s="101"/>
      <c r="AQ42" s="101"/>
      <c r="AR42" s="101"/>
      <c r="AS42" s="477"/>
      <c r="AT42" s="477"/>
      <c r="AU42" s="101"/>
      <c r="AV42" s="101"/>
      <c r="AW42" s="101"/>
      <c r="AX42" s="477"/>
      <c r="AY42" s="477"/>
      <c r="AZ42" s="101">
        <f t="shared" ref="AZ42:BS42" si="183">AZ39/AZ23</f>
        <v>3.6528038391380246E-2</v>
      </c>
      <c r="BA42" s="101">
        <f t="shared" si="183"/>
        <v>8.0842099741537998E-2</v>
      </c>
      <c r="BB42" s="101">
        <f t="shared" si="183"/>
        <v>1.2060828377752357</v>
      </c>
      <c r="BC42" s="101">
        <f t="shared" si="183"/>
        <v>0.24723034553249482</v>
      </c>
      <c r="BD42" s="513">
        <f t="shared" si="183"/>
        <v>0.46035511191266254</v>
      </c>
      <c r="BE42" s="101">
        <f t="shared" si="183"/>
        <v>0.11803126168410584</v>
      </c>
      <c r="BF42" s="101">
        <f t="shared" si="183"/>
        <v>0.21672472655640451</v>
      </c>
      <c r="BG42" s="101">
        <f t="shared" si="183"/>
        <v>0.1725914630670331</v>
      </c>
      <c r="BH42" s="101">
        <f t="shared" si="183"/>
        <v>0.18390394146291192</v>
      </c>
      <c r="BI42" s="513">
        <f t="shared" si="183"/>
        <v>0.17834714839585819</v>
      </c>
      <c r="BJ42" s="101">
        <f t="shared" si="183"/>
        <v>7.4084680688296572E-2</v>
      </c>
      <c r="BK42" s="101">
        <f t="shared" si="183"/>
        <v>6.8065445206507785E-2</v>
      </c>
      <c r="BL42" s="101">
        <f t="shared" si="183"/>
        <v>0.12953741134459898</v>
      </c>
      <c r="BM42" s="101">
        <f t="shared" si="183"/>
        <v>0.17567381929318984</v>
      </c>
      <c r="BN42" s="513">
        <f t="shared" si="183"/>
        <v>0.11332585081154496</v>
      </c>
      <c r="BO42" s="101">
        <f t="shared" si="183"/>
        <v>8.6123162217892429E-2</v>
      </c>
      <c r="BP42" s="101">
        <f t="shared" si="183"/>
        <v>0.16684517844847227</v>
      </c>
      <c r="BQ42" s="101">
        <f t="shared" si="183"/>
        <v>0.1259757867389181</v>
      </c>
      <c r="BR42" s="101">
        <f t="shared" si="183"/>
        <v>0.18319801308161424</v>
      </c>
      <c r="BS42" s="513">
        <f t="shared" si="183"/>
        <v>0.14391034462516508</v>
      </c>
      <c r="BT42" s="101">
        <f t="shared" ref="BT42" si="184">BT39/BT23</f>
        <v>0.15718222692906078</v>
      </c>
      <c r="BU42" s="101">
        <f t="shared" ref="BU42:DB42" si="185">BU39/BU23</f>
        <v>0.24028930908416993</v>
      </c>
      <c r="BV42" s="101">
        <f t="shared" si="185"/>
        <v>0.25870126685978928</v>
      </c>
      <c r="BW42" s="101">
        <f t="shared" si="185"/>
        <v>0.2598156447451106</v>
      </c>
      <c r="BX42" s="513">
        <f t="shared" si="185"/>
        <v>0.23413165851397852</v>
      </c>
      <c r="BY42" s="101">
        <f t="shared" si="185"/>
        <v>0.14024135508298854</v>
      </c>
      <c r="BZ42" s="101">
        <f t="shared" si="185"/>
        <v>0.17497019875873052</v>
      </c>
      <c r="CA42" s="101">
        <f t="shared" si="185"/>
        <v>0.38404841616748425</v>
      </c>
      <c r="CB42" s="101">
        <f t="shared" ref="CB42" si="186">CB39/CB23</f>
        <v>0.21858938198453959</v>
      </c>
      <c r="CC42" s="513">
        <f t="shared" si="185"/>
        <v>0.22896448632727229</v>
      </c>
      <c r="CD42" s="101">
        <f t="shared" ref="CD42:CE42" si="187">CD39/CD23</f>
        <v>8.9329903977430736E-2</v>
      </c>
      <c r="CE42" s="101">
        <f t="shared" si="187"/>
        <v>0.15154540064738245</v>
      </c>
      <c r="CF42" s="101">
        <f t="shared" ca="1" si="185"/>
        <v>0.19612818302621934</v>
      </c>
      <c r="CG42" s="101">
        <f t="shared" ca="1" si="185"/>
        <v>0.22193281735009732</v>
      </c>
      <c r="CH42" s="513">
        <f t="shared" ca="1" si="185"/>
        <v>0.17173616629573926</v>
      </c>
      <c r="CI42" s="101">
        <f t="shared" ca="1" si="185"/>
        <v>0.24057188873936605</v>
      </c>
      <c r="CJ42" s="101">
        <f t="shared" ca="1" si="185"/>
        <v>0.19592553198954815</v>
      </c>
      <c r="CK42" s="101">
        <f t="shared" ca="1" si="185"/>
        <v>0.18964848076086632</v>
      </c>
      <c r="CL42" s="101">
        <f t="shared" ca="1" si="185"/>
        <v>0.21384858845772789</v>
      </c>
      <c r="CM42" s="513">
        <f t="shared" ca="1" si="185"/>
        <v>0.20978852688614669</v>
      </c>
      <c r="CN42" s="101">
        <f t="shared" ca="1" si="185"/>
        <v>0.25163432396508462</v>
      </c>
      <c r="CO42" s="101">
        <f t="shared" ca="1" si="185"/>
        <v>0.2034369234780066</v>
      </c>
      <c r="CP42" s="101">
        <f t="shared" ca="1" si="185"/>
        <v>0.18660700052105153</v>
      </c>
      <c r="CQ42" s="101">
        <f t="shared" ca="1" si="185"/>
        <v>0.2016679916830888</v>
      </c>
      <c r="CR42" s="513">
        <f t="shared" ca="1" si="185"/>
        <v>0.21027022871921619</v>
      </c>
      <c r="CS42" s="101">
        <f t="shared" ca="1" si="185"/>
        <v>0.24573188338456214</v>
      </c>
      <c r="CT42" s="101">
        <f t="shared" ca="1" si="185"/>
        <v>0.20026936602351081</v>
      </c>
      <c r="CU42" s="101">
        <f t="shared" ca="1" si="185"/>
        <v>0.18824498909160584</v>
      </c>
      <c r="CV42" s="101">
        <f t="shared" ca="1" si="185"/>
        <v>0.201924182087586</v>
      </c>
      <c r="CW42" s="513">
        <f t="shared" ca="1" si="185"/>
        <v>0.20856109912097712</v>
      </c>
      <c r="CX42" s="101">
        <f t="shared" ca="1" si="185"/>
        <v>0.26023834648968364</v>
      </c>
      <c r="CY42" s="101">
        <f t="shared" ca="1" si="185"/>
        <v>0.21305672030081502</v>
      </c>
      <c r="CZ42" s="101">
        <f t="shared" ca="1" si="185"/>
        <v>0.20358505307376409</v>
      </c>
      <c r="DA42" s="101">
        <f t="shared" ca="1" si="185"/>
        <v>0.21895788191690693</v>
      </c>
      <c r="DB42" s="513">
        <f t="shared" ca="1" si="185"/>
        <v>0.22364167411693819</v>
      </c>
    </row>
    <row r="43" spans="1:106" ht="11.5" customHeight="1" x14ac:dyDescent="0.2">
      <c r="A43" s="338" t="s">
        <v>137</v>
      </c>
      <c r="B43" s="331"/>
      <c r="C43" s="331"/>
      <c r="D43" s="331"/>
      <c r="E43" s="332"/>
      <c r="F43" s="333"/>
      <c r="G43" s="331"/>
      <c r="H43" s="331"/>
      <c r="I43" s="331"/>
      <c r="J43" s="332"/>
      <c r="K43" s="333"/>
      <c r="L43" s="331"/>
      <c r="M43" s="331"/>
      <c r="N43" s="331"/>
      <c r="O43" s="332"/>
      <c r="P43" s="333"/>
      <c r="Q43" s="331"/>
      <c r="R43" s="331"/>
      <c r="S43" s="331"/>
      <c r="T43" s="332"/>
      <c r="U43" s="333"/>
      <c r="V43" s="331"/>
      <c r="W43" s="331"/>
      <c r="X43" s="331"/>
      <c r="Y43" s="332"/>
      <c r="Z43" s="333"/>
      <c r="AA43" s="331"/>
      <c r="AB43" s="331"/>
      <c r="AC43" s="331"/>
      <c r="AD43" s="332"/>
      <c r="AE43" s="333"/>
      <c r="AF43" s="331"/>
      <c r="AG43" s="331"/>
      <c r="AH43" s="331"/>
      <c r="AI43" s="332"/>
      <c r="AJ43" s="333"/>
      <c r="AK43" s="331"/>
      <c r="AL43" s="331"/>
      <c r="AM43" s="331"/>
      <c r="AN43" s="332"/>
      <c r="AO43" s="333"/>
      <c r="AP43" s="331"/>
      <c r="AQ43" s="331"/>
      <c r="AR43" s="331"/>
      <c r="AS43" s="332"/>
      <c r="AT43" s="333"/>
      <c r="AU43" s="331"/>
      <c r="AV43" s="331"/>
      <c r="AW43" s="331"/>
      <c r="AX43" s="332"/>
      <c r="AY43" s="333"/>
      <c r="AZ43" s="576">
        <f>'BS &amp; FCF'!AZ65-'Business lines'!AZ87-'Business lines'!AZ131</f>
        <v>5210700</v>
      </c>
      <c r="BA43" s="576">
        <f>'BS &amp; FCF'!BA65-'Business lines'!BA87-'Business lines'!BA131</f>
        <v>5301776</v>
      </c>
      <c r="BB43" s="576">
        <f>'BS &amp; FCF'!BB65-'Business lines'!BB87-'Business lines'!BB131</f>
        <v>6546657</v>
      </c>
      <c r="BC43" s="576">
        <f>'BS &amp; FCF'!BC65-'Business lines'!BC87-'Business lines'!BC131</f>
        <v>5796628</v>
      </c>
      <c r="BD43" s="39" t="e">
        <f>'BS &amp; FCF'!BD65-'Business lines'!BD87-'Business lines'!BD131</f>
        <v>#DIV/0!</v>
      </c>
      <c r="BE43" s="576">
        <f>'BS &amp; FCF'!BE65-'Business lines'!BE87-'Business lines'!BE131</f>
        <v>4517876</v>
      </c>
      <c r="BF43" s="576">
        <f>'BS &amp; FCF'!BF65-'Business lines'!BF87-'Business lines'!BF131</f>
        <v>4698353</v>
      </c>
      <c r="BG43" s="576">
        <f>'BS &amp; FCF'!BG65-'Business lines'!BG87-'Business lines'!BG131</f>
        <v>4802192</v>
      </c>
      <c r="BH43" s="576">
        <f>'BS &amp; FCF'!BH65-'Business lines'!BH87-'Business lines'!BH131</f>
        <v>4884358</v>
      </c>
      <c r="BI43" s="39">
        <f>'BS &amp; FCF'!BI65-'Business lines'!BI87-'Business lines'!BI131</f>
        <v>5102482.5</v>
      </c>
      <c r="BJ43" s="576">
        <f>'BS &amp; FCF'!BJ65-'Business lines'!BJ87-'Business lines'!BJ131</f>
        <v>5154212</v>
      </c>
      <c r="BK43" s="576">
        <f>'BS &amp; FCF'!BK65-'Business lines'!BK87-'Business lines'!BK131</f>
        <v>5087565</v>
      </c>
      <c r="BL43" s="576">
        <f>'BS &amp; FCF'!BL65-'Business lines'!BL87-'Business lines'!BL131</f>
        <v>4697966</v>
      </c>
      <c r="BM43" s="576">
        <f>'BS &amp; FCF'!BM65-'Business lines'!BM87-'Business lines'!BM131</f>
        <v>5552534</v>
      </c>
      <c r="BN43" s="39">
        <f>'BS &amp; FCF'!BN65-'Business lines'!BN87-'Business lines'!BN131</f>
        <v>5691273.5</v>
      </c>
      <c r="BO43" s="576">
        <f>'BS &amp; FCF'!BO65-'Business lines'!BO87-'Business lines'!BO131</f>
        <v>5446321</v>
      </c>
      <c r="BP43" s="576">
        <f>'BS &amp; FCF'!BP65-'Business lines'!BP87-'Business lines'!BP131</f>
        <v>6112963</v>
      </c>
      <c r="BQ43" s="576">
        <f>'BS &amp; FCF'!BQ65-'Business lines'!BQ87-'Business lines'!BQ131</f>
        <v>6232920</v>
      </c>
      <c r="BR43" s="576">
        <f>'BS &amp; FCF'!BR65-'Business lines'!BR87-'Business lines'!BR131</f>
        <v>6167427</v>
      </c>
      <c r="BS43" s="39">
        <f>'BS &amp; FCF'!BS65-'Business lines'!BS87-'Business lines'!BS131</f>
        <v>6201138.75</v>
      </c>
      <c r="BT43" s="576">
        <f>'BS &amp; FCF'!BT65-'Business lines'!BT87-'Business lines'!BT131</f>
        <v>6198866</v>
      </c>
      <c r="BU43" s="576">
        <f>'BS &amp; FCF'!BU65-'Business lines'!BU87-'Business lines'!BU131</f>
        <v>6825404</v>
      </c>
      <c r="BV43" s="576">
        <f>'BS &amp; FCF'!BV65-'Business lines'!BV87-'Business lines'!BV131</f>
        <v>7298537</v>
      </c>
      <c r="BW43" s="576">
        <f>'BS &amp; FCF'!BW65-'Business lines'!BW87-'Business lines'!BW131</f>
        <v>7228509</v>
      </c>
      <c r="BX43" s="39">
        <f>'BS &amp; FCF'!BX65-'Business lines'!BX87-'Business lines'!BX131</f>
        <v>7443477.5</v>
      </c>
      <c r="BY43" s="576">
        <f>'BS &amp; FCF'!BY65-'Business lines'!BY87-'Business lines'!BY131</f>
        <v>7444262</v>
      </c>
      <c r="BZ43" s="576">
        <f>'BS &amp; FCF'!BZ65-'Business lines'!BZ87-'Business lines'!BZ131</f>
        <v>8205490</v>
      </c>
      <c r="CA43" s="576">
        <f>'BS &amp; FCF'!CA65-'Business lines'!CA87-'Business lines'!CA131</f>
        <v>8986278</v>
      </c>
      <c r="CB43" s="576">
        <f>'BS &amp; FCF'!CB65-'Business lines'!CB87-'Business lines'!CB131</f>
        <v>8733083</v>
      </c>
      <c r="CC43" s="39">
        <f>'BS &amp; FCF'!CC65-'Business lines'!CC87-'Business lines'!CC131</f>
        <v>8828948.5</v>
      </c>
      <c r="CD43" s="576">
        <f>'BS &amp; FCF'!CD65-'Business lines'!CD87-'Business lines'!CD131</f>
        <v>9167018</v>
      </c>
      <c r="CE43" s="576">
        <f>'BS &amp; FCF'!CE65-'Business lines'!CE87-'Business lines'!CE131</f>
        <v>9712593</v>
      </c>
      <c r="CF43" s="576">
        <f ca="1">'BS &amp; FCF'!CF65-'Business lines'!CF87-'Business lines'!CF131</f>
        <v>10035615.98969903</v>
      </c>
      <c r="CG43" s="576">
        <f ca="1">'BS &amp; FCF'!CG65-'Business lines'!CG87-'Business lines'!CG131</f>
        <v>10428135.401407441</v>
      </c>
      <c r="CH43" s="39">
        <f ca="1">'BS &amp; FCF'!CH65-'Business lines'!CH87-'Business lines'!CH131</f>
        <v>10729551.584039878</v>
      </c>
      <c r="CI43" s="576">
        <f ca="1">'BS &amp; FCF'!CI65-'Business lines'!CI87-'Business lines'!CI131</f>
        <v>10015541.692952879</v>
      </c>
      <c r="CJ43" s="576">
        <f ca="1">'BS &amp; FCF'!CJ65-'Business lines'!CJ87-'Business lines'!CJ131</f>
        <v>10301308.232374687</v>
      </c>
      <c r="CK43" s="576">
        <f ca="1">'BS &amp; FCF'!CK65-'Business lines'!CK87-'Business lines'!CK131</f>
        <v>10599637.962610377</v>
      </c>
      <c r="CL43" s="576">
        <f ca="1">'BS &amp; FCF'!CL65-'Business lines'!CL87-'Business lines'!CL131</f>
        <v>10957995.842530617</v>
      </c>
      <c r="CM43" s="39">
        <f ca="1">'BS &amp; FCF'!CM65-'Business lines'!CM87-'Business lines'!CM131</f>
        <v>11390538.436675617</v>
      </c>
      <c r="CN43" s="576">
        <f ca="1">'BS &amp; FCF'!CN65-'Business lines'!CN87-'Business lines'!CN131</f>
        <v>10020412.095975121</v>
      </c>
      <c r="CO43" s="576">
        <f ca="1">'BS &amp; FCF'!CO65-'Business lines'!CO87-'Business lines'!CO131</f>
        <v>10360809.83711605</v>
      </c>
      <c r="CP43" s="576">
        <f ca="1">'BS &amp; FCF'!CP65-'Business lines'!CP87-'Business lines'!CP131</f>
        <v>10686553.179068672</v>
      </c>
      <c r="CQ43" s="576">
        <f ca="1">'BS &amp; FCF'!CQ65-'Business lines'!CQ87-'Business lines'!CQ131</f>
        <v>11057694.221618744</v>
      </c>
      <c r="CR43" s="39">
        <f ca="1">'BS &amp; FCF'!CR65-'Business lines'!CR87-'Business lines'!CR131</f>
        <v>11538736.293966234</v>
      </c>
      <c r="CS43" s="576">
        <f ca="1">'BS &amp; FCF'!CS65-'Business lines'!CS87-'Business lines'!CS131</f>
        <v>10332099.883490503</v>
      </c>
      <c r="CT43" s="576">
        <f ca="1">'BS &amp; FCF'!CT65-'Business lines'!CT87-'Business lines'!CT131</f>
        <v>10675639.59329547</v>
      </c>
      <c r="CU43" s="576">
        <f ca="1">'BS &amp; FCF'!CU65-'Business lines'!CU87-'Business lines'!CU131</f>
        <v>11013997.097219415</v>
      </c>
      <c r="CV43" s="576">
        <f ca="1">'BS &amp; FCF'!CV65-'Business lines'!CV87-'Business lines'!CV131</f>
        <v>11411845.118612686</v>
      </c>
      <c r="CW43" s="39">
        <f ca="1">'BS &amp; FCF'!CW65-'Business lines'!CW87-'Business lines'!CW131</f>
        <v>11934660.267877853</v>
      </c>
      <c r="CX43" s="576">
        <f ca="1">'BS &amp; FCF'!CX65-'Business lines'!CX87-'Business lines'!CX131</f>
        <v>11126228.637879852</v>
      </c>
      <c r="CY43" s="576">
        <f ca="1">'BS &amp; FCF'!CY65-'Business lines'!CY87-'Business lines'!CY131</f>
        <v>11508294.863069352</v>
      </c>
      <c r="CZ43" s="576">
        <f ca="1">'BS &amp; FCF'!CZ65-'Business lines'!CZ87-'Business lines'!CZ131</f>
        <v>11875778.422425071</v>
      </c>
      <c r="DA43" s="576">
        <f ca="1">'BS &amp; FCF'!DA65-'Business lines'!DA87-'Business lines'!DA131</f>
        <v>12292604.105313554</v>
      </c>
      <c r="DB43" s="39">
        <f ca="1">'BS &amp; FCF'!DB65-'Business lines'!DB87-'Business lines'!DB131</f>
        <v>12838078.879715778</v>
      </c>
    </row>
    <row r="44" spans="1:106" ht="11.5" customHeight="1" x14ac:dyDescent="0.2">
      <c r="A44" s="335" t="s">
        <v>362</v>
      </c>
      <c r="B44" s="336"/>
      <c r="C44" s="336"/>
      <c r="D44" s="336"/>
      <c r="E44" s="337"/>
      <c r="F44" s="337"/>
      <c r="G44" s="336"/>
      <c r="H44" s="336"/>
      <c r="I44" s="336"/>
      <c r="J44" s="337"/>
      <c r="K44" s="337"/>
      <c r="L44" s="336"/>
      <c r="M44" s="336"/>
      <c r="N44" s="336"/>
      <c r="O44" s="337"/>
      <c r="P44" s="337"/>
      <c r="Q44" s="336"/>
      <c r="R44" s="336"/>
      <c r="S44" s="336"/>
      <c r="T44" s="337"/>
      <c r="U44" s="337"/>
      <c r="V44" s="336"/>
      <c r="W44" s="336"/>
      <c r="X44" s="336"/>
      <c r="Y44" s="337"/>
      <c r="Z44" s="337"/>
      <c r="AA44" s="336"/>
      <c r="AB44" s="336"/>
      <c r="AC44" s="336"/>
      <c r="AD44" s="337"/>
      <c r="AE44" s="337"/>
      <c r="AF44" s="336"/>
      <c r="AG44" s="336"/>
      <c r="AH44" s="336"/>
      <c r="AI44" s="337"/>
      <c r="AJ44" s="337"/>
      <c r="AK44" s="336"/>
      <c r="AL44" s="336"/>
      <c r="AM44" s="336"/>
      <c r="AN44" s="337"/>
      <c r="AO44" s="337"/>
      <c r="AP44" s="336"/>
      <c r="AQ44" s="336"/>
      <c r="AR44" s="336"/>
      <c r="AS44" s="337"/>
      <c r="AT44" s="337"/>
      <c r="AU44" s="336"/>
      <c r="AV44" s="336"/>
      <c r="AW44" s="336"/>
      <c r="AX44" s="337"/>
      <c r="AY44" s="337"/>
      <c r="AZ44" s="336">
        <f t="shared" ref="AZ44" si="188">AZ40/AVERAGE(AY43:AZ43)*4</f>
        <v>2.144433569386071E-2</v>
      </c>
      <c r="BA44" s="336">
        <f t="shared" ref="BA44" si="189">BA40/AVERAGE(AZ43:BA43)*4</f>
        <v>5.1604208180831994E-2</v>
      </c>
      <c r="BB44" s="336">
        <f t="shared" ref="BB44" si="190">BB40/AVERAGE(BA43:BB43)*4</f>
        <v>0.94748799271599882</v>
      </c>
      <c r="BC44" s="337">
        <f t="shared" ref="BC44" si="191">BC40/AVERAGE(BB43:BC43)*4</f>
        <v>0.16931051984945661</v>
      </c>
      <c r="BD44" s="337">
        <f>BD40/AVERAGE(AZ43:BC43)</f>
        <v>0.30806377438055987</v>
      </c>
      <c r="BE44" s="336" t="e">
        <f t="shared" ref="BE44" si="192">BE40/AVERAGE(BD43:BE43)*4</f>
        <v>#DIV/0!</v>
      </c>
      <c r="BF44" s="336">
        <f t="shared" ref="BF44" si="193">BF40/AVERAGE(BE43:BF43)*4</f>
        <v>0.14105362703118596</v>
      </c>
      <c r="BG44" s="336">
        <f t="shared" ref="BG44" si="194">BG40/AVERAGE(BF43:BG43)*4</f>
        <v>0.10962366306354004</v>
      </c>
      <c r="BH44" s="337">
        <f t="shared" ref="BH44" si="195">BH40/AVERAGE(BG43:BH43)*4</f>
        <v>0.117901439501164</v>
      </c>
      <c r="BI44" s="337">
        <f>BI40/AVERAGE(BE43:BH43)</f>
        <v>0.10404722378651309</v>
      </c>
      <c r="BJ44" s="336">
        <f t="shared" ref="BJ44" si="196">BJ40/AVERAGE(BI43:BJ43)*4</f>
        <v>4.4263292818168654E-2</v>
      </c>
      <c r="BK44" s="336">
        <f t="shared" ref="BK44" si="197">BK40/AVERAGE(BJ43:BK43)*4</f>
        <v>3.0100601487417659E-2</v>
      </c>
      <c r="BL44" s="336">
        <f t="shared" ref="BL44" si="198">BL40/AVERAGE(BK43:BL43)*4</f>
        <v>8.3631751245793404E-2</v>
      </c>
      <c r="BM44" s="337">
        <f t="shared" ref="BM44" si="199">BM40/AVERAGE(BL43:BM43)*4</f>
        <v>9.4295872396468458E-2</v>
      </c>
      <c r="BN44" s="337">
        <f>BN40/AVERAGE(BJ43:BM43)</f>
        <v>6.215121078052966E-2</v>
      </c>
      <c r="BO44" s="336">
        <f t="shared" ref="BO44" si="200">BO40/AVERAGE(BN43:BO43)*4</f>
        <v>4.3560451334442106E-2</v>
      </c>
      <c r="BP44" s="336">
        <f t="shared" ref="BP44" si="201">BP40/AVERAGE(BO43:BP43)*4</f>
        <v>9.0222759679578782E-2</v>
      </c>
      <c r="BQ44" s="336">
        <f t="shared" ref="BQ44" si="202">BQ40/AVERAGE(BP43:BQ43)*4</f>
        <v>6.3751903043306038E-2</v>
      </c>
      <c r="BR44" s="337">
        <f t="shared" ref="BR44" si="203">BR40/AVERAGE(BQ43:BR43)*4</f>
        <v>0.11063940297799729</v>
      </c>
      <c r="BS44" s="337">
        <f>BS40/AVERAGE(BO43:BR43)</f>
        <v>7.6944208164140743E-2</v>
      </c>
      <c r="BT44" s="336">
        <f t="shared" ref="BT44" si="204">BT40/AVERAGE(BS43:BT43)*4</f>
        <v>9.2881984549239793E-2</v>
      </c>
      <c r="BU44" s="336">
        <f t="shared" ref="BU44" si="205">BU40/AVERAGE(BT43:BU43)*4</f>
        <v>0.13698081136217233</v>
      </c>
      <c r="BV44" s="336">
        <f t="shared" ref="BV44" si="206">BV40/AVERAGE(BU43:BV43)*4</f>
        <v>0.15883195841727177</v>
      </c>
      <c r="BW44" s="337">
        <f t="shared" ref="BW44" si="207">BW40/AVERAGE(BV43:BW43)*4</f>
        <v>0.21243083677163269</v>
      </c>
      <c r="BX44" s="337">
        <f>BX40/AVERAGE(BT43:BW43)</f>
        <v>0.14999533722454492</v>
      </c>
      <c r="BY44" s="336">
        <f t="shared" ref="BY44" si="208">BY40/AVERAGE(BX43:BY43)*4</f>
        <v>8.7115671092982253E-2</v>
      </c>
      <c r="BZ44" s="336">
        <f t="shared" ref="BZ44" si="209">BZ40/AVERAGE(BY43:BZ43)*4</f>
        <v>8.9668627899023592E-2</v>
      </c>
      <c r="CA44" s="336">
        <f t="shared" ref="CA44:CB44" si="210">CA40/AVERAGE(BZ43:CA43)*4</f>
        <v>0.20463301477777038</v>
      </c>
      <c r="CB44" s="337">
        <f t="shared" si="210"/>
        <v>0.19863721270761403</v>
      </c>
      <c r="CC44" s="337">
        <f>CC40/AVERAGE(BY43:CB43)</f>
        <v>0.14591300346521047</v>
      </c>
      <c r="CD44" s="336">
        <f t="shared" ref="CD44:CE44" si="211">CD40/AVERAGE(CC43:CD43)*4</f>
        <v>4.3833207180064476E-2</v>
      </c>
      <c r="CE44" s="336">
        <f t="shared" si="211"/>
        <v>8.4829414250113519E-2</v>
      </c>
      <c r="CF44" s="336">
        <f t="shared" ref="CF44" ca="1" si="212">CF40/AVERAGE(CE43:CF43)*4</f>
        <v>0.11670960685907129</v>
      </c>
      <c r="CG44" s="337">
        <f t="shared" ref="CG44" ca="1" si="213">CG40/AVERAGE(CF43:CG43)*4</f>
        <v>0.14138909941633557</v>
      </c>
      <c r="CH44" s="337">
        <f ca="1">CH40/AVERAGE(CD43:CG43)</f>
        <v>9.6439702867671728E-2</v>
      </c>
      <c r="CI44" s="336">
        <f t="shared" ref="CI44" ca="1" si="214">CI40/AVERAGE(CH43:CI43)*4</f>
        <v>0.12933506538002673</v>
      </c>
      <c r="CJ44" s="336">
        <f t="shared" ref="CJ44" ca="1" si="215">CJ40/AVERAGE(CI43:CJ43)*4</f>
        <v>0.10771806901123437</v>
      </c>
      <c r="CK44" s="336">
        <f t="shared" ref="CK44" ca="1" si="216">CK40/AVERAGE(CJ43:CK43)*4</f>
        <v>0.10880045934702906</v>
      </c>
      <c r="CL44" s="337">
        <f t="shared" ref="CL44" ca="1" si="217">CL40/AVERAGE(CK43:CL43)*4</f>
        <v>0.12954679634624319</v>
      </c>
      <c r="CM44" s="337">
        <f ca="1">CM40/AVERAGE(CI43:CL43)</f>
        <v>0.11866790817857954</v>
      </c>
      <c r="CN44" s="336">
        <f t="shared" ref="CN44" ca="1" si="218">CN40/AVERAGE(CM43:CN43)*4</f>
        <v>0.14673894843120702</v>
      </c>
      <c r="CO44" s="336">
        <f t="shared" ref="CO44" ca="1" si="219">CO40/AVERAGE(CN43:CO43)*4</f>
        <v>0.1249995404221074</v>
      </c>
      <c r="CP44" s="336">
        <f t="shared" ref="CP44" ca="1" si="220">CP40/AVERAGE(CO43:CP43)*4</f>
        <v>0.11500631673593262</v>
      </c>
      <c r="CQ44" s="337">
        <f t="shared" ref="CQ44" ca="1" si="221">CQ40/AVERAGE(CP43:CQ43)*4</f>
        <v>0.13362217366675533</v>
      </c>
      <c r="CR44" s="337">
        <f ca="1">CR40/AVERAGE(CN43:CQ43)</f>
        <v>0.13074699481201141</v>
      </c>
      <c r="CS44" s="336">
        <f t="shared" ref="CS44" ca="1" si="222">CS40/AVERAGE(CR43:CS43)*4</f>
        <v>0.14895999903354884</v>
      </c>
      <c r="CT44" s="336">
        <f t="shared" ref="CT44" ca="1" si="223">CT40/AVERAGE(CS43:CT43)*4</f>
        <v>0.12579099075442815</v>
      </c>
      <c r="CU44" s="336">
        <f t="shared" ref="CU44" ca="1" si="224">CU40/AVERAGE(CT43:CU43)*4</f>
        <v>0.12029300216060898</v>
      </c>
      <c r="CV44" s="337">
        <f t="shared" ref="CV44" ca="1" si="225">CV40/AVERAGE(CU43:CV43)*4</f>
        <v>0.1381213590351883</v>
      </c>
      <c r="CW44" s="337">
        <f ca="1">CW40/AVERAGE(CS43:CV43)</f>
        <v>0.13361853850703451</v>
      </c>
      <c r="CX44" s="336">
        <f t="shared" ref="CX44" ca="1" si="226">CX40/AVERAGE(CW43:CX43)*4</f>
        <v>0.1622084012312715</v>
      </c>
      <c r="CY44" s="336">
        <f t="shared" ref="CY44" ca="1" si="227">CY40/AVERAGE(CX43:CY43)*4</f>
        <v>0.1337572849662676</v>
      </c>
      <c r="CZ44" s="336">
        <f t="shared" ref="CZ44" ca="1" si="228">CZ40/AVERAGE(CY43:CZ43)*4</f>
        <v>0.12971457179602375</v>
      </c>
      <c r="DA44" s="337">
        <f t="shared" ref="DA44" ca="1" si="229">DA40/AVERAGE(CZ43:DA43)*4</f>
        <v>0.14855412426247744</v>
      </c>
      <c r="DB44" s="337">
        <f ca="1">DB40/AVERAGE(CX43:DA43)</f>
        <v>0.14306558524893848</v>
      </c>
    </row>
    <row r="45" spans="1:106" ht="11.5" customHeight="1" x14ac:dyDescent="0.2">
      <c r="BS45" s="492"/>
      <c r="BX45" s="566"/>
      <c r="BY45" s="566"/>
      <c r="BZ45" s="654"/>
      <c r="CA45" s="566"/>
      <c r="CB45" s="566"/>
      <c r="CC45" s="566"/>
      <c r="CD45" s="566"/>
      <c r="CE45" s="566"/>
      <c r="CF45" s="566"/>
      <c r="CG45" s="566"/>
      <c r="CH45" s="566"/>
      <c r="CI45" s="566"/>
      <c r="CJ45" s="566"/>
      <c r="CK45" s="566"/>
      <c r="CL45" s="566"/>
      <c r="CM45" s="566"/>
    </row>
    <row r="46" spans="1:106" ht="11.5" customHeight="1" x14ac:dyDescent="0.2">
      <c r="BS46" s="492"/>
      <c r="BX46" s="492"/>
      <c r="BZ46" s="654"/>
      <c r="CA46" s="566"/>
      <c r="CC46" s="492"/>
      <c r="CE46" s="492"/>
      <c r="CF46" s="566"/>
    </row>
    <row r="47" spans="1:106" s="15" customFormat="1" ht="11.5" customHeight="1" thickBot="1" x14ac:dyDescent="0.4">
      <c r="A47" s="124" t="s">
        <v>384</v>
      </c>
      <c r="B47" s="125" t="str">
        <f>Macro!B$3</f>
        <v>1Q10</v>
      </c>
      <c r="C47" s="125" t="str">
        <f>Macro!C$3</f>
        <v>2Q10</v>
      </c>
      <c r="D47" s="125" t="str">
        <f>Macro!D$3</f>
        <v>3Q10</v>
      </c>
      <c r="E47" s="125" t="str">
        <f>Macro!E$3</f>
        <v>4Q10</v>
      </c>
      <c r="F47" s="126" t="str">
        <f>Macro!F$3</f>
        <v>2010</v>
      </c>
      <c r="G47" s="125" t="str">
        <f>Macro!G$3</f>
        <v>1Q11</v>
      </c>
      <c r="H47" s="125" t="str">
        <f>Macro!H$3</f>
        <v>2Q11</v>
      </c>
      <c r="I47" s="125" t="str">
        <f>Macro!I$3</f>
        <v>3Q11</v>
      </c>
      <c r="J47" s="125" t="str">
        <f>Macro!J$3</f>
        <v>4Q11</v>
      </c>
      <c r="K47" s="126" t="str">
        <f>Macro!K$3</f>
        <v>2011</v>
      </c>
      <c r="L47" s="125" t="str">
        <f>Macro!L$3</f>
        <v>1Q12</v>
      </c>
      <c r="M47" s="125" t="str">
        <f>Macro!M$3</f>
        <v>2Q12</v>
      </c>
      <c r="N47" s="125" t="str">
        <f>Macro!N$3</f>
        <v>3Q12</v>
      </c>
      <c r="O47" s="125" t="str">
        <f>Macro!O$3</f>
        <v>4Q12</v>
      </c>
      <c r="P47" s="126" t="str">
        <f>Macro!P$3</f>
        <v>2012</v>
      </c>
      <c r="Q47" s="125" t="str">
        <f>Macro!Q$3</f>
        <v>1Q13</v>
      </c>
      <c r="R47" s="125" t="str">
        <f>Macro!R$3</f>
        <v>2Q13</v>
      </c>
      <c r="S47" s="125" t="str">
        <f>Macro!S$3</f>
        <v>3Q13</v>
      </c>
      <c r="T47" s="125" t="str">
        <f>Macro!T$3</f>
        <v>4Q13</v>
      </c>
      <c r="U47" s="126" t="str">
        <f>Macro!U$3</f>
        <v>2013</v>
      </c>
      <c r="V47" s="125" t="str">
        <f>Macro!V$3</f>
        <v>1Q14</v>
      </c>
      <c r="W47" s="125" t="str">
        <f>Macro!W$3</f>
        <v>2Q14</v>
      </c>
      <c r="X47" s="125" t="str">
        <f>Macro!X$3</f>
        <v>3Q14</v>
      </c>
      <c r="Y47" s="125" t="str">
        <f>Macro!Y$3</f>
        <v>4Q14</v>
      </c>
      <c r="Z47" s="126" t="str">
        <f>Macro!Z$3</f>
        <v>2014</v>
      </c>
      <c r="AA47" s="125" t="str">
        <f>Macro!AA$3</f>
        <v>1Q15</v>
      </c>
      <c r="AB47" s="125" t="str">
        <f>Macro!AB$3</f>
        <v>2Q15</v>
      </c>
      <c r="AC47" s="125" t="str">
        <f>Macro!AC$3</f>
        <v>3Q15</v>
      </c>
      <c r="AD47" s="125" t="str">
        <f>Macro!AD$3</f>
        <v>4Q15</v>
      </c>
      <c r="AE47" s="126" t="str">
        <f>Macro!AE$3</f>
        <v>2015</v>
      </c>
      <c r="AF47" s="125" t="str">
        <f>Macro!AF$3</f>
        <v>1Q16</v>
      </c>
      <c r="AG47" s="125" t="str">
        <f>Macro!AG$3</f>
        <v>2Q16</v>
      </c>
      <c r="AH47" s="125" t="str">
        <f>Macro!AH$3</f>
        <v>3Q16</v>
      </c>
      <c r="AI47" s="125" t="str">
        <f>Macro!AI$3</f>
        <v>4Q16</v>
      </c>
      <c r="AJ47" s="126" t="str">
        <f>Macro!AJ$3</f>
        <v>2016</v>
      </c>
      <c r="AK47" s="125" t="str">
        <f>Macro!AK$3</f>
        <v>1Q17</v>
      </c>
      <c r="AL47" s="125" t="str">
        <f>Macro!AL$3</f>
        <v>2Q17</v>
      </c>
      <c r="AM47" s="125" t="str">
        <f>Macro!AM$3</f>
        <v>3Q17</v>
      </c>
      <c r="AN47" s="125" t="str">
        <f>Macro!AN$3</f>
        <v>4Q17</v>
      </c>
      <c r="AO47" s="126" t="str">
        <f>Macro!AO$3</f>
        <v>2017</v>
      </c>
      <c r="AP47" s="125" t="str">
        <f>Macro!AP$3</f>
        <v>1Q18</v>
      </c>
      <c r="AQ47" s="125" t="str">
        <f>Macro!AQ$3</f>
        <v>2Q18</v>
      </c>
      <c r="AR47" s="125" t="str">
        <f>Macro!AR$3</f>
        <v>3Q18</v>
      </c>
      <c r="AS47" s="125" t="str">
        <f>Macro!AS$3</f>
        <v>4Q18</v>
      </c>
      <c r="AT47" s="126" t="str">
        <f>Macro!AT$3</f>
        <v>2018</v>
      </c>
      <c r="AU47" s="125" t="str">
        <f>Macro!AU$3</f>
        <v>1Q19</v>
      </c>
      <c r="AV47" s="125" t="str">
        <f>Macro!AV$3</f>
        <v>2Q19</v>
      </c>
      <c r="AW47" s="125" t="str">
        <f>Macro!AW$3</f>
        <v>3Q19</v>
      </c>
      <c r="AX47" s="125" t="str">
        <f>Macro!AX$3</f>
        <v>4Q19</v>
      </c>
      <c r="AY47" s="126" t="str">
        <f>Macro!AY$3</f>
        <v>2019</v>
      </c>
      <c r="AZ47" s="125" t="str">
        <f>Macro!AZ$3</f>
        <v>1Q20</v>
      </c>
      <c r="BA47" s="125" t="str">
        <f>Macro!BA$3</f>
        <v>2Q20</v>
      </c>
      <c r="BB47" s="125" t="str">
        <f>Macro!BB$3</f>
        <v>3Q20</v>
      </c>
      <c r="BC47" s="125" t="str">
        <f>Macro!BC$3</f>
        <v>4Q20</v>
      </c>
      <c r="BD47" s="126" t="str">
        <f>Macro!BD$3</f>
        <v>2020</v>
      </c>
      <c r="BE47" s="125" t="str">
        <f>Macro!BE$3</f>
        <v>1Q21</v>
      </c>
      <c r="BF47" s="125" t="str">
        <f>Macro!BF$3</f>
        <v>2Q21</v>
      </c>
      <c r="BG47" s="125" t="str">
        <f>Macro!BG$3</f>
        <v>3Q21</v>
      </c>
      <c r="BH47" s="125" t="str">
        <f>Macro!BH$3</f>
        <v>4Q21</v>
      </c>
      <c r="BI47" s="126" t="str">
        <f>Macro!BI$3</f>
        <v>2021</v>
      </c>
      <c r="BJ47" s="125" t="str">
        <f>Macro!BJ$3</f>
        <v>1Q22</v>
      </c>
      <c r="BK47" s="125" t="str">
        <f>Macro!BK$3</f>
        <v>2Q22</v>
      </c>
      <c r="BL47" s="125" t="str">
        <f>Macro!BL$3</f>
        <v>3Q22</v>
      </c>
      <c r="BM47" s="125" t="str">
        <f>Macro!BM$3</f>
        <v>4Q22</v>
      </c>
      <c r="BN47" s="126" t="str">
        <f>Macro!BN$3</f>
        <v>2022</v>
      </c>
      <c r="BO47" s="125" t="str">
        <f>Macro!BO$3</f>
        <v>1Q23</v>
      </c>
      <c r="BP47" s="125" t="str">
        <f>Macro!BP$3</f>
        <v>2Q23</v>
      </c>
      <c r="BQ47" s="125" t="str">
        <f>Macro!BQ$3</f>
        <v>3Q23</v>
      </c>
      <c r="BR47" s="125" t="str">
        <f>Macro!BR$3</f>
        <v>4Q23</v>
      </c>
      <c r="BS47" s="126" t="str">
        <f>Macro!BS$3</f>
        <v>2023</v>
      </c>
      <c r="BT47" s="125" t="str">
        <f>Macro!BT$3</f>
        <v>1Q24</v>
      </c>
      <c r="BU47" s="125" t="str">
        <f>Macro!BU$3</f>
        <v>2Q24</v>
      </c>
      <c r="BV47" s="125" t="str">
        <f>Macro!BV$3</f>
        <v>3Q24</v>
      </c>
      <c r="BW47" s="125" t="str">
        <f>Macro!BW$3</f>
        <v>4Q24</v>
      </c>
      <c r="BX47" s="126" t="str">
        <f>Macro!BX$3</f>
        <v>2024</v>
      </c>
      <c r="BY47" s="125" t="str">
        <f>Macro!BY$3</f>
        <v>1Q25</v>
      </c>
      <c r="BZ47" s="125" t="str">
        <f>Macro!BZ$3</f>
        <v>2Q25</v>
      </c>
      <c r="CA47" s="125" t="str">
        <f>Macro!CA$3</f>
        <v>3Q25</v>
      </c>
      <c r="CB47" s="125" t="str">
        <f>Macro!CB$3</f>
        <v>4Q25</v>
      </c>
      <c r="CC47" s="126" t="str">
        <f>Macro!CC$3</f>
        <v>2025</v>
      </c>
      <c r="CD47" s="125" t="str">
        <f>Macro!CD$3</f>
        <v>1Q26</v>
      </c>
      <c r="CE47" s="125" t="str">
        <f>Macro!CE$3</f>
        <v>2Q26</v>
      </c>
      <c r="CF47" s="125" t="str">
        <f>Macro!CF$3</f>
        <v>3Q26E</v>
      </c>
      <c r="CG47" s="125" t="str">
        <f>Macro!CG$3</f>
        <v>4Q26E</v>
      </c>
      <c r="CH47" s="126" t="str">
        <f>Macro!CH$3</f>
        <v>2026E</v>
      </c>
      <c r="CI47" s="125" t="str">
        <f>Macro!CI$3</f>
        <v>1Q27E</v>
      </c>
      <c r="CJ47" s="125" t="str">
        <f>Macro!CJ$3</f>
        <v>2Q27E</v>
      </c>
      <c r="CK47" s="125" t="str">
        <f>Macro!CK$3</f>
        <v>3Q27E</v>
      </c>
      <c r="CL47" s="125" t="str">
        <f>Macro!CL$3</f>
        <v>4Q27E</v>
      </c>
      <c r="CM47" s="126" t="str">
        <f>Macro!CM$3</f>
        <v>2027E</v>
      </c>
      <c r="CN47" s="125" t="str">
        <f>Macro!CN$3</f>
        <v>1Q28E</v>
      </c>
      <c r="CO47" s="125" t="str">
        <f>Macro!CO$3</f>
        <v>2Q28E</v>
      </c>
      <c r="CP47" s="125" t="str">
        <f>Macro!CP$3</f>
        <v>3Q28E</v>
      </c>
      <c r="CQ47" s="125" t="str">
        <f>Macro!CQ$3</f>
        <v>4Q28E</v>
      </c>
      <c r="CR47" s="126" t="str">
        <f>Macro!CR$3</f>
        <v>2028E</v>
      </c>
      <c r="CS47" s="125" t="str">
        <f>Macro!CS$3</f>
        <v>1Q29E</v>
      </c>
      <c r="CT47" s="125" t="str">
        <f>Macro!CT$3</f>
        <v>2Q29E</v>
      </c>
      <c r="CU47" s="125" t="str">
        <f>Macro!CU$3</f>
        <v>3Q29E</v>
      </c>
      <c r="CV47" s="125" t="str">
        <f>Macro!CV$3</f>
        <v>4Q29E</v>
      </c>
      <c r="CW47" s="126" t="str">
        <f>Macro!CW$3</f>
        <v>2029E</v>
      </c>
      <c r="CX47" s="125" t="str">
        <f>Macro!CX$3</f>
        <v>1Q30E</v>
      </c>
      <c r="CY47" s="125" t="str">
        <f>Macro!CY$3</f>
        <v>2Q30E</v>
      </c>
      <c r="CZ47" s="125" t="str">
        <f>Macro!CZ$3</f>
        <v>3Q30E</v>
      </c>
      <c r="DA47" s="125" t="str">
        <f>Macro!DA$3</f>
        <v>4Q30E</v>
      </c>
      <c r="DB47" s="126" t="str">
        <f>Macro!DB$3</f>
        <v>2030E</v>
      </c>
    </row>
    <row r="48" spans="1:106" s="7" customFormat="1" ht="11.5" customHeight="1" thickTop="1" x14ac:dyDescent="0.35">
      <c r="A48" s="224" t="s">
        <v>63</v>
      </c>
      <c r="B48" s="530"/>
      <c r="C48" s="530"/>
      <c r="D48" s="530"/>
      <c r="E48" s="530"/>
      <c r="F48" s="226"/>
      <c r="G48" s="530"/>
      <c r="H48" s="530"/>
      <c r="I48" s="530"/>
      <c r="J48" s="530"/>
      <c r="K48" s="226"/>
      <c r="L48" s="530"/>
      <c r="M48" s="530"/>
      <c r="N48" s="530"/>
      <c r="O48" s="530"/>
      <c r="P48" s="226"/>
      <c r="Q48" s="530"/>
      <c r="R48" s="530"/>
      <c r="S48" s="530"/>
      <c r="T48" s="530"/>
      <c r="U48" s="226"/>
      <c r="V48" s="530"/>
      <c r="W48" s="530"/>
      <c r="X48" s="530"/>
      <c r="Y48" s="530"/>
      <c r="Z48" s="226"/>
      <c r="AA48" s="530"/>
      <c r="AB48" s="530"/>
      <c r="AC48" s="530"/>
      <c r="AD48" s="530"/>
      <c r="AE48" s="226"/>
      <c r="AF48" s="530"/>
      <c r="AG48" s="530"/>
      <c r="AH48" s="530"/>
      <c r="AI48" s="530"/>
      <c r="AJ48" s="226"/>
      <c r="AK48" s="530"/>
      <c r="AL48" s="530"/>
      <c r="AM48" s="530"/>
      <c r="AN48" s="530"/>
      <c r="AO48" s="226"/>
      <c r="AP48" s="530"/>
      <c r="AQ48" s="530"/>
      <c r="AR48" s="530"/>
      <c r="AS48" s="530"/>
      <c r="AT48" s="226"/>
      <c r="AU48" s="530"/>
      <c r="AV48" s="530"/>
      <c r="AW48" s="530"/>
      <c r="AX48" s="530"/>
      <c r="AY48" s="226"/>
      <c r="AZ48" s="530">
        <v>113001.45327196291</v>
      </c>
      <c r="BA48" s="530">
        <v>144904.07095939908</v>
      </c>
      <c r="BB48" s="530">
        <v>315623.59033234965</v>
      </c>
      <c r="BC48" s="530">
        <v>490239.49684271927</v>
      </c>
      <c r="BD48" s="226">
        <f>SUM(AZ48:BC48)</f>
        <v>1063768.6114064311</v>
      </c>
      <c r="BE48" s="530">
        <v>51514.972639822736</v>
      </c>
      <c r="BF48" s="530">
        <v>228769.31480748171</v>
      </c>
      <c r="BG48" s="530">
        <v>311076.19851223123</v>
      </c>
      <c r="BH48" s="530">
        <v>1053272.1988024039</v>
      </c>
      <c r="BI48" s="226">
        <f>SUM(BE48:BH48)</f>
        <v>1644632.6847619396</v>
      </c>
      <c r="BJ48" s="530">
        <v>305285.67440515594</v>
      </c>
      <c r="BK48" s="530">
        <v>865773.62529946538</v>
      </c>
      <c r="BL48" s="530">
        <v>1475302.7211587294</v>
      </c>
      <c r="BM48" s="530">
        <v>1233437.2366934286</v>
      </c>
      <c r="BN48" s="226">
        <f>SUM(BJ48:BM48)</f>
        <v>3879799.2575567793</v>
      </c>
      <c r="BO48" s="530">
        <v>543289.34761418006</v>
      </c>
      <c r="BP48" s="530">
        <v>1267555.851595131</v>
      </c>
      <c r="BQ48" s="530">
        <v>495183.0183</v>
      </c>
      <c r="BR48" s="530">
        <v>900511.07074995234</v>
      </c>
      <c r="BS48" s="226">
        <f>SUM(BO48:BR48)</f>
        <v>3206539.2882592636</v>
      </c>
      <c r="BT48" s="530">
        <v>228427.91913945222</v>
      </c>
      <c r="BU48" s="530">
        <v>267016.98636808421</v>
      </c>
      <c r="BV48" s="530">
        <v>934203.34575620992</v>
      </c>
      <c r="BW48" s="530">
        <v>883605.52099999948</v>
      </c>
      <c r="BX48" s="226">
        <f>SUM(BT48:BW48)</f>
        <v>2313253.7722637458</v>
      </c>
      <c r="BY48" s="530">
        <v>619962.33851000015</v>
      </c>
      <c r="BZ48" s="530">
        <v>1103797.9792163312</v>
      </c>
      <c r="CA48" s="530">
        <v>322577.47803020809</v>
      </c>
      <c r="CB48" s="530">
        <v>859740.01171082142</v>
      </c>
      <c r="CC48" s="226">
        <f>SUM(BY48:CB48)</f>
        <v>2906077.807467361</v>
      </c>
      <c r="CD48" s="530">
        <v>478000</v>
      </c>
      <c r="CE48" s="530">
        <v>1553578.730423077</v>
      </c>
      <c r="CF48" s="611">
        <f>CC48*(1+Macro!CF11)*25%</f>
        <v>752303.10945904604</v>
      </c>
      <c r="CG48" s="611">
        <f>CC48*(1+Macro!CF11)*25%</f>
        <v>752303.10945904604</v>
      </c>
      <c r="CH48" s="226">
        <f>SUM(CD48:CG48)</f>
        <v>3536184.9493411696</v>
      </c>
      <c r="CI48" s="611">
        <f>CH48*(1+Macro!CK11)*25%</f>
        <v>917424.61536850512</v>
      </c>
      <c r="CJ48" s="611">
        <f>CH48*(1+Macro!CK11)*25%</f>
        <v>917424.61536850512</v>
      </c>
      <c r="CK48" s="611">
        <f>CH48*(1+Macro!CK11)*25%</f>
        <v>917424.61536850512</v>
      </c>
      <c r="CL48" s="611">
        <f>CH48*(1+Macro!CK11)*25%</f>
        <v>917424.61536850512</v>
      </c>
      <c r="CM48" s="226">
        <f t="shared" ref="CM48:CM49" si="230">SUM(CI48:CL48)</f>
        <v>3669698.4614740205</v>
      </c>
      <c r="CN48" s="611">
        <f>CM48*(1+Macro!CP11)*25%</f>
        <v>954121.59998324537</v>
      </c>
      <c r="CO48" s="611">
        <f>CM48*(1+Macro!CP11)*25%</f>
        <v>954121.59998324537</v>
      </c>
      <c r="CP48" s="611">
        <f>CM48*(1+Macro!CP11)*25%</f>
        <v>954121.59998324537</v>
      </c>
      <c r="CQ48" s="611">
        <f>CM48*(1+Macro!CP11)*25%</f>
        <v>954121.59998324537</v>
      </c>
      <c r="CR48" s="226">
        <f t="shared" ref="CR48:CR49" si="231">SUM(CN48:CQ48)</f>
        <v>3816486.3999329815</v>
      </c>
      <c r="CS48" s="611">
        <f>CR48*(1+Macro!CU11)*25%</f>
        <v>987515.85598265892</v>
      </c>
      <c r="CT48" s="611">
        <f>CR48*(1+Macro!CU11)*25%</f>
        <v>987515.85598265892</v>
      </c>
      <c r="CU48" s="611">
        <f>CR48*(1+Macro!CU11)*25%</f>
        <v>987515.85598265892</v>
      </c>
      <c r="CV48" s="611">
        <f>CR48*(1+Macro!CU11)*25%</f>
        <v>987515.85598265892</v>
      </c>
      <c r="CW48" s="226">
        <f t="shared" ref="CW48:CW49" si="232">SUM(CS48:CV48)</f>
        <v>3950063.4239306357</v>
      </c>
      <c r="CX48" s="611">
        <f>CW48*(1+Macro!CZ11)*25%</f>
        <v>1022078.9109420519</v>
      </c>
      <c r="CY48" s="611">
        <f>CW48*(1+Macro!CZ11)*25%</f>
        <v>1022078.9109420519</v>
      </c>
      <c r="CZ48" s="611">
        <f>CW48*(1+Macro!CZ11)*25%</f>
        <v>1022078.9109420519</v>
      </c>
      <c r="DA48" s="611">
        <f>CW48*(1+Macro!CZ11)*25%</f>
        <v>1022078.9109420519</v>
      </c>
      <c r="DB48" s="226">
        <f t="shared" ref="DB48:DB49" si="233">SUM(CX48:DA48)</f>
        <v>4088315.6437682076</v>
      </c>
    </row>
    <row r="49" spans="1:106" s="7" customFormat="1" ht="11.5" customHeight="1" x14ac:dyDescent="0.35">
      <c r="A49" s="11" t="s">
        <v>64</v>
      </c>
      <c r="B49" s="396"/>
      <c r="C49" s="396"/>
      <c r="D49" s="396"/>
      <c r="E49" s="396"/>
      <c r="F49" s="226"/>
      <c r="G49" s="396"/>
      <c r="H49" s="396"/>
      <c r="I49" s="396"/>
      <c r="J49" s="396"/>
      <c r="K49" s="226"/>
      <c r="L49" s="396"/>
      <c r="M49" s="396"/>
      <c r="N49" s="396"/>
      <c r="O49" s="396"/>
      <c r="P49" s="226"/>
      <c r="Q49" s="396"/>
      <c r="R49" s="396"/>
      <c r="S49" s="396"/>
      <c r="T49" s="396"/>
      <c r="U49" s="226"/>
      <c r="V49" s="396"/>
      <c r="W49" s="396"/>
      <c r="X49" s="396"/>
      <c r="Y49" s="396"/>
      <c r="Z49" s="226"/>
      <c r="AA49" s="396"/>
      <c r="AB49" s="396"/>
      <c r="AC49" s="396"/>
      <c r="AD49" s="396"/>
      <c r="AE49" s="226"/>
      <c r="AF49" s="396"/>
      <c r="AG49" s="396"/>
      <c r="AH49" s="396"/>
      <c r="AI49" s="396"/>
      <c r="AJ49" s="226"/>
      <c r="AK49" s="396"/>
      <c r="AL49" s="396"/>
      <c r="AM49" s="396"/>
      <c r="AN49" s="396"/>
      <c r="AO49" s="226"/>
      <c r="AP49" s="396"/>
      <c r="AQ49" s="396"/>
      <c r="AR49" s="396"/>
      <c r="AS49" s="396"/>
      <c r="AT49" s="226"/>
      <c r="AU49" s="396"/>
      <c r="AV49" s="396"/>
      <c r="AW49" s="396"/>
      <c r="AX49" s="396"/>
      <c r="AY49" s="226"/>
      <c r="AZ49" s="396">
        <v>75363.107250981455</v>
      </c>
      <c r="BA49" s="396">
        <v>108678.0532195493</v>
      </c>
      <c r="BB49" s="396">
        <v>287052.25258234964</v>
      </c>
      <c r="BC49" s="396">
        <v>455118.12767672556</v>
      </c>
      <c r="BD49" s="226">
        <f>SUM(AZ49:BC49)</f>
        <v>926211.54072960594</v>
      </c>
      <c r="BE49" s="396">
        <v>25757.486319911368</v>
      </c>
      <c r="BF49" s="396">
        <v>177610.36066588087</v>
      </c>
      <c r="BG49" s="396">
        <v>311076.19851223123</v>
      </c>
      <c r="BH49" s="396">
        <v>976611.1696524038</v>
      </c>
      <c r="BI49" s="226">
        <f>SUM(BE49:BH49)</f>
        <v>1491055.2151504273</v>
      </c>
      <c r="BJ49" s="396">
        <v>228964.25580386698</v>
      </c>
      <c r="BK49" s="396">
        <v>816355.16820467531</v>
      </c>
      <c r="BL49" s="396">
        <v>1325941.6729945301</v>
      </c>
      <c r="BM49" s="396">
        <v>709276.24697436194</v>
      </c>
      <c r="BN49" s="226">
        <f>SUM(BJ49:BM49)</f>
        <v>3080537.3439774346</v>
      </c>
      <c r="BO49" s="396">
        <v>515067.61767991236</v>
      </c>
      <c r="BP49" s="396">
        <v>931420.11282601499</v>
      </c>
      <c r="BQ49" s="396">
        <v>442175.5183</v>
      </c>
      <c r="BR49" s="396">
        <v>613839.63626214978</v>
      </c>
      <c r="BS49" s="226">
        <f>SUM(BO49:BR49)</f>
        <v>2502502.8850680776</v>
      </c>
      <c r="BT49" s="396">
        <v>191479.08338255083</v>
      </c>
      <c r="BU49" s="396">
        <v>227053.69818404209</v>
      </c>
      <c r="BV49" s="396">
        <v>776110.58492179785</v>
      </c>
      <c r="BW49" s="396">
        <v>814130.32099999965</v>
      </c>
      <c r="BX49" s="226">
        <f>SUM(BT49:BW49)</f>
        <v>2008773.6874883906</v>
      </c>
      <c r="BY49" s="396">
        <v>578775.86551000015</v>
      </c>
      <c r="BZ49" s="396">
        <v>790945.59446329193</v>
      </c>
      <c r="CA49" s="396">
        <v>261353.26106510404</v>
      </c>
      <c r="CB49" s="396">
        <v>731746.94523341511</v>
      </c>
      <c r="CC49" s="226">
        <f>SUM(BY49:CB49)</f>
        <v>2362821.6662718114</v>
      </c>
      <c r="CD49" s="396">
        <v>474997.23819083296</v>
      </c>
      <c r="CE49" s="396">
        <v>1362790.5172220373</v>
      </c>
      <c r="CF49" s="529">
        <f>CF48*CF50</f>
        <v>639457.64304018917</v>
      </c>
      <c r="CG49" s="529">
        <f t="shared" ref="CG49" si="234">CG48*CG50</f>
        <v>639457.64304018917</v>
      </c>
      <c r="CH49" s="226">
        <f>SUM(CD49:CG49)</f>
        <v>3116703.0414932487</v>
      </c>
      <c r="CI49" s="529">
        <f t="shared" ref="CI49" si="235">CI48*CI50</f>
        <v>779810.9230632293</v>
      </c>
      <c r="CJ49" s="529">
        <f t="shared" ref="CJ49:CK49" si="236">CJ48*CJ50</f>
        <v>779810.9230632293</v>
      </c>
      <c r="CK49" s="529">
        <f t="shared" si="236"/>
        <v>779810.9230632293</v>
      </c>
      <c r="CL49" s="529">
        <f t="shared" ref="CL49" si="237">CL48*CL50</f>
        <v>779810.9230632293</v>
      </c>
      <c r="CM49" s="226">
        <f t="shared" si="230"/>
        <v>3119243.6922529172</v>
      </c>
      <c r="CN49" s="529">
        <f t="shared" ref="CN49" si="238">CN48*CN50</f>
        <v>811003.35998575855</v>
      </c>
      <c r="CO49" s="529">
        <f t="shared" ref="CO49:CP49" si="239">CO48*CO50</f>
        <v>811003.35998575855</v>
      </c>
      <c r="CP49" s="529">
        <f t="shared" si="239"/>
        <v>811003.35998575855</v>
      </c>
      <c r="CQ49" s="529">
        <f t="shared" ref="CQ49" si="240">CQ48*CQ50</f>
        <v>811003.35998575855</v>
      </c>
      <c r="CR49" s="226">
        <f t="shared" si="231"/>
        <v>3244013.4399430342</v>
      </c>
      <c r="CS49" s="529">
        <f t="shared" ref="CS49" si="241">CS48*CS50</f>
        <v>839388.47758526006</v>
      </c>
      <c r="CT49" s="529">
        <f t="shared" ref="CT49:CU49" si="242">CT48*CT50</f>
        <v>839388.47758526006</v>
      </c>
      <c r="CU49" s="529">
        <f t="shared" si="242"/>
        <v>839388.47758526006</v>
      </c>
      <c r="CV49" s="529">
        <f t="shared" ref="CV49" si="243">CV48*CV50</f>
        <v>839388.47758526006</v>
      </c>
      <c r="CW49" s="226">
        <f t="shared" si="232"/>
        <v>3357553.9103410402</v>
      </c>
      <c r="CX49" s="529">
        <f t="shared" ref="CX49" si="244">CX48*CX50</f>
        <v>868767.07430074411</v>
      </c>
      <c r="CY49" s="529">
        <f t="shared" ref="CY49:CZ49" si="245">CY48*CY50</f>
        <v>868767.07430074411</v>
      </c>
      <c r="CZ49" s="529">
        <f t="shared" si="245"/>
        <v>868767.07430074411</v>
      </c>
      <c r="DA49" s="529">
        <f t="shared" ref="DA49" si="246">DA48*DA50</f>
        <v>868767.07430074411</v>
      </c>
      <c r="DB49" s="226">
        <f t="shared" si="233"/>
        <v>3475068.2972029764</v>
      </c>
    </row>
    <row r="50" spans="1:106" s="7" customFormat="1" ht="11.5" customHeight="1" x14ac:dyDescent="0.35">
      <c r="A50" s="7" t="s">
        <v>66</v>
      </c>
      <c r="B50" s="340"/>
      <c r="C50" s="340"/>
      <c r="D50" s="340"/>
      <c r="E50" s="340"/>
      <c r="F50" s="341"/>
      <c r="G50" s="340"/>
      <c r="H50" s="340"/>
      <c r="I50" s="340"/>
      <c r="J50" s="340"/>
      <c r="K50" s="341"/>
      <c r="L50" s="340"/>
      <c r="M50" s="340"/>
      <c r="N50" s="340"/>
      <c r="O50" s="340"/>
      <c r="P50" s="341"/>
      <c r="Q50" s="340"/>
      <c r="R50" s="340"/>
      <c r="S50" s="340"/>
      <c r="T50" s="340"/>
      <c r="U50" s="341"/>
      <c r="V50" s="340"/>
      <c r="W50" s="340"/>
      <c r="X50" s="340"/>
      <c r="Y50" s="340"/>
      <c r="Z50" s="341"/>
      <c r="AA50" s="340"/>
      <c r="AB50" s="340"/>
      <c r="AC50" s="340"/>
      <c r="AD50" s="340"/>
      <c r="AE50" s="341"/>
      <c r="AF50" s="340"/>
      <c r="AG50" s="340"/>
      <c r="AH50" s="340"/>
      <c r="AI50" s="340"/>
      <c r="AJ50" s="341"/>
      <c r="AK50" s="340"/>
      <c r="AL50" s="340"/>
      <c r="AM50" s="340"/>
      <c r="AN50" s="340"/>
      <c r="AO50" s="341"/>
      <c r="AP50" s="340"/>
      <c r="AQ50" s="340"/>
      <c r="AR50" s="340"/>
      <c r="AS50" s="340"/>
      <c r="AT50" s="341"/>
      <c r="AU50" s="340"/>
      <c r="AV50" s="340"/>
      <c r="AW50" s="340"/>
      <c r="AX50" s="340"/>
      <c r="AY50" s="341"/>
      <c r="AZ50" s="340">
        <f t="shared" ref="AZ50:BZ50" si="247">AZ49/AZ48</f>
        <v>0.66692157550933018</v>
      </c>
      <c r="BA50" s="340">
        <f t="shared" si="247"/>
        <v>0.75</v>
      </c>
      <c r="BB50" s="340">
        <f t="shared" si="247"/>
        <v>0.90947654540044176</v>
      </c>
      <c r="BC50" s="340">
        <f t="shared" si="247"/>
        <v>0.92835875242165267</v>
      </c>
      <c r="BD50" s="341">
        <f t="shared" si="247"/>
        <v>0.8706889174940422</v>
      </c>
      <c r="BE50" s="340">
        <f t="shared" si="247"/>
        <v>0.5</v>
      </c>
      <c r="BF50" s="340">
        <f t="shared" si="247"/>
        <v>0.77637318105947428</v>
      </c>
      <c r="BG50" s="340">
        <f t="shared" si="247"/>
        <v>1</v>
      </c>
      <c r="BH50" s="340">
        <f t="shared" si="247"/>
        <v>0.92721631764593659</v>
      </c>
      <c r="BI50" s="341">
        <f t="shared" si="247"/>
        <v>0.90661898487458148</v>
      </c>
      <c r="BJ50" s="340">
        <f t="shared" si="247"/>
        <v>0.75000000000000011</v>
      </c>
      <c r="BK50" s="340">
        <f t="shared" si="247"/>
        <v>0.94291988615650357</v>
      </c>
      <c r="BL50" s="340">
        <f t="shared" si="247"/>
        <v>0.89875905058530059</v>
      </c>
      <c r="BM50" s="340">
        <f t="shared" si="247"/>
        <v>0.57504040406285617</v>
      </c>
      <c r="BN50" s="341">
        <f t="shared" si="247"/>
        <v>0.7939940031632815</v>
      </c>
      <c r="BO50" s="340">
        <f t="shared" si="247"/>
        <v>0.94805396045734824</v>
      </c>
      <c r="BP50" s="340">
        <f t="shared" si="247"/>
        <v>0.73481583604689882</v>
      </c>
      <c r="BQ50" s="340">
        <f t="shared" si="247"/>
        <v>0.8929537200569222</v>
      </c>
      <c r="BR50" s="340">
        <f t="shared" si="247"/>
        <v>0.6816569570332317</v>
      </c>
      <c r="BS50" s="341">
        <f t="shared" si="247"/>
        <v>0.78043730642284226</v>
      </c>
      <c r="BT50" s="340">
        <f t="shared" si="247"/>
        <v>0.83824728651341163</v>
      </c>
      <c r="BU50" s="340">
        <f t="shared" si="247"/>
        <v>0.85033428499206964</v>
      </c>
      <c r="BV50" s="340">
        <f t="shared" si="247"/>
        <v>0.83077264542823848</v>
      </c>
      <c r="BW50" s="340">
        <f t="shared" si="247"/>
        <v>0.92137305805720526</v>
      </c>
      <c r="BX50" s="341">
        <f t="shared" si="247"/>
        <v>0.86837583994193968</v>
      </c>
      <c r="BY50" s="340">
        <f t="shared" si="247"/>
        <v>0.93356616935959946</v>
      </c>
      <c r="BZ50" s="340">
        <f t="shared" si="247"/>
        <v>0.71656735141410877</v>
      </c>
      <c r="CA50" s="340">
        <f t="shared" ref="CA50:CB50" si="248">CA49/CA48</f>
        <v>0.81020306396167363</v>
      </c>
      <c r="CB50" s="340">
        <f t="shared" si="248"/>
        <v>0.85112584649548972</v>
      </c>
      <c r="CC50" s="341">
        <f t="shared" ref="CC50:CE50" si="249">CC49/CC48</f>
        <v>0.81306207982469814</v>
      </c>
      <c r="CD50" s="340">
        <f t="shared" si="249"/>
        <v>0.99371807152893921</v>
      </c>
      <c r="CE50" s="340">
        <f t="shared" si="249"/>
        <v>0.87719437099329789</v>
      </c>
      <c r="CF50" s="528">
        <v>0.85</v>
      </c>
      <c r="CG50" s="528">
        <v>0.85</v>
      </c>
      <c r="CH50" s="341">
        <f t="shared" ref="CH50" si="250">CH49/CH48</f>
        <v>0.88137444340232396</v>
      </c>
      <c r="CI50" s="340">
        <f>CG50</f>
        <v>0.85</v>
      </c>
      <c r="CJ50" s="340">
        <f>CI50</f>
        <v>0.85</v>
      </c>
      <c r="CK50" s="340">
        <f t="shared" ref="CK50:CL50" si="251">CJ50</f>
        <v>0.85</v>
      </c>
      <c r="CL50" s="340">
        <f t="shared" si="251"/>
        <v>0.85</v>
      </c>
      <c r="CM50" s="341">
        <f t="shared" ref="CM50" si="252">CM49/CM48</f>
        <v>0.85</v>
      </c>
      <c r="CN50" s="340">
        <f t="shared" ref="CN50" si="253">CL50</f>
        <v>0.85</v>
      </c>
      <c r="CO50" s="340">
        <f t="shared" ref="CO50:DA50" si="254">CN50</f>
        <v>0.85</v>
      </c>
      <c r="CP50" s="340">
        <f t="shared" si="254"/>
        <v>0.85</v>
      </c>
      <c r="CQ50" s="340">
        <f t="shared" si="254"/>
        <v>0.85</v>
      </c>
      <c r="CR50" s="341">
        <f t="shared" ref="CR50:DB50" si="255">CR49/CR48</f>
        <v>0.85</v>
      </c>
      <c r="CS50" s="340">
        <f t="shared" ref="CS50" si="256">CQ50</f>
        <v>0.85</v>
      </c>
      <c r="CT50" s="340">
        <f t="shared" ref="CT50" si="257">CS50</f>
        <v>0.85</v>
      </c>
      <c r="CU50" s="340">
        <f t="shared" si="254"/>
        <v>0.85</v>
      </c>
      <c r="CV50" s="340">
        <f t="shared" si="254"/>
        <v>0.85</v>
      </c>
      <c r="CW50" s="341">
        <f t="shared" si="255"/>
        <v>0.85</v>
      </c>
      <c r="CX50" s="340">
        <f t="shared" ref="CX50" si="258">CV50</f>
        <v>0.85</v>
      </c>
      <c r="CY50" s="340">
        <f t="shared" ref="CY50" si="259">CX50</f>
        <v>0.85</v>
      </c>
      <c r="CZ50" s="340">
        <f t="shared" si="254"/>
        <v>0.85</v>
      </c>
      <c r="DA50" s="340">
        <f t="shared" si="254"/>
        <v>0.85</v>
      </c>
      <c r="DB50" s="341">
        <f t="shared" si="255"/>
        <v>0.85</v>
      </c>
    </row>
    <row r="51" spans="1:106" s="7" customFormat="1" ht="11.5" customHeight="1" x14ac:dyDescent="0.35">
      <c r="A51" s="7" t="s">
        <v>65</v>
      </c>
      <c r="B51" s="395"/>
      <c r="C51" s="395"/>
      <c r="D51" s="395"/>
      <c r="E51" s="395"/>
      <c r="F51" s="98"/>
      <c r="G51" s="395"/>
      <c r="H51" s="395"/>
      <c r="I51" s="395"/>
      <c r="J51" s="395"/>
      <c r="K51" s="98"/>
      <c r="L51" s="395"/>
      <c r="M51" s="395"/>
      <c r="N51" s="395"/>
      <c r="O51" s="395"/>
      <c r="P51" s="98"/>
      <c r="Q51" s="395"/>
      <c r="R51" s="395"/>
      <c r="S51" s="395"/>
      <c r="T51" s="395"/>
      <c r="U51" s="98"/>
      <c r="V51" s="395"/>
      <c r="W51" s="395"/>
      <c r="X51" s="395"/>
      <c r="Y51" s="395"/>
      <c r="Z51" s="98"/>
      <c r="AA51" s="395"/>
      <c r="AB51" s="395"/>
      <c r="AC51" s="395"/>
      <c r="AD51" s="395"/>
      <c r="AE51" s="98"/>
      <c r="AF51" s="395"/>
      <c r="AG51" s="395"/>
      <c r="AH51" s="395"/>
      <c r="AI51" s="395"/>
      <c r="AJ51" s="98"/>
      <c r="AK51" s="395"/>
      <c r="AL51" s="395"/>
      <c r="AM51" s="395"/>
      <c r="AN51" s="395"/>
      <c r="AO51" s="98"/>
      <c r="AP51" s="395"/>
      <c r="AQ51" s="395"/>
      <c r="AR51" s="395"/>
      <c r="AS51" s="395"/>
      <c r="AT51" s="98"/>
      <c r="AU51" s="395"/>
      <c r="AV51" s="395"/>
      <c r="AW51" s="395"/>
      <c r="AX51" s="395"/>
      <c r="AY51" s="98"/>
      <c r="AZ51" s="395">
        <v>403</v>
      </c>
      <c r="BA51" s="395">
        <v>228</v>
      </c>
      <c r="BB51" s="395">
        <v>562</v>
      </c>
      <c r="BC51" s="395">
        <v>691</v>
      </c>
      <c r="BD51" s="98">
        <f>SUM(AZ51:BC51)</f>
        <v>1884</v>
      </c>
      <c r="BE51" s="395">
        <v>160</v>
      </c>
      <c r="BF51" s="395">
        <v>466</v>
      </c>
      <c r="BG51" s="395">
        <v>468</v>
      </c>
      <c r="BH51" s="395">
        <v>2351</v>
      </c>
      <c r="BI51" s="98">
        <f>SUM(BE51:BH51)</f>
        <v>3445</v>
      </c>
      <c r="BJ51" s="395">
        <v>457</v>
      </c>
      <c r="BK51" s="395">
        <v>1751</v>
      </c>
      <c r="BL51" s="395">
        <v>2837</v>
      </c>
      <c r="BM51" s="395">
        <v>2086</v>
      </c>
      <c r="BN51" s="98">
        <f>SUM(BJ51:BM51)</f>
        <v>7131</v>
      </c>
      <c r="BO51" s="395">
        <v>1156</v>
      </c>
      <c r="BP51" s="395">
        <v>1798</v>
      </c>
      <c r="BQ51" s="395">
        <v>528</v>
      </c>
      <c r="BR51" s="395">
        <v>1268</v>
      </c>
      <c r="BS51" s="98">
        <f>SUM(BO51:BR51)</f>
        <v>4750</v>
      </c>
      <c r="BT51" s="395">
        <v>270</v>
      </c>
      <c r="BU51" s="395">
        <v>740</v>
      </c>
      <c r="BV51" s="395">
        <v>1776</v>
      </c>
      <c r="BW51" s="395">
        <v>1521</v>
      </c>
      <c r="BX51" s="98">
        <f>SUM(BT51:BW51)</f>
        <v>4307</v>
      </c>
      <c r="BY51" s="395">
        <v>1098</v>
      </c>
      <c r="BZ51" s="395">
        <v>1510</v>
      </c>
      <c r="CA51" s="395">
        <v>355</v>
      </c>
      <c r="CB51" s="395">
        <v>1199</v>
      </c>
      <c r="CC51" s="98">
        <f>SUM(BY51:CB51)</f>
        <v>4162</v>
      </c>
      <c r="CD51" s="395">
        <v>623</v>
      </c>
      <c r="CE51" s="395">
        <v>1786</v>
      </c>
      <c r="CF51" s="90">
        <f>CF48/CF52*1000</f>
        <v>864.85050752977145</v>
      </c>
      <c r="CG51" s="90">
        <f>CG48/CG52*1000</f>
        <v>864.85050752977145</v>
      </c>
      <c r="CH51" s="98">
        <f>SUM(CD51:CG51)</f>
        <v>4138.7010150595434</v>
      </c>
      <c r="CI51" s="90">
        <f t="shared" ref="CI51:CL51" si="260">CI48/CI52*1000</f>
        <v>1054.6748168996505</v>
      </c>
      <c r="CJ51" s="90">
        <f t="shared" si="260"/>
        <v>1054.6748168996505</v>
      </c>
      <c r="CK51" s="90">
        <f t="shared" si="260"/>
        <v>1054.6748168996505</v>
      </c>
      <c r="CL51" s="90">
        <f t="shared" si="260"/>
        <v>1054.6748168996505</v>
      </c>
      <c r="CM51" s="98">
        <f t="shared" ref="CM51" si="261">SUM(CI51:CL51)</f>
        <v>4218.6992675986021</v>
      </c>
      <c r="CN51" s="90">
        <f t="shared" ref="CN51:CQ51" si="262">CN48/CN52*1000</f>
        <v>1096.8618095756365</v>
      </c>
      <c r="CO51" s="90">
        <f t="shared" si="262"/>
        <v>1096.8618095756365</v>
      </c>
      <c r="CP51" s="90">
        <f t="shared" si="262"/>
        <v>1096.8618095756365</v>
      </c>
      <c r="CQ51" s="90">
        <f t="shared" si="262"/>
        <v>1096.8618095756365</v>
      </c>
      <c r="CR51" s="98">
        <f t="shared" ref="CR51" si="263">SUM(CN51:CQ51)</f>
        <v>4387.4472383025459</v>
      </c>
      <c r="CS51" s="90">
        <f t="shared" ref="CS51:CV51" si="264">CS48/CS52*1000</f>
        <v>1135.2519729107837</v>
      </c>
      <c r="CT51" s="90">
        <f t="shared" si="264"/>
        <v>1135.2519729107837</v>
      </c>
      <c r="CU51" s="90">
        <f t="shared" si="264"/>
        <v>1135.2519729107837</v>
      </c>
      <c r="CV51" s="90">
        <f t="shared" si="264"/>
        <v>1135.2519729107837</v>
      </c>
      <c r="CW51" s="98">
        <f t="shared" ref="CW51" si="265">SUM(CS51:CV51)</f>
        <v>4541.0078916431348</v>
      </c>
      <c r="CX51" s="90">
        <f t="shared" ref="CX51:DA51" si="266">CX48/CX52*1000</f>
        <v>1174.9857919626609</v>
      </c>
      <c r="CY51" s="90">
        <f t="shared" si="266"/>
        <v>1174.9857919626609</v>
      </c>
      <c r="CZ51" s="90">
        <f t="shared" si="266"/>
        <v>1174.9857919626609</v>
      </c>
      <c r="DA51" s="90">
        <f t="shared" si="266"/>
        <v>1174.9857919626609</v>
      </c>
      <c r="DB51" s="98">
        <f t="shared" ref="DB51" si="267">SUM(CX51:DA51)</f>
        <v>4699.9431678506435</v>
      </c>
    </row>
    <row r="52" spans="1:106" s="7" customFormat="1" ht="11.5" customHeight="1" x14ac:dyDescent="0.35">
      <c r="A52" s="78" t="s">
        <v>67</v>
      </c>
      <c r="B52" s="93"/>
      <c r="C52" s="93"/>
      <c r="D52" s="93"/>
      <c r="E52" s="93"/>
      <c r="F52" s="73"/>
      <c r="G52" s="93"/>
      <c r="H52" s="93"/>
      <c r="I52" s="93"/>
      <c r="J52" s="93"/>
      <c r="K52" s="73"/>
      <c r="L52" s="93"/>
      <c r="M52" s="93"/>
      <c r="N52" s="93"/>
      <c r="O52" s="93"/>
      <c r="P52" s="73"/>
      <c r="Q52" s="93"/>
      <c r="R52" s="93"/>
      <c r="S52" s="93"/>
      <c r="T52" s="93"/>
      <c r="U52" s="73"/>
      <c r="V52" s="93"/>
      <c r="W52" s="93"/>
      <c r="X52" s="93"/>
      <c r="Y52" s="93"/>
      <c r="Z52" s="73"/>
      <c r="AA52" s="93"/>
      <c r="AB52" s="93"/>
      <c r="AC52" s="93"/>
      <c r="AD52" s="93"/>
      <c r="AE52" s="73"/>
      <c r="AF52" s="93"/>
      <c r="AG52" s="93"/>
      <c r="AH52" s="93"/>
      <c r="AI52" s="93"/>
      <c r="AJ52" s="73"/>
      <c r="AK52" s="93"/>
      <c r="AL52" s="93"/>
      <c r="AM52" s="93"/>
      <c r="AN52" s="93"/>
      <c r="AO52" s="73"/>
      <c r="AP52" s="93"/>
      <c r="AQ52" s="93"/>
      <c r="AR52" s="93"/>
      <c r="AS52" s="93"/>
      <c r="AT52" s="73"/>
      <c r="AU52" s="93"/>
      <c r="AV52" s="93"/>
      <c r="AW52" s="93"/>
      <c r="AX52" s="93"/>
      <c r="AY52" s="73"/>
      <c r="AZ52" s="93">
        <f t="shared" ref="AZ52:BZ52" si="268">AZ48*1000/AZ51</f>
        <v>280400.62846640922</v>
      </c>
      <c r="BA52" s="93">
        <f t="shared" si="268"/>
        <v>635544.17087455734</v>
      </c>
      <c r="BB52" s="93">
        <f t="shared" si="268"/>
        <v>561607.81197926984</v>
      </c>
      <c r="BC52" s="93">
        <f t="shared" si="268"/>
        <v>709463.8159807804</v>
      </c>
      <c r="BD52" s="73">
        <f t="shared" si="268"/>
        <v>564633.02091636474</v>
      </c>
      <c r="BE52" s="93">
        <f t="shared" si="268"/>
        <v>321968.5789988921</v>
      </c>
      <c r="BF52" s="93">
        <f t="shared" si="268"/>
        <v>490921.27641090495</v>
      </c>
      <c r="BG52" s="93">
        <f t="shared" si="268"/>
        <v>664692.731863742</v>
      </c>
      <c r="BH52" s="93">
        <f t="shared" si="268"/>
        <v>448010.29298273241</v>
      </c>
      <c r="BI52" s="73">
        <f t="shared" si="268"/>
        <v>477397.00573641207</v>
      </c>
      <c r="BJ52" s="93">
        <f t="shared" si="268"/>
        <v>668021.16937670892</v>
      </c>
      <c r="BK52" s="93">
        <f t="shared" si="268"/>
        <v>494445.24574498308</v>
      </c>
      <c r="BL52" s="93">
        <f t="shared" si="268"/>
        <v>520022.10826885066</v>
      </c>
      <c r="BM52" s="93">
        <f t="shared" si="268"/>
        <v>591293.01854910282</v>
      </c>
      <c r="BN52" s="73">
        <f t="shared" si="268"/>
        <v>544075.06065864244</v>
      </c>
      <c r="BO52" s="93">
        <f t="shared" si="268"/>
        <v>469973.48409531149</v>
      </c>
      <c r="BP52" s="93">
        <f t="shared" si="268"/>
        <v>704981.00756125187</v>
      </c>
      <c r="BQ52" s="93">
        <f t="shared" si="268"/>
        <v>937846.62556818186</v>
      </c>
      <c r="BR52" s="93">
        <f t="shared" si="268"/>
        <v>710182.2324526438</v>
      </c>
      <c r="BS52" s="73">
        <f t="shared" si="268"/>
        <v>675060.90279142396</v>
      </c>
      <c r="BT52" s="93">
        <f t="shared" si="268"/>
        <v>846029.33014611935</v>
      </c>
      <c r="BU52" s="93">
        <f t="shared" si="268"/>
        <v>360833.765362276</v>
      </c>
      <c r="BV52" s="93">
        <f t="shared" si="268"/>
        <v>526015.39738525334</v>
      </c>
      <c r="BW52" s="93">
        <f t="shared" si="268"/>
        <v>580937.22616699513</v>
      </c>
      <c r="BX52" s="73">
        <f t="shared" si="268"/>
        <v>537091.65829202358</v>
      </c>
      <c r="BY52" s="93">
        <f t="shared" si="268"/>
        <v>564628.72359745007</v>
      </c>
      <c r="BZ52" s="93">
        <f t="shared" si="268"/>
        <v>730992.03921611339</v>
      </c>
      <c r="CA52" s="93">
        <f t="shared" ref="CA52:CB52" si="269">CA48*1000/CA51</f>
        <v>908668.95219776931</v>
      </c>
      <c r="CB52" s="93">
        <f t="shared" si="269"/>
        <v>717047.54938350408</v>
      </c>
      <c r="CC52" s="73">
        <f>CC48*1000/CC51</f>
        <v>698240.70337995223</v>
      </c>
      <c r="CD52" s="93">
        <f t="shared" ref="CD52:CE52" si="270">CD48*1000/CD51</f>
        <v>767255.21669341892</v>
      </c>
      <c r="CE52" s="93">
        <f t="shared" si="270"/>
        <v>869864.91065121896</v>
      </c>
      <c r="CF52" s="508">
        <f>CE52*(1+Macro!CF50)</f>
        <v>869864.91065121896</v>
      </c>
      <c r="CG52" s="508">
        <f>CF52*(1+Macro!CG50)</f>
        <v>869864.91065121896</v>
      </c>
      <c r="CH52" s="73">
        <f>CH48*1000/CH51</f>
        <v>854419.04029162985</v>
      </c>
      <c r="CI52" s="508">
        <f>CG52*(1+Macro!CI50)</f>
        <v>869864.91065121896</v>
      </c>
      <c r="CJ52" s="508">
        <f>CI52*(1+Macro!CJ50)</f>
        <v>869864.91065121896</v>
      </c>
      <c r="CK52" s="508">
        <f>CJ52*(1+Macro!CK50)</f>
        <v>869864.91065121896</v>
      </c>
      <c r="CL52" s="508">
        <f>CK52*(1+Macro!CL50)</f>
        <v>869864.91065121896</v>
      </c>
      <c r="CM52" s="73">
        <f t="shared" ref="CM52" si="271">CM48*1000/CM51</f>
        <v>869864.91065121884</v>
      </c>
      <c r="CN52" s="508">
        <f>CL52*(1+Macro!CN50)</f>
        <v>869864.91065121896</v>
      </c>
      <c r="CO52" s="508">
        <f>CN52*(1+Macro!CO50)</f>
        <v>869864.91065121896</v>
      </c>
      <c r="CP52" s="508">
        <f>CO52*(1+Macro!CP50)</f>
        <v>869864.91065121896</v>
      </c>
      <c r="CQ52" s="508">
        <f>CP52*(1+Macro!CQ50)</f>
        <v>869864.91065121896</v>
      </c>
      <c r="CR52" s="73">
        <f t="shared" ref="CR52" si="272">CR48*1000/CR51</f>
        <v>869864.91065121896</v>
      </c>
      <c r="CS52" s="508">
        <f>CQ52*(1+Macro!CS50)</f>
        <v>869864.91065121896</v>
      </c>
      <c r="CT52" s="508">
        <f>CS52*(1+Macro!CT50)</f>
        <v>869864.91065121896</v>
      </c>
      <c r="CU52" s="508">
        <f>CT52*(1+Macro!CU50)</f>
        <v>869864.91065121896</v>
      </c>
      <c r="CV52" s="508">
        <f>CU52*(1+Macro!CV50)</f>
        <v>869864.91065121896</v>
      </c>
      <c r="CW52" s="73">
        <f t="shared" ref="CW52" si="273">CW48*1000/CW51</f>
        <v>869864.91065121896</v>
      </c>
      <c r="CX52" s="508">
        <f>CV52*(1+Macro!CX50)</f>
        <v>869864.91065121896</v>
      </c>
      <c r="CY52" s="508">
        <f>CX52*(1+Macro!CY50)</f>
        <v>869864.91065121896</v>
      </c>
      <c r="CZ52" s="508">
        <f>CY52*(1+Macro!CZ50)</f>
        <v>869864.91065121896</v>
      </c>
      <c r="DA52" s="508">
        <f>CZ52*(1+Macro!DA50)</f>
        <v>869864.91065121896</v>
      </c>
      <c r="DB52" s="73">
        <f t="shared" ref="DB52" si="274">DB48*1000/DB51</f>
        <v>869864.91065121908</v>
      </c>
    </row>
    <row r="53" spans="1:106" s="7" customFormat="1" ht="11.5" customHeight="1" x14ac:dyDescent="0.35">
      <c r="A53" s="11" t="s">
        <v>61</v>
      </c>
      <c r="B53" s="396"/>
      <c r="C53" s="396"/>
      <c r="D53" s="396"/>
      <c r="E53" s="396"/>
      <c r="F53" s="225"/>
      <c r="G53" s="396"/>
      <c r="H53" s="396"/>
      <c r="I53" s="396"/>
      <c r="J53" s="396"/>
      <c r="K53" s="225"/>
      <c r="L53" s="396"/>
      <c r="M53" s="396"/>
      <c r="N53" s="396"/>
      <c r="O53" s="396"/>
      <c r="P53" s="225"/>
      <c r="Q53" s="396"/>
      <c r="R53" s="396"/>
      <c r="S53" s="396"/>
      <c r="T53" s="396"/>
      <c r="U53" s="225"/>
      <c r="V53" s="396"/>
      <c r="W53" s="396"/>
      <c r="X53" s="396"/>
      <c r="Y53" s="396"/>
      <c r="Z53" s="225"/>
      <c r="AA53" s="396"/>
      <c r="AB53" s="396"/>
      <c r="AC53" s="396"/>
      <c r="AD53" s="396"/>
      <c r="AE53" s="225"/>
      <c r="AF53" s="396"/>
      <c r="AG53" s="396"/>
      <c r="AH53" s="396"/>
      <c r="AI53" s="396"/>
      <c r="AJ53" s="225"/>
      <c r="AK53" s="396"/>
      <c r="AL53" s="396"/>
      <c r="AM53" s="396"/>
      <c r="AN53" s="396"/>
      <c r="AO53" s="225"/>
      <c r="AP53" s="396"/>
      <c r="AQ53" s="396"/>
      <c r="AR53" s="396"/>
      <c r="AS53" s="396"/>
      <c r="AT53" s="225"/>
      <c r="AU53" s="396"/>
      <c r="AV53" s="396"/>
      <c r="AW53" s="396"/>
      <c r="AX53" s="396"/>
      <c r="AY53" s="225"/>
      <c r="AZ53" s="396">
        <v>218157.26583443797</v>
      </c>
      <c r="BA53" s="396">
        <v>168701.7049096456</v>
      </c>
      <c r="BB53" s="396">
        <v>483422.98099300853</v>
      </c>
      <c r="BC53" s="396">
        <v>428482.74642335245</v>
      </c>
      <c r="BD53" s="225">
        <f>SUM(AZ53:BC53)</f>
        <v>1298764.6981604446</v>
      </c>
      <c r="BE53" s="396">
        <v>183909.64832200782</v>
      </c>
      <c r="BF53" s="396">
        <v>208253.10794446984</v>
      </c>
      <c r="BG53" s="396">
        <v>221880.45994233136</v>
      </c>
      <c r="BH53" s="396">
        <v>406374.94867987389</v>
      </c>
      <c r="BI53" s="225">
        <f>SUM(BE53:BH53)</f>
        <v>1020418.164888683</v>
      </c>
      <c r="BJ53" s="396">
        <v>448485.35061750287</v>
      </c>
      <c r="BK53" s="396">
        <v>549700.09669178422</v>
      </c>
      <c r="BL53" s="396">
        <v>1181610.098306834</v>
      </c>
      <c r="BM53" s="396">
        <v>1222533.8223574357</v>
      </c>
      <c r="BN53" s="225">
        <f>SUM(BJ53:BM53)</f>
        <v>3402329.3679735567</v>
      </c>
      <c r="BO53" s="396">
        <v>510871.66868532007</v>
      </c>
      <c r="BP53" s="396">
        <v>782084.91706713848</v>
      </c>
      <c r="BQ53" s="396">
        <v>677221.4663854395</v>
      </c>
      <c r="BR53" s="396">
        <v>942901.91931260005</v>
      </c>
      <c r="BS53" s="225">
        <f>SUM(BO53:BR53)</f>
        <v>2913079.9714504983</v>
      </c>
      <c r="BT53" s="396">
        <v>527536.15612988221</v>
      </c>
      <c r="BU53" s="396">
        <v>818979.64679868205</v>
      </c>
      <c r="BV53" s="396">
        <v>920969.85421324987</v>
      </c>
      <c r="BW53" s="396">
        <v>893136.07096999988</v>
      </c>
      <c r="BX53" s="225">
        <f>SUM(BT53:BW53)</f>
        <v>3160621.7281118138</v>
      </c>
      <c r="BY53" s="396">
        <v>601775.14246</v>
      </c>
      <c r="BZ53" s="396">
        <v>718589.3580838826</v>
      </c>
      <c r="CA53" s="396">
        <v>451236.89855164825</v>
      </c>
      <c r="CB53" s="396">
        <f>802000+15000</f>
        <v>817000</v>
      </c>
      <c r="CC53" s="225">
        <f>SUM(BY53:CB53)</f>
        <v>2588601.3990955306</v>
      </c>
      <c r="CD53" s="396">
        <v>449561.69978460041</v>
      </c>
      <c r="CE53" s="396">
        <f>854861.87595662</f>
        <v>854861.87595661997</v>
      </c>
      <c r="CF53" s="95">
        <f>CF60*CF61</f>
        <v>741889.42315793945</v>
      </c>
      <c r="CG53" s="95">
        <f>CG60*CG61</f>
        <v>743659.74982912757</v>
      </c>
      <c r="CH53" s="225">
        <f>SUM(CD53:CG53)</f>
        <v>2789972.7487282874</v>
      </c>
      <c r="CI53" s="95">
        <f t="shared" ref="CI53:CL53" si="275">CI60*CI61</f>
        <v>682235.09732719557</v>
      </c>
      <c r="CJ53" s="95">
        <f t="shared" si="275"/>
        <v>717513.5250333919</v>
      </c>
      <c r="CK53" s="95">
        <f t="shared" si="275"/>
        <v>747500.18858365889</v>
      </c>
      <c r="CL53" s="95">
        <f t="shared" si="275"/>
        <v>772988.85260138579</v>
      </c>
      <c r="CM53" s="225">
        <f t="shared" ref="CM53:CM54" si="276">SUM(CI53:CL53)</f>
        <v>2920237.6635456323</v>
      </c>
      <c r="CN53" s="95">
        <f t="shared" ref="CN53:CQ53" si="277">CN60*CN61</f>
        <v>800158.76470866473</v>
      </c>
      <c r="CO53" s="95">
        <f t="shared" si="277"/>
        <v>823253.18999985186</v>
      </c>
      <c r="CP53" s="95">
        <f t="shared" si="277"/>
        <v>842883.45149736095</v>
      </c>
      <c r="CQ53" s="95">
        <f t="shared" si="277"/>
        <v>859569.17377024353</v>
      </c>
      <c r="CR53" s="225">
        <f t="shared" ref="CR53:CR54" si="278">SUM(CN53:CQ53)</f>
        <v>3325864.579976121</v>
      </c>
      <c r="CS53" s="95">
        <f t="shared" ref="CS53:CV53" si="279">CS60*CS61</f>
        <v>878761.17610210576</v>
      </c>
      <c r="CT53" s="95">
        <f t="shared" si="279"/>
        <v>895074.37808418891</v>
      </c>
      <c r="CU53" s="95">
        <f t="shared" si="279"/>
        <v>908940.59976895922</v>
      </c>
      <c r="CV53" s="95">
        <f t="shared" si="279"/>
        <v>920726.88820101426</v>
      </c>
      <c r="CW53" s="225">
        <f t="shared" ref="CW53:CW54" si="280">SUM(CS53:CV53)</f>
        <v>3603503.0421562679</v>
      </c>
      <c r="CX53" s="95">
        <f t="shared" ref="CX53:DA53" si="281">CX60*CX61</f>
        <v>935929.69161216973</v>
      </c>
      <c r="CY53" s="95">
        <f t="shared" si="281"/>
        <v>948852.07451165211</v>
      </c>
      <c r="CZ53" s="95">
        <f t="shared" si="281"/>
        <v>959836.09997621202</v>
      </c>
      <c r="DA53" s="95">
        <f t="shared" si="281"/>
        <v>969172.52162108803</v>
      </c>
      <c r="DB53" s="225">
        <f t="shared" ref="DB53:DB54" si="282">SUM(CX53:DA53)</f>
        <v>3813790.3877211218</v>
      </c>
    </row>
    <row r="54" spans="1:106" s="7" customFormat="1" ht="11.5" customHeight="1" x14ac:dyDescent="0.35">
      <c r="A54" s="11" t="s">
        <v>62</v>
      </c>
      <c r="B54" s="396"/>
      <c r="C54" s="396"/>
      <c r="D54" s="396"/>
      <c r="E54" s="396"/>
      <c r="F54" s="225"/>
      <c r="G54" s="396"/>
      <c r="H54" s="396"/>
      <c r="I54" s="396"/>
      <c r="J54" s="396"/>
      <c r="K54" s="225"/>
      <c r="L54" s="396"/>
      <c r="M54" s="396"/>
      <c r="N54" s="396"/>
      <c r="O54" s="396"/>
      <c r="P54" s="225"/>
      <c r="Q54" s="396"/>
      <c r="R54" s="396"/>
      <c r="S54" s="396"/>
      <c r="T54" s="396"/>
      <c r="U54" s="225"/>
      <c r="V54" s="396"/>
      <c r="W54" s="396"/>
      <c r="X54" s="396"/>
      <c r="Y54" s="396"/>
      <c r="Z54" s="225"/>
      <c r="AA54" s="396"/>
      <c r="AB54" s="396"/>
      <c r="AC54" s="396"/>
      <c r="AD54" s="396"/>
      <c r="AE54" s="225"/>
      <c r="AF54" s="396"/>
      <c r="AG54" s="396"/>
      <c r="AH54" s="396"/>
      <c r="AI54" s="396"/>
      <c r="AJ54" s="225"/>
      <c r="AK54" s="396"/>
      <c r="AL54" s="396"/>
      <c r="AM54" s="396"/>
      <c r="AN54" s="396"/>
      <c r="AO54" s="225"/>
      <c r="AP54" s="396"/>
      <c r="AQ54" s="396"/>
      <c r="AR54" s="396"/>
      <c r="AS54" s="396"/>
      <c r="AT54" s="225"/>
      <c r="AU54" s="396"/>
      <c r="AV54" s="396"/>
      <c r="AW54" s="396"/>
      <c r="AX54" s="396"/>
      <c r="AY54" s="225"/>
      <c r="AZ54" s="396">
        <v>181554.01542127441</v>
      </c>
      <c r="BA54" s="396">
        <v>142720.44365906774</v>
      </c>
      <c r="BB54" s="396">
        <v>428677.20828459994</v>
      </c>
      <c r="BC54" s="396">
        <v>395104.97124279093</v>
      </c>
      <c r="BD54" s="225">
        <f>SUM(AZ54:BC54)</f>
        <v>1148056.638607733</v>
      </c>
      <c r="BE54" s="396">
        <v>156008.89528584652</v>
      </c>
      <c r="BF54" s="396">
        <v>179350.78001188775</v>
      </c>
      <c r="BG54" s="396">
        <v>214098.55070305275</v>
      </c>
      <c r="BH54" s="396">
        <v>369069.80342318886</v>
      </c>
      <c r="BI54" s="225">
        <f>SUM(BE54:BH54)</f>
        <v>918528.02942397585</v>
      </c>
      <c r="BJ54" s="396">
        <v>412955.7381619204</v>
      </c>
      <c r="BK54" s="396">
        <v>402904.04718292475</v>
      </c>
      <c r="BL54" s="396">
        <v>864076.40317995357</v>
      </c>
      <c r="BM54" s="396">
        <v>874039.45031401864</v>
      </c>
      <c r="BN54" s="225">
        <f>SUM(BJ54:BM54)</f>
        <v>2553975.6388388174</v>
      </c>
      <c r="BO54" s="396">
        <v>462823.00771601882</v>
      </c>
      <c r="BP54" s="396">
        <v>627687.38659834152</v>
      </c>
      <c r="BQ54" s="396">
        <v>572668.76170109445</v>
      </c>
      <c r="BR54" s="396">
        <v>704328.36199133401</v>
      </c>
      <c r="BS54" s="225">
        <f>SUM(BO54:BR54)</f>
        <v>2367507.5180067886</v>
      </c>
      <c r="BT54" s="396">
        <v>439890.17745920166</v>
      </c>
      <c r="BU54" s="396">
        <v>674185.69636409055</v>
      </c>
      <c r="BV54" s="396">
        <v>757129.53656869405</v>
      </c>
      <c r="BW54" s="396">
        <v>783326.35843579459</v>
      </c>
      <c r="BX54" s="225">
        <f>SUM(BT54:BW54)</f>
        <v>2654531.7688277806</v>
      </c>
      <c r="BY54" s="396">
        <v>550892.20066569466</v>
      </c>
      <c r="BZ54" s="396">
        <v>563148.23594374489</v>
      </c>
      <c r="CA54" s="396">
        <v>388423.83836548193</v>
      </c>
      <c r="CB54" s="396">
        <v>687735.40432745987</v>
      </c>
      <c r="CC54" s="225">
        <f>SUM(BY54:CB54)</f>
        <v>2190199.6793023814</v>
      </c>
      <c r="CD54" s="396">
        <v>380012.08387543855</v>
      </c>
      <c r="CE54" s="396">
        <f>705698.372465496+7073.924075</f>
        <v>712772.29654049594</v>
      </c>
      <c r="CF54" s="95">
        <f t="shared" ref="CF54" si="283">CF53*CF55</f>
        <v>644864.00523955852</v>
      </c>
      <c r="CG54" s="95">
        <f t="shared" ref="CG54" si="284">CG53*CG55</f>
        <v>639768.14710568881</v>
      </c>
      <c r="CH54" s="225">
        <f>SUM(CD54:CG54)</f>
        <v>2377416.5327611817</v>
      </c>
      <c r="CI54" s="95">
        <f t="shared" ref="CI54" si="285">CI53*CI55</f>
        <v>579798.23976886121</v>
      </c>
      <c r="CJ54" s="95">
        <f t="shared" ref="CJ54" si="286">CJ53*CJ55</f>
        <v>621747.11619481235</v>
      </c>
      <c r="CK54" s="95">
        <f t="shared" ref="CK54" si="287">CK53*CK55</f>
        <v>651449.99198165501</v>
      </c>
      <c r="CL54" s="95">
        <f t="shared" ref="CL54" si="288">CL53*CL55</f>
        <v>673554.70131624839</v>
      </c>
      <c r="CM54" s="225">
        <f t="shared" si="276"/>
        <v>2526550.0492615765</v>
      </c>
      <c r="CN54" s="95">
        <f t="shared" ref="CN54" si="289">CN53*CN55</f>
        <v>682854.92678999319</v>
      </c>
      <c r="CO54" s="95">
        <f t="shared" ref="CO54" si="290">CO53*CO55</f>
        <v>699765.21149987401</v>
      </c>
      <c r="CP54" s="95">
        <f t="shared" ref="CP54" si="291">CP53*CP55</f>
        <v>716450.93377275672</v>
      </c>
      <c r="CQ54" s="95">
        <f t="shared" ref="CQ54" si="292">CQ53*CQ55</f>
        <v>730633.7977047069</v>
      </c>
      <c r="CR54" s="225">
        <f t="shared" si="278"/>
        <v>2829704.8697673306</v>
      </c>
      <c r="CS54" s="95">
        <f t="shared" ref="CS54" si="293">CS53*CS55</f>
        <v>746946.99968678982</v>
      </c>
      <c r="CT54" s="95">
        <f t="shared" ref="CT54" si="294">CT53*CT55</f>
        <v>760813.22137156047</v>
      </c>
      <c r="CU54" s="95">
        <f t="shared" ref="CU54" si="295">CU53*CU55</f>
        <v>772599.50980361516</v>
      </c>
      <c r="CV54" s="95">
        <f t="shared" ref="CV54" si="296">CV53*CV55</f>
        <v>782617.85497086204</v>
      </c>
      <c r="CW54" s="225">
        <f t="shared" si="280"/>
        <v>3062977.5858328277</v>
      </c>
      <c r="CX54" s="95">
        <f t="shared" ref="CX54" si="297">CX53*CX55</f>
        <v>795540.23787034419</v>
      </c>
      <c r="CY54" s="95">
        <f t="shared" ref="CY54" si="298">CY53*CY55</f>
        <v>806524.26333490422</v>
      </c>
      <c r="CZ54" s="95">
        <f t="shared" ref="CZ54" si="299">CZ53*CZ55</f>
        <v>815860.68497978011</v>
      </c>
      <c r="DA54" s="95">
        <f t="shared" ref="DA54" si="300">DA53*DA55</f>
        <v>823796.64337792469</v>
      </c>
      <c r="DB54" s="225">
        <f t="shared" si="282"/>
        <v>3241721.8295629532</v>
      </c>
    </row>
    <row r="55" spans="1:106" s="7" customFormat="1" ht="11.5" customHeight="1" x14ac:dyDescent="0.35">
      <c r="A55" s="7" t="s">
        <v>66</v>
      </c>
      <c r="B55" s="340"/>
      <c r="C55" s="340"/>
      <c r="D55" s="340"/>
      <c r="E55" s="340"/>
      <c r="F55" s="341"/>
      <c r="G55" s="340"/>
      <c r="H55" s="340"/>
      <c r="I55" s="340"/>
      <c r="J55" s="340"/>
      <c r="K55" s="341"/>
      <c r="L55" s="340"/>
      <c r="M55" s="340"/>
      <c r="N55" s="340"/>
      <c r="O55" s="340"/>
      <c r="P55" s="341"/>
      <c r="Q55" s="340"/>
      <c r="R55" s="340"/>
      <c r="S55" s="340"/>
      <c r="T55" s="340"/>
      <c r="U55" s="341"/>
      <c r="V55" s="340"/>
      <c r="W55" s="340"/>
      <c r="X55" s="340"/>
      <c r="Y55" s="340"/>
      <c r="Z55" s="341"/>
      <c r="AA55" s="340"/>
      <c r="AB55" s="340"/>
      <c r="AC55" s="340"/>
      <c r="AD55" s="340"/>
      <c r="AE55" s="341"/>
      <c r="AF55" s="340"/>
      <c r="AG55" s="340"/>
      <c r="AH55" s="340"/>
      <c r="AI55" s="340"/>
      <c r="AJ55" s="341"/>
      <c r="AK55" s="340"/>
      <c r="AL55" s="340"/>
      <c r="AM55" s="340"/>
      <c r="AN55" s="340"/>
      <c r="AO55" s="341"/>
      <c r="AP55" s="340"/>
      <c r="AQ55" s="340"/>
      <c r="AR55" s="340"/>
      <c r="AS55" s="340"/>
      <c r="AT55" s="341"/>
      <c r="AU55" s="340"/>
      <c r="AV55" s="340"/>
      <c r="AW55" s="340"/>
      <c r="AX55" s="340"/>
      <c r="AY55" s="341"/>
      <c r="AZ55" s="340">
        <f t="shared" ref="AZ55:BZ55" si="301">AZ54/AZ53</f>
        <v>0.83221622129724437</v>
      </c>
      <c r="BA55" s="340">
        <f t="shared" si="301"/>
        <v>0.8459928945917109</v>
      </c>
      <c r="BB55" s="340">
        <f t="shared" si="301"/>
        <v>0.88675388870435112</v>
      </c>
      <c r="BC55" s="340">
        <f t="shared" si="301"/>
        <v>0.9221024056180237</v>
      </c>
      <c r="BD55" s="341">
        <f t="shared" si="301"/>
        <v>0.88396045891440322</v>
      </c>
      <c r="BE55" s="340">
        <f t="shared" si="301"/>
        <v>0.84829097716880075</v>
      </c>
      <c r="BF55" s="340">
        <f t="shared" si="301"/>
        <v>0.86121538248404517</v>
      </c>
      <c r="BG55" s="340">
        <f t="shared" si="301"/>
        <v>0.96492746931703133</v>
      </c>
      <c r="BH55" s="340">
        <f t="shared" si="301"/>
        <v>0.90820018463767915</v>
      </c>
      <c r="BI55" s="341">
        <f t="shared" si="301"/>
        <v>0.90014864594671118</v>
      </c>
      <c r="BJ55" s="340">
        <f t="shared" si="301"/>
        <v>0.9207786555198223</v>
      </c>
      <c r="BK55" s="340">
        <f t="shared" si="301"/>
        <v>0.73295247646432971</v>
      </c>
      <c r="BL55" s="340">
        <f t="shared" si="301"/>
        <v>0.73127032717316454</v>
      </c>
      <c r="BM55" s="340">
        <f t="shared" si="301"/>
        <v>0.71494091560476536</v>
      </c>
      <c r="BN55" s="341">
        <f t="shared" si="301"/>
        <v>0.75065502560675867</v>
      </c>
      <c r="BO55" s="340">
        <f t="shared" si="301"/>
        <v>0.90594768918591639</v>
      </c>
      <c r="BP55" s="340">
        <f t="shared" si="301"/>
        <v>0.80258214025173091</v>
      </c>
      <c r="BQ55" s="340">
        <f t="shared" si="301"/>
        <v>0.84561519403338137</v>
      </c>
      <c r="BR55" s="340">
        <f t="shared" si="301"/>
        <v>0.746979455195942</v>
      </c>
      <c r="BS55" s="341">
        <f t="shared" si="301"/>
        <v>0.81271628009166708</v>
      </c>
      <c r="BT55" s="340">
        <f t="shared" si="301"/>
        <v>0.83385787371680808</v>
      </c>
      <c r="BU55" s="340">
        <f t="shared" si="301"/>
        <v>0.82320201606892418</v>
      </c>
      <c r="BV55" s="340">
        <f t="shared" si="301"/>
        <v>0.82210023824882028</v>
      </c>
      <c r="BW55" s="340">
        <f t="shared" si="301"/>
        <v>0.87705153100025923</v>
      </c>
      <c r="BX55" s="341">
        <f t="shared" si="301"/>
        <v>0.83987645380569598</v>
      </c>
      <c r="BY55" s="340">
        <f t="shared" si="301"/>
        <v>0.91544525819677314</v>
      </c>
      <c r="BZ55" s="340">
        <f t="shared" si="301"/>
        <v>0.78368574431074067</v>
      </c>
      <c r="CA55" s="340">
        <f t="shared" ref="CA55:CC55" si="302">CA54/CA53</f>
        <v>0.86079804114472969</v>
      </c>
      <c r="CB55" s="340">
        <f t="shared" si="302"/>
        <v>0.84178140064560569</v>
      </c>
      <c r="CC55" s="341">
        <f t="shared" si="302"/>
        <v>0.84609383278076233</v>
      </c>
      <c r="CD55" s="340">
        <f t="shared" ref="CD55:CE55" si="303">CD54/CD53</f>
        <v>0.8452946148604622</v>
      </c>
      <c r="CE55" s="340">
        <f t="shared" si="303"/>
        <v>0.83378650585263159</v>
      </c>
      <c r="CF55" s="533">
        <f>AVERAGE(CD50:CF50,BY50:CB50,BW50)</f>
        <v>0.86921849147628927</v>
      </c>
      <c r="CG55" s="533">
        <f>AVERAGE(CD50:CG50,BY50:CB50)</f>
        <v>0.86029685921913857</v>
      </c>
      <c r="CH55" s="225"/>
      <c r="CI55" s="533">
        <f t="shared" ref="CI55" si="304">AVERAGE(CI50,CD50:CG50,BZ50:CB50)</f>
        <v>0.84985108804918863</v>
      </c>
      <c r="CJ55" s="533">
        <f t="shared" ref="CJ55" si="305">AVERAGE(CI50:CJ50,CD50:CG50,CA50:CB50)</f>
        <v>0.86653016912242498</v>
      </c>
      <c r="CK55" s="533">
        <f t="shared" ref="CK55" si="306">AVERAGE(CI50:CK50,CD50:CG50,CB50)</f>
        <v>0.87150478612721571</v>
      </c>
      <c r="CL55" s="533">
        <f t="shared" ref="CL55" si="307">AVERAGE(CI50:CL50,CD50:CG50)</f>
        <v>0.8713640553152795</v>
      </c>
      <c r="CM55" s="225"/>
      <c r="CN55" s="533">
        <f t="shared" ref="CN55" si="308">AVERAGE(CN50,CI50:CL50,CE50:CG50)</f>
        <v>0.85339929637416212</v>
      </c>
      <c r="CO55" s="533">
        <f t="shared" ref="CO55" si="309">AVERAGE(CN50:CO50,CI50:CL50,CF50:CG50)</f>
        <v>0.84999999999999987</v>
      </c>
      <c r="CP55" s="533">
        <f t="shared" ref="CP55" si="310">AVERAGE(CN50:CP50,CI50:CL50,CG50)</f>
        <v>0.84999999999999987</v>
      </c>
      <c r="CQ55" s="533">
        <f t="shared" ref="CQ55" si="311">AVERAGE(CN50:CQ50,CI50:CL50)</f>
        <v>0.84999999999999987</v>
      </c>
      <c r="CR55" s="225"/>
      <c r="CS55" s="533">
        <f t="shared" ref="CS55" si="312">AVERAGE(CS50,CN50:CQ50,CJ50:CL50)</f>
        <v>0.84999999999999987</v>
      </c>
      <c r="CT55" s="533">
        <f t="shared" ref="CT55" si="313">AVERAGE(CS50:CT50,CN50:CQ50,CK50:CL50)</f>
        <v>0.84999999999999987</v>
      </c>
      <c r="CU55" s="533">
        <f t="shared" ref="CU55" si="314">AVERAGE(CS50:CU50,CN50:CQ50,CL50)</f>
        <v>0.84999999999999987</v>
      </c>
      <c r="CV55" s="533">
        <f t="shared" ref="CV55" si="315">AVERAGE(CS50:CV50,CN50:CQ50)</f>
        <v>0.84999999999999987</v>
      </c>
      <c r="CW55" s="225"/>
      <c r="CX55" s="533">
        <f t="shared" ref="CX55" si="316">AVERAGE(CX50,CS50:CV50,CO50:CQ50)</f>
        <v>0.84999999999999987</v>
      </c>
      <c r="CY55" s="533">
        <f t="shared" ref="CY55" si="317">AVERAGE(CX50:CY50,CS50:CV50,CP50:CQ50)</f>
        <v>0.84999999999999987</v>
      </c>
      <c r="CZ55" s="533">
        <f t="shared" ref="CZ55" si="318">AVERAGE(CX50:CZ50,CS50:CV50,CQ50)</f>
        <v>0.84999999999999987</v>
      </c>
      <c r="DA55" s="533">
        <f t="shared" ref="DA55" si="319">AVERAGE(CX50:DA50,CS50:CV50)</f>
        <v>0.84999999999999987</v>
      </c>
      <c r="DB55" s="225"/>
    </row>
    <row r="56" spans="1:106" s="7" customFormat="1" ht="11.5" customHeight="1" x14ac:dyDescent="0.35">
      <c r="A56" s="7" t="s">
        <v>38</v>
      </c>
      <c r="B56" s="395"/>
      <c r="C56" s="395"/>
      <c r="D56" s="395"/>
      <c r="E56" s="395"/>
      <c r="F56" s="339"/>
      <c r="G56" s="395"/>
      <c r="H56" s="395"/>
      <c r="I56" s="395"/>
      <c r="J56" s="395"/>
      <c r="K56" s="339"/>
      <c r="L56" s="395"/>
      <c r="M56" s="395"/>
      <c r="N56" s="395"/>
      <c r="O56" s="395"/>
      <c r="P56" s="339"/>
      <c r="Q56" s="395"/>
      <c r="R56" s="395"/>
      <c r="S56" s="395"/>
      <c r="T56" s="395"/>
      <c r="U56" s="339"/>
      <c r="V56" s="395"/>
      <c r="W56" s="395"/>
      <c r="X56" s="395"/>
      <c r="Y56" s="395"/>
      <c r="Z56" s="339"/>
      <c r="AA56" s="395"/>
      <c r="AB56" s="395"/>
      <c r="AC56" s="395"/>
      <c r="AD56" s="395"/>
      <c r="AE56" s="339"/>
      <c r="AF56" s="395"/>
      <c r="AG56" s="395"/>
      <c r="AH56" s="395"/>
      <c r="AI56" s="395"/>
      <c r="AJ56" s="339"/>
      <c r="AK56" s="395"/>
      <c r="AL56" s="395"/>
      <c r="AM56" s="395"/>
      <c r="AN56" s="395"/>
      <c r="AO56" s="339"/>
      <c r="AP56" s="395"/>
      <c r="AQ56" s="395"/>
      <c r="AR56" s="395"/>
      <c r="AS56" s="395"/>
      <c r="AT56" s="339"/>
      <c r="AU56" s="395"/>
      <c r="AV56" s="395"/>
      <c r="AW56" s="395"/>
      <c r="AX56" s="395"/>
      <c r="AY56" s="339"/>
      <c r="AZ56" s="395">
        <v>633</v>
      </c>
      <c r="BA56" s="395">
        <v>371</v>
      </c>
      <c r="BB56" s="395">
        <v>1020</v>
      </c>
      <c r="BC56" s="395">
        <v>758</v>
      </c>
      <c r="BD56" s="339">
        <f>SUM(AZ56:BC56)</f>
        <v>2782</v>
      </c>
      <c r="BE56" s="395">
        <v>381</v>
      </c>
      <c r="BF56" s="395">
        <v>440</v>
      </c>
      <c r="BG56" s="395">
        <v>327</v>
      </c>
      <c r="BH56" s="395">
        <v>742</v>
      </c>
      <c r="BI56" s="339">
        <f>SUM(BE56:BH56)</f>
        <v>1890</v>
      </c>
      <c r="BJ56" s="395">
        <v>832</v>
      </c>
      <c r="BK56" s="395">
        <v>845</v>
      </c>
      <c r="BL56" s="395">
        <v>2173</v>
      </c>
      <c r="BM56" s="395">
        <v>2555</v>
      </c>
      <c r="BN56" s="339">
        <f>SUM(BJ56:BM56)</f>
        <v>6405</v>
      </c>
      <c r="BO56" s="395">
        <v>1170</v>
      </c>
      <c r="BP56" s="395">
        <v>1474</v>
      </c>
      <c r="BQ56" s="395">
        <v>1140</v>
      </c>
      <c r="BR56" s="395">
        <v>1643</v>
      </c>
      <c r="BS56" s="339">
        <f>SUM(BO56:BR56)</f>
        <v>5427</v>
      </c>
      <c r="BT56" s="395">
        <v>971.33333333333337</v>
      </c>
      <c r="BU56" s="395">
        <v>1718.6666666666667</v>
      </c>
      <c r="BV56" s="395">
        <v>1730</v>
      </c>
      <c r="BW56" s="395">
        <v>1554</v>
      </c>
      <c r="BX56" s="339">
        <f>SUM(BT56:BW56)</f>
        <v>5974</v>
      </c>
      <c r="BY56" s="395">
        <v>1104</v>
      </c>
      <c r="BZ56" s="395">
        <v>1296</v>
      </c>
      <c r="CA56" s="395">
        <v>573</v>
      </c>
      <c r="CB56" s="395">
        <v>1170</v>
      </c>
      <c r="CC56" s="339">
        <f>SUM(BY56:CB56)</f>
        <v>4143</v>
      </c>
      <c r="CD56" s="395">
        <v>454</v>
      </c>
      <c r="CE56" s="395">
        <f>873+13</f>
        <v>886</v>
      </c>
      <c r="CF56" s="90">
        <f>CF53/CF57*1000</f>
        <v>987.66168394927536</v>
      </c>
      <c r="CG56" s="90">
        <f>CG53/CG57*1000</f>
        <v>944.60164447217574</v>
      </c>
      <c r="CH56" s="339">
        <f>SUM(CD56:CG56)</f>
        <v>3272.2633284214512</v>
      </c>
      <c r="CI56" s="90">
        <f t="shared" ref="CI56:CL56" si="320">CI53/CI57*1000</f>
        <v>826.52291817884668</v>
      </c>
      <c r="CJ56" s="90">
        <f t="shared" si="320"/>
        <v>851.35804911223318</v>
      </c>
      <c r="CK56" s="90">
        <f t="shared" si="320"/>
        <v>892.07256509094714</v>
      </c>
      <c r="CL56" s="90">
        <f t="shared" si="320"/>
        <v>901.9299287040966</v>
      </c>
      <c r="CM56" s="339">
        <f t="shared" ref="CM56" si="321">SUM(CI56:CL56)</f>
        <v>3471.8834610861236</v>
      </c>
      <c r="CN56" s="90">
        <f t="shared" ref="CN56:CQ56" si="322">CN53/CN57*1000</f>
        <v>919.86555028369969</v>
      </c>
      <c r="CO56" s="90">
        <f t="shared" si="322"/>
        <v>946.41498917749027</v>
      </c>
      <c r="CP56" s="90">
        <f t="shared" si="322"/>
        <v>968.9820122372123</v>
      </c>
      <c r="CQ56" s="90">
        <f t="shared" si="322"/>
        <v>988.16398183797571</v>
      </c>
      <c r="CR56" s="339">
        <f t="shared" ref="CR56" si="323">SUM(CN56:CQ56)</f>
        <v>3823.4265335363784</v>
      </c>
      <c r="CS56" s="90">
        <f t="shared" ref="CS56:CV56" si="324">CS53/CS57*1000</f>
        <v>1010.2271804988969</v>
      </c>
      <c r="CT56" s="90">
        <f t="shared" si="324"/>
        <v>1028.9808993606803</v>
      </c>
      <c r="CU56" s="90">
        <f t="shared" si="324"/>
        <v>1044.9215603931955</v>
      </c>
      <c r="CV56" s="90">
        <f t="shared" si="324"/>
        <v>1058.4711222708338</v>
      </c>
      <c r="CW56" s="339">
        <f t="shared" ref="CW56" si="325">SUM(CS56:CV56)</f>
        <v>4142.6007625236061</v>
      </c>
      <c r="CX56" s="90">
        <f t="shared" ref="CX56:DA56" si="326">CX53/CX57*1000</f>
        <v>1075.9483227246076</v>
      </c>
      <c r="CY56" s="90">
        <f t="shared" si="326"/>
        <v>1090.8039431103159</v>
      </c>
      <c r="CZ56" s="90">
        <f t="shared" si="326"/>
        <v>1103.4312204381677</v>
      </c>
      <c r="DA56" s="90">
        <f t="shared" si="326"/>
        <v>1114.1644061668414</v>
      </c>
      <c r="DB56" s="339">
        <f t="shared" ref="DB56" si="327">SUM(CX56:DA56)</f>
        <v>4384.3478924399324</v>
      </c>
    </row>
    <row r="57" spans="1:106" s="7" customFormat="1" ht="11.5" customHeight="1" x14ac:dyDescent="0.35">
      <c r="A57" s="78" t="s">
        <v>68</v>
      </c>
      <c r="B57" s="93"/>
      <c r="C57" s="93"/>
      <c r="D57" s="93"/>
      <c r="E57" s="93"/>
      <c r="F57" s="159"/>
      <c r="G57" s="93"/>
      <c r="H57" s="93"/>
      <c r="I57" s="93"/>
      <c r="J57" s="93"/>
      <c r="K57" s="159"/>
      <c r="L57" s="93"/>
      <c r="M57" s="93"/>
      <c r="N57" s="93"/>
      <c r="O57" s="93"/>
      <c r="P57" s="159"/>
      <c r="Q57" s="93"/>
      <c r="R57" s="93"/>
      <c r="S57" s="93"/>
      <c r="T57" s="93"/>
      <c r="U57" s="159"/>
      <c r="V57" s="93"/>
      <c r="W57" s="93"/>
      <c r="X57" s="93"/>
      <c r="Y57" s="93"/>
      <c r="Z57" s="159"/>
      <c r="AA57" s="93"/>
      <c r="AB57" s="93"/>
      <c r="AC57" s="93"/>
      <c r="AD57" s="93"/>
      <c r="AE57" s="159"/>
      <c r="AF57" s="93"/>
      <c r="AG57" s="93"/>
      <c r="AH57" s="93"/>
      <c r="AI57" s="93"/>
      <c r="AJ57" s="159"/>
      <c r="AK57" s="93"/>
      <c r="AL57" s="93"/>
      <c r="AM57" s="93"/>
      <c r="AN57" s="93"/>
      <c r="AO57" s="159"/>
      <c r="AP57" s="93"/>
      <c r="AQ57" s="93"/>
      <c r="AR57" s="93"/>
      <c r="AS57" s="93"/>
      <c r="AT57" s="159"/>
      <c r="AU57" s="93"/>
      <c r="AV57" s="93"/>
      <c r="AW57" s="93"/>
      <c r="AX57" s="93"/>
      <c r="AY57" s="159"/>
      <c r="AZ57" s="93">
        <f t="shared" ref="AZ57:BZ57" si="328">AZ53*1000/AZ56</f>
        <v>344640.23038615793</v>
      </c>
      <c r="BA57" s="93">
        <f t="shared" si="328"/>
        <v>454721.57657586422</v>
      </c>
      <c r="BB57" s="93">
        <f t="shared" si="328"/>
        <v>473944.09901275346</v>
      </c>
      <c r="BC57" s="93">
        <f t="shared" si="328"/>
        <v>565280.66810468666</v>
      </c>
      <c r="BD57" s="159">
        <f t="shared" si="328"/>
        <v>466845.68589519942</v>
      </c>
      <c r="BE57" s="93">
        <f t="shared" si="328"/>
        <v>482702.4890341413</v>
      </c>
      <c r="BF57" s="93">
        <f t="shared" si="328"/>
        <v>473302.51805561327</v>
      </c>
      <c r="BG57" s="93">
        <f t="shared" si="328"/>
        <v>678533.5166432152</v>
      </c>
      <c r="BH57" s="93">
        <f t="shared" si="328"/>
        <v>547675.13299174374</v>
      </c>
      <c r="BI57" s="159">
        <f t="shared" si="328"/>
        <v>539903.79094639316</v>
      </c>
      <c r="BJ57" s="93">
        <f t="shared" si="328"/>
        <v>539044.89256911399</v>
      </c>
      <c r="BK57" s="93">
        <f t="shared" si="328"/>
        <v>650532.65880684531</v>
      </c>
      <c r="BL57" s="93">
        <f t="shared" si="328"/>
        <v>543769.02821299306</v>
      </c>
      <c r="BM57" s="93">
        <f t="shared" si="328"/>
        <v>478486.81892658933</v>
      </c>
      <c r="BN57" s="159">
        <f t="shared" si="328"/>
        <v>531198.96455480973</v>
      </c>
      <c r="BO57" s="93">
        <f t="shared" si="328"/>
        <v>436642.45186779497</v>
      </c>
      <c r="BP57" s="93">
        <f t="shared" si="328"/>
        <v>530586.78227078589</v>
      </c>
      <c r="BQ57" s="93">
        <f t="shared" si="328"/>
        <v>594053.91788196447</v>
      </c>
      <c r="BR57" s="93">
        <f t="shared" si="328"/>
        <v>573890.39519939141</v>
      </c>
      <c r="BS57" s="159">
        <f t="shared" si="328"/>
        <v>536775.37708688003</v>
      </c>
      <c r="BT57" s="93">
        <f t="shared" si="328"/>
        <v>543105.17103282316</v>
      </c>
      <c r="BU57" s="93">
        <f t="shared" si="328"/>
        <v>476520.35306362418</v>
      </c>
      <c r="BV57" s="93">
        <f t="shared" si="328"/>
        <v>532352.51688627165</v>
      </c>
      <c r="BW57" s="93">
        <f t="shared" si="328"/>
        <v>574733.6364028313</v>
      </c>
      <c r="BX57" s="159">
        <f t="shared" si="328"/>
        <v>529062.8938921683</v>
      </c>
      <c r="BY57" s="93">
        <f t="shared" si="328"/>
        <v>545086.17976449279</v>
      </c>
      <c r="BZ57" s="93">
        <f t="shared" si="328"/>
        <v>554467.09728694637</v>
      </c>
      <c r="CA57" s="93">
        <f t="shared" ref="CA57:CB57" si="329">CA53*1000/CA56</f>
        <v>787498.95035191672</v>
      </c>
      <c r="CB57" s="93">
        <f t="shared" si="329"/>
        <v>698290.59829059825</v>
      </c>
      <c r="CC57" s="73">
        <f>CC53*1000/CC56</f>
        <v>624813.27518598374</v>
      </c>
      <c r="CD57" s="93">
        <f t="shared" ref="CD57:CE57" si="330">CD53*1000/CD56</f>
        <v>990224.00833612436</v>
      </c>
      <c r="CE57" s="93">
        <f t="shared" si="330"/>
        <v>964855.39047022571</v>
      </c>
      <c r="CF57" s="506">
        <f>AVERAGE(BY52:CB52,CD52:CF52,BW52)</f>
        <v>751157.44106971112</v>
      </c>
      <c r="CG57" s="506">
        <f>AVERAGE(BY52:CB52,CD52:CG52)</f>
        <v>787273.4016302391</v>
      </c>
      <c r="CH57" s="73">
        <f>CH53*1000/CH56</f>
        <v>852612.5402243156</v>
      </c>
      <c r="CI57" s="506">
        <f t="shared" ref="CI57" si="331">AVERAGE(BZ52:CB52,CD52:CG52,CI52)</f>
        <v>825427.92501196021</v>
      </c>
      <c r="CJ57" s="506">
        <f t="shared" ref="CJ57" si="332">AVERAGE(CD52:CG52,CI52:CJ52,CA52:CB52)</f>
        <v>842787.03394134843</v>
      </c>
      <c r="CK57" s="506">
        <f t="shared" ref="CK57" si="333">AVERAGE(CD52:CG52,CI52:CK52,CB52)</f>
        <v>837936.52874802961</v>
      </c>
      <c r="CL57" s="506">
        <f t="shared" ref="CL57" si="334">AVERAGE(CD52:CG52,CI52:CL52)</f>
        <v>857038.69890649396</v>
      </c>
      <c r="CM57" s="73">
        <f t="shared" ref="CM57" si="335">CM53*1000/CM56</f>
        <v>841110.50853996188</v>
      </c>
      <c r="CN57" s="506">
        <f t="shared" ref="CN57" si="336">AVERAGE(CE52:CG52,CI52:CL52,CN52)</f>
        <v>869864.91065121896</v>
      </c>
      <c r="CO57" s="506">
        <f t="shared" ref="CO57" si="337">AVERAGE(CI52:CL52,CN52:CO52,CF52:CG52)</f>
        <v>869864.91065121896</v>
      </c>
      <c r="CP57" s="506">
        <f t="shared" ref="CP57" si="338">AVERAGE(CI52:CL52,CN52:CP52,CG52)</f>
        <v>869864.91065121896</v>
      </c>
      <c r="CQ57" s="506">
        <f t="shared" ref="CQ57" si="339">AVERAGE(CI52:CL52,CN52:CQ52)</f>
        <v>869864.91065121896</v>
      </c>
      <c r="CR57" s="73">
        <f t="shared" ref="CR57" si="340">CR53*1000/CR56</f>
        <v>869864.91065121873</v>
      </c>
      <c r="CS57" s="506">
        <f t="shared" ref="CS57" si="341">AVERAGE(CJ52:CL52,CN52:CQ52,CS52)</f>
        <v>869864.91065121896</v>
      </c>
      <c r="CT57" s="506">
        <f t="shared" ref="CT57" si="342">AVERAGE(CN52:CQ52,CS52:CT52,CK52:CL52)</f>
        <v>869864.91065121896</v>
      </c>
      <c r="CU57" s="506">
        <f t="shared" ref="CU57" si="343">AVERAGE(CN52:CQ52,CS52:CU52,CL52)</f>
        <v>869864.91065121896</v>
      </c>
      <c r="CV57" s="506">
        <f t="shared" ref="CV57" si="344">AVERAGE(CN52:CQ52,CS52:CV52)</f>
        <v>869864.91065121896</v>
      </c>
      <c r="CW57" s="73">
        <f t="shared" ref="CW57" si="345">CW53*1000/CW56</f>
        <v>869864.91065121896</v>
      </c>
      <c r="CX57" s="506">
        <f t="shared" ref="CX57" si="346">AVERAGE(CO52:CQ52,CS52:CV52,CX52)</f>
        <v>869864.91065121896</v>
      </c>
      <c r="CY57" s="506">
        <f t="shared" ref="CY57" si="347">AVERAGE(CS52:CV52,CX52:CY52,CP52:CQ52)</f>
        <v>869864.91065121896</v>
      </c>
      <c r="CZ57" s="506">
        <f t="shared" ref="CZ57" si="348">AVERAGE(CS52:CV52,CX52:CZ52,CQ52)</f>
        <v>869864.91065121896</v>
      </c>
      <c r="DA57" s="506">
        <f t="shared" ref="DA57" si="349">AVERAGE(CS52:CV52,CX52:DA52)</f>
        <v>869864.91065121896</v>
      </c>
      <c r="DB57" s="73">
        <f t="shared" ref="DB57" si="350">DB53*1000/DB56</f>
        <v>869864.91065121896</v>
      </c>
    </row>
    <row r="58" spans="1:106" s="7" customFormat="1" ht="11.5" customHeight="1" x14ac:dyDescent="0.35">
      <c r="A58" s="132" t="s">
        <v>265</v>
      </c>
      <c r="B58" s="468"/>
      <c r="C58" s="468"/>
      <c r="D58" s="468"/>
      <c r="E58" s="468"/>
      <c r="F58" s="226"/>
      <c r="G58" s="468"/>
      <c r="H58" s="468"/>
      <c r="I58" s="468"/>
      <c r="J58" s="468"/>
      <c r="K58" s="226"/>
      <c r="L58" s="468"/>
      <c r="M58" s="468"/>
      <c r="N58" s="468"/>
      <c r="O58" s="468"/>
      <c r="P58" s="226"/>
      <c r="Q58" s="468"/>
      <c r="R58" s="468"/>
      <c r="S58" s="468"/>
      <c r="T58" s="468"/>
      <c r="U58" s="226"/>
      <c r="V58" s="468"/>
      <c r="W58" s="468"/>
      <c r="X58" s="468"/>
      <c r="Y58" s="468"/>
      <c r="Z58" s="226"/>
      <c r="AA58" s="468"/>
      <c r="AB58" s="468"/>
      <c r="AC58" s="468"/>
      <c r="AD58" s="468"/>
      <c r="AE58" s="226"/>
      <c r="AF58" s="468"/>
      <c r="AG58" s="468"/>
      <c r="AH58" s="468"/>
      <c r="AI58" s="468"/>
      <c r="AJ58" s="226"/>
      <c r="AK58" s="468"/>
      <c r="AL58" s="468"/>
      <c r="AM58" s="468"/>
      <c r="AN58" s="468"/>
      <c r="AO58" s="226"/>
      <c r="AP58" s="468"/>
      <c r="AQ58" s="468"/>
      <c r="AR58" s="468"/>
      <c r="AS58" s="468"/>
      <c r="AT58" s="226"/>
      <c r="AU58" s="468"/>
      <c r="AV58" s="468"/>
      <c r="AW58" s="468"/>
      <c r="AX58" s="468"/>
      <c r="AY58" s="226"/>
      <c r="AZ58" s="468">
        <v>859624.05766104977</v>
      </c>
      <c r="BA58" s="468">
        <v>839081.08752808836</v>
      </c>
      <c r="BB58" s="468">
        <v>687976.34630565951</v>
      </c>
      <c r="BC58" s="468">
        <v>780399.4129260059</v>
      </c>
      <c r="BD58" s="226">
        <f>BC58</f>
        <v>780399.4129260059</v>
      </c>
      <c r="BE58" s="468">
        <v>672639.93627650419</v>
      </c>
      <c r="BF58" s="468">
        <v>725999.43889673823</v>
      </c>
      <c r="BG58" s="468">
        <v>843444.54555639892</v>
      </c>
      <c r="BH58" s="468">
        <v>1522707.2847908016</v>
      </c>
      <c r="BI58" s="226">
        <f>BH58</f>
        <v>1522707.2847908016</v>
      </c>
      <c r="BJ58" s="468">
        <v>1592961.2268403999</v>
      </c>
      <c r="BK58" s="468">
        <v>2102725.0330492202</v>
      </c>
      <c r="BL58" s="468">
        <v>2658757.0606109211</v>
      </c>
      <c r="BM58" s="468">
        <v>2950050.099950857</v>
      </c>
      <c r="BN58" s="226">
        <f>BM58</f>
        <v>2950050.099950857</v>
      </c>
      <c r="BO58" s="468">
        <v>2908311.6827147962</v>
      </c>
      <c r="BP58" s="468">
        <v>3422352.920082835</v>
      </c>
      <c r="BQ58" s="468">
        <v>3245754.7513818094</v>
      </c>
      <c r="BR58" s="468">
        <v>3207518.4574697805</v>
      </c>
      <c r="BS58" s="226">
        <f>BR58</f>
        <v>3207518.4574697805</v>
      </c>
      <c r="BT58" s="468">
        <v>2906236.6614414966</v>
      </c>
      <c r="BU58" s="468">
        <v>2411838.3797536655</v>
      </c>
      <c r="BV58" s="468">
        <v>2490256.5506718582</v>
      </c>
      <c r="BW58" s="468">
        <v>2518837.6286408543</v>
      </c>
      <c r="BX58" s="226">
        <f>BW58</f>
        <v>2518837.6286408543</v>
      </c>
      <c r="BY58" s="468">
        <v>2563846.0657169661</v>
      </c>
      <c r="BZ58" s="468">
        <v>2986891.6426684801</v>
      </c>
      <c r="CA58" s="468">
        <v>2912784.9964019912</v>
      </c>
      <c r="CB58" s="468">
        <v>2971249.9599950984</v>
      </c>
      <c r="CC58" s="226">
        <f>CB58</f>
        <v>2971249.9599950984</v>
      </c>
      <c r="CD58" s="468">
        <v>2914165.8420319702</v>
      </c>
      <c r="CE58" s="468">
        <v>3611752.3208817737</v>
      </c>
      <c r="CF58" s="237">
        <f>CE58+(CF48-CF53)</f>
        <v>3622166.0071828803</v>
      </c>
      <c r="CG58" s="237">
        <f>CF58+(CG48-CG53)</f>
        <v>3630809.3668127987</v>
      </c>
      <c r="CH58" s="226">
        <f>CG58</f>
        <v>3630809.3668127987</v>
      </c>
      <c r="CI58" s="237">
        <f t="shared" ref="CI58:CL58" si="351">CH58+(CI48-CI53)</f>
        <v>3865998.8848541081</v>
      </c>
      <c r="CJ58" s="237">
        <f t="shared" si="351"/>
        <v>4065909.9751892211</v>
      </c>
      <c r="CK58" s="237">
        <f t="shared" si="351"/>
        <v>4235834.4019740671</v>
      </c>
      <c r="CL58" s="237">
        <f t="shared" si="351"/>
        <v>4380270.1647411864</v>
      </c>
      <c r="CM58" s="226">
        <f t="shared" ref="CM58" si="352">CL58</f>
        <v>4380270.1647411864</v>
      </c>
      <c r="CN58" s="237">
        <f t="shared" ref="CN58:CQ58" si="353">CM58+(CN48-CN53)</f>
        <v>4534233.0000157673</v>
      </c>
      <c r="CO58" s="237">
        <f t="shared" si="353"/>
        <v>4665101.409999161</v>
      </c>
      <c r="CP58" s="237">
        <f t="shared" si="353"/>
        <v>4776339.5584850451</v>
      </c>
      <c r="CQ58" s="237">
        <f t="shared" si="353"/>
        <v>4870891.9846980469</v>
      </c>
      <c r="CR58" s="226">
        <f t="shared" ref="CR58" si="354">CQ58</f>
        <v>4870891.9846980469</v>
      </c>
      <c r="CS58" s="237">
        <f t="shared" ref="CS58:CV58" si="355">CR58+(CS48-CS53)</f>
        <v>4979646.6645785999</v>
      </c>
      <c r="CT58" s="237">
        <f t="shared" si="355"/>
        <v>5072088.14247707</v>
      </c>
      <c r="CU58" s="237">
        <f t="shared" si="355"/>
        <v>5150663.3986907694</v>
      </c>
      <c r="CV58" s="237">
        <f t="shared" si="355"/>
        <v>5217452.3664724138</v>
      </c>
      <c r="CW58" s="226">
        <f t="shared" ref="CW58" si="356">CV58</f>
        <v>5217452.3664724138</v>
      </c>
      <c r="CX58" s="237">
        <f t="shared" ref="CX58:DA58" si="357">CW58+(CX48-CX53)</f>
        <v>5303601.5858022962</v>
      </c>
      <c r="CY58" s="237">
        <f t="shared" si="357"/>
        <v>5376828.4222326959</v>
      </c>
      <c r="CZ58" s="237">
        <f t="shared" si="357"/>
        <v>5439071.2331985356</v>
      </c>
      <c r="DA58" s="237">
        <f t="shared" si="357"/>
        <v>5491977.6225194996</v>
      </c>
      <c r="DB58" s="226">
        <f t="shared" ref="DB58" si="358">DA58</f>
        <v>5491977.6225194996</v>
      </c>
    </row>
    <row r="59" spans="1:106" s="7" customFormat="1" ht="11.5" customHeight="1" x14ac:dyDescent="0.35">
      <c r="A59" s="561" t="s">
        <v>402</v>
      </c>
      <c r="B59" s="562"/>
      <c r="C59" s="562"/>
      <c r="D59" s="562"/>
      <c r="E59" s="562"/>
      <c r="F59" s="563"/>
      <c r="G59" s="562"/>
      <c r="H59" s="562"/>
      <c r="I59" s="562"/>
      <c r="J59" s="562"/>
      <c r="K59" s="563"/>
      <c r="L59" s="562"/>
      <c r="M59" s="562"/>
      <c r="N59" s="562"/>
      <c r="O59" s="562"/>
      <c r="P59" s="563"/>
      <c r="Q59" s="562"/>
      <c r="R59" s="562"/>
      <c r="S59" s="562"/>
      <c r="T59" s="562"/>
      <c r="U59" s="563"/>
      <c r="V59" s="562"/>
      <c r="W59" s="562"/>
      <c r="X59" s="562"/>
      <c r="Y59" s="562"/>
      <c r="Z59" s="563"/>
      <c r="AA59" s="562"/>
      <c r="AB59" s="562"/>
      <c r="AC59" s="562"/>
      <c r="AD59" s="562"/>
      <c r="AE59" s="563"/>
      <c r="AF59" s="562"/>
      <c r="AG59" s="562"/>
      <c r="AH59" s="562"/>
      <c r="AI59" s="562"/>
      <c r="AJ59" s="563"/>
      <c r="AK59" s="562"/>
      <c r="AL59" s="562"/>
      <c r="AM59" s="562"/>
      <c r="AN59" s="562"/>
      <c r="AO59" s="563"/>
      <c r="AP59" s="562"/>
      <c r="AQ59" s="562"/>
      <c r="AR59" s="562"/>
      <c r="AS59" s="562"/>
      <c r="AT59" s="563"/>
      <c r="AU59" s="562"/>
      <c r="AV59" s="562"/>
      <c r="AW59" s="562"/>
      <c r="AX59" s="562"/>
      <c r="AY59" s="563"/>
      <c r="AZ59" s="564">
        <f>AZ58/SUM(AZ53,AV53:AX53)*12</f>
        <v>47.284644187652859</v>
      </c>
      <c r="BA59" s="564">
        <f>BA58/SUM(AZ53:BA53,AW53:AX53)*12</f>
        <v>26.027503074235096</v>
      </c>
      <c r="BB59" s="564">
        <f>BB58/SUM(AZ53:BB53,AX53)*12</f>
        <v>9.4862545858723326</v>
      </c>
      <c r="BC59" s="564">
        <f>BC58/SUM(AZ53:BC53)*12</f>
        <v>7.2105385743670549</v>
      </c>
      <c r="BD59" s="565">
        <f>BD58/SUM(AZ53:BC53)*12</f>
        <v>7.2105385743670549</v>
      </c>
      <c r="BE59" s="564">
        <f t="shared" ref="BE59" si="359">BE58/SUM(BE53,BA53:BC53)*12</f>
        <v>6.3832109181013488</v>
      </c>
      <c r="BF59" s="564">
        <f t="shared" ref="BF59" si="360">BF58/SUM(BE53:BF53,BB53:BC53)*12</f>
        <v>6.6806255773908383</v>
      </c>
      <c r="BG59" s="564">
        <f t="shared" ref="BG59" si="361">BG58/SUM(BE53:BG53,BC53)*12</f>
        <v>9.7084724116822176</v>
      </c>
      <c r="BH59" s="564">
        <f t="shared" ref="BH59" si="362">BH58/SUM(BE53:BH53)*12</f>
        <v>17.906862153402528</v>
      </c>
      <c r="BI59" s="565">
        <f t="shared" ref="BI59" si="363">BI58/SUM(BE53:BH53)*12</f>
        <v>17.906862153402528</v>
      </c>
      <c r="BJ59" s="564">
        <f t="shared" ref="BJ59" si="364">BJ58/SUM(BJ53,BF53:BH53)*12</f>
        <v>14.875973504817491</v>
      </c>
      <c r="BK59" s="564">
        <f t="shared" ref="BK59" si="365">BK58/SUM(BJ53:BK53,BG53:BH53)*12</f>
        <v>15.514059613400093</v>
      </c>
      <c r="BL59" s="564">
        <f t="shared" ref="BL59" si="366">BL58/SUM(BJ53:BL53,BH53)*12</f>
        <v>12.336806408432956</v>
      </c>
      <c r="BM59" s="564">
        <f t="shared" ref="BM59" si="367">BM58/SUM(BJ53:BM53)*12</f>
        <v>10.404813106173506</v>
      </c>
      <c r="BN59" s="565">
        <f t="shared" ref="BN59" si="368">BN58/SUM(BJ53:BM53)*12</f>
        <v>10.404813106173506</v>
      </c>
      <c r="BO59" s="564">
        <f t="shared" ref="BO59" si="369">BO58/SUM(BO53,BK53:BM53)*12</f>
        <v>10.072901604360041</v>
      </c>
      <c r="BP59" s="564">
        <f t="shared" ref="BP59" si="370">BP58/SUM(BO53:BP53,BL53:BM53)*12</f>
        <v>11.108227912580558</v>
      </c>
      <c r="BQ59" s="564">
        <f t="shared" ref="BQ59" si="371">BQ58/SUM(BO53:BQ53,BM53)*12</f>
        <v>12.199364849588349</v>
      </c>
      <c r="BR59" s="564">
        <f t="shared" ref="BR59" si="372">BR58/SUM(BO53:BR53)*12</f>
        <v>13.212895583663666</v>
      </c>
      <c r="BS59" s="565">
        <f t="shared" ref="BS59" si="373">BS58/SUM(BO53:BR53)*12</f>
        <v>13.212895583663666</v>
      </c>
      <c r="BT59" s="564">
        <f t="shared" ref="BT59" si="374">BT58/SUM(BT53,BP53:BR53)*12</f>
        <v>11.903713933620971</v>
      </c>
      <c r="BU59" s="564">
        <f t="shared" ref="BU59" si="375">BU58/SUM(BT53:BU53,BQ53:BR53)*12</f>
        <v>9.7558411107090599</v>
      </c>
      <c r="BV59" s="564">
        <f t="shared" ref="BV59" si="376">BV58/SUM(BT53:BV53,BR53)*12</f>
        <v>9.3082464021573017</v>
      </c>
      <c r="BW59" s="564">
        <f t="shared" ref="BW59" si="377">BW58/SUM(BT53:BW53)*12</f>
        <v>9.5633246063101609</v>
      </c>
      <c r="BX59" s="565">
        <f t="shared" ref="BX59" si="378">BX58/SUM(BT53:BW53)*12</f>
        <v>9.5633246063101609</v>
      </c>
      <c r="BY59" s="564">
        <f t="shared" ref="BY59" si="379">BY58/SUM(BY53,BU53:BW53)*12</f>
        <v>9.5108122124854066</v>
      </c>
      <c r="BZ59" s="564">
        <f t="shared" ref="BZ59:CA59" si="380">BZ58/SUM(BY53:BZ53,BV53:BW53)*12</f>
        <v>11.435009696640222</v>
      </c>
      <c r="CA59" s="564">
        <f t="shared" si="380"/>
        <v>6.69146309966363</v>
      </c>
      <c r="CB59" s="564">
        <f t="shared" ref="CB59" si="381">CB58/SUM(BY53:CB53)*12</f>
        <v>13.773846963228563</v>
      </c>
      <c r="CC59" s="565">
        <f t="shared" ref="CC59" si="382">CC58/SUM(BY53:CB53)*12</f>
        <v>13.773846963228563</v>
      </c>
      <c r="CD59" s="564">
        <f t="shared" ref="CD59" si="383">CD58/SUM(CD53,BZ53:CB53)*12</f>
        <v>14.353210871952534</v>
      </c>
      <c r="CE59" s="564">
        <f t="shared" ref="CE59" si="384">CE58/SUM(CD53:CE53,CA53:CB53)*12</f>
        <v>16.846773324215729</v>
      </c>
      <c r="CF59" s="564">
        <f t="shared" ref="CF59" si="385">CF58/SUM(CD53:CF53,CB53)*12</f>
        <v>15.180314587649223</v>
      </c>
      <c r="CG59" s="564">
        <f t="shared" ref="CG59" si="386">CG58/SUM(CD53:CG53)*12</f>
        <v>15.616536907614359</v>
      </c>
      <c r="CH59" s="565">
        <f t="shared" ref="CH59" si="387">CH58/SUM(CD53:CG53)*12</f>
        <v>15.616536907614359</v>
      </c>
      <c r="CI59" s="564">
        <f t="shared" ref="CI59" si="388">CI58/SUM(CI53,CE53:CG53)*12</f>
        <v>15.348136822262276</v>
      </c>
      <c r="CJ59" s="564">
        <f t="shared" ref="CJ59" si="389">CJ58/SUM(CI53:CJ53,CF53:CG53)*12</f>
        <v>16.910185070304593</v>
      </c>
      <c r="CK59" s="564">
        <f t="shared" ref="CK59" si="390">CK58/SUM(CI53:CK53,CG53)*12</f>
        <v>17.582712062705571</v>
      </c>
      <c r="CL59" s="564">
        <f t="shared" ref="CL59" si="391">CL58/SUM(CI53:CL53)*12</f>
        <v>17.999645245679801</v>
      </c>
      <c r="CM59" s="565">
        <f t="shared" ref="CM59" si="392">CM58/SUM(CI53:CL53)*12</f>
        <v>17.999645245679801</v>
      </c>
      <c r="CN59" s="564">
        <f t="shared" ref="CN59" si="393">CN58/SUM(CN53,CJ53:CL53)*12</f>
        <v>17.909120047810511</v>
      </c>
      <c r="CO59" s="564">
        <f t="shared" ref="CO59" si="394">CO58/SUM(CN53:CO53,CK53:CL53)*12</f>
        <v>17.806291290059825</v>
      </c>
      <c r="CP59" s="564">
        <f t="shared" ref="CP59" si="395">CP58/SUM(CN53:CP53,CL53)*12</f>
        <v>17.694055267296886</v>
      </c>
      <c r="CQ59" s="564">
        <f t="shared" ref="CQ59" si="396">CQ58/SUM(CN53:CQ53)*12</f>
        <v>17.574589226599308</v>
      </c>
      <c r="CR59" s="565">
        <f t="shared" ref="CR59" si="397">CR58/SUM(CN53:CQ53)*12</f>
        <v>17.574589226599308</v>
      </c>
      <c r="CS59" s="564">
        <f t="shared" ref="CS59" si="398">CS58/SUM(CS53,CO53:CQ53)*12</f>
        <v>17.552163121694541</v>
      </c>
      <c r="CT59" s="564">
        <f t="shared" ref="CT59" si="399">CT58/SUM(CS53:CT53,CP53:CQ53)*12</f>
        <v>17.508634085476288</v>
      </c>
      <c r="CU59" s="564">
        <f t="shared" ref="CU59" si="400">CU58/SUM(CS53:CU53,CQ53)*12</f>
        <v>17.448316035290517</v>
      </c>
      <c r="CV59" s="564">
        <f t="shared" ref="CV59" si="401">CV58/SUM(CS53:CV53)*12</f>
        <v>17.374601232528633</v>
      </c>
      <c r="CW59" s="565">
        <f t="shared" ref="CW59" si="402">CW58/SUM(CS53:CV53)*12</f>
        <v>17.374601232528633</v>
      </c>
      <c r="CX59" s="564">
        <f t="shared" ref="CX59" si="403">CX58/SUM(CX53,CT53:CV53)*12</f>
        <v>17.385667636951272</v>
      </c>
      <c r="CY59" s="564">
        <f t="shared" ref="CY59" si="404">CY58/SUM(CX53:CY53,CU53:CV53)*12</f>
        <v>17.370527002268499</v>
      </c>
      <c r="CZ59" s="564">
        <f t="shared" ref="CZ59" si="405">CZ58/SUM(CX53:CZ53,CV53)*12</f>
        <v>17.334097953136336</v>
      </c>
      <c r="DA59" s="564">
        <f t="shared" ref="DA59" si="406">DA58/SUM(CX53:DA53)*12</f>
        <v>17.280375891243953</v>
      </c>
      <c r="DB59" s="565">
        <f t="shared" ref="DB59" si="407">DB58/SUM(CX53:DA53)*12</f>
        <v>17.280375891243953</v>
      </c>
    </row>
    <row r="60" spans="1:106" s="7" customFormat="1" ht="11.5" customHeight="1" x14ac:dyDescent="0.35">
      <c r="A60" s="19" t="s">
        <v>276</v>
      </c>
      <c r="B60" s="97"/>
      <c r="C60" s="97"/>
      <c r="D60" s="97"/>
      <c r="E60" s="97"/>
      <c r="F60" s="29"/>
      <c r="G60" s="97"/>
      <c r="H60" s="97"/>
      <c r="I60" s="97"/>
      <c r="J60" s="97"/>
      <c r="K60" s="29"/>
      <c r="L60" s="97"/>
      <c r="M60" s="97"/>
      <c r="N60" s="97"/>
      <c r="O60" s="97"/>
      <c r="P60" s="29"/>
      <c r="Q60" s="97"/>
      <c r="R60" s="97"/>
      <c r="S60" s="97"/>
      <c r="T60" s="97"/>
      <c r="U60" s="29"/>
      <c r="V60" s="97"/>
      <c r="W60" s="97"/>
      <c r="X60" s="97"/>
      <c r="Y60" s="97"/>
      <c r="Z60" s="29"/>
      <c r="AA60" s="97"/>
      <c r="AB60" s="97"/>
      <c r="AC60" s="97"/>
      <c r="AD60" s="97"/>
      <c r="AE60" s="29"/>
      <c r="AF60" s="97"/>
      <c r="AG60" s="97"/>
      <c r="AH60" s="97"/>
      <c r="AI60" s="97"/>
      <c r="AJ60" s="29"/>
      <c r="AK60" s="97"/>
      <c r="AL60" s="97"/>
      <c r="AM60" s="97"/>
      <c r="AN60" s="97"/>
      <c r="AO60" s="29"/>
      <c r="AP60" s="97"/>
      <c r="AQ60" s="97"/>
      <c r="AR60" s="97"/>
      <c r="AS60" s="97"/>
      <c r="AT60" s="29"/>
      <c r="AU60" s="97"/>
      <c r="AV60" s="97"/>
      <c r="AW60" s="97"/>
      <c r="AX60" s="97"/>
      <c r="AY60" s="29"/>
      <c r="AZ60" s="97"/>
      <c r="BA60" s="97">
        <f>AZ58+BA48</f>
        <v>1004528.1286204489</v>
      </c>
      <c r="BB60" s="97">
        <f>BA58+BB48</f>
        <v>1154704.6778604379</v>
      </c>
      <c r="BC60" s="97">
        <f>BB58+BC48</f>
        <v>1178215.8431483787</v>
      </c>
      <c r="BD60" s="29"/>
      <c r="BE60" s="97">
        <f>BD58+BE48</f>
        <v>831914.38556582865</v>
      </c>
      <c r="BF60" s="97">
        <f>BE58+BF48</f>
        <v>901409.2510839859</v>
      </c>
      <c r="BG60" s="97">
        <f>BF58+BG48</f>
        <v>1037075.6374089695</v>
      </c>
      <c r="BH60" s="97">
        <f>BG58+BH48</f>
        <v>1896716.7443588027</v>
      </c>
      <c r="BI60" s="29">
        <f>BD58+SUM(BE48:BH48)</f>
        <v>2425032.0976879457</v>
      </c>
      <c r="BJ60" s="97">
        <f>BI58+BJ48</f>
        <v>1827992.9591959575</v>
      </c>
      <c r="BK60" s="97">
        <f>BJ58+BK48</f>
        <v>2458734.852139865</v>
      </c>
      <c r="BL60" s="97">
        <f>BK58+BL48</f>
        <v>3578027.7542079496</v>
      </c>
      <c r="BM60" s="97">
        <f>BL58+BM48</f>
        <v>3892194.29730435</v>
      </c>
      <c r="BN60" s="29">
        <f>BI58+SUM(BJ48:BM48)</f>
        <v>5402506.5423475811</v>
      </c>
      <c r="BO60" s="97">
        <f>BN58+BO48</f>
        <v>3493339.4475650368</v>
      </c>
      <c r="BP60" s="97">
        <f>BO58+BP48</f>
        <v>4175867.5343099274</v>
      </c>
      <c r="BQ60" s="97">
        <f>BP58+BQ48</f>
        <v>3917535.9383828351</v>
      </c>
      <c r="BR60" s="97">
        <f>BQ58+BR48</f>
        <v>4146265.8221317618</v>
      </c>
      <c r="BS60" s="29">
        <f>BN58+SUM(BO48:BR48)</f>
        <v>6156589.3882101206</v>
      </c>
      <c r="BT60" s="97">
        <f>BS58+BT48</f>
        <v>3435946.3766092327</v>
      </c>
      <c r="BU60" s="97">
        <f>BT58+BU48</f>
        <v>3173253.6478095809</v>
      </c>
      <c r="BV60" s="97">
        <f>BU58+BV48</f>
        <v>3346041.7255098755</v>
      </c>
      <c r="BW60" s="97">
        <f>BV58+BW48</f>
        <v>3373862.0716718575</v>
      </c>
      <c r="BX60" s="29">
        <f>BS58+SUM(BT48:BW48)</f>
        <v>5520772.2297335267</v>
      </c>
      <c r="BY60" s="97">
        <f>BX58+BY48</f>
        <v>3138799.9671508544</v>
      </c>
      <c r="BZ60" s="97">
        <f>BY58+BZ48</f>
        <v>3667644.0449332972</v>
      </c>
      <c r="CA60" s="97">
        <f>BZ58+CA48</f>
        <v>3309469.1206986881</v>
      </c>
      <c r="CB60" s="97">
        <f>CA58+CB48</f>
        <v>3772525.0081128124</v>
      </c>
      <c r="CC60" s="29">
        <f>BX58+SUM(BY48:CB48)</f>
        <v>5424915.4361082148</v>
      </c>
      <c r="CD60" s="97">
        <f>CC58+CD48</f>
        <v>3449249.9599950984</v>
      </c>
      <c r="CE60" s="97">
        <f>CD58+CE48</f>
        <v>4467744.5724550467</v>
      </c>
      <c r="CF60" s="97">
        <f>CE58+CF48</f>
        <v>4364055.43034082</v>
      </c>
      <c r="CG60" s="97">
        <f>CF58+CG48</f>
        <v>4374469.1166419266</v>
      </c>
      <c r="CH60" s="29">
        <f>CC58+SUM(CD48:CG48)</f>
        <v>6507434.909336268</v>
      </c>
      <c r="CI60" s="97">
        <f t="shared" ref="CI60:CL60" si="408">CH58+CI48</f>
        <v>4548233.9821813041</v>
      </c>
      <c r="CJ60" s="97">
        <f t="shared" si="408"/>
        <v>4783423.5002226131</v>
      </c>
      <c r="CK60" s="97">
        <f t="shared" si="408"/>
        <v>4983334.5905577261</v>
      </c>
      <c r="CL60" s="97">
        <f t="shared" si="408"/>
        <v>5153259.0173425721</v>
      </c>
      <c r="CM60" s="29">
        <f t="shared" ref="CM60" si="409">CH58+SUM(CI48:CL48)</f>
        <v>7300507.8282868192</v>
      </c>
      <c r="CN60" s="97">
        <f t="shared" ref="CN60:CQ60" si="410">CM58+CN48</f>
        <v>5334391.7647244316</v>
      </c>
      <c r="CO60" s="97">
        <f t="shared" si="410"/>
        <v>5488354.5999990124</v>
      </c>
      <c r="CP60" s="97">
        <f t="shared" si="410"/>
        <v>5619223.0099824062</v>
      </c>
      <c r="CQ60" s="97">
        <f t="shared" si="410"/>
        <v>5730461.1584682902</v>
      </c>
      <c r="CR60" s="29">
        <f t="shared" ref="CR60" si="411">CM58+SUM(CN48:CQ48)</f>
        <v>8196756.5646741679</v>
      </c>
      <c r="CS60" s="97">
        <f t="shared" ref="CS60:CV60" si="412">CR58+CS48</f>
        <v>5858407.8406807054</v>
      </c>
      <c r="CT60" s="97">
        <f t="shared" si="412"/>
        <v>5967162.5205612592</v>
      </c>
      <c r="CU60" s="97">
        <f t="shared" si="412"/>
        <v>6059603.9984597284</v>
      </c>
      <c r="CV60" s="97">
        <f t="shared" si="412"/>
        <v>6138179.2546734288</v>
      </c>
      <c r="CW60" s="29">
        <f t="shared" ref="CW60" si="413">CR58+SUM(CS48:CV48)</f>
        <v>8820955.4086286835</v>
      </c>
      <c r="CX60" s="97">
        <f t="shared" ref="CX60:DA60" si="414">CW58+CX48</f>
        <v>6239531.2774144653</v>
      </c>
      <c r="CY60" s="97">
        <f t="shared" si="414"/>
        <v>6325680.4967443477</v>
      </c>
      <c r="CZ60" s="97">
        <f t="shared" si="414"/>
        <v>6398907.3331747474</v>
      </c>
      <c r="DA60" s="97">
        <f t="shared" si="414"/>
        <v>6461150.1441405872</v>
      </c>
      <c r="DB60" s="29">
        <f t="shared" ref="DB60" si="415">CW58+SUM(CX48:DA48)</f>
        <v>9305768.0102406219</v>
      </c>
    </row>
    <row r="61" spans="1:106" s="7" customFormat="1" ht="11.5" customHeight="1" x14ac:dyDescent="0.35">
      <c r="A61" s="77" t="s">
        <v>275</v>
      </c>
      <c r="B61" s="101"/>
      <c r="C61" s="101"/>
      <c r="D61" s="101"/>
      <c r="E61" s="101"/>
      <c r="F61" s="102"/>
      <c r="G61" s="101"/>
      <c r="H61" s="101"/>
      <c r="I61" s="101"/>
      <c r="J61" s="101"/>
      <c r="K61" s="102"/>
      <c r="L61" s="101"/>
      <c r="M61" s="101"/>
      <c r="N61" s="101"/>
      <c r="O61" s="101"/>
      <c r="P61" s="102"/>
      <c r="Q61" s="101"/>
      <c r="R61" s="101"/>
      <c r="S61" s="101"/>
      <c r="T61" s="101"/>
      <c r="U61" s="102"/>
      <c r="V61" s="101"/>
      <c r="W61" s="101"/>
      <c r="X61" s="101"/>
      <c r="Y61" s="101"/>
      <c r="Z61" s="102"/>
      <c r="AA61" s="101"/>
      <c r="AB61" s="101"/>
      <c r="AC61" s="101"/>
      <c r="AD61" s="101"/>
      <c r="AE61" s="102"/>
      <c r="AF61" s="101"/>
      <c r="AG61" s="101"/>
      <c r="AH61" s="101"/>
      <c r="AI61" s="101"/>
      <c r="AJ61" s="102"/>
      <c r="AK61" s="101"/>
      <c r="AL61" s="101"/>
      <c r="AM61" s="101"/>
      <c r="AN61" s="101"/>
      <c r="AO61" s="102"/>
      <c r="AP61" s="101"/>
      <c r="AQ61" s="101"/>
      <c r="AR61" s="101"/>
      <c r="AS61" s="101"/>
      <c r="AT61" s="102"/>
      <c r="AU61" s="101"/>
      <c r="AV61" s="101"/>
      <c r="AW61" s="101"/>
      <c r="AX61" s="101"/>
      <c r="AY61" s="102"/>
      <c r="AZ61" s="101"/>
      <c r="BA61" s="101">
        <f>BA53/BA60</f>
        <v>0.16794124535002233</v>
      </c>
      <c r="BB61" s="101">
        <f>BB53/BB60</f>
        <v>0.4186550814782764</v>
      </c>
      <c r="BC61" s="101">
        <f>BC53/BC60</f>
        <v>0.36367084088631751</v>
      </c>
      <c r="BD61" s="102"/>
      <c r="BE61" s="101">
        <f t="shared" ref="BE61:BZ61" si="416">BE53/BE60</f>
        <v>0.22106799871830707</v>
      </c>
      <c r="BF61" s="101">
        <f t="shared" si="416"/>
        <v>0.23103058648891825</v>
      </c>
      <c r="BG61" s="101">
        <f t="shared" si="416"/>
        <v>0.21394819426737058</v>
      </c>
      <c r="BH61" s="101">
        <f t="shared" si="416"/>
        <v>0.21425178529609679</v>
      </c>
      <c r="BI61" s="236">
        <f t="shared" si="416"/>
        <v>0.42078542624716669</v>
      </c>
      <c r="BJ61" s="101">
        <f t="shared" si="416"/>
        <v>0.24534304049768829</v>
      </c>
      <c r="BK61" s="101">
        <f t="shared" si="416"/>
        <v>0.2235703033262712</v>
      </c>
      <c r="BL61" s="101">
        <f t="shared" si="416"/>
        <v>0.33024061842930036</v>
      </c>
      <c r="BM61" s="101">
        <f t="shared" si="416"/>
        <v>0.31409886788132246</v>
      </c>
      <c r="BN61" s="236">
        <f t="shared" si="416"/>
        <v>0.62976867150541638</v>
      </c>
      <c r="BO61" s="101">
        <f t="shared" si="416"/>
        <v>0.14624163393036799</v>
      </c>
      <c r="BP61" s="101">
        <f t="shared" si="416"/>
        <v>0.18728681181606974</v>
      </c>
      <c r="BQ61" s="101">
        <f t="shared" si="416"/>
        <v>0.1728692415429372</v>
      </c>
      <c r="BR61" s="101">
        <f t="shared" si="416"/>
        <v>0.22740990562631516</v>
      </c>
      <c r="BS61" s="236">
        <f t="shared" si="416"/>
        <v>0.47316457014805169</v>
      </c>
      <c r="BT61" s="101">
        <f t="shared" si="416"/>
        <v>0.15353445552036868</v>
      </c>
      <c r="BU61" s="101">
        <f t="shared" si="416"/>
        <v>0.2580883023215001</v>
      </c>
      <c r="BV61" s="101">
        <f t="shared" si="416"/>
        <v>0.27524159283247163</v>
      </c>
      <c r="BW61" s="101">
        <f t="shared" si="416"/>
        <v>0.26472216468749182</v>
      </c>
      <c r="BX61" s="236">
        <f t="shared" si="416"/>
        <v>0.57249630968100429</v>
      </c>
      <c r="BY61" s="101">
        <f t="shared" si="416"/>
        <v>0.1917214058741826</v>
      </c>
      <c r="BZ61" s="101">
        <f t="shared" si="416"/>
        <v>0.19592669007140562</v>
      </c>
      <c r="CA61" s="101">
        <f t="shared" ref="CA61:CB61" si="417">CA53/CA60</f>
        <v>0.13634721524652996</v>
      </c>
      <c r="CB61" s="101">
        <f t="shared" si="417"/>
        <v>0.21656582746119432</v>
      </c>
      <c r="CC61" s="102">
        <f>CC53/CC60</f>
        <v>0.47716898624185189</v>
      </c>
      <c r="CD61" s="101">
        <f t="shared" ref="CD61:CE61" si="418">CD53/CD60</f>
        <v>0.13033607450856918</v>
      </c>
      <c r="CE61" s="101">
        <f t="shared" si="418"/>
        <v>0.19134081237031628</v>
      </c>
      <c r="CF61" s="577">
        <v>0.17</v>
      </c>
      <c r="CG61" s="101">
        <f t="shared" ref="CF61:CG61" si="419">CF61</f>
        <v>0.17</v>
      </c>
      <c r="CH61" s="102">
        <f>CH53/CH60</f>
        <v>0.42873617448335771</v>
      </c>
      <c r="CI61" s="577">
        <v>0.15</v>
      </c>
      <c r="CJ61" s="101">
        <f t="shared" ref="CJ61:CL61" si="420">CI61</f>
        <v>0.15</v>
      </c>
      <c r="CK61" s="101">
        <f t="shared" si="420"/>
        <v>0.15</v>
      </c>
      <c r="CL61" s="101">
        <f t="shared" si="420"/>
        <v>0.15</v>
      </c>
      <c r="CM61" s="102">
        <f t="shared" ref="CM61" si="421">CM53/CM60</f>
        <v>0.40000473011353688</v>
      </c>
      <c r="CN61" s="577">
        <v>0.15</v>
      </c>
      <c r="CO61" s="101">
        <f>CN61</f>
        <v>0.15</v>
      </c>
      <c r="CP61" s="101">
        <f t="shared" ref="CP61:CQ61" si="422">CO61</f>
        <v>0.15</v>
      </c>
      <c r="CQ61" s="101">
        <f t="shared" si="422"/>
        <v>0.15</v>
      </c>
      <c r="CR61" s="102">
        <f t="shared" ref="CR61" si="423">CR53/CR60</f>
        <v>0.40575373365481038</v>
      </c>
      <c r="CS61" s="101">
        <f t="shared" ref="CS61" si="424">CQ61</f>
        <v>0.15</v>
      </c>
      <c r="CT61" s="101">
        <f t="shared" ref="CT61:DA61" si="425">CS61</f>
        <v>0.15</v>
      </c>
      <c r="CU61" s="101">
        <f t="shared" si="425"/>
        <v>0.15</v>
      </c>
      <c r="CV61" s="101">
        <f t="shared" si="425"/>
        <v>0.15</v>
      </c>
      <c r="CW61" s="102">
        <f t="shared" ref="CW61:DB61" si="426">CW53/CW60</f>
        <v>0.40851618393074646</v>
      </c>
      <c r="CX61" s="101">
        <f t="shared" ref="CX61" si="427">CV61</f>
        <v>0.15</v>
      </c>
      <c r="CY61" s="101">
        <f t="shared" ref="CY61" si="428">CX61</f>
        <v>0.15</v>
      </c>
      <c r="CZ61" s="101">
        <f t="shared" si="425"/>
        <v>0.15</v>
      </c>
      <c r="DA61" s="101">
        <f t="shared" si="425"/>
        <v>0.15</v>
      </c>
      <c r="DB61" s="102">
        <f t="shared" si="426"/>
        <v>0.40983080424143387</v>
      </c>
    </row>
    <row r="62" spans="1:106" s="7" customFormat="1" ht="11.5" customHeight="1" x14ac:dyDescent="0.35">
      <c r="A62" s="7" t="s">
        <v>397</v>
      </c>
      <c r="B62" s="46"/>
      <c r="C62" s="46"/>
      <c r="D62" s="46"/>
      <c r="E62" s="46"/>
      <c r="F62" s="536"/>
      <c r="G62" s="46"/>
      <c r="H62" s="46"/>
      <c r="I62" s="46"/>
      <c r="J62" s="46"/>
      <c r="K62" s="536"/>
      <c r="L62" s="46"/>
      <c r="M62" s="46"/>
      <c r="N62" s="46"/>
      <c r="O62" s="46"/>
      <c r="P62" s="536"/>
      <c r="Q62" s="46"/>
      <c r="R62" s="46"/>
      <c r="S62" s="46"/>
      <c r="T62" s="46"/>
      <c r="U62" s="536"/>
      <c r="V62" s="46"/>
      <c r="W62" s="46"/>
      <c r="X62" s="46"/>
      <c r="Y62" s="46"/>
      <c r="Z62" s="536"/>
      <c r="AA62" s="46"/>
      <c r="AB62" s="46"/>
      <c r="AC62" s="46"/>
      <c r="AD62" s="46"/>
      <c r="AE62" s="536"/>
      <c r="AF62" s="46"/>
      <c r="AG62" s="46"/>
      <c r="AH62" s="46"/>
      <c r="AI62" s="46"/>
      <c r="AJ62" s="536"/>
      <c r="AK62" s="46"/>
      <c r="AL62" s="46"/>
      <c r="AM62" s="46"/>
      <c r="AN62" s="46"/>
      <c r="AO62" s="536"/>
      <c r="AP62" s="46"/>
      <c r="AQ62" s="46"/>
      <c r="AR62" s="46"/>
      <c r="AS62" s="46"/>
      <c r="AT62" s="536"/>
      <c r="AU62" s="46"/>
      <c r="AV62" s="46"/>
      <c r="AW62" s="46"/>
      <c r="AX62" s="46"/>
      <c r="AY62" s="536"/>
      <c r="AZ62" s="46"/>
      <c r="BA62" s="46"/>
      <c r="BB62" s="46"/>
      <c r="BC62" s="46"/>
      <c r="BD62" s="536"/>
      <c r="BE62" s="537"/>
      <c r="BF62" s="537"/>
      <c r="BG62" s="537"/>
      <c r="BH62" s="537"/>
      <c r="BI62" s="537"/>
      <c r="BJ62" s="537"/>
      <c r="BK62" s="537"/>
      <c r="BL62" s="537"/>
      <c r="BM62" s="537">
        <f t="shared" ref="BM62" si="429">SUM(BJ53:BM53,BE53:BH53,AZ53:BC53)</f>
        <v>5721512.2310226839</v>
      </c>
      <c r="BN62" s="537">
        <f t="shared" ref="BN62" si="430">BN53+BI53+BD53</f>
        <v>5721512.2310226839</v>
      </c>
      <c r="BO62" s="537">
        <f>SUM(BO53,BJ53:BM53,BE53:BH53,BA53:BC53)</f>
        <v>6014226.6338735661</v>
      </c>
      <c r="BP62" s="537">
        <f>SUM(BO53:BP53,BJ53:BM53,BE53:BH53,BB53:BC53)</f>
        <v>6627609.8460310586</v>
      </c>
      <c r="BQ62" s="537">
        <f>SUM(BO53:BQ53,BJ53:BM53,BE53:BH53,BC53)</f>
        <v>6821408.3314234903</v>
      </c>
      <c r="BR62" s="537">
        <f>SUM(BO53:BR53,BJ53:BM53,BE53:BH53)</f>
        <v>7335827.5043127378</v>
      </c>
      <c r="BS62" s="537">
        <f>BS53+BN53+BI53</f>
        <v>7335827.5043127378</v>
      </c>
      <c r="BT62" s="537">
        <f>SUM(BT53,BO53:BR53,BJ53:BM53,BF53:BH53)</f>
        <v>7679454.012120612</v>
      </c>
      <c r="BU62" s="537">
        <f>SUM(BT53:BU53,BO53:BR53,BJ53:BM53,BG53:BH53)</f>
        <v>8290180.5509748235</v>
      </c>
      <c r="BV62" s="537">
        <f>SUM(BT53:BV53,BO53:BR53,BJ53:BM53,BH53)</f>
        <v>8989269.9452457428</v>
      </c>
      <c r="BW62" s="538">
        <f>SUM(BT53:BW53,BO53:BR53,BJ53:BM53)</f>
        <v>9476031.0675358679</v>
      </c>
      <c r="BX62" s="538">
        <f>BX53+BS53+BN53</f>
        <v>9476031.0675358698</v>
      </c>
      <c r="BY62" s="537">
        <f>SUM(BY53,BT53:BW53,BO53:BR53,BK53:BM53)</f>
        <v>9629320.8593783677</v>
      </c>
      <c r="BZ62" s="537">
        <f>SUM(BY53:BZ53,BT53:BW53,BO53:BR53,BL53:BM53)</f>
        <v>9798210.1207704656</v>
      </c>
      <c r="CA62" s="537">
        <f>SUM(BZ53:CA53,BU53:BX53,BP53:BS53,BM53:BN53)</f>
        <v>16903685.021275945</v>
      </c>
      <c r="CB62" s="538">
        <f>SUM(BY53:CB53,BT53:BW53,BO53:BR53)</f>
        <v>8662303.0986578427</v>
      </c>
      <c r="CC62" s="539">
        <f>CC53+BX53+BS53</f>
        <v>8662303.0986578427</v>
      </c>
      <c r="CD62" s="537">
        <f>SUM(CD53,BY53:CB53,BT53:BW53,BP53:BR53)</f>
        <v>8600993.1297571231</v>
      </c>
      <c r="CE62" s="537">
        <f>SUM(CD53:CE53,BY53:CB53,BT53:BW53,BQ53:BR53)</f>
        <v>8673770.0886466056</v>
      </c>
      <c r="CF62" s="537">
        <f>SUM(CD53:CF53,BY53:CB53,BT53:BW53,BR53)</f>
        <v>8738438.0454191044</v>
      </c>
      <c r="CG62" s="538">
        <f>SUM(CD53:CG53,BY53:CB53,BT53:BW53)</f>
        <v>8539195.8759356327</v>
      </c>
      <c r="CH62" s="538">
        <f>CH53+CC53+BX53</f>
        <v>8539195.8759356327</v>
      </c>
      <c r="CI62" s="537">
        <f t="shared" ref="CI62" si="431">SUM(CI53,CD53:CG53,BY53:CB53,BU53:BW53)</f>
        <v>8693894.8171329461</v>
      </c>
      <c r="CJ62" s="537">
        <f t="shared" ref="CJ62" si="432">SUM(CI53:CJ53,CD53:CG53,BY53:CB53,BV53:BW53)</f>
        <v>8592428.6953676548</v>
      </c>
      <c r="CK62" s="537">
        <f t="shared" ref="CK62" si="433">SUM(CI53:CK53,CD53:CG53,BY53:CB53,BW53)</f>
        <v>8418959.0297380649</v>
      </c>
      <c r="CL62" s="538">
        <f t="shared" ref="CL62" si="434">SUM(CI53:CL53,CD53:CG53,BY53:CB53)</f>
        <v>8298811.8113694508</v>
      </c>
      <c r="CM62" s="538">
        <f t="shared" ref="CM62" si="435">CM53+CH53+CC53</f>
        <v>8298811.8113694498</v>
      </c>
      <c r="CN62" s="537">
        <f t="shared" ref="CN62" si="436">SUM(CN53,CI53:CL53,CD53:CG53,BZ53:CB53)</f>
        <v>8497195.4336181153</v>
      </c>
      <c r="CO62" s="537">
        <f t="shared" ref="CO62" si="437">SUM(CN53:CO53,CI53:CL53,CD53:CG53,CA53:CB53)</f>
        <v>8601859.2655340843</v>
      </c>
      <c r="CP62" s="537">
        <f t="shared" ref="CP62" si="438">SUM(CN53:CP53,CI53:CL53,CD53:CG53,CB53)</f>
        <v>8993505.8184797969</v>
      </c>
      <c r="CQ62" s="538">
        <f t="shared" ref="CQ62" si="439">SUM(CN53:CQ53,CI53:CL53,CD53:CG53)</f>
        <v>9036074.9922500402</v>
      </c>
      <c r="CR62" s="538">
        <f t="shared" ref="CR62" si="440">CR53+CM53+CH53</f>
        <v>9036074.9922500402</v>
      </c>
      <c r="CS62" s="537">
        <f t="shared" ref="CS62" si="441">SUM(CS53,CN53:CQ53,CI53:CL53,CE53:CG53)</f>
        <v>9465274.4685675465</v>
      </c>
      <c r="CT62" s="537">
        <f t="shared" ref="CT62" si="442">SUM(CS53:CT53,CN53:CQ53,CI53:CL53,CF53:CG53)</f>
        <v>9505486.9706951156</v>
      </c>
      <c r="CU62" s="537">
        <f t="shared" ref="CU62" si="443">SUM(CS53:CU53,CN53:CQ53,CI53:CL53,CG53)</f>
        <v>9672538.1473061368</v>
      </c>
      <c r="CV62" s="538">
        <f t="shared" ref="CV62" si="444">SUM(CS53:CV53,CN53:CQ53,CI53:CL53)</f>
        <v>9849605.2856780216</v>
      </c>
      <c r="CW62" s="538">
        <f t="shared" ref="CW62" si="445">CW53+CR53+CM53</f>
        <v>9849605.2856780216</v>
      </c>
      <c r="CX62" s="537">
        <f t="shared" ref="CX62" si="446">SUM(CX53,CS53:CV53,CN53:CQ53,CJ53:CL53)</f>
        <v>10103299.879962998</v>
      </c>
      <c r="CY62" s="537">
        <f t="shared" ref="CY62" si="447">SUM(CX53:CY53,CS53:CV53,CN53:CQ53,CK53:CL53)</f>
        <v>10334638.429441256</v>
      </c>
      <c r="CZ62" s="537">
        <f t="shared" ref="CZ62" si="448">SUM(CX53:CZ53,CS53:CV53,CN53:CQ53,CL53)</f>
        <v>10546974.340833809</v>
      </c>
      <c r="DA62" s="538">
        <f t="shared" ref="DA62" si="449">SUM(CX53:DA53,CS53:CV53,CN53:CQ53)</f>
        <v>10743158.009853512</v>
      </c>
      <c r="DB62" s="538">
        <f t="shared" ref="DB62" si="450">DB53+CW53+CR53</f>
        <v>10743158.00985351</v>
      </c>
    </row>
    <row r="63" spans="1:106" s="7" customFormat="1" ht="11.5" customHeight="1" x14ac:dyDescent="0.35">
      <c r="A63" s="11" t="s">
        <v>398</v>
      </c>
      <c r="B63" s="204"/>
      <c r="C63" s="204"/>
      <c r="D63" s="204"/>
      <c r="E63" s="204"/>
      <c r="F63" s="476"/>
      <c r="G63" s="204"/>
      <c r="H63" s="204"/>
      <c r="I63" s="204"/>
      <c r="J63" s="204"/>
      <c r="K63" s="476"/>
      <c r="L63" s="204"/>
      <c r="M63" s="204"/>
      <c r="N63" s="204"/>
      <c r="O63" s="204"/>
      <c r="P63" s="476"/>
      <c r="Q63" s="204"/>
      <c r="R63" s="204"/>
      <c r="S63" s="204"/>
      <c r="T63" s="204"/>
      <c r="U63" s="476"/>
      <c r="V63" s="204"/>
      <c r="W63" s="204"/>
      <c r="X63" s="204"/>
      <c r="Y63" s="204"/>
      <c r="Z63" s="476"/>
      <c r="AA63" s="204"/>
      <c r="AB63" s="204"/>
      <c r="AC63" s="204"/>
      <c r="AD63" s="204"/>
      <c r="AE63" s="476"/>
      <c r="AF63" s="204"/>
      <c r="AG63" s="204"/>
      <c r="AH63" s="204"/>
      <c r="AI63" s="204"/>
      <c r="AJ63" s="476"/>
      <c r="AK63" s="204"/>
      <c r="AL63" s="204"/>
      <c r="AM63" s="204"/>
      <c r="AN63" s="204"/>
      <c r="AO63" s="476"/>
      <c r="AP63" s="204"/>
      <c r="AQ63" s="204"/>
      <c r="AR63" s="204"/>
      <c r="AS63" s="204"/>
      <c r="AT63" s="476"/>
      <c r="AU63" s="204"/>
      <c r="AV63" s="204"/>
      <c r="AW63" s="204"/>
      <c r="AX63" s="204"/>
      <c r="AY63" s="476"/>
      <c r="AZ63" s="204"/>
      <c r="BA63" s="204"/>
      <c r="BB63" s="204"/>
      <c r="BC63" s="204"/>
      <c r="BD63" s="476"/>
      <c r="BE63" s="46"/>
      <c r="BF63" s="46"/>
      <c r="BG63" s="46"/>
      <c r="BH63" s="46"/>
      <c r="BI63" s="46"/>
      <c r="BJ63" s="46"/>
      <c r="BK63" s="46"/>
      <c r="BL63" s="46"/>
      <c r="BM63" s="46">
        <f t="shared" ref="BM63" si="451">BM65/BM62</f>
        <v>7.4755491820011802E-2</v>
      </c>
      <c r="BN63" s="46">
        <f t="shared" ref="BN63" si="452">BN65/BN62</f>
        <v>0.26179147693391758</v>
      </c>
      <c r="BO63" s="46">
        <f>BO65/BO62</f>
        <v>5.644534241316105E-2</v>
      </c>
      <c r="BP63" s="46">
        <f>BP65/BP62</f>
        <v>8.2644869277333499E-2</v>
      </c>
      <c r="BQ63" s="46">
        <f t="shared" ref="BQ63" si="453">BQ65/BQ62</f>
        <v>7.6705626595675105E-2</v>
      </c>
      <c r="BR63" s="46">
        <f t="shared" ref="BR63" si="454">BR65/BR62</f>
        <v>7.4828465772613359E-2</v>
      </c>
      <c r="BS63" s="46">
        <f t="shared" ref="BS63" si="455">BS65/BS62</f>
        <v>0.26709763111808293</v>
      </c>
      <c r="BT63" s="46">
        <f>BT65/BT62</f>
        <v>6.4000775614538083E-2</v>
      </c>
      <c r="BU63" s="46">
        <f>BU65/BU62</f>
        <v>8.6452582296967381E-2</v>
      </c>
      <c r="BV63" s="46">
        <f t="shared" ref="BV63:BX63" si="456">BV65/BV62</f>
        <v>7.7627271652806473E-2</v>
      </c>
      <c r="BW63" s="536">
        <f t="shared" si="456"/>
        <v>7.9188336369188969E-2</v>
      </c>
      <c r="BX63" s="105">
        <f t="shared" si="456"/>
        <v>0.28032856225358982</v>
      </c>
      <c r="BY63" s="46">
        <f>BY65/BY62</f>
        <v>6.1372054126207921E-2</v>
      </c>
      <c r="BZ63" s="46">
        <f>BZ65/BZ62</f>
        <v>7.6585449541102441E-2</v>
      </c>
      <c r="CA63" s="46">
        <f>CA65/CA62</f>
        <v>3.8981546344266496E-2</v>
      </c>
      <c r="CB63" s="536">
        <f t="shared" ref="CB63" si="457">CB65/CB62</f>
        <v>9.1105566128257029E-2</v>
      </c>
      <c r="CC63" s="105">
        <f t="shared" ref="CC63" si="458">CC65/CC62</f>
        <v>0.32202605990934641</v>
      </c>
      <c r="CD63" s="46">
        <f>CD65/CD62</f>
        <v>5.4619561764893763E-2</v>
      </c>
      <c r="CE63" s="46">
        <f>CE65/CE62</f>
        <v>7.7582880729368989E-2</v>
      </c>
      <c r="CF63" s="527">
        <v>7.4999999999999997E-2</v>
      </c>
      <c r="CG63" s="535">
        <v>7.4999999999999997E-2</v>
      </c>
      <c r="CH63" s="534">
        <f t="shared" ref="CH63" si="459">CH65/CH62</f>
        <v>0.28557034236974338</v>
      </c>
      <c r="CI63" s="527">
        <v>7.4999999999999997E-2</v>
      </c>
      <c r="CJ63" s="527">
        <v>7.4999999999999997E-2</v>
      </c>
      <c r="CK63" s="527">
        <v>7.4999999999999997E-2</v>
      </c>
      <c r="CL63" s="535">
        <v>7.4999999999999997E-2</v>
      </c>
      <c r="CM63" s="534">
        <f t="shared" ref="CM63" si="460">CM65/CM62</f>
        <v>0.30730990586226625</v>
      </c>
      <c r="CN63" s="527">
        <v>7.4999999999999997E-2</v>
      </c>
      <c r="CO63" s="527">
        <v>7.4999999999999997E-2</v>
      </c>
      <c r="CP63" s="527">
        <v>7.4999999999999997E-2</v>
      </c>
      <c r="CQ63" s="535">
        <v>7.4999999999999997E-2</v>
      </c>
      <c r="CR63" s="534">
        <f t="shared" ref="CR63" si="461">CR65/CR62</f>
        <v>0.29156992007047394</v>
      </c>
      <c r="CS63" s="527">
        <v>7.4999999999999997E-2</v>
      </c>
      <c r="CT63" s="527">
        <v>7.4999999999999997E-2</v>
      </c>
      <c r="CU63" s="527">
        <v>7.4999999999999997E-2</v>
      </c>
      <c r="CV63" s="535">
        <v>7.4999999999999997E-2</v>
      </c>
      <c r="CW63" s="534">
        <f t="shared" ref="CW63" si="462">CW65/CW62</f>
        <v>0.29310492975960711</v>
      </c>
      <c r="CX63" s="527">
        <v>7.4999999999999997E-2</v>
      </c>
      <c r="CY63" s="527">
        <v>7.4999999999999997E-2</v>
      </c>
      <c r="CZ63" s="527">
        <v>7.4999999999999997E-2</v>
      </c>
      <c r="DA63" s="535">
        <v>7.4999999999999997E-2</v>
      </c>
      <c r="DB63" s="534">
        <f t="shared" ref="DB63" si="463">DB65/DB62</f>
        <v>0.2913114837030627</v>
      </c>
    </row>
    <row r="64" spans="1:106" s="7" customFormat="1" ht="11.5" customHeight="1" thickBot="1" x14ac:dyDescent="0.4">
      <c r="A64" s="318" t="s">
        <v>383</v>
      </c>
      <c r="B64" s="129" t="str">
        <f>Macro!B$3</f>
        <v>1Q10</v>
      </c>
      <c r="C64" s="129" t="str">
        <f>Macro!C$3</f>
        <v>2Q10</v>
      </c>
      <c r="D64" s="129" t="str">
        <f>Macro!D$3</f>
        <v>3Q10</v>
      </c>
      <c r="E64" s="319" t="str">
        <f>Macro!E$3</f>
        <v>4Q10</v>
      </c>
      <c r="F64" s="319" t="str">
        <f>Macro!F$3</f>
        <v>2010</v>
      </c>
      <c r="G64" s="129" t="str">
        <f>Macro!G$3</f>
        <v>1Q11</v>
      </c>
      <c r="H64" s="129" t="str">
        <f>Macro!H$3</f>
        <v>2Q11</v>
      </c>
      <c r="I64" s="129" t="str">
        <f>Macro!I$3</f>
        <v>3Q11</v>
      </c>
      <c r="J64" s="319" t="str">
        <f>Macro!J$3</f>
        <v>4Q11</v>
      </c>
      <c r="K64" s="319" t="str">
        <f>Macro!K$3</f>
        <v>2011</v>
      </c>
      <c r="L64" s="129" t="str">
        <f>Macro!L$3</f>
        <v>1Q12</v>
      </c>
      <c r="M64" s="129" t="str">
        <f>Macro!M$3</f>
        <v>2Q12</v>
      </c>
      <c r="N64" s="129" t="str">
        <f>Macro!N$3</f>
        <v>3Q12</v>
      </c>
      <c r="O64" s="319" t="str">
        <f>Macro!O$3</f>
        <v>4Q12</v>
      </c>
      <c r="P64" s="319" t="str">
        <f>Macro!P$3</f>
        <v>2012</v>
      </c>
      <c r="Q64" s="129" t="str">
        <f>Macro!Q$3</f>
        <v>1Q13</v>
      </c>
      <c r="R64" s="129" t="str">
        <f>Macro!R$3</f>
        <v>2Q13</v>
      </c>
      <c r="S64" s="129" t="str">
        <f>Macro!S$3</f>
        <v>3Q13</v>
      </c>
      <c r="T64" s="319" t="str">
        <f>Macro!T$3</f>
        <v>4Q13</v>
      </c>
      <c r="U64" s="319" t="str">
        <f>Macro!U$3</f>
        <v>2013</v>
      </c>
      <c r="V64" s="129" t="str">
        <f>Macro!V$3</f>
        <v>1Q14</v>
      </c>
      <c r="W64" s="129" t="str">
        <f>Macro!W$3</f>
        <v>2Q14</v>
      </c>
      <c r="X64" s="129" t="str">
        <f>Macro!X$3</f>
        <v>3Q14</v>
      </c>
      <c r="Y64" s="319" t="str">
        <f>Macro!Y$3</f>
        <v>4Q14</v>
      </c>
      <c r="Z64" s="319" t="str">
        <f>Macro!Z$3</f>
        <v>2014</v>
      </c>
      <c r="AA64" s="129" t="str">
        <f>Macro!AA$3</f>
        <v>1Q15</v>
      </c>
      <c r="AB64" s="129" t="str">
        <f>Macro!AB$3</f>
        <v>2Q15</v>
      </c>
      <c r="AC64" s="129" t="str">
        <f>Macro!AC$3</f>
        <v>3Q15</v>
      </c>
      <c r="AD64" s="319" t="str">
        <f>Macro!AD$3</f>
        <v>4Q15</v>
      </c>
      <c r="AE64" s="319" t="str">
        <f>Macro!AE$3</f>
        <v>2015</v>
      </c>
      <c r="AF64" s="129" t="str">
        <f>Macro!AF$3</f>
        <v>1Q16</v>
      </c>
      <c r="AG64" s="129" t="str">
        <f>Macro!AG$3</f>
        <v>2Q16</v>
      </c>
      <c r="AH64" s="129" t="str">
        <f>Macro!AH$3</f>
        <v>3Q16</v>
      </c>
      <c r="AI64" s="319" t="str">
        <f>Macro!AI$3</f>
        <v>4Q16</v>
      </c>
      <c r="AJ64" s="319" t="str">
        <f>Macro!AJ$3</f>
        <v>2016</v>
      </c>
      <c r="AK64" s="129" t="str">
        <f>Macro!AK$3</f>
        <v>1Q17</v>
      </c>
      <c r="AL64" s="129" t="str">
        <f>Macro!AL$3</f>
        <v>2Q17</v>
      </c>
      <c r="AM64" s="129" t="str">
        <f>Macro!AM$3</f>
        <v>3Q17</v>
      </c>
      <c r="AN64" s="319" t="str">
        <f>Macro!AN$3</f>
        <v>4Q17</v>
      </c>
      <c r="AO64" s="319" t="str">
        <f>Macro!AO$3</f>
        <v>2017</v>
      </c>
      <c r="AP64" s="129" t="str">
        <f>Macro!AP$3</f>
        <v>1Q18</v>
      </c>
      <c r="AQ64" s="129" t="str">
        <f>Macro!AQ$3</f>
        <v>2Q18</v>
      </c>
      <c r="AR64" s="129" t="str">
        <f>Macro!AR$3</f>
        <v>3Q18</v>
      </c>
      <c r="AS64" s="319" t="str">
        <f>Macro!AS$3</f>
        <v>4Q18</v>
      </c>
      <c r="AT64" s="319" t="str">
        <f>Macro!AT$3</f>
        <v>2018</v>
      </c>
      <c r="AU64" s="129" t="str">
        <f>Macro!AU$3</f>
        <v>1Q19</v>
      </c>
      <c r="AV64" s="129" t="str">
        <f>Macro!AV$3</f>
        <v>2Q19</v>
      </c>
      <c r="AW64" s="129" t="str">
        <f>Macro!AW$3</f>
        <v>3Q19</v>
      </c>
      <c r="AX64" s="319" t="str">
        <f>Macro!AX$3</f>
        <v>4Q19</v>
      </c>
      <c r="AY64" s="319" t="str">
        <f>Macro!AY$3</f>
        <v>2019</v>
      </c>
      <c r="AZ64" s="129" t="str">
        <f>Macro!AZ$3</f>
        <v>1Q20</v>
      </c>
      <c r="BA64" s="129" t="str">
        <f>Macro!BA$3</f>
        <v>2Q20</v>
      </c>
      <c r="BB64" s="129" t="str">
        <f>Macro!BB$3</f>
        <v>3Q20</v>
      </c>
      <c r="BC64" s="319" t="str">
        <f>Macro!BC$3</f>
        <v>4Q20</v>
      </c>
      <c r="BD64" s="319" t="str">
        <f>Macro!BD$3</f>
        <v>2020</v>
      </c>
      <c r="BE64" s="129" t="str">
        <f>Macro!BE$3</f>
        <v>1Q21</v>
      </c>
      <c r="BF64" s="129" t="str">
        <f>Macro!BF$3</f>
        <v>2Q21</v>
      </c>
      <c r="BG64" s="129" t="str">
        <f>Macro!BG$3</f>
        <v>3Q21</v>
      </c>
      <c r="BH64" s="319" t="str">
        <f>Macro!BH$3</f>
        <v>4Q21</v>
      </c>
      <c r="BI64" s="319" t="str">
        <f>Macro!BI$3</f>
        <v>2021</v>
      </c>
      <c r="BJ64" s="129" t="str">
        <f>Macro!BJ$3</f>
        <v>1Q22</v>
      </c>
      <c r="BK64" s="129" t="str">
        <f>Macro!BK$3</f>
        <v>2Q22</v>
      </c>
      <c r="BL64" s="129" t="str">
        <f>Macro!BL$3</f>
        <v>3Q22</v>
      </c>
      <c r="BM64" s="319" t="str">
        <f>Macro!BM$3</f>
        <v>4Q22</v>
      </c>
      <c r="BN64" s="319" t="str">
        <f>Macro!BN$3</f>
        <v>2022</v>
      </c>
      <c r="BO64" s="129" t="str">
        <f>Macro!BO$3</f>
        <v>1Q23</v>
      </c>
      <c r="BP64" s="129" t="str">
        <f>Macro!BP$3</f>
        <v>2Q23</v>
      </c>
      <c r="BQ64" s="129" t="str">
        <f>Macro!BQ$3</f>
        <v>3Q23</v>
      </c>
      <c r="BR64" s="319" t="str">
        <f>Macro!BR$3</f>
        <v>4Q23</v>
      </c>
      <c r="BS64" s="319" t="str">
        <f>Macro!BS$3</f>
        <v>2023</v>
      </c>
      <c r="BT64" s="129" t="str">
        <f>Macro!BT$3</f>
        <v>1Q24</v>
      </c>
      <c r="BU64" s="129" t="str">
        <f>Macro!BU$3</f>
        <v>2Q24</v>
      </c>
      <c r="BV64" s="129" t="str">
        <f>Macro!BV$3</f>
        <v>3Q24</v>
      </c>
      <c r="BW64" s="319" t="str">
        <f>Macro!BW$3</f>
        <v>4Q24</v>
      </c>
      <c r="BX64" s="319" t="str">
        <f>Macro!BX$3</f>
        <v>2024</v>
      </c>
      <c r="BY64" s="129" t="str">
        <f>Macro!BY$3</f>
        <v>1Q25</v>
      </c>
      <c r="BZ64" s="129" t="str">
        <f>Macro!BZ$3</f>
        <v>2Q25</v>
      </c>
      <c r="CA64" s="129" t="str">
        <f>Macro!CA$3</f>
        <v>3Q25</v>
      </c>
      <c r="CB64" s="319" t="str">
        <f>Macro!CB$3</f>
        <v>4Q25</v>
      </c>
      <c r="CC64" s="319" t="str">
        <f>Macro!CC$3</f>
        <v>2025</v>
      </c>
      <c r="CD64" s="129" t="str">
        <f>Macro!CD$3</f>
        <v>1Q26</v>
      </c>
      <c r="CE64" s="129" t="str">
        <f>Macro!CE$3</f>
        <v>2Q26</v>
      </c>
      <c r="CF64" s="129" t="str">
        <f>Macro!CF$3</f>
        <v>3Q26E</v>
      </c>
      <c r="CG64" s="320" t="str">
        <f>Macro!CG$3</f>
        <v>4Q26E</v>
      </c>
      <c r="CH64" s="319" t="str">
        <f>Macro!CH$3</f>
        <v>2026E</v>
      </c>
      <c r="CI64" s="129" t="str">
        <f>Macro!CI$3</f>
        <v>1Q27E</v>
      </c>
      <c r="CJ64" s="129" t="str">
        <f>Macro!CJ$3</f>
        <v>2Q27E</v>
      </c>
      <c r="CK64" s="129" t="str">
        <f>Macro!CK$3</f>
        <v>3Q27E</v>
      </c>
      <c r="CL64" s="320" t="str">
        <f>Macro!CL$3</f>
        <v>4Q27E</v>
      </c>
      <c r="CM64" s="319" t="str">
        <f>Macro!CM$3</f>
        <v>2027E</v>
      </c>
      <c r="CN64" s="129" t="str">
        <f>Macro!CN$3</f>
        <v>1Q28E</v>
      </c>
      <c r="CO64" s="129" t="str">
        <f>Macro!CO$3</f>
        <v>2Q28E</v>
      </c>
      <c r="CP64" s="129" t="str">
        <f>Macro!CP$3</f>
        <v>3Q28E</v>
      </c>
      <c r="CQ64" s="320" t="str">
        <f>Macro!CQ$3</f>
        <v>4Q28E</v>
      </c>
      <c r="CR64" s="319" t="str">
        <f>Macro!CR$3</f>
        <v>2028E</v>
      </c>
      <c r="CS64" s="129" t="str">
        <f>Macro!CS$3</f>
        <v>1Q29E</v>
      </c>
      <c r="CT64" s="129" t="str">
        <f>Macro!CT$3</f>
        <v>2Q29E</v>
      </c>
      <c r="CU64" s="129" t="str">
        <f>Macro!CU$3</f>
        <v>3Q29E</v>
      </c>
      <c r="CV64" s="320" t="str">
        <f>Macro!CV$3</f>
        <v>4Q29E</v>
      </c>
      <c r="CW64" s="319" t="str">
        <f>Macro!CW$3</f>
        <v>2029E</v>
      </c>
      <c r="CX64" s="129" t="str">
        <f>Macro!CX$3</f>
        <v>1Q30E</v>
      </c>
      <c r="CY64" s="129" t="str">
        <f>Macro!CY$3</f>
        <v>2Q30E</v>
      </c>
      <c r="CZ64" s="129" t="str">
        <f>Macro!CZ$3</f>
        <v>3Q30E</v>
      </c>
      <c r="DA64" s="320" t="str">
        <f>Macro!DA$3</f>
        <v>4Q30E</v>
      </c>
      <c r="DB64" s="319" t="str">
        <f>Macro!DB$3</f>
        <v>2030E</v>
      </c>
    </row>
    <row r="65" spans="1:108" s="7" customFormat="1" ht="11.5" customHeight="1" thickTop="1" x14ac:dyDescent="0.35">
      <c r="A65" s="321" t="s">
        <v>350</v>
      </c>
      <c r="B65" s="133"/>
      <c r="C65" s="133"/>
      <c r="D65" s="133"/>
      <c r="E65" s="540"/>
      <c r="F65" s="316"/>
      <c r="G65" s="133"/>
      <c r="H65" s="133"/>
      <c r="I65" s="133"/>
      <c r="J65" s="540"/>
      <c r="K65" s="316"/>
      <c r="L65" s="133"/>
      <c r="M65" s="133"/>
      <c r="N65" s="133"/>
      <c r="O65" s="540"/>
      <c r="P65" s="316"/>
      <c r="Q65" s="133"/>
      <c r="R65" s="133"/>
      <c r="S65" s="133"/>
      <c r="T65" s="540"/>
      <c r="U65" s="316"/>
      <c r="V65" s="133"/>
      <c r="W65" s="133"/>
      <c r="X65" s="133"/>
      <c r="Y65" s="540"/>
      <c r="Z65" s="316"/>
      <c r="AA65" s="133"/>
      <c r="AB65" s="133"/>
      <c r="AC65" s="133"/>
      <c r="AD65" s="540"/>
      <c r="AE65" s="316"/>
      <c r="AF65" s="133"/>
      <c r="AG65" s="133"/>
      <c r="AH65" s="133"/>
      <c r="AI65" s="540"/>
      <c r="AJ65" s="316"/>
      <c r="AK65" s="133"/>
      <c r="AL65" s="133"/>
      <c r="AM65" s="133"/>
      <c r="AN65" s="540"/>
      <c r="AO65" s="316"/>
      <c r="AP65" s="133"/>
      <c r="AQ65" s="133"/>
      <c r="AR65" s="133"/>
      <c r="AS65" s="540"/>
      <c r="AT65" s="316"/>
      <c r="AU65" s="133"/>
      <c r="AV65" s="133"/>
      <c r="AW65" s="133"/>
      <c r="AX65" s="540"/>
      <c r="AY65" s="316"/>
      <c r="AZ65" s="133">
        <f>AZ67/(1-2.08%)</f>
        <v>0</v>
      </c>
      <c r="BA65" s="133">
        <f>BA67/(1-2.08%)</f>
        <v>0</v>
      </c>
      <c r="BB65" s="133">
        <f>BB67/(1-2.08%)</f>
        <v>0</v>
      </c>
      <c r="BC65" s="540">
        <f>BC67/(1-2.08%)</f>
        <v>0</v>
      </c>
      <c r="BD65" s="316">
        <f>SUM(AZ65:BC65)</f>
        <v>0</v>
      </c>
      <c r="BE65" s="541">
        <f>BE67/(1-2.08%)</f>
        <v>308670.34313725494</v>
      </c>
      <c r="BF65" s="541">
        <f>BF67/(1-2.08%)</f>
        <v>272621.52777777781</v>
      </c>
      <c r="BG65" s="541">
        <f>BG67/(1-2.08%)</f>
        <v>335170.54738562094</v>
      </c>
      <c r="BH65" s="542">
        <f>BH67/(1-2.08%)</f>
        <v>326608.45588235295</v>
      </c>
      <c r="BI65" s="316">
        <f>SUM(BE65:BH65)</f>
        <v>1243070.8741830066</v>
      </c>
      <c r="BJ65" s="541">
        <f>BJ67/(1-2.08%)</f>
        <v>212389.70588235295</v>
      </c>
      <c r="BK65" s="541">
        <f>BK67/(1-2.08%)</f>
        <v>353535.53921568627</v>
      </c>
      <c r="BL65" s="541">
        <f>BL67/(1-2.08%)</f>
        <v>504203.43137254904</v>
      </c>
      <c r="BM65" s="542">
        <f>BM67/(1-2.08%)</f>
        <v>427714.46078431373</v>
      </c>
      <c r="BN65" s="316">
        <f>SUM(BJ65:BM65)</f>
        <v>1497843.1372549022</v>
      </c>
      <c r="BO65" s="541">
        <f>BO67/(1-2.08%)</f>
        <v>339475.08169934643</v>
      </c>
      <c r="BP65" s="541">
        <f>BP67/(1-2.08%)</f>
        <v>547737.94934640522</v>
      </c>
      <c r="BQ65" s="541">
        <f>BQ67/(1-2.08%)</f>
        <v>523240.40032679739</v>
      </c>
      <c r="BR65" s="542">
        <f>BR67/(1-2.08%)</f>
        <v>548928.71732026141</v>
      </c>
      <c r="BS65" s="316">
        <f>SUM(BO65:BR65)</f>
        <v>1959382.1486928104</v>
      </c>
      <c r="BT65" s="541">
        <f>BT67/(1-2.08%)</f>
        <v>491491.01307189546</v>
      </c>
      <c r="BU65" s="541">
        <f>BU67/(1-2.08%)</f>
        <v>716707.51633986935</v>
      </c>
      <c r="BV65" s="541">
        <f>BV67/(1-2.08%)</f>
        <v>697812.5</v>
      </c>
      <c r="BW65" s="542">
        <f>BW67/(1-2.08%)</f>
        <v>750391.1356209151</v>
      </c>
      <c r="BX65" s="316">
        <f>SUM(BT65:BW65)</f>
        <v>2656402.1650326801</v>
      </c>
      <c r="BY65" s="541">
        <f>BY67/(1-2.08%)</f>
        <v>590971.20098039217</v>
      </c>
      <c r="BZ65" s="541">
        <f>BZ67/(1-2.08%)</f>
        <v>750400.3267973857</v>
      </c>
      <c r="CA65" s="541">
        <f>CA67/(1-2.08%)</f>
        <v>658931.78104575165</v>
      </c>
      <c r="CB65" s="542">
        <f>CB67/(1-2.08%)</f>
        <v>789184.02777777787</v>
      </c>
      <c r="CC65" s="316">
        <f>SUM(BY65:CB65)</f>
        <v>2789487.3366013076</v>
      </c>
      <c r="CD65" s="541">
        <f>CD67/(1-2.08%)</f>
        <v>469782.47549019608</v>
      </c>
      <c r="CE65" s="541">
        <f>CE67/(1-2.08%)</f>
        <v>672936.07026143791</v>
      </c>
      <c r="CF65" s="133">
        <f>CF62*CF63</f>
        <v>655382.85340643278</v>
      </c>
      <c r="CG65" s="540">
        <f>CG62*CG63</f>
        <v>640439.69069517241</v>
      </c>
      <c r="CH65" s="316">
        <f>SUM(CD65:CG65)</f>
        <v>2438541.0898532392</v>
      </c>
      <c r="CI65" s="133">
        <f t="shared" ref="CI65:CL65" si="464">CI62*CI63</f>
        <v>652042.11128497089</v>
      </c>
      <c r="CJ65" s="133">
        <f t="shared" si="464"/>
        <v>644432.15215257404</v>
      </c>
      <c r="CK65" s="133">
        <f t="shared" si="464"/>
        <v>631421.92723035486</v>
      </c>
      <c r="CL65" s="540">
        <f t="shared" si="464"/>
        <v>622410.88585270883</v>
      </c>
      <c r="CM65" s="316">
        <f t="shared" ref="CM65:CM69" si="465">SUM(CI65:CL65)</f>
        <v>2550307.0765206087</v>
      </c>
      <c r="CN65" s="133">
        <f t="shared" ref="CN65:CQ65" si="466">CN62*CN63</f>
        <v>637289.65752135857</v>
      </c>
      <c r="CO65" s="133">
        <f t="shared" si="466"/>
        <v>645139.44491505635</v>
      </c>
      <c r="CP65" s="133">
        <f t="shared" si="466"/>
        <v>674512.93638598477</v>
      </c>
      <c r="CQ65" s="540">
        <f t="shared" si="466"/>
        <v>677705.62441875297</v>
      </c>
      <c r="CR65" s="316">
        <f t="shared" ref="CR65:CR69" si="467">SUM(CN65:CQ65)</f>
        <v>2634647.6632411527</v>
      </c>
      <c r="CS65" s="133">
        <f t="shared" ref="CS65:CV65" si="468">CS62*CS63</f>
        <v>709895.58514256601</v>
      </c>
      <c r="CT65" s="133">
        <f t="shared" si="468"/>
        <v>712911.5228021337</v>
      </c>
      <c r="CU65" s="133">
        <f t="shared" si="468"/>
        <v>725440.36104796024</v>
      </c>
      <c r="CV65" s="540">
        <f t="shared" si="468"/>
        <v>738720.39642585162</v>
      </c>
      <c r="CW65" s="316">
        <f t="shared" ref="CW65:CW69" si="469">SUM(CS65:CV65)</f>
        <v>2886967.8654185114</v>
      </c>
      <c r="CX65" s="133">
        <f t="shared" ref="CX65:DA65" si="470">CX62*CX63</f>
        <v>757747.49099722481</v>
      </c>
      <c r="CY65" s="133">
        <f t="shared" si="470"/>
        <v>775097.88220809423</v>
      </c>
      <c r="CZ65" s="133">
        <f t="shared" si="470"/>
        <v>791023.07556253567</v>
      </c>
      <c r="DA65" s="540">
        <f t="shared" si="470"/>
        <v>805736.8507390134</v>
      </c>
      <c r="DB65" s="316">
        <f t="shared" ref="DB65:DB69" si="471">SUM(CX65:DA65)</f>
        <v>3129605.2995068682</v>
      </c>
    </row>
    <row r="66" spans="1:108" s="7" customFormat="1" ht="11.5" customHeight="1" x14ac:dyDescent="0.35">
      <c r="A66" s="322" t="s">
        <v>351</v>
      </c>
      <c r="B66" s="23"/>
      <c r="C66" s="23"/>
      <c r="D66" s="23"/>
      <c r="E66" s="324"/>
      <c r="F66" s="324"/>
      <c r="G66" s="23"/>
      <c r="H66" s="23"/>
      <c r="I66" s="23"/>
      <c r="J66" s="324"/>
      <c r="K66" s="324"/>
      <c r="L66" s="23"/>
      <c r="M66" s="23"/>
      <c r="N66" s="23"/>
      <c r="O66" s="324"/>
      <c r="P66" s="324"/>
      <c r="Q66" s="23"/>
      <c r="R66" s="23"/>
      <c r="S66" s="23"/>
      <c r="T66" s="324"/>
      <c r="U66" s="324"/>
      <c r="V66" s="23"/>
      <c r="W66" s="23"/>
      <c r="X66" s="23"/>
      <c r="Y66" s="324"/>
      <c r="Z66" s="324"/>
      <c r="AA66" s="23"/>
      <c r="AB66" s="23"/>
      <c r="AC66" s="23"/>
      <c r="AD66" s="324"/>
      <c r="AE66" s="324"/>
      <c r="AF66" s="23"/>
      <c r="AG66" s="23"/>
      <c r="AH66" s="23"/>
      <c r="AI66" s="324"/>
      <c r="AJ66" s="324"/>
      <c r="AK66" s="23"/>
      <c r="AL66" s="23"/>
      <c r="AM66" s="23"/>
      <c r="AN66" s="324"/>
      <c r="AO66" s="324"/>
      <c r="AP66" s="23"/>
      <c r="AQ66" s="23"/>
      <c r="AR66" s="23"/>
      <c r="AS66" s="324"/>
      <c r="AT66" s="324"/>
      <c r="AU66" s="23"/>
      <c r="AV66" s="23"/>
      <c r="AW66" s="23"/>
      <c r="AX66" s="324"/>
      <c r="AY66" s="324"/>
      <c r="AZ66" s="23">
        <f>AZ67-AZ65</f>
        <v>0</v>
      </c>
      <c r="BA66" s="23">
        <f>BA67-BA65</f>
        <v>0</v>
      </c>
      <c r="BB66" s="23">
        <f>BB67-BB65</f>
        <v>0</v>
      </c>
      <c r="BC66" s="324">
        <f>BC67-BC65</f>
        <v>0</v>
      </c>
      <c r="BD66" s="324">
        <f>SUM(AZ66:BC66)</f>
        <v>0</v>
      </c>
      <c r="BE66" s="152">
        <f>BE67-BE65</f>
        <v>-6420.3431372549385</v>
      </c>
      <c r="BF66" s="152">
        <f>BF67-BF65</f>
        <v>-5670.5277777778101</v>
      </c>
      <c r="BG66" s="152">
        <f>BG67-BG65</f>
        <v>-6971.5473856209428</v>
      </c>
      <c r="BH66" s="323">
        <f>BH67-BH65</f>
        <v>-6793.4558823529514</v>
      </c>
      <c r="BI66" s="323">
        <f>SUM(BE66:BH66)</f>
        <v>-25855.874183006643</v>
      </c>
      <c r="BJ66" s="152">
        <f>BJ67-BJ65</f>
        <v>-4417.7058823529514</v>
      </c>
      <c r="BK66" s="152">
        <f>BK67-BK65</f>
        <v>-7353.5392156862654</v>
      </c>
      <c r="BL66" s="152">
        <f>BL67-BL65</f>
        <v>-10487.431372549036</v>
      </c>
      <c r="BM66" s="323">
        <f>BM67-BM65</f>
        <v>-8896.4607843137346</v>
      </c>
      <c r="BN66" s="323">
        <f>SUM(BJ66:BM66)</f>
        <v>-31155.137254901987</v>
      </c>
      <c r="BO66" s="152">
        <f>BO67-BO65</f>
        <v>-7061.081699346425</v>
      </c>
      <c r="BP66" s="152">
        <f>BP67-BP65</f>
        <v>-11392.949346405221</v>
      </c>
      <c r="BQ66" s="152">
        <f>BQ67-BQ65</f>
        <v>-10883.400326797389</v>
      </c>
      <c r="BR66" s="323">
        <f>BR67-BR65</f>
        <v>-11417.717320261407</v>
      </c>
      <c r="BS66" s="323">
        <f>SUM(BO66:BR66)</f>
        <v>-40755.148692810442</v>
      </c>
      <c r="BT66" s="152">
        <f>BT67-BT65</f>
        <v>-10223.013071895461</v>
      </c>
      <c r="BU66" s="152">
        <f>BU67-BU65</f>
        <v>-14907.516339869355</v>
      </c>
      <c r="BV66" s="152">
        <f>BV67-BV65</f>
        <v>-14514.5</v>
      </c>
      <c r="BW66" s="323">
        <f>BW67-BW65</f>
        <v>-15608.135620915098</v>
      </c>
      <c r="BX66" s="323">
        <f>SUM(BT66:BW66)</f>
        <v>-55253.165032679914</v>
      </c>
      <c r="BY66" s="152">
        <f>BY67-BY65</f>
        <v>-12292.200980392168</v>
      </c>
      <c r="BZ66" s="152">
        <f>BZ67-BZ65</f>
        <v>-15608.3267973857</v>
      </c>
      <c r="CA66" s="152">
        <f>CA67-CA65</f>
        <v>-13705.781045751646</v>
      </c>
      <c r="CB66" s="323">
        <f>CB67-CB65</f>
        <v>-16415.027777777868</v>
      </c>
      <c r="CC66" s="324">
        <f>SUM(BY66:CB66)</f>
        <v>-58021.336601307383</v>
      </c>
      <c r="CD66" s="152">
        <f>CD67-CD65</f>
        <v>-9771.4754901960841</v>
      </c>
      <c r="CE66" s="152">
        <f>CE67-CE65</f>
        <v>-13997.070261437912</v>
      </c>
      <c r="CF66" s="531">
        <f t="shared" ref="CF66:CG66" si="472">-2.08%*CF65</f>
        <v>-13631.963350853801</v>
      </c>
      <c r="CG66" s="532">
        <f t="shared" si="472"/>
        <v>-13321.145566459585</v>
      </c>
      <c r="CH66" s="324">
        <f>SUM(CD66:CG66)</f>
        <v>-50721.654668947383</v>
      </c>
      <c r="CI66" s="531">
        <f t="shared" ref="CI66" si="473">-2.08%*CI65</f>
        <v>-13562.475914727394</v>
      </c>
      <c r="CJ66" s="531">
        <f t="shared" ref="CJ66" si="474">-2.08%*CJ65</f>
        <v>-13404.18876477354</v>
      </c>
      <c r="CK66" s="531">
        <f t="shared" ref="CK66" si="475">-2.08%*CK65</f>
        <v>-13133.57608639138</v>
      </c>
      <c r="CL66" s="532">
        <f t="shared" ref="CL66" si="476">-2.08%*CL65</f>
        <v>-12946.146425736342</v>
      </c>
      <c r="CM66" s="324">
        <f t="shared" si="465"/>
        <v>-53046.387191628659</v>
      </c>
      <c r="CN66" s="531">
        <f t="shared" ref="CN66" si="477">-2.08%*CN65</f>
        <v>-13255.624876444257</v>
      </c>
      <c r="CO66" s="531">
        <f t="shared" ref="CO66" si="478">-2.08%*CO65</f>
        <v>-13418.900454233171</v>
      </c>
      <c r="CP66" s="531">
        <f t="shared" ref="CP66" si="479">-2.08%*CP65</f>
        <v>-14029.869076828483</v>
      </c>
      <c r="CQ66" s="532">
        <f t="shared" ref="CQ66" si="480">-2.08%*CQ65</f>
        <v>-14096.276987910062</v>
      </c>
      <c r="CR66" s="324">
        <f t="shared" si="467"/>
        <v>-54800.671395415971</v>
      </c>
      <c r="CS66" s="531">
        <f t="shared" ref="CS66" si="481">-2.08%*CS65</f>
        <v>-14765.828170965373</v>
      </c>
      <c r="CT66" s="531">
        <f t="shared" ref="CT66" si="482">-2.08%*CT65</f>
        <v>-14828.559674284381</v>
      </c>
      <c r="CU66" s="531">
        <f t="shared" ref="CU66" si="483">-2.08%*CU65</f>
        <v>-15089.159509797571</v>
      </c>
      <c r="CV66" s="532">
        <f t="shared" ref="CV66" si="484">-2.08%*CV65</f>
        <v>-15365.384245657713</v>
      </c>
      <c r="CW66" s="324">
        <f t="shared" si="469"/>
        <v>-60048.931600705037</v>
      </c>
      <c r="CX66" s="531">
        <f t="shared" ref="CX66" si="485">-2.08%*CX65</f>
        <v>-15761.147812742276</v>
      </c>
      <c r="CY66" s="531">
        <f t="shared" ref="CY66" si="486">-2.08%*CY65</f>
        <v>-16122.035949928359</v>
      </c>
      <c r="CZ66" s="531">
        <f t="shared" ref="CZ66" si="487">-2.08%*CZ65</f>
        <v>-16453.27997170074</v>
      </c>
      <c r="DA66" s="532">
        <f t="shared" ref="DA66" si="488">-2.08%*DA65</f>
        <v>-16759.326495371479</v>
      </c>
      <c r="DB66" s="324">
        <f t="shared" si="471"/>
        <v>-65095.790229742852</v>
      </c>
    </row>
    <row r="67" spans="1:108" s="7" customFormat="1" ht="11.5" customHeight="1" x14ac:dyDescent="0.35">
      <c r="A67" s="321" t="s">
        <v>110</v>
      </c>
      <c r="B67" s="48"/>
      <c r="C67" s="48"/>
      <c r="D67" s="48"/>
      <c r="E67" s="317"/>
      <c r="F67" s="317"/>
      <c r="G67" s="48"/>
      <c r="H67" s="48"/>
      <c r="I67" s="48"/>
      <c r="J67" s="317"/>
      <c r="K67" s="317"/>
      <c r="L67" s="48"/>
      <c r="M67" s="48"/>
      <c r="N67" s="48"/>
      <c r="O67" s="317"/>
      <c r="P67" s="317"/>
      <c r="Q67" s="48"/>
      <c r="R67" s="48"/>
      <c r="S67" s="48"/>
      <c r="T67" s="317"/>
      <c r="U67" s="317"/>
      <c r="V67" s="48"/>
      <c r="W67" s="48"/>
      <c r="X67" s="48"/>
      <c r="Y67" s="317"/>
      <c r="Z67" s="317"/>
      <c r="AA67" s="48"/>
      <c r="AB67" s="48"/>
      <c r="AC67" s="48"/>
      <c r="AD67" s="317"/>
      <c r="AE67" s="317"/>
      <c r="AF67" s="48"/>
      <c r="AG67" s="48"/>
      <c r="AH67" s="48"/>
      <c r="AI67" s="317"/>
      <c r="AJ67" s="317"/>
      <c r="AK67" s="48"/>
      <c r="AL67" s="48"/>
      <c r="AM67" s="48"/>
      <c r="AN67" s="317"/>
      <c r="AO67" s="317"/>
      <c r="AP67" s="48"/>
      <c r="AQ67" s="48"/>
      <c r="AR67" s="48"/>
      <c r="AS67" s="317"/>
      <c r="AT67" s="317"/>
      <c r="AU67" s="48"/>
      <c r="AV67" s="48"/>
      <c r="AW67" s="48"/>
      <c r="AX67" s="317"/>
      <c r="AY67" s="317"/>
      <c r="AZ67" s="48"/>
      <c r="BA67" s="48"/>
      <c r="BB67" s="48"/>
      <c r="BC67" s="317"/>
      <c r="BD67" s="317">
        <f>SUM(AZ67:BC67)</f>
        <v>0</v>
      </c>
      <c r="BE67" s="482">
        <v>302250</v>
      </c>
      <c r="BF67" s="482">
        <f>569201-BE67</f>
        <v>266951</v>
      </c>
      <c r="BG67" s="482">
        <f>897400-SUM(BE67:BF67)</f>
        <v>328199</v>
      </c>
      <c r="BH67" s="483">
        <f>1217215-SUM(BE67:BG67)</f>
        <v>319815</v>
      </c>
      <c r="BI67" s="316">
        <f>SUM(BE67:BH67)</f>
        <v>1217215</v>
      </c>
      <c r="BJ67" s="482">
        <v>207972</v>
      </c>
      <c r="BK67" s="482">
        <f>554154-BJ67</f>
        <v>346182</v>
      </c>
      <c r="BL67" s="482">
        <f>1047870-SUM(BJ67:BK67)</f>
        <v>493716</v>
      </c>
      <c r="BM67" s="483">
        <f>1466688-SUM(BJ67:BL67)</f>
        <v>418818</v>
      </c>
      <c r="BN67" s="316">
        <f>SUM(BJ67:BM67)</f>
        <v>1466688</v>
      </c>
      <c r="BO67" s="482">
        <v>332414</v>
      </c>
      <c r="BP67" s="482">
        <f>868759-BO67</f>
        <v>536345</v>
      </c>
      <c r="BQ67" s="482">
        <f>1381116-SUM(BO67:BP67)</f>
        <v>512357</v>
      </c>
      <c r="BR67" s="483">
        <f>1918627-SUM(BO67:BQ67)</f>
        <v>537511</v>
      </c>
      <c r="BS67" s="316">
        <f>SUM(BO67:BR67)</f>
        <v>1918627</v>
      </c>
      <c r="BT67" s="482">
        <v>481268</v>
      </c>
      <c r="BU67" s="482">
        <f>1183068-BT67</f>
        <v>701800</v>
      </c>
      <c r="BV67" s="482">
        <f>1866366-SUM(BT67:BU67)</f>
        <v>683298</v>
      </c>
      <c r="BW67" s="483">
        <f>2601149-SUM(BT67:BV67)</f>
        <v>734783</v>
      </c>
      <c r="BX67" s="316">
        <f>SUM(BT67:BW67)</f>
        <v>2601149</v>
      </c>
      <c r="BY67" s="482">
        <v>578679</v>
      </c>
      <c r="BZ67" s="482">
        <f>1313471-BY67</f>
        <v>734792</v>
      </c>
      <c r="CA67" s="482">
        <f>1958697-BZ67-BY67</f>
        <v>645226</v>
      </c>
      <c r="CB67" s="483">
        <f>2731466-SUM(BY67:CA67)</f>
        <v>772769</v>
      </c>
      <c r="CC67" s="316">
        <f>SUM(BY67:CB67)</f>
        <v>2731466</v>
      </c>
      <c r="CD67" s="482">
        <v>460011</v>
      </c>
      <c r="CE67" s="482">
        <f>1118950-CD67</f>
        <v>658939</v>
      </c>
      <c r="CF67" s="133">
        <f>CF65+CF66</f>
        <v>641750.89005557902</v>
      </c>
      <c r="CG67" s="316">
        <f>CG65+CG66</f>
        <v>627118.54512871278</v>
      </c>
      <c r="CH67" s="316">
        <f>SUM(CD67:CG67)</f>
        <v>2387819.435184292</v>
      </c>
      <c r="CI67" s="133">
        <f t="shared" ref="CI67:CL67" si="489">CI65+CI66</f>
        <v>638479.63537024346</v>
      </c>
      <c r="CJ67" s="133">
        <f t="shared" si="489"/>
        <v>631027.9633878005</v>
      </c>
      <c r="CK67" s="133">
        <f t="shared" si="489"/>
        <v>618288.35114396352</v>
      </c>
      <c r="CL67" s="316">
        <f t="shared" si="489"/>
        <v>609464.73942697246</v>
      </c>
      <c r="CM67" s="316">
        <f t="shared" si="465"/>
        <v>2497260.6893289797</v>
      </c>
      <c r="CN67" s="133">
        <f t="shared" ref="CN67:CQ67" si="490">CN65+CN66</f>
        <v>624034.03264491435</v>
      </c>
      <c r="CO67" s="133">
        <f t="shared" si="490"/>
        <v>631720.54446082318</v>
      </c>
      <c r="CP67" s="133">
        <f t="shared" si="490"/>
        <v>660483.06730915629</v>
      </c>
      <c r="CQ67" s="316">
        <f t="shared" si="490"/>
        <v>663609.34743084293</v>
      </c>
      <c r="CR67" s="316">
        <f t="shared" si="467"/>
        <v>2579846.9918457367</v>
      </c>
      <c r="CS67" s="133">
        <f t="shared" ref="CS67:CV67" si="491">CS65+CS66</f>
        <v>695129.75697160058</v>
      </c>
      <c r="CT67" s="133">
        <f t="shared" si="491"/>
        <v>698082.96312784927</v>
      </c>
      <c r="CU67" s="133">
        <f t="shared" si="491"/>
        <v>710351.20153816266</v>
      </c>
      <c r="CV67" s="316">
        <f t="shared" si="491"/>
        <v>723355.01218019391</v>
      </c>
      <c r="CW67" s="316">
        <f t="shared" si="469"/>
        <v>2826918.9338178062</v>
      </c>
      <c r="CX67" s="133">
        <f t="shared" ref="CX67:DA67" si="492">CX65+CX66</f>
        <v>741986.34318448254</v>
      </c>
      <c r="CY67" s="133">
        <f t="shared" si="492"/>
        <v>758975.8462581659</v>
      </c>
      <c r="CZ67" s="133">
        <f t="shared" si="492"/>
        <v>774569.79559083492</v>
      </c>
      <c r="DA67" s="316">
        <f t="shared" si="492"/>
        <v>788977.52424364188</v>
      </c>
      <c r="DB67" s="316">
        <f t="shared" si="471"/>
        <v>3064509.5092771249</v>
      </c>
      <c r="DC67" s="65">
        <f>CE23+CE67</f>
        <v>1979951</v>
      </c>
    </row>
    <row r="68" spans="1:108" s="7" customFormat="1" ht="11.5" customHeight="1" x14ac:dyDescent="0.35">
      <c r="A68" s="322" t="s">
        <v>352</v>
      </c>
      <c r="B68" s="23"/>
      <c r="C68" s="23"/>
      <c r="D68" s="23"/>
      <c r="E68" s="324"/>
      <c r="F68" s="324"/>
      <c r="G68" s="23"/>
      <c r="H68" s="23"/>
      <c r="I68" s="23"/>
      <c r="J68" s="324"/>
      <c r="K68" s="324"/>
      <c r="L68" s="23"/>
      <c r="M68" s="23"/>
      <c r="N68" s="23"/>
      <c r="O68" s="324"/>
      <c r="P68" s="324"/>
      <c r="Q68" s="23"/>
      <c r="R68" s="23"/>
      <c r="S68" s="23"/>
      <c r="T68" s="324"/>
      <c r="U68" s="324"/>
      <c r="V68" s="23"/>
      <c r="W68" s="23"/>
      <c r="X68" s="23"/>
      <c r="Y68" s="324"/>
      <c r="Z68" s="324"/>
      <c r="AA68" s="23"/>
      <c r="AB68" s="23"/>
      <c r="AC68" s="23"/>
      <c r="AD68" s="324"/>
      <c r="AE68" s="324"/>
      <c r="AF68" s="23"/>
      <c r="AG68" s="23"/>
      <c r="AH68" s="23"/>
      <c r="AI68" s="324"/>
      <c r="AJ68" s="324"/>
      <c r="AK68" s="23"/>
      <c r="AL68" s="23"/>
      <c r="AM68" s="23"/>
      <c r="AN68" s="324"/>
      <c r="AO68" s="324"/>
      <c r="AP68" s="23"/>
      <c r="AQ68" s="23"/>
      <c r="AR68" s="23"/>
      <c r="AS68" s="324"/>
      <c r="AT68" s="324"/>
      <c r="AU68" s="23"/>
      <c r="AV68" s="23"/>
      <c r="AW68" s="23"/>
      <c r="AX68" s="324"/>
      <c r="AY68" s="324"/>
      <c r="AZ68" s="23"/>
      <c r="BA68" s="23"/>
      <c r="BB68" s="23"/>
      <c r="BC68" s="324"/>
      <c r="BD68" s="324">
        <f>SUM(AZ68:BC68)</f>
        <v>0</v>
      </c>
      <c r="BE68" s="404">
        <v>-185015</v>
      </c>
      <c r="BF68" s="404">
        <f>-355844-BE68</f>
        <v>-170829</v>
      </c>
      <c r="BG68" s="404">
        <f>-579844-SUM(BE68:BF68)</f>
        <v>-224000</v>
      </c>
      <c r="BH68" s="484">
        <f>-794559-SUM(BE68:BG68)</f>
        <v>-214715</v>
      </c>
      <c r="BI68" s="324">
        <f>SUM(BE68:BH68)</f>
        <v>-794559</v>
      </c>
      <c r="BJ68" s="404">
        <v>-140262</v>
      </c>
      <c r="BK68" s="404">
        <f>-393159-BJ68</f>
        <v>-252897</v>
      </c>
      <c r="BL68" s="404">
        <f>-706806-SUM(BJ68:BK68)</f>
        <v>-313647</v>
      </c>
      <c r="BM68" s="484">
        <f>-993943-SUM(BJ68:BL68)</f>
        <v>-287137</v>
      </c>
      <c r="BN68" s="324">
        <f>SUM(BJ68:BM68)</f>
        <v>-993943</v>
      </c>
      <c r="BO68" s="404">
        <v>-236732</v>
      </c>
      <c r="BP68" s="404">
        <f>-619067-BO68</f>
        <v>-382335</v>
      </c>
      <c r="BQ68" s="404">
        <f>-964256-SUM(BO68:BP68)</f>
        <v>-345189</v>
      </c>
      <c r="BR68" s="484">
        <f>-1337348-SUM(BO68:BQ68)</f>
        <v>-373092</v>
      </c>
      <c r="BS68" s="324">
        <f>SUM(BO68:BR68)</f>
        <v>-1337348</v>
      </c>
      <c r="BT68" s="404">
        <v>-332328</v>
      </c>
      <c r="BU68" s="404">
        <f>-813699-BT68</f>
        <v>-481371</v>
      </c>
      <c r="BV68" s="404">
        <f>-1266923-SUM(BT68:BU68)</f>
        <v>-453224</v>
      </c>
      <c r="BW68" s="484">
        <f>-1757192-SUM(BT68:BV68)</f>
        <v>-490269</v>
      </c>
      <c r="BX68" s="324">
        <f>SUM(BT68:BW68)</f>
        <v>-1757192</v>
      </c>
      <c r="BY68" s="404">
        <v>-390266</v>
      </c>
      <c r="BZ68" s="404">
        <f>-899463-BY68</f>
        <v>-509197</v>
      </c>
      <c r="CA68" s="404">
        <f>-1348993-BZ68-BY68</f>
        <v>-449530</v>
      </c>
      <c r="CB68" s="484">
        <f>-1875075-SUM(BY68:CA68)</f>
        <v>-526082</v>
      </c>
      <c r="CC68" s="324">
        <f>SUM(BY68:CB68)</f>
        <v>-1875075</v>
      </c>
      <c r="CD68" s="404">
        <v>-319268</v>
      </c>
      <c r="CE68" s="404">
        <f>-760495-CD68</f>
        <v>-441227</v>
      </c>
      <c r="CF68" s="152">
        <f t="shared" ref="CF68:CG68" si="493">-(1-CF85)*CF67</f>
        <v>-449225.62303890527</v>
      </c>
      <c r="CG68" s="323">
        <f t="shared" si="493"/>
        <v>-438982.98159009893</v>
      </c>
      <c r="CH68" s="324">
        <f>SUM(CD68:CG68)</f>
        <v>-1648703.6046290041</v>
      </c>
      <c r="CI68" s="152">
        <f t="shared" ref="CI68" si="494">-(1-CI85)*CI67</f>
        <v>-446935.7447591704</v>
      </c>
      <c r="CJ68" s="152">
        <f t="shared" ref="CJ68" si="495">-(1-CJ85)*CJ67</f>
        <v>-441719.5743714603</v>
      </c>
      <c r="CK68" s="152">
        <f t="shared" ref="CK68" si="496">-(1-CK85)*CK67</f>
        <v>-432801.84580077446</v>
      </c>
      <c r="CL68" s="323">
        <f t="shared" ref="CL68" si="497">-(1-CL85)*CL67</f>
        <v>-426625.31759888068</v>
      </c>
      <c r="CM68" s="324">
        <f t="shared" si="465"/>
        <v>-1748082.4825302858</v>
      </c>
      <c r="CN68" s="152">
        <f t="shared" ref="CN68" si="498">-(1-CN85)*CN67</f>
        <v>-436823.82285144</v>
      </c>
      <c r="CO68" s="152">
        <f t="shared" ref="CO68" si="499">-(1-CO85)*CO67</f>
        <v>-442204.38112257619</v>
      </c>
      <c r="CP68" s="152">
        <f t="shared" ref="CP68" si="500">-(1-CP85)*CP67</f>
        <v>-462338.14711640938</v>
      </c>
      <c r="CQ68" s="323">
        <f t="shared" ref="CQ68" si="501">-(1-CQ85)*CQ67</f>
        <v>-464526.54320159002</v>
      </c>
      <c r="CR68" s="324">
        <f t="shared" si="467"/>
        <v>-1805892.8942920156</v>
      </c>
      <c r="CS68" s="152">
        <f t="shared" ref="CS68" si="502">-(1-CS85)*CS67</f>
        <v>-486590.82988012035</v>
      </c>
      <c r="CT68" s="152">
        <f t="shared" ref="CT68" si="503">-(1-CT85)*CT67</f>
        <v>-488658.07418949448</v>
      </c>
      <c r="CU68" s="152">
        <f t="shared" ref="CU68" si="504">-(1-CU85)*CU67</f>
        <v>-497245.84107671381</v>
      </c>
      <c r="CV68" s="323">
        <f t="shared" ref="CV68" si="505">-(1-CV85)*CV67</f>
        <v>-506348.5085261357</v>
      </c>
      <c r="CW68" s="324">
        <f t="shared" si="469"/>
        <v>-1978843.2536724643</v>
      </c>
      <c r="CX68" s="152">
        <f t="shared" ref="CX68" si="506">-(1-CX85)*CX67</f>
        <v>-519390.44022913772</v>
      </c>
      <c r="CY68" s="152">
        <f t="shared" ref="CY68" si="507">-(1-CY85)*CY67</f>
        <v>-531283.09238071612</v>
      </c>
      <c r="CZ68" s="152">
        <f t="shared" ref="CZ68" si="508">-(1-CZ85)*CZ67</f>
        <v>-542198.8569135844</v>
      </c>
      <c r="DA68" s="323">
        <f t="shared" ref="DA68" si="509">-(1-DA85)*DA67</f>
        <v>-552284.26697054924</v>
      </c>
      <c r="DB68" s="324">
        <f t="shared" si="471"/>
        <v>-2145156.6564939874</v>
      </c>
      <c r="DC68" s="65">
        <f>CE68+CE24</f>
        <v>-1237633</v>
      </c>
    </row>
    <row r="69" spans="1:108" s="7" customFormat="1" ht="11.5" customHeight="1" x14ac:dyDescent="0.35">
      <c r="A69" s="322" t="s">
        <v>353</v>
      </c>
      <c r="B69" s="23"/>
      <c r="C69" s="23"/>
      <c r="D69" s="23"/>
      <c r="E69" s="324"/>
      <c r="F69" s="324"/>
      <c r="G69" s="23"/>
      <c r="H69" s="23"/>
      <c r="I69" s="23"/>
      <c r="J69" s="324"/>
      <c r="K69" s="324"/>
      <c r="L69" s="23"/>
      <c r="M69" s="23"/>
      <c r="N69" s="23"/>
      <c r="O69" s="324"/>
      <c r="P69" s="324"/>
      <c r="Q69" s="23"/>
      <c r="R69" s="23"/>
      <c r="S69" s="23"/>
      <c r="T69" s="324"/>
      <c r="U69" s="324"/>
      <c r="V69" s="23"/>
      <c r="W69" s="23"/>
      <c r="X69" s="23"/>
      <c r="Y69" s="324"/>
      <c r="Z69" s="324"/>
      <c r="AA69" s="23"/>
      <c r="AB69" s="23"/>
      <c r="AC69" s="23"/>
      <c r="AD69" s="324"/>
      <c r="AE69" s="324"/>
      <c r="AF69" s="23"/>
      <c r="AG69" s="23"/>
      <c r="AH69" s="23"/>
      <c r="AI69" s="324"/>
      <c r="AJ69" s="324"/>
      <c r="AK69" s="23"/>
      <c r="AL69" s="23"/>
      <c r="AM69" s="23"/>
      <c r="AN69" s="324"/>
      <c r="AO69" s="324"/>
      <c r="AP69" s="23"/>
      <c r="AQ69" s="23"/>
      <c r="AR69" s="23"/>
      <c r="AS69" s="324"/>
      <c r="AT69" s="324"/>
      <c r="AU69" s="23"/>
      <c r="AV69" s="23"/>
      <c r="AW69" s="23"/>
      <c r="AX69" s="324"/>
      <c r="AY69" s="324"/>
      <c r="AZ69" s="23"/>
      <c r="BA69" s="23"/>
      <c r="BB69" s="23"/>
      <c r="BC69" s="324"/>
      <c r="BD69" s="324">
        <f>SUM(AZ69:BC69)</f>
        <v>0</v>
      </c>
      <c r="BE69" s="404"/>
      <c r="BF69" s="404"/>
      <c r="BG69" s="404"/>
      <c r="BH69" s="484"/>
      <c r="BI69" s="324">
        <f>SUM(BE69:BH69)</f>
        <v>0</v>
      </c>
      <c r="BJ69" s="404"/>
      <c r="BK69" s="404"/>
      <c r="BL69" s="404"/>
      <c r="BM69" s="484"/>
      <c r="BN69" s="324">
        <f>SUM(BJ69:BM69)</f>
        <v>0</v>
      </c>
      <c r="BO69" s="404"/>
      <c r="BP69" s="404"/>
      <c r="BQ69" s="404"/>
      <c r="BR69" s="484"/>
      <c r="BS69" s="324">
        <f>SUM(BO69:BR69)</f>
        <v>0</v>
      </c>
      <c r="BT69" s="404"/>
      <c r="BU69" s="404"/>
      <c r="BV69" s="404"/>
      <c r="BW69" s="484"/>
      <c r="BX69" s="324">
        <f>SUM(BT69:BW69)</f>
        <v>0</v>
      </c>
      <c r="BY69" s="404"/>
      <c r="BZ69" s="404"/>
      <c r="CA69" s="404"/>
      <c r="CB69" s="484"/>
      <c r="CC69" s="324">
        <f>SUM(BY69:CB69)</f>
        <v>0</v>
      </c>
      <c r="CD69" s="404"/>
      <c r="CE69" s="404"/>
      <c r="CF69" s="152">
        <f t="shared" ref="CF69:CG69" si="510">-(1-CF85)*CF67-CF68</f>
        <v>0</v>
      </c>
      <c r="CG69" s="323">
        <f t="shared" si="510"/>
        <v>0</v>
      </c>
      <c r="CH69" s="324">
        <f>SUM(CD69:CG69)</f>
        <v>0</v>
      </c>
      <c r="CI69" s="152">
        <f t="shared" ref="CI69" si="511">-(1-CI85)*CI67-CI68</f>
        <v>0</v>
      </c>
      <c r="CJ69" s="152">
        <f t="shared" ref="CJ69" si="512">-(1-CJ85)*CJ67-CJ68</f>
        <v>0</v>
      </c>
      <c r="CK69" s="152">
        <f t="shared" ref="CK69" si="513">-(1-CK85)*CK67-CK68</f>
        <v>0</v>
      </c>
      <c r="CL69" s="323">
        <f t="shared" ref="CL69" si="514">-(1-CL85)*CL67-CL68</f>
        <v>0</v>
      </c>
      <c r="CM69" s="324">
        <f t="shared" si="465"/>
        <v>0</v>
      </c>
      <c r="CN69" s="152">
        <f t="shared" ref="CN69" si="515">-(1-CN85)*CN67-CN68</f>
        <v>0</v>
      </c>
      <c r="CO69" s="152">
        <f t="shared" ref="CO69" si="516">-(1-CO85)*CO67-CO68</f>
        <v>0</v>
      </c>
      <c r="CP69" s="152">
        <f t="shared" ref="CP69" si="517">-(1-CP85)*CP67-CP68</f>
        <v>0</v>
      </c>
      <c r="CQ69" s="323">
        <f t="shared" ref="CQ69" si="518">-(1-CQ85)*CQ67-CQ68</f>
        <v>0</v>
      </c>
      <c r="CR69" s="324">
        <f t="shared" si="467"/>
        <v>0</v>
      </c>
      <c r="CS69" s="152">
        <f t="shared" ref="CS69" si="519">-(1-CS85)*CS67-CS68</f>
        <v>0</v>
      </c>
      <c r="CT69" s="152">
        <f t="shared" ref="CT69" si="520">-(1-CT85)*CT67-CT68</f>
        <v>0</v>
      </c>
      <c r="CU69" s="152">
        <f t="shared" ref="CU69" si="521">-(1-CU85)*CU67-CU68</f>
        <v>0</v>
      </c>
      <c r="CV69" s="323">
        <f t="shared" ref="CV69" si="522">-(1-CV85)*CV67-CV68</f>
        <v>0</v>
      </c>
      <c r="CW69" s="324">
        <f t="shared" si="469"/>
        <v>0</v>
      </c>
      <c r="CX69" s="152">
        <f t="shared" ref="CX69" si="523">-(1-CX85)*CX67-CX68</f>
        <v>0</v>
      </c>
      <c r="CY69" s="152">
        <f t="shared" ref="CY69" si="524">-(1-CY85)*CY67-CY68</f>
        <v>0</v>
      </c>
      <c r="CZ69" s="152">
        <f t="shared" ref="CZ69" si="525">-(1-CZ85)*CZ67-CZ68</f>
        <v>0</v>
      </c>
      <c r="DA69" s="323">
        <f t="shared" ref="DA69" si="526">-(1-DA85)*DA67-DA68</f>
        <v>0</v>
      </c>
      <c r="DB69" s="324">
        <f t="shared" si="471"/>
        <v>0</v>
      </c>
    </row>
    <row r="70" spans="1:108" s="7" customFormat="1" ht="11.5" customHeight="1" x14ac:dyDescent="0.35">
      <c r="A70" s="325" t="s">
        <v>354</v>
      </c>
      <c r="B70" s="48"/>
      <c r="C70" s="48"/>
      <c r="D70" s="48"/>
      <c r="E70" s="317"/>
      <c r="F70" s="317"/>
      <c r="G70" s="48"/>
      <c r="H70" s="48"/>
      <c r="I70" s="48"/>
      <c r="J70" s="317"/>
      <c r="K70" s="317"/>
      <c r="L70" s="48"/>
      <c r="M70" s="48"/>
      <c r="N70" s="48"/>
      <c r="O70" s="317"/>
      <c r="P70" s="317"/>
      <c r="Q70" s="48"/>
      <c r="R70" s="48"/>
      <c r="S70" s="48"/>
      <c r="T70" s="317"/>
      <c r="U70" s="317"/>
      <c r="V70" s="48"/>
      <c r="W70" s="48"/>
      <c r="X70" s="48"/>
      <c r="Y70" s="317"/>
      <c r="Z70" s="317"/>
      <c r="AA70" s="48"/>
      <c r="AB70" s="48"/>
      <c r="AC70" s="48"/>
      <c r="AD70" s="317"/>
      <c r="AE70" s="317"/>
      <c r="AF70" s="48"/>
      <c r="AG70" s="48"/>
      <c r="AH70" s="48"/>
      <c r="AI70" s="317"/>
      <c r="AJ70" s="317"/>
      <c r="AK70" s="48"/>
      <c r="AL70" s="48"/>
      <c r="AM70" s="48"/>
      <c r="AN70" s="317"/>
      <c r="AO70" s="317"/>
      <c r="AP70" s="48"/>
      <c r="AQ70" s="48"/>
      <c r="AR70" s="48"/>
      <c r="AS70" s="317"/>
      <c r="AT70" s="317"/>
      <c r="AU70" s="48"/>
      <c r="AV70" s="48"/>
      <c r="AW70" s="48"/>
      <c r="AX70" s="317"/>
      <c r="AY70" s="317"/>
      <c r="AZ70" s="48">
        <f t="shared" ref="AZ70:BK70" si="527">AZ67+AZ68+AZ69</f>
        <v>0</v>
      </c>
      <c r="BA70" s="48">
        <f t="shared" si="527"/>
        <v>0</v>
      </c>
      <c r="BB70" s="48">
        <f t="shared" si="527"/>
        <v>0</v>
      </c>
      <c r="BC70" s="317">
        <f t="shared" si="527"/>
        <v>0</v>
      </c>
      <c r="BD70" s="317">
        <f t="shared" si="527"/>
        <v>0</v>
      </c>
      <c r="BE70" s="48">
        <f t="shared" si="527"/>
        <v>117235</v>
      </c>
      <c r="BF70" s="48">
        <f t="shared" si="527"/>
        <v>96122</v>
      </c>
      <c r="BG70" s="48">
        <f t="shared" si="527"/>
        <v>104199</v>
      </c>
      <c r="BH70" s="317">
        <f t="shared" si="527"/>
        <v>105100</v>
      </c>
      <c r="BI70" s="317">
        <f t="shared" si="527"/>
        <v>422656</v>
      </c>
      <c r="BJ70" s="48">
        <f t="shared" si="527"/>
        <v>67710</v>
      </c>
      <c r="BK70" s="48">
        <f t="shared" si="527"/>
        <v>93285</v>
      </c>
      <c r="BL70" s="48">
        <f t="shared" ref="BL70:BZ70" si="528">BL67+BL68+BL69</f>
        <v>180069</v>
      </c>
      <c r="BM70" s="317">
        <f>BM67+BM68+BM69</f>
        <v>131681</v>
      </c>
      <c r="BN70" s="317">
        <f>BN67+BN68+BN69</f>
        <v>472745</v>
      </c>
      <c r="BO70" s="48">
        <f>BO67+BO68+BO69</f>
        <v>95682</v>
      </c>
      <c r="BP70" s="48">
        <f>BP67+BP68+BP69</f>
        <v>154010</v>
      </c>
      <c r="BQ70" s="48">
        <f>BQ67+BQ68+BQ69</f>
        <v>167168</v>
      </c>
      <c r="BR70" s="317">
        <f t="shared" si="528"/>
        <v>164419</v>
      </c>
      <c r="BS70" s="317">
        <f t="shared" si="528"/>
        <v>581279</v>
      </c>
      <c r="BT70" s="48">
        <f>BT67+BT68+BT69</f>
        <v>148940</v>
      </c>
      <c r="BU70" s="48">
        <f>BU67+BU68+BU69</f>
        <v>220429</v>
      </c>
      <c r="BV70" s="48">
        <f t="shared" si="528"/>
        <v>230074</v>
      </c>
      <c r="BW70" s="317">
        <f t="shared" si="528"/>
        <v>244514</v>
      </c>
      <c r="BX70" s="317">
        <f t="shared" si="528"/>
        <v>843957</v>
      </c>
      <c r="BY70" s="48">
        <f t="shared" si="528"/>
        <v>188413</v>
      </c>
      <c r="BZ70" s="48">
        <f t="shared" si="528"/>
        <v>225595</v>
      </c>
      <c r="CA70" s="48">
        <f t="shared" ref="CA70:CB70" si="529">CA67+CA68+CA69</f>
        <v>195696</v>
      </c>
      <c r="CB70" s="317">
        <f t="shared" si="529"/>
        <v>246687</v>
      </c>
      <c r="CC70" s="317">
        <f t="shared" ref="CC70:CH70" si="530">CC67+CC68+CC69</f>
        <v>856391</v>
      </c>
      <c r="CD70" s="48">
        <f t="shared" si="530"/>
        <v>140743</v>
      </c>
      <c r="CE70" s="48">
        <f t="shared" si="530"/>
        <v>217712</v>
      </c>
      <c r="CF70" s="48">
        <f t="shared" si="530"/>
        <v>192525.26701667375</v>
      </c>
      <c r="CG70" s="317">
        <f t="shared" si="530"/>
        <v>188135.56353861385</v>
      </c>
      <c r="CH70" s="317">
        <f t="shared" si="530"/>
        <v>739115.83055528789</v>
      </c>
      <c r="CI70" s="48">
        <f t="shared" ref="CI70:DB70" si="531">CI67+CI68+CI69</f>
        <v>191543.89061107306</v>
      </c>
      <c r="CJ70" s="48">
        <f t="shared" si="531"/>
        <v>189308.3890163402</v>
      </c>
      <c r="CK70" s="48">
        <f t="shared" si="531"/>
        <v>185486.50534318906</v>
      </c>
      <c r="CL70" s="317">
        <f t="shared" si="531"/>
        <v>182839.42182809178</v>
      </c>
      <c r="CM70" s="317">
        <f t="shared" si="531"/>
        <v>749178.20679869386</v>
      </c>
      <c r="CN70" s="48">
        <f t="shared" si="531"/>
        <v>187210.20979347435</v>
      </c>
      <c r="CO70" s="48">
        <f t="shared" si="531"/>
        <v>189516.16333824699</v>
      </c>
      <c r="CP70" s="48">
        <f t="shared" si="531"/>
        <v>198144.92019274691</v>
      </c>
      <c r="CQ70" s="317">
        <f t="shared" si="531"/>
        <v>199082.80422925291</v>
      </c>
      <c r="CR70" s="317">
        <f t="shared" si="531"/>
        <v>773954.09755372116</v>
      </c>
      <c r="CS70" s="48">
        <f t="shared" si="531"/>
        <v>208538.92709148023</v>
      </c>
      <c r="CT70" s="48">
        <f t="shared" si="531"/>
        <v>209424.88893835479</v>
      </c>
      <c r="CU70" s="48">
        <f t="shared" si="531"/>
        <v>213105.36046144884</v>
      </c>
      <c r="CV70" s="317">
        <f t="shared" si="531"/>
        <v>217006.50365405821</v>
      </c>
      <c r="CW70" s="317">
        <f t="shared" si="531"/>
        <v>848075.6801453419</v>
      </c>
      <c r="CX70" s="48">
        <f t="shared" si="531"/>
        <v>222595.90295534482</v>
      </c>
      <c r="CY70" s="48">
        <f t="shared" si="531"/>
        <v>227692.75387744978</v>
      </c>
      <c r="CZ70" s="48">
        <f t="shared" si="531"/>
        <v>232370.93867725052</v>
      </c>
      <c r="DA70" s="317">
        <f t="shared" si="531"/>
        <v>236693.25727309263</v>
      </c>
      <c r="DB70" s="317">
        <f t="shared" si="531"/>
        <v>919352.85278313747</v>
      </c>
      <c r="DC70" s="65">
        <f>CE70+CE26</f>
        <v>669563</v>
      </c>
    </row>
    <row r="71" spans="1:108" s="7" customFormat="1" ht="11.5" customHeight="1" x14ac:dyDescent="0.35">
      <c r="A71" s="322" t="s">
        <v>355</v>
      </c>
      <c r="B71" s="23"/>
      <c r="C71" s="23"/>
      <c r="D71" s="23"/>
      <c r="E71" s="324"/>
      <c r="F71" s="324"/>
      <c r="G71" s="23"/>
      <c r="H71" s="23"/>
      <c r="I71" s="23"/>
      <c r="J71" s="324"/>
      <c r="K71" s="324"/>
      <c r="L71" s="23"/>
      <c r="M71" s="23"/>
      <c r="N71" s="23"/>
      <c r="O71" s="324"/>
      <c r="P71" s="324"/>
      <c r="Q71" s="23"/>
      <c r="R71" s="23"/>
      <c r="S71" s="23"/>
      <c r="T71" s="324"/>
      <c r="U71" s="324"/>
      <c r="V71" s="23"/>
      <c r="W71" s="23"/>
      <c r="X71" s="23"/>
      <c r="Y71" s="324"/>
      <c r="Z71" s="324"/>
      <c r="AA71" s="23"/>
      <c r="AB71" s="23"/>
      <c r="AC71" s="23"/>
      <c r="AD71" s="324"/>
      <c r="AE71" s="324"/>
      <c r="AF71" s="23"/>
      <c r="AG71" s="23"/>
      <c r="AH71" s="23"/>
      <c r="AI71" s="324"/>
      <c r="AJ71" s="324"/>
      <c r="AK71" s="23"/>
      <c r="AL71" s="23"/>
      <c r="AM71" s="23"/>
      <c r="AN71" s="324"/>
      <c r="AO71" s="324"/>
      <c r="AP71" s="23"/>
      <c r="AQ71" s="23"/>
      <c r="AR71" s="23"/>
      <c r="AS71" s="324"/>
      <c r="AT71" s="324"/>
      <c r="AU71" s="23"/>
      <c r="AV71" s="23"/>
      <c r="AW71" s="23"/>
      <c r="AX71" s="324"/>
      <c r="AY71" s="324"/>
      <c r="AZ71" s="23"/>
      <c r="BA71" s="23"/>
      <c r="BB71" s="23"/>
      <c r="BC71" s="324"/>
      <c r="BD71" s="324">
        <f>SUM(AZ71:BC71)</f>
        <v>0</v>
      </c>
      <c r="BE71" s="485">
        <f>-BE67*5%</f>
        <v>-15112.5</v>
      </c>
      <c r="BF71" s="485">
        <f>-BF67*8%</f>
        <v>-21356.080000000002</v>
      </c>
      <c r="BG71" s="485">
        <f>-BG67*8%</f>
        <v>-26255.920000000002</v>
      </c>
      <c r="BH71" s="486">
        <f>-BH67*8%</f>
        <v>-25585.200000000001</v>
      </c>
      <c r="BI71" s="324">
        <f>SUM(BE71:BH71)</f>
        <v>-88309.7</v>
      </c>
      <c r="BJ71" s="485">
        <f>-BJ67*5%</f>
        <v>-10398.6</v>
      </c>
      <c r="BK71" s="485">
        <f>-BK67*8%</f>
        <v>-27694.560000000001</v>
      </c>
      <c r="BL71" s="485">
        <f>-BL67*8%</f>
        <v>-39497.279999999999</v>
      </c>
      <c r="BM71" s="486">
        <f>-BM67*8%</f>
        <v>-33505.440000000002</v>
      </c>
      <c r="BN71" s="324">
        <f>SUM(BJ71:BM71)</f>
        <v>-111095.88</v>
      </c>
      <c r="BO71" s="485">
        <f>-BO67*5%</f>
        <v>-16620.7</v>
      </c>
      <c r="BP71" s="485">
        <f>-BP67*5%</f>
        <v>-26817.25</v>
      </c>
      <c r="BQ71" s="485">
        <f>-BQ67*5%</f>
        <v>-25617.850000000002</v>
      </c>
      <c r="BR71" s="486">
        <f>-BR67*5%</f>
        <v>-26875.550000000003</v>
      </c>
      <c r="BS71" s="324">
        <f>SUM(BO71:BR71)</f>
        <v>-95931.35</v>
      </c>
      <c r="BT71" s="485">
        <f>-BT67*5%</f>
        <v>-24063.4</v>
      </c>
      <c r="BU71" s="485">
        <f>-BU67*5%</f>
        <v>-35090</v>
      </c>
      <c r="BV71" s="485">
        <f>-BV67*5%</f>
        <v>-34164.9</v>
      </c>
      <c r="BW71" s="486">
        <f>-BW67*5%</f>
        <v>-36739.15</v>
      </c>
      <c r="BX71" s="324">
        <f>SUM(BT71:BW71)</f>
        <v>-130057.45000000001</v>
      </c>
      <c r="BY71" s="485">
        <f t="shared" ref="BY71:BZ71" si="532">-BY67*5%</f>
        <v>-28933.95</v>
      </c>
      <c r="BZ71" s="485">
        <f t="shared" si="532"/>
        <v>-36739.599999999999</v>
      </c>
      <c r="CA71" s="485">
        <f t="shared" ref="CA71" si="533">-CA67*5%</f>
        <v>-32261.300000000003</v>
      </c>
      <c r="CB71" s="486">
        <f>-CB67*5%</f>
        <v>-38638.450000000004</v>
      </c>
      <c r="CC71" s="324">
        <f>SUM(BY71:CB71)</f>
        <v>-136573.30000000002</v>
      </c>
      <c r="CD71" s="485">
        <f t="shared" ref="CD71:CE71" si="534">-CD67*5%</f>
        <v>-23000.550000000003</v>
      </c>
      <c r="CE71" s="485">
        <f t="shared" si="534"/>
        <v>-32946.950000000004</v>
      </c>
      <c r="CF71" s="531">
        <f t="shared" ref="CF71:CG71" si="535">-CF67*5%</f>
        <v>-32087.544502778954</v>
      </c>
      <c r="CG71" s="532">
        <f t="shared" si="535"/>
        <v>-31355.92725643564</v>
      </c>
      <c r="CH71" s="324">
        <f>SUM(CD71:CG71)</f>
        <v>-119390.9717592146</v>
      </c>
      <c r="CI71" s="531">
        <f t="shared" ref="CI71:CL71" si="536">-CI67*5%</f>
        <v>-31923.981768512174</v>
      </c>
      <c r="CJ71" s="531">
        <f t="shared" si="536"/>
        <v>-31551.398169390028</v>
      </c>
      <c r="CK71" s="531">
        <f t="shared" si="536"/>
        <v>-30914.417557198176</v>
      </c>
      <c r="CL71" s="532">
        <f t="shared" si="536"/>
        <v>-30473.236971348626</v>
      </c>
      <c r="CM71" s="324">
        <f t="shared" ref="CM71:CM72" si="537">SUM(CI71:CL71)</f>
        <v>-124863.03446644901</v>
      </c>
      <c r="CN71" s="531">
        <f t="shared" ref="CN71:CQ71" si="538">-CN67*5%</f>
        <v>-31201.70163224572</v>
      </c>
      <c r="CO71" s="531">
        <f t="shared" si="538"/>
        <v>-31586.027223041161</v>
      </c>
      <c r="CP71" s="531">
        <f t="shared" si="538"/>
        <v>-33024.153365457816</v>
      </c>
      <c r="CQ71" s="532">
        <f t="shared" si="538"/>
        <v>-33180.467371542145</v>
      </c>
      <c r="CR71" s="324">
        <f t="shared" ref="CR71:CR72" si="539">SUM(CN71:CQ71)</f>
        <v>-128992.34959228686</v>
      </c>
      <c r="CS71" s="531">
        <f t="shared" ref="CS71:CV71" si="540">-CS67*5%</f>
        <v>-34756.487848580029</v>
      </c>
      <c r="CT71" s="531">
        <f t="shared" si="540"/>
        <v>-34904.148156392468</v>
      </c>
      <c r="CU71" s="531">
        <f t="shared" si="540"/>
        <v>-35517.560076908136</v>
      </c>
      <c r="CV71" s="532">
        <f t="shared" si="540"/>
        <v>-36167.750609009694</v>
      </c>
      <c r="CW71" s="324">
        <f t="shared" ref="CW71:CW72" si="541">SUM(CS71:CV71)</f>
        <v>-141345.94669089033</v>
      </c>
      <c r="CX71" s="531">
        <f t="shared" ref="CX71:DA71" si="542">-CX67*5%</f>
        <v>-37099.317159224127</v>
      </c>
      <c r="CY71" s="531">
        <f t="shared" si="542"/>
        <v>-37948.792312908299</v>
      </c>
      <c r="CZ71" s="531">
        <f t="shared" si="542"/>
        <v>-38728.489779541749</v>
      </c>
      <c r="DA71" s="532">
        <f t="shared" si="542"/>
        <v>-39448.876212182098</v>
      </c>
      <c r="DB71" s="324">
        <f t="shared" ref="DB71:DB72" si="543">SUM(CX71:DA71)</f>
        <v>-153225.47546385627</v>
      </c>
      <c r="DC71" s="65">
        <f>CE71+CE27</f>
        <v>-253683.4</v>
      </c>
      <c r="DD71" s="65">
        <f>DC71+DC72</f>
        <v>-304209</v>
      </c>
    </row>
    <row r="72" spans="1:108" s="7" customFormat="1" ht="11.5" customHeight="1" x14ac:dyDescent="0.35">
      <c r="A72" s="322" t="s">
        <v>356</v>
      </c>
      <c r="B72" s="23"/>
      <c r="C72" s="23"/>
      <c r="D72" s="23"/>
      <c r="E72" s="324"/>
      <c r="F72" s="324"/>
      <c r="G72" s="23"/>
      <c r="H72" s="23"/>
      <c r="I72" s="23"/>
      <c r="J72" s="324"/>
      <c r="K72" s="324"/>
      <c r="L72" s="23"/>
      <c r="M72" s="23"/>
      <c r="N72" s="23"/>
      <c r="O72" s="324"/>
      <c r="P72" s="324"/>
      <c r="Q72" s="23"/>
      <c r="R72" s="23"/>
      <c r="S72" s="23"/>
      <c r="T72" s="324"/>
      <c r="U72" s="324"/>
      <c r="V72" s="23"/>
      <c r="W72" s="23"/>
      <c r="X72" s="23"/>
      <c r="Y72" s="324"/>
      <c r="Z72" s="324"/>
      <c r="AA72" s="23"/>
      <c r="AB72" s="23"/>
      <c r="AC72" s="23"/>
      <c r="AD72" s="324"/>
      <c r="AE72" s="324"/>
      <c r="AF72" s="23"/>
      <c r="AG72" s="23"/>
      <c r="AH72" s="23"/>
      <c r="AI72" s="324"/>
      <c r="AJ72" s="324"/>
      <c r="AK72" s="23"/>
      <c r="AL72" s="23"/>
      <c r="AM72" s="23"/>
      <c r="AN72" s="324"/>
      <c r="AO72" s="324"/>
      <c r="AP72" s="23"/>
      <c r="AQ72" s="23"/>
      <c r="AR72" s="23"/>
      <c r="AS72" s="324"/>
      <c r="AT72" s="324"/>
      <c r="AU72" s="23"/>
      <c r="AV72" s="23"/>
      <c r="AW72" s="23"/>
      <c r="AX72" s="324"/>
      <c r="AY72" s="324"/>
      <c r="AZ72" s="23"/>
      <c r="BA72" s="23"/>
      <c r="BB72" s="23"/>
      <c r="BC72" s="324"/>
      <c r="BD72" s="324">
        <f>SUM(AZ72:BC72)</f>
        <v>0</v>
      </c>
      <c r="BE72" s="404">
        <f>-20717-BE71</f>
        <v>-5604.5</v>
      </c>
      <c r="BF72" s="404">
        <f>-36076-BE72-SUM(BE71:BF71)</f>
        <v>5997.0800000000017</v>
      </c>
      <c r="BG72" s="404">
        <f>-56014-SUM(BE72:BF72)-SUM(BE71:BG71)</f>
        <v>6317.9199999999983</v>
      </c>
      <c r="BH72" s="484">
        <f>-78507-SUM(BE72:BG72)-SUM(BE71:BH71)</f>
        <v>3092.1999999999971</v>
      </c>
      <c r="BI72" s="324">
        <f>SUM(BE72:BH72)</f>
        <v>9802.6999999999971</v>
      </c>
      <c r="BJ72" s="404">
        <f>-14573-BJ71</f>
        <v>-4174.3999999999996</v>
      </c>
      <c r="BK72" s="404">
        <f>-39340-BJ72-SUM(BJ71:BK71)</f>
        <v>2927.5600000000049</v>
      </c>
      <c r="BL72" s="404">
        <f>-71094-SUM(BJ72:BK72)-SUM(BJ71:BL71)</f>
        <v>7743.2799999999988</v>
      </c>
      <c r="BM72" s="484">
        <f>-139572-SUM(BJ72:BL72)-SUM(BJ71:BM71)</f>
        <v>-34972.559999999998</v>
      </c>
      <c r="BN72" s="324">
        <f>SUM(BJ72:BM72)</f>
        <v>-28476.119999999995</v>
      </c>
      <c r="BO72" s="404">
        <f>-28568-BO71</f>
        <v>-11947.3</v>
      </c>
      <c r="BP72" s="404">
        <f>-73771-BO72-SUM(BO71:BP71)</f>
        <v>-18385.75</v>
      </c>
      <c r="BQ72" s="404">
        <f>-124909-SUM(BO72:BP72)-SUM(BO71:BQ71)</f>
        <v>-25520.149999999994</v>
      </c>
      <c r="BR72" s="484">
        <f>-204431-SUM(BO72:BQ72)-SUM(BO71:BR71)</f>
        <v>-52646.449999999983</v>
      </c>
      <c r="BS72" s="324">
        <f>SUM(BO72:BR72)</f>
        <v>-108499.64999999998</v>
      </c>
      <c r="BT72" s="404">
        <f>-31114-BT71</f>
        <v>-7050.5999999999985</v>
      </c>
      <c r="BU72" s="404">
        <f>-73321-BT72-SUM(BT71:BU71)</f>
        <v>-7116.9999999999927</v>
      </c>
      <c r="BV72" s="404">
        <f>-118480-SUM(BT72:BU72)-SUM(BT71:BV71)</f>
        <v>-10994.100000000006</v>
      </c>
      <c r="BW72" s="484">
        <f>-173171-SUM(BT72:BV72)-SUM(BT71:BW71)</f>
        <v>-17951.849999999977</v>
      </c>
      <c r="BX72" s="324">
        <f>SUM(BT72:BW72)</f>
        <v>-43113.549999999974</v>
      </c>
      <c r="BY72" s="404">
        <f>-33186-BY71</f>
        <v>-4252.0499999999993</v>
      </c>
      <c r="BZ72" s="404">
        <f>-78650-BY72-SUM(BY71:BZ71)</f>
        <v>-8724.3999999999942</v>
      </c>
      <c r="CA72" s="404">
        <f>-120589-BZ72-BY72-SUM(BY71:CA71)</f>
        <v>-9677.6999999999971</v>
      </c>
      <c r="CB72" s="484">
        <f>-177039-SUM(BY72:CA72)-SUM(BY71:CB71)</f>
        <v>-17811.549999999988</v>
      </c>
      <c r="CC72" s="324">
        <f>SUM(BY72:CB72)</f>
        <v>-40465.699999999983</v>
      </c>
      <c r="CD72" s="404">
        <f>-37556-CD71</f>
        <v>-14555.449999999997</v>
      </c>
      <c r="CE72" s="404">
        <f>-82228-CD72-SUM(CD71:CE71)</f>
        <v>-11725.049999999996</v>
      </c>
      <c r="CF72" s="448">
        <f>CE72*(1+Macro!CF53)^(1/4)</f>
        <v>-11725.049999999996</v>
      </c>
      <c r="CG72" s="578">
        <f>CF72*(1+Macro!CG53)^(1/4)</f>
        <v>-11725.049999999996</v>
      </c>
      <c r="CH72" s="324">
        <f>SUM(CD72:CG72)</f>
        <v>-49730.599999999984</v>
      </c>
      <c r="CI72" s="448">
        <f>CG72*(1+Macro!CI53)^(1/4)</f>
        <v>-11725.049999999996</v>
      </c>
      <c r="CJ72" s="448">
        <f>CI72*(1+Macro!CJ53)^(1/4)</f>
        <v>-11725.049999999996</v>
      </c>
      <c r="CK72" s="448">
        <f>CJ72*(1+Macro!CK53)^(1/4)</f>
        <v>-11725.049999999996</v>
      </c>
      <c r="CL72" s="578">
        <f>CK72*(1+Macro!CL53)^(1/4)</f>
        <v>-11725.049999999996</v>
      </c>
      <c r="CM72" s="324">
        <f t="shared" si="537"/>
        <v>-46900.199999999983</v>
      </c>
      <c r="CN72" s="448">
        <f>CL72*(1+Macro!CN53)^(1/4)</f>
        <v>-11725.049999999996</v>
      </c>
      <c r="CO72" s="448">
        <f>CN72*(1+Macro!CO53)^(1/4)</f>
        <v>-11725.049999999996</v>
      </c>
      <c r="CP72" s="448">
        <f>CO72*(1+Macro!CP53)^(1/4)</f>
        <v>-11725.049999999996</v>
      </c>
      <c r="CQ72" s="578">
        <f>CP72*(1+Macro!CQ53)^(1/4)</f>
        <v>-11725.049999999996</v>
      </c>
      <c r="CR72" s="324">
        <f t="shared" si="539"/>
        <v>-46900.199999999983</v>
      </c>
      <c r="CS72" s="448">
        <f>CQ72*(1+Macro!CS53)^(1/4)</f>
        <v>-11725.049999999996</v>
      </c>
      <c r="CT72" s="448">
        <f>CS72*(1+Macro!CT53)^(1/4)</f>
        <v>-11725.049999999996</v>
      </c>
      <c r="CU72" s="448">
        <f>CT72*(1+Macro!CU53)^(1/4)</f>
        <v>-11725.049999999996</v>
      </c>
      <c r="CV72" s="578">
        <f>CU72*(1+Macro!CV53)^(1/4)</f>
        <v>-11725.049999999996</v>
      </c>
      <c r="CW72" s="324">
        <f t="shared" si="541"/>
        <v>-46900.199999999983</v>
      </c>
      <c r="CX72" s="448">
        <f>CV72*(1+Macro!CX53)^(1/4)</f>
        <v>-11725.049999999996</v>
      </c>
      <c r="CY72" s="448">
        <f>CX72*(1+Macro!CY53)^(1/4)</f>
        <v>-11725.049999999996</v>
      </c>
      <c r="CZ72" s="448">
        <f>CY72*(1+Macro!CZ53)^(1/4)</f>
        <v>-11725.049999999996</v>
      </c>
      <c r="DA72" s="578">
        <f>CZ72*(1+Macro!DA53)^(1/4)</f>
        <v>-11725.049999999996</v>
      </c>
      <c r="DB72" s="324">
        <f t="shared" si="543"/>
        <v>-46900.199999999983</v>
      </c>
      <c r="DC72" s="65">
        <f>CE72+CE28</f>
        <v>-50525.599999999999</v>
      </c>
    </row>
    <row r="73" spans="1:108" s="7" customFormat="1" ht="11.5" customHeight="1" x14ac:dyDescent="0.35">
      <c r="A73" s="326" t="s">
        <v>115</v>
      </c>
      <c r="B73" s="48"/>
      <c r="C73" s="48"/>
      <c r="D73" s="48"/>
      <c r="E73" s="317"/>
      <c r="F73" s="317"/>
      <c r="G73" s="48"/>
      <c r="H73" s="48"/>
      <c r="I73" s="48"/>
      <c r="J73" s="317"/>
      <c r="K73" s="317"/>
      <c r="L73" s="48"/>
      <c r="M73" s="48"/>
      <c r="N73" s="48"/>
      <c r="O73" s="317"/>
      <c r="P73" s="317"/>
      <c r="Q73" s="48"/>
      <c r="R73" s="48"/>
      <c r="S73" s="48"/>
      <c r="T73" s="317"/>
      <c r="U73" s="317"/>
      <c r="V73" s="48"/>
      <c r="W73" s="48"/>
      <c r="X73" s="48"/>
      <c r="Y73" s="317"/>
      <c r="Z73" s="317"/>
      <c r="AA73" s="48"/>
      <c r="AB73" s="48"/>
      <c r="AC73" s="48"/>
      <c r="AD73" s="317"/>
      <c r="AE73" s="317"/>
      <c r="AF73" s="48"/>
      <c r="AG73" s="48"/>
      <c r="AH73" s="48"/>
      <c r="AI73" s="317"/>
      <c r="AJ73" s="317"/>
      <c r="AK73" s="48"/>
      <c r="AL73" s="48"/>
      <c r="AM73" s="48"/>
      <c r="AN73" s="317"/>
      <c r="AO73" s="317"/>
      <c r="AP73" s="48"/>
      <c r="AQ73" s="48"/>
      <c r="AR73" s="48"/>
      <c r="AS73" s="317"/>
      <c r="AT73" s="317"/>
      <c r="AU73" s="48"/>
      <c r="AV73" s="48"/>
      <c r="AW73" s="48"/>
      <c r="AX73" s="317"/>
      <c r="AY73" s="317"/>
      <c r="AZ73" s="48">
        <f t="shared" ref="AZ73:BZ73" si="544">AZ70+AZ71+AZ72</f>
        <v>0</v>
      </c>
      <c r="BA73" s="48">
        <f t="shared" si="544"/>
        <v>0</v>
      </c>
      <c r="BB73" s="48">
        <f t="shared" si="544"/>
        <v>0</v>
      </c>
      <c r="BC73" s="317">
        <f t="shared" si="544"/>
        <v>0</v>
      </c>
      <c r="BD73" s="317">
        <f t="shared" si="544"/>
        <v>0</v>
      </c>
      <c r="BE73" s="48">
        <f t="shared" si="544"/>
        <v>96518</v>
      </c>
      <c r="BF73" s="48">
        <f t="shared" si="544"/>
        <v>80763</v>
      </c>
      <c r="BG73" s="48">
        <f t="shared" si="544"/>
        <v>84261</v>
      </c>
      <c r="BH73" s="317">
        <f t="shared" si="544"/>
        <v>82607</v>
      </c>
      <c r="BI73" s="317">
        <f t="shared" si="544"/>
        <v>344149</v>
      </c>
      <c r="BJ73" s="48">
        <f t="shared" si="544"/>
        <v>53137</v>
      </c>
      <c r="BK73" s="48">
        <f t="shared" si="544"/>
        <v>68518</v>
      </c>
      <c r="BL73" s="48">
        <f t="shared" si="544"/>
        <v>148315</v>
      </c>
      <c r="BM73" s="317">
        <f t="shared" si="544"/>
        <v>63203</v>
      </c>
      <c r="BN73" s="317">
        <f t="shared" si="544"/>
        <v>333173</v>
      </c>
      <c r="BO73" s="48">
        <f t="shared" si="544"/>
        <v>67114</v>
      </c>
      <c r="BP73" s="48">
        <f t="shared" si="544"/>
        <v>108807</v>
      </c>
      <c r="BQ73" s="48">
        <f t="shared" si="544"/>
        <v>116030</v>
      </c>
      <c r="BR73" s="317">
        <f t="shared" si="544"/>
        <v>84897.000000000029</v>
      </c>
      <c r="BS73" s="317">
        <f t="shared" si="544"/>
        <v>376848.00000000006</v>
      </c>
      <c r="BT73" s="48">
        <f t="shared" si="544"/>
        <v>117826</v>
      </c>
      <c r="BU73" s="48">
        <f t="shared" si="544"/>
        <v>178222</v>
      </c>
      <c r="BV73" s="48">
        <f t="shared" si="544"/>
        <v>184915</v>
      </c>
      <c r="BW73" s="317">
        <f t="shared" si="544"/>
        <v>189823.00000000003</v>
      </c>
      <c r="BX73" s="317">
        <f t="shared" si="544"/>
        <v>670786.00000000012</v>
      </c>
      <c r="BY73" s="48">
        <f t="shared" si="544"/>
        <v>155227</v>
      </c>
      <c r="BZ73" s="48">
        <f t="shared" si="544"/>
        <v>180131</v>
      </c>
      <c r="CA73" s="48">
        <f t="shared" ref="CA73:CB73" si="545">CA70+CA71+CA72</f>
        <v>153757</v>
      </c>
      <c r="CB73" s="317">
        <f t="shared" si="545"/>
        <v>190237</v>
      </c>
      <c r="CC73" s="317">
        <f t="shared" ref="CC73:CH73" si="546">CC70+CC71+CC72</f>
        <v>679352</v>
      </c>
      <c r="CD73" s="48">
        <f t="shared" si="546"/>
        <v>103187</v>
      </c>
      <c r="CE73" s="48">
        <f t="shared" si="546"/>
        <v>173040</v>
      </c>
      <c r="CF73" s="48">
        <f t="shared" si="546"/>
        <v>148712.67251389479</v>
      </c>
      <c r="CG73" s="317">
        <f t="shared" si="546"/>
        <v>145054.58628217821</v>
      </c>
      <c r="CH73" s="317">
        <f t="shared" si="546"/>
        <v>569994.25879607326</v>
      </c>
      <c r="CI73" s="48">
        <f t="shared" ref="CI73:DB73" si="547">CI70+CI71+CI72</f>
        <v>147894.85884256091</v>
      </c>
      <c r="CJ73" s="48">
        <f t="shared" si="547"/>
        <v>146031.94084695016</v>
      </c>
      <c r="CK73" s="48">
        <f t="shared" si="547"/>
        <v>142847.03778599089</v>
      </c>
      <c r="CL73" s="317">
        <f t="shared" si="547"/>
        <v>140641.13485674316</v>
      </c>
      <c r="CM73" s="317">
        <f t="shared" si="547"/>
        <v>577414.97233224486</v>
      </c>
      <c r="CN73" s="48">
        <f t="shared" si="547"/>
        <v>144283.45816122863</v>
      </c>
      <c r="CO73" s="48">
        <f t="shared" si="547"/>
        <v>146205.08611520584</v>
      </c>
      <c r="CP73" s="48">
        <f t="shared" si="547"/>
        <v>153395.71682728911</v>
      </c>
      <c r="CQ73" s="317">
        <f t="shared" si="547"/>
        <v>154177.28685771077</v>
      </c>
      <c r="CR73" s="317">
        <f t="shared" si="547"/>
        <v>598061.54796143435</v>
      </c>
      <c r="CS73" s="48">
        <f t="shared" si="547"/>
        <v>162057.38924290022</v>
      </c>
      <c r="CT73" s="48">
        <f t="shared" si="547"/>
        <v>162795.69078196233</v>
      </c>
      <c r="CU73" s="48">
        <f t="shared" si="547"/>
        <v>165862.7503845407</v>
      </c>
      <c r="CV73" s="317">
        <f t="shared" si="547"/>
        <v>169113.70304504852</v>
      </c>
      <c r="CW73" s="317">
        <f t="shared" si="547"/>
        <v>659829.53345445159</v>
      </c>
      <c r="CX73" s="48">
        <f t="shared" si="547"/>
        <v>173771.5357961207</v>
      </c>
      <c r="CY73" s="48">
        <f t="shared" si="547"/>
        <v>178018.91156454149</v>
      </c>
      <c r="CZ73" s="48">
        <f t="shared" si="547"/>
        <v>181917.3988977088</v>
      </c>
      <c r="DA73" s="317">
        <f t="shared" si="547"/>
        <v>185519.33106091054</v>
      </c>
      <c r="DB73" s="317">
        <f t="shared" si="547"/>
        <v>719227.17731928127</v>
      </c>
      <c r="DC73" s="65">
        <f>CE73+CE29</f>
        <v>365354</v>
      </c>
    </row>
    <row r="74" spans="1:108" s="7" customFormat="1" ht="11.5" customHeight="1" x14ac:dyDescent="0.35">
      <c r="A74" s="326" t="s">
        <v>231</v>
      </c>
      <c r="B74" s="48"/>
      <c r="C74" s="48"/>
      <c r="D74" s="48"/>
      <c r="E74" s="317"/>
      <c r="F74" s="317"/>
      <c r="G74" s="48"/>
      <c r="H74" s="48"/>
      <c r="I74" s="48"/>
      <c r="J74" s="317"/>
      <c r="K74" s="317"/>
      <c r="L74" s="48"/>
      <c r="M74" s="48"/>
      <c r="N74" s="48"/>
      <c r="O74" s="317"/>
      <c r="P74" s="317"/>
      <c r="Q74" s="48"/>
      <c r="R74" s="48"/>
      <c r="S74" s="48"/>
      <c r="T74" s="317"/>
      <c r="U74" s="317"/>
      <c r="V74" s="48"/>
      <c r="W74" s="48"/>
      <c r="X74" s="48"/>
      <c r="Y74" s="317"/>
      <c r="Z74" s="317"/>
      <c r="AA74" s="48"/>
      <c r="AB74" s="48"/>
      <c r="AC74" s="48"/>
      <c r="AD74" s="317"/>
      <c r="AE74" s="317"/>
      <c r="AF74" s="48"/>
      <c r="AG74" s="48"/>
      <c r="AH74" s="48"/>
      <c r="AI74" s="317"/>
      <c r="AJ74" s="317"/>
      <c r="AK74" s="48"/>
      <c r="AL74" s="48"/>
      <c r="AM74" s="48"/>
      <c r="AN74" s="317"/>
      <c r="AO74" s="317"/>
      <c r="AP74" s="48"/>
      <c r="AQ74" s="48"/>
      <c r="AR74" s="48"/>
      <c r="AS74" s="317"/>
      <c r="AT74" s="317"/>
      <c r="AU74" s="48"/>
      <c r="AV74" s="48"/>
      <c r="AW74" s="48"/>
      <c r="AX74" s="317"/>
      <c r="AY74" s="317"/>
      <c r="AZ74" s="567"/>
      <c r="BA74" s="567"/>
      <c r="BB74" s="567"/>
      <c r="BC74" s="568"/>
      <c r="BD74" s="324">
        <f>SUM(AZ74:BC74)</f>
        <v>0</v>
      </c>
      <c r="BE74" s="567"/>
      <c r="BF74" s="567"/>
      <c r="BG74" s="567"/>
      <c r="BH74" s="568"/>
      <c r="BI74" s="324">
        <f t="shared" ref="BI74" si="548">SUM(BE74:BH74)</f>
        <v>0</v>
      </c>
      <c r="BJ74" s="567"/>
      <c r="BK74" s="567"/>
      <c r="BL74" s="567"/>
      <c r="BM74" s="568"/>
      <c r="BN74" s="324">
        <f t="shared" ref="BN74" si="549">SUM(BJ74:BM74)</f>
        <v>0</v>
      </c>
      <c r="BO74" s="567"/>
      <c r="BP74" s="567"/>
      <c r="BQ74" s="567"/>
      <c r="BR74" s="568"/>
      <c r="BS74" s="324">
        <f t="shared" ref="BS74" si="550">SUM(BO74:BR74)</f>
        <v>0</v>
      </c>
      <c r="BT74" s="567"/>
      <c r="BU74" s="567"/>
      <c r="BV74" s="567"/>
      <c r="BW74" s="568"/>
      <c r="BX74" s="324">
        <f t="shared" ref="BX74" si="551">SUM(BT74:BW74)</f>
        <v>0</v>
      </c>
      <c r="BY74" s="567"/>
      <c r="BZ74" s="567"/>
      <c r="CA74" s="567"/>
      <c r="CB74" s="568"/>
      <c r="CC74" s="324">
        <f t="shared" ref="CC74" si="552">SUM(BY74:CB74)</f>
        <v>0</v>
      </c>
      <c r="CD74" s="567"/>
      <c r="CE74" s="567"/>
      <c r="CF74" s="567"/>
      <c r="CG74" s="568"/>
      <c r="CH74" s="324">
        <f t="shared" ref="CH74" si="553">SUM(CD74:CG74)</f>
        <v>0</v>
      </c>
      <c r="CI74" s="567"/>
      <c r="CJ74" s="567"/>
      <c r="CK74" s="567"/>
      <c r="CL74" s="568"/>
      <c r="CM74" s="324">
        <f t="shared" ref="CM74" si="554">SUM(CI74:CL74)</f>
        <v>0</v>
      </c>
      <c r="CN74" s="567"/>
      <c r="CO74" s="567"/>
      <c r="CP74" s="567"/>
      <c r="CQ74" s="568"/>
      <c r="CR74" s="324">
        <f t="shared" ref="CR74" si="555">SUM(CN74:CQ74)</f>
        <v>0</v>
      </c>
      <c r="CS74" s="567"/>
      <c r="CT74" s="567"/>
      <c r="CU74" s="567"/>
      <c r="CV74" s="568"/>
      <c r="CW74" s="324">
        <f t="shared" ref="CW74" si="556">SUM(CS74:CV74)</f>
        <v>0</v>
      </c>
      <c r="CX74" s="567"/>
      <c r="CY74" s="567"/>
      <c r="CZ74" s="567"/>
      <c r="DA74" s="568"/>
      <c r="DB74" s="324">
        <f t="shared" ref="DB74" si="557">SUM(CX74:DA74)</f>
        <v>0</v>
      </c>
    </row>
    <row r="75" spans="1:108" s="7" customFormat="1" ht="11.5" hidden="1" customHeight="1" outlineLevel="1" x14ac:dyDescent="0.35">
      <c r="A75" s="327" t="s">
        <v>122</v>
      </c>
      <c r="B75" s="161"/>
      <c r="C75" s="161"/>
      <c r="D75" s="161"/>
      <c r="E75" s="328"/>
      <c r="F75" s="324"/>
      <c r="G75" s="161"/>
      <c r="H75" s="161"/>
      <c r="I75" s="161"/>
      <c r="J75" s="328"/>
      <c r="K75" s="324"/>
      <c r="L75" s="161"/>
      <c r="M75" s="161"/>
      <c r="N75" s="161"/>
      <c r="O75" s="328"/>
      <c r="P75" s="324"/>
      <c r="Q75" s="161"/>
      <c r="R75" s="161"/>
      <c r="S75" s="161"/>
      <c r="T75" s="328"/>
      <c r="U75" s="324"/>
      <c r="V75" s="161"/>
      <c r="W75" s="161"/>
      <c r="X75" s="161"/>
      <c r="Y75" s="328"/>
      <c r="Z75" s="324"/>
      <c r="AA75" s="161"/>
      <c r="AB75" s="161"/>
      <c r="AC75" s="161"/>
      <c r="AD75" s="328"/>
      <c r="AE75" s="324"/>
      <c r="AF75" s="161"/>
      <c r="AG75" s="161"/>
      <c r="AH75" s="161"/>
      <c r="AI75" s="328"/>
      <c r="AJ75" s="324"/>
      <c r="AK75" s="161"/>
      <c r="AL75" s="161"/>
      <c r="AM75" s="161"/>
      <c r="AN75" s="328"/>
      <c r="AO75" s="324"/>
      <c r="AP75" s="161"/>
      <c r="AQ75" s="161"/>
      <c r="AR75" s="161"/>
      <c r="AS75" s="328"/>
      <c r="AT75" s="324"/>
      <c r="AU75" s="161"/>
      <c r="AV75" s="161"/>
      <c r="AW75" s="161"/>
      <c r="AX75" s="328"/>
      <c r="AY75" s="324"/>
      <c r="AZ75" s="161"/>
      <c r="BA75" s="161"/>
      <c r="BB75" s="161"/>
      <c r="BC75" s="328"/>
      <c r="BD75" s="324">
        <f>SUM(AZ75:BC75)</f>
        <v>0</v>
      </c>
      <c r="BE75" s="161"/>
      <c r="BF75" s="161"/>
      <c r="BG75" s="161"/>
      <c r="BH75" s="328"/>
      <c r="BI75" s="324">
        <f>SUM(BE75:BH75)</f>
        <v>0</v>
      </c>
      <c r="BJ75" s="161"/>
      <c r="BK75" s="161"/>
      <c r="BL75" s="161"/>
      <c r="BM75" s="328"/>
      <c r="BN75" s="324">
        <f>SUM(BJ75:BM75)</f>
        <v>0</v>
      </c>
      <c r="BO75" s="161"/>
      <c r="BP75" s="161"/>
      <c r="BQ75" s="161"/>
      <c r="BR75" s="328"/>
      <c r="BS75" s="324">
        <f>SUM(BO75:BR75)</f>
        <v>0</v>
      </c>
      <c r="BT75" s="161"/>
      <c r="BU75" s="161"/>
      <c r="BV75" s="161"/>
      <c r="BW75" s="328"/>
      <c r="BX75" s="324">
        <f>SUM(BT75:BW75)</f>
        <v>0</v>
      </c>
      <c r="BY75" s="161"/>
      <c r="BZ75" s="161"/>
      <c r="CA75" s="161"/>
      <c r="CB75" s="328"/>
      <c r="CC75" s="324">
        <f>SUM(BY75:CB75)</f>
        <v>0</v>
      </c>
      <c r="CD75" s="161"/>
      <c r="CE75" s="161"/>
      <c r="CF75" s="161"/>
      <c r="CG75" s="328"/>
      <c r="CH75" s="324">
        <f t="shared" ref="CH75:CH78" si="558">SUM(CD75:CG75)</f>
        <v>0</v>
      </c>
      <c r="CI75" s="161"/>
      <c r="CJ75" s="161"/>
      <c r="CK75" s="161"/>
      <c r="CL75" s="328"/>
      <c r="CM75" s="324">
        <f t="shared" ref="CM75:CM78" si="559">SUM(CI75:CL75)</f>
        <v>0</v>
      </c>
      <c r="CN75" s="161"/>
      <c r="CO75" s="161"/>
      <c r="CP75" s="161"/>
      <c r="CQ75" s="328"/>
      <c r="CR75" s="324">
        <f t="shared" ref="CR75:CR78" si="560">SUM(CN75:CQ75)</f>
        <v>0</v>
      </c>
      <c r="CS75" s="161"/>
      <c r="CT75" s="161"/>
      <c r="CU75" s="161"/>
      <c r="CV75" s="328"/>
      <c r="CW75" s="324">
        <f t="shared" ref="CW75:CW78" si="561">SUM(CS75:CV75)</f>
        <v>0</v>
      </c>
      <c r="CX75" s="161"/>
      <c r="CY75" s="161"/>
      <c r="CZ75" s="161"/>
      <c r="DA75" s="328"/>
      <c r="DB75" s="324">
        <f t="shared" ref="DB75:DB78" si="562">SUM(CX75:DA75)</f>
        <v>0</v>
      </c>
    </row>
    <row r="76" spans="1:108" s="7" customFormat="1" ht="11.5" hidden="1" customHeight="1" outlineLevel="1" x14ac:dyDescent="0.35">
      <c r="A76" s="327" t="s">
        <v>123</v>
      </c>
      <c r="B76" s="161"/>
      <c r="C76" s="161"/>
      <c r="D76" s="161"/>
      <c r="E76" s="328"/>
      <c r="F76" s="324"/>
      <c r="G76" s="161"/>
      <c r="H76" s="161"/>
      <c r="I76" s="161"/>
      <c r="J76" s="328"/>
      <c r="K76" s="324"/>
      <c r="L76" s="161"/>
      <c r="M76" s="161"/>
      <c r="N76" s="161"/>
      <c r="O76" s="328"/>
      <c r="P76" s="324"/>
      <c r="Q76" s="161"/>
      <c r="R76" s="161"/>
      <c r="S76" s="161"/>
      <c r="T76" s="328"/>
      <c r="U76" s="324"/>
      <c r="V76" s="161"/>
      <c r="W76" s="161"/>
      <c r="X76" s="161"/>
      <c r="Y76" s="328"/>
      <c r="Z76" s="324"/>
      <c r="AA76" s="161"/>
      <c r="AB76" s="161"/>
      <c r="AC76" s="161"/>
      <c r="AD76" s="328"/>
      <c r="AE76" s="324"/>
      <c r="AF76" s="161"/>
      <c r="AG76" s="161"/>
      <c r="AH76" s="161"/>
      <c r="AI76" s="328"/>
      <c r="AJ76" s="324"/>
      <c r="AK76" s="161"/>
      <c r="AL76" s="161"/>
      <c r="AM76" s="161"/>
      <c r="AN76" s="328"/>
      <c r="AO76" s="324"/>
      <c r="AP76" s="161"/>
      <c r="AQ76" s="161"/>
      <c r="AR76" s="161"/>
      <c r="AS76" s="328"/>
      <c r="AT76" s="324"/>
      <c r="AU76" s="161"/>
      <c r="AV76" s="161"/>
      <c r="AW76" s="161"/>
      <c r="AX76" s="328"/>
      <c r="AY76" s="324"/>
      <c r="AZ76" s="161"/>
      <c r="BA76" s="161"/>
      <c r="BB76" s="161"/>
      <c r="BC76" s="328"/>
      <c r="BD76" s="324">
        <f>SUM(AZ76:BC76)</f>
        <v>0</v>
      </c>
      <c r="BE76" s="161"/>
      <c r="BF76" s="161"/>
      <c r="BG76" s="161"/>
      <c r="BH76" s="328"/>
      <c r="BI76" s="324">
        <f>SUM(BE76:BH76)</f>
        <v>0</v>
      </c>
      <c r="BJ76" s="161"/>
      <c r="BK76" s="161"/>
      <c r="BL76" s="161"/>
      <c r="BM76" s="328"/>
      <c r="BN76" s="324">
        <f>SUM(BJ76:BM76)</f>
        <v>0</v>
      </c>
      <c r="BO76" s="161"/>
      <c r="BP76" s="161"/>
      <c r="BQ76" s="161"/>
      <c r="BR76" s="328"/>
      <c r="BS76" s="324">
        <f>SUM(BO76:BR76)</f>
        <v>0</v>
      </c>
      <c r="BT76" s="161"/>
      <c r="BU76" s="161"/>
      <c r="BV76" s="161"/>
      <c r="BW76" s="328"/>
      <c r="BX76" s="324">
        <f>SUM(BT76:BW76)</f>
        <v>0</v>
      </c>
      <c r="BY76" s="161"/>
      <c r="BZ76" s="161"/>
      <c r="CA76" s="161"/>
      <c r="CB76" s="328"/>
      <c r="CC76" s="324">
        <f>SUM(BY76:CB76)</f>
        <v>0</v>
      </c>
      <c r="CD76" s="161"/>
      <c r="CE76" s="161"/>
      <c r="CF76" s="161"/>
      <c r="CG76" s="328"/>
      <c r="CH76" s="324">
        <f t="shared" si="558"/>
        <v>0</v>
      </c>
      <c r="CI76" s="161"/>
      <c r="CJ76" s="161"/>
      <c r="CK76" s="161"/>
      <c r="CL76" s="328"/>
      <c r="CM76" s="324">
        <f t="shared" si="559"/>
        <v>0</v>
      </c>
      <c r="CN76" s="161"/>
      <c r="CO76" s="161"/>
      <c r="CP76" s="161"/>
      <c r="CQ76" s="328"/>
      <c r="CR76" s="324">
        <f t="shared" si="560"/>
        <v>0</v>
      </c>
      <c r="CS76" s="161"/>
      <c r="CT76" s="161"/>
      <c r="CU76" s="161"/>
      <c r="CV76" s="328"/>
      <c r="CW76" s="324">
        <f t="shared" si="561"/>
        <v>0</v>
      </c>
      <c r="CX76" s="161"/>
      <c r="CY76" s="161"/>
      <c r="CZ76" s="161"/>
      <c r="DA76" s="328"/>
      <c r="DB76" s="324">
        <f t="shared" si="562"/>
        <v>0</v>
      </c>
    </row>
    <row r="77" spans="1:108" s="7" customFormat="1" ht="11.5" hidden="1" customHeight="1" outlineLevel="1" x14ac:dyDescent="0.35">
      <c r="A77" s="322" t="s">
        <v>118</v>
      </c>
      <c r="B77" s="161"/>
      <c r="C77" s="161"/>
      <c r="D77" s="161"/>
      <c r="E77" s="328"/>
      <c r="F77" s="324"/>
      <c r="G77" s="161"/>
      <c r="H77" s="161"/>
      <c r="I77" s="161"/>
      <c r="J77" s="328"/>
      <c r="K77" s="324"/>
      <c r="L77" s="161"/>
      <c r="M77" s="161"/>
      <c r="N77" s="161"/>
      <c r="O77" s="328"/>
      <c r="P77" s="324"/>
      <c r="Q77" s="161"/>
      <c r="R77" s="161"/>
      <c r="S77" s="161"/>
      <c r="T77" s="328"/>
      <c r="U77" s="324"/>
      <c r="V77" s="161"/>
      <c r="W77" s="161"/>
      <c r="X77" s="161"/>
      <c r="Y77" s="328"/>
      <c r="Z77" s="324"/>
      <c r="AA77" s="161"/>
      <c r="AB77" s="161"/>
      <c r="AC77" s="161"/>
      <c r="AD77" s="328"/>
      <c r="AE77" s="324"/>
      <c r="AF77" s="161"/>
      <c r="AG77" s="161"/>
      <c r="AH77" s="161"/>
      <c r="AI77" s="328"/>
      <c r="AJ77" s="324"/>
      <c r="AK77" s="161"/>
      <c r="AL77" s="161"/>
      <c r="AM77" s="161"/>
      <c r="AN77" s="328"/>
      <c r="AO77" s="324"/>
      <c r="AP77" s="161"/>
      <c r="AQ77" s="161"/>
      <c r="AR77" s="161"/>
      <c r="AS77" s="328"/>
      <c r="AT77" s="324"/>
      <c r="AU77" s="161"/>
      <c r="AV77" s="161"/>
      <c r="AW77" s="161"/>
      <c r="AX77" s="328"/>
      <c r="AY77" s="324"/>
      <c r="AZ77" s="161"/>
      <c r="BA77" s="161"/>
      <c r="BB77" s="161"/>
      <c r="BC77" s="328"/>
      <c r="BD77" s="324">
        <f>SUM(AZ77:BC77)</f>
        <v>0</v>
      </c>
      <c r="BE77" s="161"/>
      <c r="BF77" s="161"/>
      <c r="BG77" s="161"/>
      <c r="BH77" s="328"/>
      <c r="BI77" s="324">
        <f>SUM(BE77:BH77)</f>
        <v>0</v>
      </c>
      <c r="BJ77" s="161"/>
      <c r="BK77" s="161"/>
      <c r="BL77" s="161"/>
      <c r="BM77" s="328"/>
      <c r="BN77" s="324">
        <f>SUM(BJ77:BM77)</f>
        <v>0</v>
      </c>
      <c r="BO77" s="161"/>
      <c r="BP77" s="161"/>
      <c r="BQ77" s="161"/>
      <c r="BR77" s="328"/>
      <c r="BS77" s="324">
        <f>SUM(BO77:BR77)</f>
        <v>0</v>
      </c>
      <c r="BT77" s="161"/>
      <c r="BU77" s="161"/>
      <c r="BV77" s="161"/>
      <c r="BW77" s="328"/>
      <c r="BX77" s="324">
        <f>SUM(BT77:BW77)</f>
        <v>0</v>
      </c>
      <c r="BY77" s="161"/>
      <c r="BZ77" s="161"/>
      <c r="CA77" s="161"/>
      <c r="CB77" s="328"/>
      <c r="CC77" s="324">
        <f>SUM(BY77:CB77)</f>
        <v>0</v>
      </c>
      <c r="CD77" s="161"/>
      <c r="CE77" s="161"/>
      <c r="CF77" s="161"/>
      <c r="CG77" s="328"/>
      <c r="CH77" s="324">
        <f t="shared" si="558"/>
        <v>0</v>
      </c>
      <c r="CI77" s="161"/>
      <c r="CJ77" s="161"/>
      <c r="CK77" s="161"/>
      <c r="CL77" s="328"/>
      <c r="CM77" s="324">
        <f t="shared" si="559"/>
        <v>0</v>
      </c>
      <c r="CN77" s="161"/>
      <c r="CO77" s="161"/>
      <c r="CP77" s="161"/>
      <c r="CQ77" s="328"/>
      <c r="CR77" s="324">
        <f t="shared" si="560"/>
        <v>0</v>
      </c>
      <c r="CS77" s="161"/>
      <c r="CT77" s="161"/>
      <c r="CU77" s="161"/>
      <c r="CV77" s="328"/>
      <c r="CW77" s="324">
        <f t="shared" si="561"/>
        <v>0</v>
      </c>
      <c r="CX77" s="161"/>
      <c r="CY77" s="161"/>
      <c r="CZ77" s="161"/>
      <c r="DA77" s="328"/>
      <c r="DB77" s="324">
        <f t="shared" si="562"/>
        <v>0</v>
      </c>
    </row>
    <row r="78" spans="1:108" s="11" customFormat="1" ht="11.5" hidden="1" customHeight="1" outlineLevel="1" x14ac:dyDescent="0.35">
      <c r="A78" s="186" t="s">
        <v>357</v>
      </c>
      <c r="B78" s="161"/>
      <c r="C78" s="161"/>
      <c r="D78" s="161"/>
      <c r="E78" s="161"/>
      <c r="F78" s="20"/>
      <c r="G78" s="161"/>
      <c r="H78" s="161"/>
      <c r="I78" s="161"/>
      <c r="J78" s="161"/>
      <c r="K78" s="20"/>
      <c r="L78" s="161"/>
      <c r="M78" s="161"/>
      <c r="N78" s="161"/>
      <c r="O78" s="161"/>
      <c r="P78" s="20"/>
      <c r="Q78" s="161"/>
      <c r="R78" s="161"/>
      <c r="S78" s="161"/>
      <c r="T78" s="161"/>
      <c r="U78" s="20"/>
      <c r="V78" s="161"/>
      <c r="W78" s="161"/>
      <c r="X78" s="161"/>
      <c r="Y78" s="161"/>
      <c r="Z78" s="20"/>
      <c r="AA78" s="161"/>
      <c r="AB78" s="161"/>
      <c r="AC78" s="161"/>
      <c r="AD78" s="161"/>
      <c r="AE78" s="20"/>
      <c r="AF78" s="161"/>
      <c r="AG78" s="161"/>
      <c r="AH78" s="161"/>
      <c r="AI78" s="161"/>
      <c r="AJ78" s="20"/>
      <c r="AK78" s="161"/>
      <c r="AL78" s="161"/>
      <c r="AM78" s="161"/>
      <c r="AN78" s="161"/>
      <c r="AO78" s="20"/>
      <c r="AP78" s="161"/>
      <c r="AQ78" s="161"/>
      <c r="AR78" s="161"/>
      <c r="AS78" s="161"/>
      <c r="AT78" s="20"/>
      <c r="AU78" s="161"/>
      <c r="AV78" s="161"/>
      <c r="AW78" s="161"/>
      <c r="AX78" s="161"/>
      <c r="AY78" s="20"/>
      <c r="AZ78" s="161"/>
      <c r="BA78" s="161"/>
      <c r="BB78" s="161"/>
      <c r="BC78" s="161"/>
      <c r="BD78" s="20">
        <f>SUM(AZ78:BC78)</f>
        <v>0</v>
      </c>
      <c r="BE78" s="161"/>
      <c r="BF78" s="161"/>
      <c r="BG78" s="161"/>
      <c r="BH78" s="161"/>
      <c r="BI78" s="20">
        <f>SUM(BE78:BH78)</f>
        <v>0</v>
      </c>
      <c r="BJ78" s="161"/>
      <c r="BK78" s="161"/>
      <c r="BL78" s="161"/>
      <c r="BM78" s="161"/>
      <c r="BN78" s="20">
        <f>SUM(BJ78:BM78)</f>
        <v>0</v>
      </c>
      <c r="BO78" s="161"/>
      <c r="BP78" s="161"/>
      <c r="BQ78" s="161"/>
      <c r="BR78" s="161"/>
      <c r="BS78" s="20">
        <f>SUM(BO78:BR78)</f>
        <v>0</v>
      </c>
      <c r="BT78" s="161"/>
      <c r="BU78" s="161"/>
      <c r="BV78" s="161"/>
      <c r="BW78" s="161"/>
      <c r="BX78" s="20">
        <f>SUM(BT78:BW78)</f>
        <v>0</v>
      </c>
      <c r="BY78" s="161"/>
      <c r="BZ78" s="161"/>
      <c r="CA78" s="161"/>
      <c r="CB78" s="161"/>
      <c r="CC78" s="328">
        <f>SUM(BY78:CB78)</f>
        <v>0</v>
      </c>
      <c r="CD78" s="161"/>
      <c r="CE78" s="161"/>
      <c r="CF78" s="23"/>
      <c r="CG78" s="324"/>
      <c r="CH78" s="328">
        <f t="shared" si="558"/>
        <v>0</v>
      </c>
      <c r="CI78" s="161"/>
      <c r="CJ78" s="161"/>
      <c r="CK78" s="23"/>
      <c r="CL78" s="324"/>
      <c r="CM78" s="328">
        <f t="shared" si="559"/>
        <v>0</v>
      </c>
      <c r="CN78" s="161"/>
      <c r="CO78" s="161"/>
      <c r="CP78" s="23"/>
      <c r="CQ78" s="324"/>
      <c r="CR78" s="328">
        <f t="shared" si="560"/>
        <v>0</v>
      </c>
      <c r="CS78" s="161"/>
      <c r="CT78" s="161"/>
      <c r="CU78" s="23"/>
      <c r="CV78" s="324"/>
      <c r="CW78" s="328">
        <f t="shared" si="561"/>
        <v>0</v>
      </c>
      <c r="CX78" s="161"/>
      <c r="CY78" s="161"/>
      <c r="CZ78" s="23"/>
      <c r="DA78" s="324"/>
      <c r="DB78" s="328">
        <f t="shared" si="562"/>
        <v>0</v>
      </c>
    </row>
    <row r="79" spans="1:108" s="7" customFormat="1" ht="11.5" hidden="1" customHeight="1" outlineLevel="2" x14ac:dyDescent="0.35">
      <c r="A79" s="322" t="s">
        <v>358</v>
      </c>
      <c r="B79" s="161"/>
      <c r="C79" s="161"/>
      <c r="D79" s="161"/>
      <c r="E79" s="328"/>
      <c r="F79" s="324"/>
      <c r="G79" s="161"/>
      <c r="H79" s="161"/>
      <c r="I79" s="161"/>
      <c r="J79" s="328"/>
      <c r="K79" s="324"/>
      <c r="L79" s="161"/>
      <c r="M79" s="161"/>
      <c r="N79" s="161"/>
      <c r="O79" s="328"/>
      <c r="P79" s="324"/>
      <c r="Q79" s="161"/>
      <c r="R79" s="161"/>
      <c r="S79" s="161"/>
      <c r="T79" s="328"/>
      <c r="U79" s="324"/>
      <c r="V79" s="161"/>
      <c r="W79" s="161"/>
      <c r="X79" s="161"/>
      <c r="Y79" s="328"/>
      <c r="Z79" s="324"/>
      <c r="AA79" s="161"/>
      <c r="AB79" s="161"/>
      <c r="AC79" s="161"/>
      <c r="AD79" s="328"/>
      <c r="AE79" s="324"/>
      <c r="AF79" s="161"/>
      <c r="AG79" s="161"/>
      <c r="AH79" s="161"/>
      <c r="AI79" s="328"/>
      <c r="AJ79" s="324"/>
      <c r="AK79" s="161"/>
      <c r="AL79" s="161"/>
      <c r="AM79" s="161"/>
      <c r="AN79" s="328"/>
      <c r="AO79" s="324"/>
      <c r="AP79" s="161"/>
      <c r="AQ79" s="161"/>
      <c r="AR79" s="161"/>
      <c r="AS79" s="328"/>
      <c r="AT79" s="324"/>
      <c r="AU79" s="161"/>
      <c r="AV79" s="161"/>
      <c r="AW79" s="161"/>
      <c r="AX79" s="328"/>
      <c r="AY79" s="324"/>
      <c r="AZ79" s="161"/>
      <c r="BA79" s="161"/>
      <c r="BB79" s="161"/>
      <c r="BC79" s="328"/>
      <c r="BD79" s="324">
        <v>0</v>
      </c>
      <c r="BE79" s="161"/>
      <c r="BF79" s="161"/>
      <c r="BG79" s="161"/>
      <c r="BH79" s="328"/>
      <c r="BI79" s="324">
        <v>0</v>
      </c>
      <c r="BJ79" s="161"/>
      <c r="BK79" s="161"/>
      <c r="BL79" s="161"/>
      <c r="BM79" s="328"/>
      <c r="BN79" s="324">
        <v>0</v>
      </c>
      <c r="BO79" s="161"/>
      <c r="BP79" s="161"/>
      <c r="BQ79" s="161"/>
      <c r="BR79" s="328"/>
      <c r="BS79" s="324">
        <v>0</v>
      </c>
      <c r="BT79" s="161"/>
      <c r="BU79" s="161"/>
      <c r="BV79" s="161"/>
      <c r="BW79" s="328"/>
      <c r="BX79" s="324">
        <v>0</v>
      </c>
      <c r="BY79" s="161"/>
      <c r="BZ79" s="161"/>
      <c r="CA79" s="161"/>
      <c r="CB79" s="328"/>
      <c r="CC79" s="324">
        <v>0</v>
      </c>
      <c r="CD79" s="161"/>
      <c r="CE79" s="161"/>
      <c r="CF79" s="161"/>
      <c r="CG79" s="328"/>
      <c r="CH79" s="324">
        <v>0</v>
      </c>
      <c r="CI79" s="161"/>
      <c r="CJ79" s="161"/>
      <c r="CK79" s="161"/>
      <c r="CL79" s="328"/>
      <c r="CM79" s="324">
        <v>0</v>
      </c>
      <c r="CN79" s="161"/>
      <c r="CO79" s="161"/>
      <c r="CP79" s="161"/>
      <c r="CQ79" s="328"/>
      <c r="CR79" s="324">
        <v>0</v>
      </c>
      <c r="CS79" s="161"/>
      <c r="CT79" s="161"/>
      <c r="CU79" s="161"/>
      <c r="CV79" s="328"/>
      <c r="CW79" s="324">
        <v>0</v>
      </c>
      <c r="CX79" s="161"/>
      <c r="CY79" s="161"/>
      <c r="CZ79" s="161"/>
      <c r="DA79" s="328"/>
      <c r="DB79" s="324">
        <v>0</v>
      </c>
    </row>
    <row r="80" spans="1:108" s="7" customFormat="1" ht="11.5" customHeight="1" collapsed="1" x14ac:dyDescent="0.35">
      <c r="A80" s="326" t="s">
        <v>119</v>
      </c>
      <c r="B80" s="48"/>
      <c r="C80" s="48"/>
      <c r="D80" s="48"/>
      <c r="E80" s="317"/>
      <c r="F80" s="317"/>
      <c r="G80" s="48"/>
      <c r="H80" s="48"/>
      <c r="I80" s="48"/>
      <c r="J80" s="317"/>
      <c r="K80" s="317"/>
      <c r="L80" s="48"/>
      <c r="M80" s="48"/>
      <c r="N80" s="48"/>
      <c r="O80" s="317"/>
      <c r="P80" s="317"/>
      <c r="Q80" s="48"/>
      <c r="R80" s="48"/>
      <c r="S80" s="48"/>
      <c r="T80" s="317"/>
      <c r="U80" s="317"/>
      <c r="V80" s="48"/>
      <c r="W80" s="48"/>
      <c r="X80" s="48"/>
      <c r="Y80" s="317"/>
      <c r="Z80" s="317"/>
      <c r="AA80" s="48"/>
      <c r="AB80" s="48"/>
      <c r="AC80" s="48"/>
      <c r="AD80" s="317"/>
      <c r="AE80" s="317"/>
      <c r="AF80" s="48"/>
      <c r="AG80" s="48"/>
      <c r="AH80" s="48"/>
      <c r="AI80" s="317"/>
      <c r="AJ80" s="317"/>
      <c r="AK80" s="48"/>
      <c r="AL80" s="48"/>
      <c r="AM80" s="48"/>
      <c r="AN80" s="317"/>
      <c r="AO80" s="317"/>
      <c r="AP80" s="48"/>
      <c r="AQ80" s="48"/>
      <c r="AR80" s="48"/>
      <c r="AS80" s="317"/>
      <c r="AT80" s="317"/>
      <c r="AU80" s="48"/>
      <c r="AV80" s="48"/>
      <c r="AW80" s="48"/>
      <c r="AX80" s="317"/>
      <c r="AY80" s="317"/>
      <c r="AZ80" s="48">
        <f>AZ73+AZ74+AZ77+AZ79</f>
        <v>0</v>
      </c>
      <c r="BA80" s="48">
        <f>BA73+BA74+BA77+BA79</f>
        <v>0</v>
      </c>
      <c r="BB80" s="48">
        <f>BB73+BB74+BB77+BB79</f>
        <v>0</v>
      </c>
      <c r="BC80" s="317">
        <f>BC73+BC74+BC77+BC79</f>
        <v>0</v>
      </c>
      <c r="BD80" s="317">
        <f>SUM(AZ80:BC80)</f>
        <v>0</v>
      </c>
      <c r="BE80" s="48">
        <f>BE73+BE74+BE77+BE79</f>
        <v>96518</v>
      </c>
      <c r="BF80" s="48">
        <f>BF73+BF74+BF77+BF78+BF79</f>
        <v>80763</v>
      </c>
      <c r="BG80" s="48">
        <f>BG73+BG74+BG77+BG79</f>
        <v>84261</v>
      </c>
      <c r="BH80" s="317">
        <f>BH73+BH74+BH77+BH79</f>
        <v>82607</v>
      </c>
      <c r="BI80" s="317">
        <f>SUM(BE80:BH80)</f>
        <v>344149</v>
      </c>
      <c r="BJ80" s="48">
        <f>BJ73+BJ74+BJ77+BJ79</f>
        <v>53137</v>
      </c>
      <c r="BK80" s="48">
        <f>BK73+BK74+BK77+BK78+BK79</f>
        <v>68518</v>
      </c>
      <c r="BL80" s="48">
        <f>BL73+BL74+BL77+BL79</f>
        <v>148315</v>
      </c>
      <c r="BM80" s="317">
        <f>BM73+BM74+BM77+BM79</f>
        <v>63203</v>
      </c>
      <c r="BN80" s="317">
        <f>SUM(BJ80:BM80)</f>
        <v>333173</v>
      </c>
      <c r="BO80" s="48">
        <f>BO73+BO74+BO77+BO79</f>
        <v>67114</v>
      </c>
      <c r="BP80" s="48">
        <f>BP73+BP74+BP77+BP78+BP79</f>
        <v>108807</v>
      </c>
      <c r="BQ80" s="48">
        <f>BQ73+BQ74+BQ77+BQ79</f>
        <v>116030</v>
      </c>
      <c r="BR80" s="317">
        <f>BR73+BR74+BR77+BR79</f>
        <v>84897.000000000029</v>
      </c>
      <c r="BS80" s="317">
        <f>SUM(BO80:BR80)</f>
        <v>376848</v>
      </c>
      <c r="BT80" s="48">
        <f>BT73+BT74+BT77+BT79</f>
        <v>117826</v>
      </c>
      <c r="BU80" s="48">
        <f>BU73+BU74+BU77+BU78+BU79</f>
        <v>178222</v>
      </c>
      <c r="BV80" s="48">
        <f>BV73+BV74+BV77+BV79</f>
        <v>184915</v>
      </c>
      <c r="BW80" s="317">
        <f>BW73+BW74+BW77+BW79</f>
        <v>189823.00000000003</v>
      </c>
      <c r="BX80" s="317">
        <f>SUM(BT80:BW80)</f>
        <v>670786</v>
      </c>
      <c r="BY80" s="48">
        <f>BY73+BY74+BY77+BY79</f>
        <v>155227</v>
      </c>
      <c r="BZ80" s="48">
        <f>BZ73+BZ74+BZ77+BZ79</f>
        <v>180131</v>
      </c>
      <c r="CA80" s="48">
        <f>CA73+CA74+CA77+CA79</f>
        <v>153757</v>
      </c>
      <c r="CB80" s="317">
        <f>CB73+CB74+CB77+CB79</f>
        <v>190237</v>
      </c>
      <c r="CC80" s="317">
        <f>SUM(BY80:CB80)</f>
        <v>679352</v>
      </c>
      <c r="CD80" s="48">
        <f>CD73+CD74+CD77+CD79</f>
        <v>103187</v>
      </c>
      <c r="CE80" s="48">
        <f>CE73+CE74+CE77+CE79</f>
        <v>173040</v>
      </c>
      <c r="CF80" s="48">
        <f>CF73+CF74+CF77+CF79</f>
        <v>148712.67251389479</v>
      </c>
      <c r="CG80" s="317">
        <f>CG73+CG74+CG77+CG79</f>
        <v>145054.58628217821</v>
      </c>
      <c r="CH80" s="317">
        <f>SUM(CD80:CG80)</f>
        <v>569994.25879607303</v>
      </c>
      <c r="CI80" s="48">
        <f t="shared" ref="CI80:CL80" si="563">CI73+CI74+CI77+CI79</f>
        <v>147894.85884256091</v>
      </c>
      <c r="CJ80" s="48">
        <f t="shared" si="563"/>
        <v>146031.94084695016</v>
      </c>
      <c r="CK80" s="48">
        <f t="shared" si="563"/>
        <v>142847.03778599089</v>
      </c>
      <c r="CL80" s="317">
        <f t="shared" si="563"/>
        <v>140641.13485674316</v>
      </c>
      <c r="CM80" s="317">
        <f t="shared" ref="CM80:CM84" si="564">SUM(CI80:CL80)</f>
        <v>577414.97233224509</v>
      </c>
      <c r="CN80" s="48">
        <f t="shared" ref="CN80:CQ80" si="565">CN73+CN74+CN77+CN79</f>
        <v>144283.45816122863</v>
      </c>
      <c r="CO80" s="48">
        <f t="shared" si="565"/>
        <v>146205.08611520584</v>
      </c>
      <c r="CP80" s="48">
        <f t="shared" si="565"/>
        <v>153395.71682728911</v>
      </c>
      <c r="CQ80" s="317">
        <f t="shared" si="565"/>
        <v>154177.28685771077</v>
      </c>
      <c r="CR80" s="317">
        <f t="shared" ref="CR80:CR84" si="566">SUM(CN80:CQ80)</f>
        <v>598061.54796143435</v>
      </c>
      <c r="CS80" s="48">
        <f t="shared" ref="CS80:CV80" si="567">CS73+CS74+CS77+CS79</f>
        <v>162057.38924290022</v>
      </c>
      <c r="CT80" s="48">
        <f t="shared" si="567"/>
        <v>162795.69078196233</v>
      </c>
      <c r="CU80" s="48">
        <f t="shared" si="567"/>
        <v>165862.7503845407</v>
      </c>
      <c r="CV80" s="317">
        <f t="shared" si="567"/>
        <v>169113.70304504852</v>
      </c>
      <c r="CW80" s="317">
        <f t="shared" ref="CW80:CW84" si="568">SUM(CS80:CV80)</f>
        <v>659829.53345445171</v>
      </c>
      <c r="CX80" s="48">
        <f t="shared" ref="CX80:DA80" si="569">CX73+CX74+CX77+CX79</f>
        <v>173771.5357961207</v>
      </c>
      <c r="CY80" s="48">
        <f t="shared" si="569"/>
        <v>178018.91156454149</v>
      </c>
      <c r="CZ80" s="48">
        <f t="shared" si="569"/>
        <v>181917.3988977088</v>
      </c>
      <c r="DA80" s="317">
        <f t="shared" si="569"/>
        <v>185519.33106091054</v>
      </c>
      <c r="DB80" s="317">
        <f t="shared" ref="DB80:DB84" si="570">SUM(CX80:DA80)</f>
        <v>719227.1773192815</v>
      </c>
    </row>
    <row r="81" spans="1:107" s="7" customFormat="1" ht="11.5" customHeight="1" x14ac:dyDescent="0.35">
      <c r="A81" s="322" t="s">
        <v>120</v>
      </c>
      <c r="B81" s="161"/>
      <c r="C81" s="161"/>
      <c r="D81" s="161"/>
      <c r="E81" s="328"/>
      <c r="F81" s="324"/>
      <c r="G81" s="161"/>
      <c r="H81" s="161"/>
      <c r="I81" s="161"/>
      <c r="J81" s="328"/>
      <c r="K81" s="324"/>
      <c r="L81" s="161"/>
      <c r="M81" s="161"/>
      <c r="N81" s="161"/>
      <c r="O81" s="328"/>
      <c r="P81" s="324"/>
      <c r="Q81" s="161"/>
      <c r="R81" s="161"/>
      <c r="S81" s="161"/>
      <c r="T81" s="328"/>
      <c r="U81" s="324"/>
      <c r="V81" s="161"/>
      <c r="W81" s="161"/>
      <c r="X81" s="161"/>
      <c r="Y81" s="328"/>
      <c r="Z81" s="324"/>
      <c r="AA81" s="161"/>
      <c r="AB81" s="161"/>
      <c r="AC81" s="161"/>
      <c r="AD81" s="328"/>
      <c r="AE81" s="324"/>
      <c r="AF81" s="161"/>
      <c r="AG81" s="161"/>
      <c r="AH81" s="161"/>
      <c r="AI81" s="328"/>
      <c r="AJ81" s="324"/>
      <c r="AK81" s="161"/>
      <c r="AL81" s="161"/>
      <c r="AM81" s="161"/>
      <c r="AN81" s="328"/>
      <c r="AO81" s="324"/>
      <c r="AP81" s="161"/>
      <c r="AQ81" s="161"/>
      <c r="AR81" s="161"/>
      <c r="AS81" s="328"/>
      <c r="AT81" s="324"/>
      <c r="AU81" s="161"/>
      <c r="AV81" s="161"/>
      <c r="AW81" s="161"/>
      <c r="AX81" s="328"/>
      <c r="AY81" s="324"/>
      <c r="AZ81" s="487">
        <f>-1.92%*AZ67</f>
        <v>0</v>
      </c>
      <c r="BA81" s="487">
        <f>-1.92%*BA67</f>
        <v>0</v>
      </c>
      <c r="BB81" s="487">
        <f>-1.92%*BB67</f>
        <v>0</v>
      </c>
      <c r="BC81" s="488">
        <f>-1.92%*BC67</f>
        <v>0</v>
      </c>
      <c r="BD81" s="324">
        <f>SUM(AZ81:BC81)</f>
        <v>0</v>
      </c>
      <c r="BE81" s="487">
        <f>-1.92%*BE67</f>
        <v>-5803.2</v>
      </c>
      <c r="BF81" s="487">
        <f>-1.92%*BF67</f>
        <v>-5125.4591999999993</v>
      </c>
      <c r="BG81" s="487">
        <f>-1.92%*BG67</f>
        <v>-6301.4207999999999</v>
      </c>
      <c r="BH81" s="488">
        <f>-1.92%*BH67</f>
        <v>-6140.4479999999994</v>
      </c>
      <c r="BI81" s="324">
        <f>SUM(BE81:BH81)</f>
        <v>-23370.527999999998</v>
      </c>
      <c r="BJ81" s="487">
        <f>-1.92%*BJ67</f>
        <v>-3993.0623999999998</v>
      </c>
      <c r="BK81" s="487">
        <f>-1.92%*BK67</f>
        <v>-6646.6943999999994</v>
      </c>
      <c r="BL81" s="487">
        <f>-1.92%*BL67</f>
        <v>-9479.3471999999983</v>
      </c>
      <c r="BM81" s="488">
        <f>-1.92%*BM67</f>
        <v>-8041.3055999999997</v>
      </c>
      <c r="BN81" s="324">
        <f>SUM(BJ81:BM81)</f>
        <v>-28160.409599999999</v>
      </c>
      <c r="BO81" s="487">
        <f>-1.92%*BO67</f>
        <v>-6382.3487999999998</v>
      </c>
      <c r="BP81" s="487">
        <f>-1.92%*BP67</f>
        <v>-10297.823999999999</v>
      </c>
      <c r="BQ81" s="487">
        <f>-1.92%*BQ67</f>
        <v>-9837.2543999999998</v>
      </c>
      <c r="BR81" s="488">
        <f>-1.92%*BR67</f>
        <v>-10320.2112</v>
      </c>
      <c r="BS81" s="324">
        <f>SUM(BO81:BR81)</f>
        <v>-36837.638399999996</v>
      </c>
      <c r="BT81" s="487">
        <f>-1.92%*BT67</f>
        <v>-9240.3455999999987</v>
      </c>
      <c r="BU81" s="487">
        <f>-1.92%*BU67</f>
        <v>-13474.56</v>
      </c>
      <c r="BV81" s="487">
        <f>-1.92%*BV67</f>
        <v>-13119.321599999999</v>
      </c>
      <c r="BW81" s="488">
        <f>-1.92%*BW67</f>
        <v>-14107.833599999998</v>
      </c>
      <c r="BX81" s="324">
        <f>SUM(BT81:BW81)</f>
        <v>-49942.060799999992</v>
      </c>
      <c r="BY81" s="487">
        <f>-1.92%*BY67</f>
        <v>-11110.636799999998</v>
      </c>
      <c r="BZ81" s="487">
        <f>-1.92%*BZ67</f>
        <v>-14108.006399999998</v>
      </c>
      <c r="CA81" s="487">
        <f>-1.92%*CA67</f>
        <v>-12388.339199999999</v>
      </c>
      <c r="CB81" s="488">
        <f>-1.92%*CB67</f>
        <v>-14837.164799999999</v>
      </c>
      <c r="CC81" s="324">
        <f>SUM(BY81:CB81)</f>
        <v>-52444.147199999992</v>
      </c>
      <c r="CD81" s="487">
        <f>-1.92%*CD67</f>
        <v>-8832.2111999999997</v>
      </c>
      <c r="CE81" s="487">
        <f>-1.92%*CE67</f>
        <v>-12651.628799999999</v>
      </c>
      <c r="CF81" s="493">
        <f t="shared" ref="CF81:CG81" si="571">-1.92%*CF65</f>
        <v>-12583.350785403509</v>
      </c>
      <c r="CG81" s="579">
        <f t="shared" si="571"/>
        <v>-12296.442061347308</v>
      </c>
      <c r="CH81" s="324">
        <f>SUM(CD81:CG81)</f>
        <v>-46363.632846750814</v>
      </c>
      <c r="CI81" s="493">
        <f t="shared" ref="CI81:CL81" si="572">-1.92%*CI65</f>
        <v>-12519.20853667144</v>
      </c>
      <c r="CJ81" s="493">
        <f t="shared" si="572"/>
        <v>-12373.09732132942</v>
      </c>
      <c r="CK81" s="493">
        <f t="shared" si="572"/>
        <v>-12123.301002822813</v>
      </c>
      <c r="CL81" s="579">
        <f t="shared" si="572"/>
        <v>-11950.289008372009</v>
      </c>
      <c r="CM81" s="324">
        <f t="shared" si="564"/>
        <v>-48965.89586919568</v>
      </c>
      <c r="CN81" s="493">
        <f t="shared" ref="CN81:CQ81" si="573">-1.92%*CN65</f>
        <v>-12235.961424410083</v>
      </c>
      <c r="CO81" s="493">
        <f t="shared" si="573"/>
        <v>-12386.677342369081</v>
      </c>
      <c r="CP81" s="493">
        <f t="shared" si="573"/>
        <v>-12950.648378610906</v>
      </c>
      <c r="CQ81" s="579">
        <f t="shared" si="573"/>
        <v>-13011.947988840056</v>
      </c>
      <c r="CR81" s="324">
        <f t="shared" si="566"/>
        <v>-50585.235134230126</v>
      </c>
      <c r="CS81" s="493">
        <f t="shared" ref="CS81:CV81" si="574">-1.92%*CS65</f>
        <v>-13629.995234737265</v>
      </c>
      <c r="CT81" s="493">
        <f t="shared" si="574"/>
        <v>-13687.901237800967</v>
      </c>
      <c r="CU81" s="493">
        <f t="shared" si="574"/>
        <v>-13928.454932120836</v>
      </c>
      <c r="CV81" s="579">
        <f t="shared" si="574"/>
        <v>-14183.431611376351</v>
      </c>
      <c r="CW81" s="324">
        <f t="shared" si="568"/>
        <v>-55429.783016035421</v>
      </c>
      <c r="CX81" s="493">
        <f t="shared" ref="CX81:DA81" si="575">-1.92%*CX65</f>
        <v>-14548.751827146714</v>
      </c>
      <c r="CY81" s="493">
        <f t="shared" si="575"/>
        <v>-14881.879338395407</v>
      </c>
      <c r="CZ81" s="493">
        <f t="shared" si="575"/>
        <v>-15187.643050800683</v>
      </c>
      <c r="DA81" s="579">
        <f t="shared" si="575"/>
        <v>-15470.147534189056</v>
      </c>
      <c r="DB81" s="324">
        <f t="shared" si="570"/>
        <v>-60088.421750531859</v>
      </c>
    </row>
    <row r="82" spans="1:107" s="7" customFormat="1" ht="11.5" customHeight="1" x14ac:dyDescent="0.35">
      <c r="A82" s="322" t="s">
        <v>121</v>
      </c>
      <c r="B82" s="161"/>
      <c r="C82" s="161"/>
      <c r="D82" s="161"/>
      <c r="E82" s="328"/>
      <c r="F82" s="324"/>
      <c r="G82" s="161"/>
      <c r="H82" s="161"/>
      <c r="I82" s="161"/>
      <c r="J82" s="328"/>
      <c r="K82" s="324"/>
      <c r="L82" s="161"/>
      <c r="M82" s="161"/>
      <c r="N82" s="161"/>
      <c r="O82" s="328"/>
      <c r="P82" s="324"/>
      <c r="Q82" s="161"/>
      <c r="R82" s="161"/>
      <c r="S82" s="161"/>
      <c r="T82" s="328"/>
      <c r="U82" s="324"/>
      <c r="V82" s="161"/>
      <c r="W82" s="161"/>
      <c r="X82" s="161"/>
      <c r="Y82" s="328"/>
      <c r="Z82" s="324"/>
      <c r="AA82" s="161"/>
      <c r="AB82" s="161"/>
      <c r="AC82" s="161"/>
      <c r="AD82" s="328"/>
      <c r="AE82" s="324"/>
      <c r="AF82" s="161"/>
      <c r="AG82" s="161"/>
      <c r="AH82" s="161"/>
      <c r="AI82" s="328"/>
      <c r="AJ82" s="324"/>
      <c r="AK82" s="161"/>
      <c r="AL82" s="161"/>
      <c r="AM82" s="161"/>
      <c r="AN82" s="328"/>
      <c r="AO82" s="324"/>
      <c r="AP82" s="161"/>
      <c r="AQ82" s="161"/>
      <c r="AR82" s="161"/>
      <c r="AS82" s="328"/>
      <c r="AT82" s="324"/>
      <c r="AU82" s="161"/>
      <c r="AV82" s="161"/>
      <c r="AW82" s="161"/>
      <c r="AX82" s="328"/>
      <c r="AY82" s="324"/>
      <c r="AZ82" s="567"/>
      <c r="BA82" s="567"/>
      <c r="BB82" s="567"/>
      <c r="BC82" s="568"/>
      <c r="BD82" s="324">
        <f>SUM(AZ82:BC82)</f>
        <v>0</v>
      </c>
      <c r="BE82" s="567"/>
      <c r="BF82" s="567"/>
      <c r="BG82" s="567"/>
      <c r="BH82" s="568"/>
      <c r="BI82" s="324">
        <f t="shared" ref="BI82" si="576">SUM(BE82:BH82)</f>
        <v>0</v>
      </c>
      <c r="BJ82" s="567"/>
      <c r="BK82" s="567"/>
      <c r="BL82" s="567"/>
      <c r="BM82" s="568"/>
      <c r="BN82" s="324">
        <f t="shared" ref="BN82" si="577">SUM(BJ82:BM82)</f>
        <v>0</v>
      </c>
      <c r="BO82" s="567"/>
      <c r="BP82" s="567"/>
      <c r="BQ82" s="567"/>
      <c r="BR82" s="568"/>
      <c r="BS82" s="324">
        <f t="shared" ref="BS82" si="578">SUM(BO82:BR82)</f>
        <v>0</v>
      </c>
      <c r="BT82" s="567"/>
      <c r="BU82" s="567"/>
      <c r="BV82" s="567"/>
      <c r="BW82" s="568"/>
      <c r="BX82" s="324">
        <f t="shared" ref="BX82" si="579">SUM(BT82:BW82)</f>
        <v>0</v>
      </c>
      <c r="BY82" s="567"/>
      <c r="BZ82" s="567"/>
      <c r="CA82" s="567"/>
      <c r="CB82" s="568"/>
      <c r="CC82" s="324">
        <f t="shared" ref="CC82" si="580">SUM(BY82:CB82)</f>
        <v>0</v>
      </c>
      <c r="CD82" s="567"/>
      <c r="CE82" s="567"/>
      <c r="CF82" s="567"/>
      <c r="CG82" s="568"/>
      <c r="CH82" s="324">
        <f t="shared" ref="CH82" si="581">SUM(CD82:CG82)</f>
        <v>0</v>
      </c>
      <c r="CI82" s="567"/>
      <c r="CJ82" s="567"/>
      <c r="CK82" s="567"/>
      <c r="CL82" s="568"/>
      <c r="CM82" s="324">
        <f t="shared" si="564"/>
        <v>0</v>
      </c>
      <c r="CN82" s="567"/>
      <c r="CO82" s="567"/>
      <c r="CP82" s="567"/>
      <c r="CQ82" s="568"/>
      <c r="CR82" s="324">
        <f t="shared" si="566"/>
        <v>0</v>
      </c>
      <c r="CS82" s="567"/>
      <c r="CT82" s="567"/>
      <c r="CU82" s="567"/>
      <c r="CV82" s="568"/>
      <c r="CW82" s="324">
        <f t="shared" si="568"/>
        <v>0</v>
      </c>
      <c r="CX82" s="567"/>
      <c r="CY82" s="567"/>
      <c r="CZ82" s="567"/>
      <c r="DA82" s="568"/>
      <c r="DB82" s="324">
        <f t="shared" si="570"/>
        <v>0</v>
      </c>
    </row>
    <row r="83" spans="1:107" s="7" customFormat="1" ht="11.5" customHeight="1" x14ac:dyDescent="0.35">
      <c r="A83" s="315" t="s">
        <v>128</v>
      </c>
      <c r="B83" s="48"/>
      <c r="C83" s="48"/>
      <c r="D83" s="48"/>
      <c r="E83" s="317"/>
      <c r="F83" s="317"/>
      <c r="G83" s="48"/>
      <c r="H83" s="48"/>
      <c r="I83" s="48"/>
      <c r="J83" s="317"/>
      <c r="K83" s="317"/>
      <c r="L83" s="48"/>
      <c r="M83" s="48"/>
      <c r="N83" s="48"/>
      <c r="O83" s="317"/>
      <c r="P83" s="317"/>
      <c r="Q83" s="48"/>
      <c r="R83" s="48"/>
      <c r="S83" s="48"/>
      <c r="T83" s="317"/>
      <c r="U83" s="317"/>
      <c r="V83" s="48"/>
      <c r="W83" s="48"/>
      <c r="X83" s="48"/>
      <c r="Y83" s="317"/>
      <c r="Z83" s="317"/>
      <c r="AA83" s="48"/>
      <c r="AB83" s="48"/>
      <c r="AC83" s="48"/>
      <c r="AD83" s="317"/>
      <c r="AE83" s="317"/>
      <c r="AF83" s="48"/>
      <c r="AG83" s="48"/>
      <c r="AH83" s="48"/>
      <c r="AI83" s="317"/>
      <c r="AJ83" s="317"/>
      <c r="AK83" s="48"/>
      <c r="AL83" s="48"/>
      <c r="AM83" s="48"/>
      <c r="AN83" s="317"/>
      <c r="AO83" s="317"/>
      <c r="AP83" s="48"/>
      <c r="AQ83" s="48"/>
      <c r="AR83" s="48"/>
      <c r="AS83" s="317"/>
      <c r="AT83" s="317"/>
      <c r="AU83" s="48"/>
      <c r="AV83" s="48"/>
      <c r="AW83" s="48"/>
      <c r="AX83" s="317"/>
      <c r="AY83" s="317"/>
      <c r="AZ83" s="48">
        <f>AZ80+AZ81+AZ82</f>
        <v>0</v>
      </c>
      <c r="BA83" s="48">
        <f>BA80+BA81+BA82</f>
        <v>0</v>
      </c>
      <c r="BB83" s="48">
        <f>BB80+BB81+BB82</f>
        <v>0</v>
      </c>
      <c r="BC83" s="317">
        <f>BC80+BC81+BC82</f>
        <v>0</v>
      </c>
      <c r="BD83" s="317">
        <f>SUM(AZ83:BC83)</f>
        <v>0</v>
      </c>
      <c r="BE83" s="48">
        <f>BE80+BE81+BE82</f>
        <v>90714.8</v>
      </c>
      <c r="BF83" s="48">
        <f>BF80+BF81+BF82</f>
        <v>75637.540800000002</v>
      </c>
      <c r="BG83" s="48">
        <f>BG80+BG81+BG82</f>
        <v>77959.579200000007</v>
      </c>
      <c r="BH83" s="317">
        <f>BH80+BH81+BH82</f>
        <v>76466.551999999996</v>
      </c>
      <c r="BI83" s="317">
        <f>SUM(BE83:BH83)</f>
        <v>320778.47200000001</v>
      </c>
      <c r="BJ83" s="48">
        <f>BJ80+BJ81+BJ82</f>
        <v>49143.937599999997</v>
      </c>
      <c r="BK83" s="48">
        <f>BK80+BK81+BK82</f>
        <v>61871.3056</v>
      </c>
      <c r="BL83" s="48">
        <f>BL80+BL81+BL82</f>
        <v>138835.65280000001</v>
      </c>
      <c r="BM83" s="317">
        <f>BM80+BM81+BM82</f>
        <v>55161.6944</v>
      </c>
      <c r="BN83" s="317">
        <f>SUM(BJ83:BM83)</f>
        <v>305012.59039999999</v>
      </c>
      <c r="BO83" s="48">
        <f>BO80+BO81+BO82</f>
        <v>60731.6512</v>
      </c>
      <c r="BP83" s="48">
        <f>BP80+BP81+BP82</f>
        <v>98509.176000000007</v>
      </c>
      <c r="BQ83" s="48">
        <f>BQ80+BQ81+BQ82</f>
        <v>106192.74559999999</v>
      </c>
      <c r="BR83" s="317">
        <f>BR80+BR81+BR82</f>
        <v>74576.788800000024</v>
      </c>
      <c r="BS83" s="317">
        <f>SUM(BO83:BR83)</f>
        <v>340010.3616</v>
      </c>
      <c r="BT83" s="48">
        <f>BT80+BT81+BT82</f>
        <v>108585.6544</v>
      </c>
      <c r="BU83" s="48">
        <f>BU80+BU81+BU82</f>
        <v>164747.44</v>
      </c>
      <c r="BV83" s="48">
        <f>BV80+BV81+BV82</f>
        <v>171795.6784</v>
      </c>
      <c r="BW83" s="317">
        <f>BW80+BW81+BW82</f>
        <v>175715.16640000005</v>
      </c>
      <c r="BX83" s="317">
        <f>SUM(BT83:BW83)</f>
        <v>620843.93920000014</v>
      </c>
      <c r="BY83" s="48">
        <f>BY80+BY81+BY82</f>
        <v>144116.36319999999</v>
      </c>
      <c r="BZ83" s="48">
        <f>BZ80+BZ81+BZ82</f>
        <v>166022.99359999999</v>
      </c>
      <c r="CA83" s="48">
        <f>CA80+CA81+CA82</f>
        <v>141368.66080000001</v>
      </c>
      <c r="CB83" s="317">
        <f>CB80+CB81+CB82</f>
        <v>175399.8352</v>
      </c>
      <c r="CC83" s="317">
        <f>SUM(BY83:CB83)</f>
        <v>626907.85279999999</v>
      </c>
      <c r="CD83" s="48">
        <f>CD80+CD81+CD82</f>
        <v>94354.788799999995</v>
      </c>
      <c r="CE83" s="48">
        <f>CE80+CE81+CE82</f>
        <v>160388.37119999999</v>
      </c>
      <c r="CF83" s="48">
        <f>CF80+CF81+CF82</f>
        <v>136129.32172849128</v>
      </c>
      <c r="CG83" s="317">
        <f>CG80+CG81+CG82</f>
        <v>132758.1442208309</v>
      </c>
      <c r="CH83" s="317">
        <f>SUM(CD83:CG83)</f>
        <v>523630.62594932213</v>
      </c>
      <c r="CI83" s="48">
        <f t="shared" ref="CI83:CL83" si="582">CI80+CI81+CI82</f>
        <v>135375.65030588946</v>
      </c>
      <c r="CJ83" s="48">
        <f t="shared" si="582"/>
        <v>133658.84352562076</v>
      </c>
      <c r="CK83" s="48">
        <f t="shared" si="582"/>
        <v>130723.73678316807</v>
      </c>
      <c r="CL83" s="317">
        <f t="shared" si="582"/>
        <v>128690.84584837114</v>
      </c>
      <c r="CM83" s="317">
        <f t="shared" si="564"/>
        <v>528449.07646304939</v>
      </c>
      <c r="CN83" s="48">
        <f t="shared" ref="CN83:CQ83" si="583">CN80+CN81+CN82</f>
        <v>132047.49673681855</v>
      </c>
      <c r="CO83" s="48">
        <f t="shared" si="583"/>
        <v>133818.40877283676</v>
      </c>
      <c r="CP83" s="48">
        <f t="shared" si="583"/>
        <v>140445.06844867821</v>
      </c>
      <c r="CQ83" s="317">
        <f t="shared" si="583"/>
        <v>141165.33886887072</v>
      </c>
      <c r="CR83" s="317">
        <f t="shared" si="566"/>
        <v>547476.31282720424</v>
      </c>
      <c r="CS83" s="48">
        <f t="shared" ref="CS83:CV83" si="584">CS80+CS81+CS82</f>
        <v>148427.39400816296</v>
      </c>
      <c r="CT83" s="48">
        <f t="shared" si="584"/>
        <v>149107.78954416135</v>
      </c>
      <c r="CU83" s="48">
        <f t="shared" si="584"/>
        <v>151934.29545241987</v>
      </c>
      <c r="CV83" s="317">
        <f t="shared" si="584"/>
        <v>154930.27143367217</v>
      </c>
      <c r="CW83" s="317">
        <f t="shared" si="568"/>
        <v>604399.75043841638</v>
      </c>
      <c r="CX83" s="48">
        <f t="shared" ref="CX83:DA83" si="585">CX80+CX81+CX82</f>
        <v>159222.78396897399</v>
      </c>
      <c r="CY83" s="48">
        <f t="shared" si="585"/>
        <v>163137.03222614608</v>
      </c>
      <c r="CZ83" s="48">
        <f t="shared" si="585"/>
        <v>166729.75584690811</v>
      </c>
      <c r="DA83" s="317">
        <f t="shared" si="585"/>
        <v>170049.18352672149</v>
      </c>
      <c r="DB83" s="317">
        <f t="shared" si="570"/>
        <v>659138.75556874974</v>
      </c>
    </row>
    <row r="84" spans="1:107" s="7" customFormat="1" ht="11.5" customHeight="1" x14ac:dyDescent="0.35">
      <c r="A84" s="329" t="s">
        <v>129</v>
      </c>
      <c r="B84" s="49"/>
      <c r="C84" s="49"/>
      <c r="D84" s="49"/>
      <c r="E84" s="330"/>
      <c r="F84" s="330"/>
      <c r="G84" s="49"/>
      <c r="H84" s="49"/>
      <c r="I84" s="49"/>
      <c r="J84" s="330"/>
      <c r="K84" s="330"/>
      <c r="L84" s="49"/>
      <c r="M84" s="49"/>
      <c r="N84" s="49"/>
      <c r="O84" s="330"/>
      <c r="P84" s="330"/>
      <c r="Q84" s="49"/>
      <c r="R84" s="49"/>
      <c r="S84" s="49"/>
      <c r="T84" s="330"/>
      <c r="U84" s="330"/>
      <c r="V84" s="49"/>
      <c r="W84" s="49"/>
      <c r="X84" s="49"/>
      <c r="Y84" s="330"/>
      <c r="Z84" s="330"/>
      <c r="AA84" s="49"/>
      <c r="AB84" s="49"/>
      <c r="AC84" s="49"/>
      <c r="AD84" s="330"/>
      <c r="AE84" s="330"/>
      <c r="AF84" s="49"/>
      <c r="AG84" s="49"/>
      <c r="AH84" s="49"/>
      <c r="AI84" s="330"/>
      <c r="AJ84" s="330"/>
      <c r="AK84" s="49"/>
      <c r="AL84" s="49"/>
      <c r="AM84" s="49"/>
      <c r="AN84" s="330"/>
      <c r="AO84" s="330"/>
      <c r="AP84" s="49"/>
      <c r="AQ84" s="49"/>
      <c r="AR84" s="49"/>
      <c r="AS84" s="330"/>
      <c r="AT84" s="330"/>
      <c r="AU84" s="49"/>
      <c r="AV84" s="49"/>
      <c r="AW84" s="49"/>
      <c r="AX84" s="330"/>
      <c r="AY84" s="330"/>
      <c r="AZ84" s="49">
        <f>AZ83</f>
        <v>0</v>
      </c>
      <c r="BA84" s="49">
        <f>BA83</f>
        <v>0</v>
      </c>
      <c r="BB84" s="49">
        <f>BB83</f>
        <v>0</v>
      </c>
      <c r="BC84" s="330">
        <f>BC83</f>
        <v>0</v>
      </c>
      <c r="BD84" s="330">
        <f>SUM(AZ84:BC84)</f>
        <v>0</v>
      </c>
      <c r="BE84" s="49">
        <f>BE83</f>
        <v>90714.8</v>
      </c>
      <c r="BF84" s="49">
        <f>BF83</f>
        <v>75637.540800000002</v>
      </c>
      <c r="BG84" s="49">
        <f>BG83</f>
        <v>77959.579200000007</v>
      </c>
      <c r="BH84" s="330">
        <f>BH83</f>
        <v>76466.551999999996</v>
      </c>
      <c r="BI84" s="330">
        <f>SUM(BE84:BH84)</f>
        <v>320778.47200000001</v>
      </c>
      <c r="BJ84" s="49">
        <f>BJ83</f>
        <v>49143.937599999997</v>
      </c>
      <c r="BK84" s="49">
        <f>BK83</f>
        <v>61871.3056</v>
      </c>
      <c r="BL84" s="49">
        <f>BL83</f>
        <v>138835.65280000001</v>
      </c>
      <c r="BM84" s="330">
        <f>BM83</f>
        <v>55161.6944</v>
      </c>
      <c r="BN84" s="330">
        <f>SUM(BJ84:BM84)</f>
        <v>305012.59039999999</v>
      </c>
      <c r="BO84" s="49">
        <f>BO83</f>
        <v>60731.6512</v>
      </c>
      <c r="BP84" s="49">
        <f>BP83</f>
        <v>98509.176000000007</v>
      </c>
      <c r="BQ84" s="49">
        <f>BQ83</f>
        <v>106192.74559999999</v>
      </c>
      <c r="BR84" s="330">
        <f>BR83</f>
        <v>74576.788800000024</v>
      </c>
      <c r="BS84" s="330">
        <f>SUM(BO84:BR84)</f>
        <v>340010.3616</v>
      </c>
      <c r="BT84" s="49">
        <f>BT83</f>
        <v>108585.6544</v>
      </c>
      <c r="BU84" s="49">
        <f>BU83</f>
        <v>164747.44</v>
      </c>
      <c r="BV84" s="49">
        <f>BV83</f>
        <v>171795.6784</v>
      </c>
      <c r="BW84" s="330">
        <f>BW83</f>
        <v>175715.16640000005</v>
      </c>
      <c r="BX84" s="330">
        <f>SUM(BT84:BW84)</f>
        <v>620843.93920000014</v>
      </c>
      <c r="BY84" s="49">
        <f>BY83</f>
        <v>144116.36319999999</v>
      </c>
      <c r="BZ84" s="49">
        <f>BZ83</f>
        <v>166022.99359999999</v>
      </c>
      <c r="CA84" s="49">
        <f>CA83</f>
        <v>141368.66080000001</v>
      </c>
      <c r="CB84" s="330">
        <f>CB83</f>
        <v>175399.8352</v>
      </c>
      <c r="CC84" s="330">
        <f>SUM(BY84:CB84)</f>
        <v>626907.85279999999</v>
      </c>
      <c r="CD84" s="49">
        <f>CD83</f>
        <v>94354.788799999995</v>
      </c>
      <c r="CE84" s="49">
        <f>CE83</f>
        <v>160388.37119999999</v>
      </c>
      <c r="CF84" s="49">
        <f>CF83</f>
        <v>136129.32172849128</v>
      </c>
      <c r="CG84" s="330">
        <f>CG83</f>
        <v>132758.1442208309</v>
      </c>
      <c r="CH84" s="330">
        <f>SUM(CD84:CG84)</f>
        <v>523630.62594932213</v>
      </c>
      <c r="CI84" s="49">
        <f t="shared" ref="CI84:CL84" si="586">CI83</f>
        <v>135375.65030588946</v>
      </c>
      <c r="CJ84" s="49">
        <f t="shared" si="586"/>
        <v>133658.84352562076</v>
      </c>
      <c r="CK84" s="49">
        <f t="shared" si="586"/>
        <v>130723.73678316807</v>
      </c>
      <c r="CL84" s="330">
        <f t="shared" si="586"/>
        <v>128690.84584837114</v>
      </c>
      <c r="CM84" s="330">
        <f t="shared" si="564"/>
        <v>528449.07646304939</v>
      </c>
      <c r="CN84" s="49">
        <f t="shared" ref="CN84:CQ84" si="587">CN83</f>
        <v>132047.49673681855</v>
      </c>
      <c r="CO84" s="49">
        <f t="shared" si="587"/>
        <v>133818.40877283676</v>
      </c>
      <c r="CP84" s="49">
        <f t="shared" si="587"/>
        <v>140445.06844867821</v>
      </c>
      <c r="CQ84" s="330">
        <f t="shared" si="587"/>
        <v>141165.33886887072</v>
      </c>
      <c r="CR84" s="330">
        <f t="shared" si="566"/>
        <v>547476.31282720424</v>
      </c>
      <c r="CS84" s="49">
        <f t="shared" ref="CS84:CV84" si="588">CS83</f>
        <v>148427.39400816296</v>
      </c>
      <c r="CT84" s="49">
        <f t="shared" si="588"/>
        <v>149107.78954416135</v>
      </c>
      <c r="CU84" s="49">
        <f t="shared" si="588"/>
        <v>151934.29545241987</v>
      </c>
      <c r="CV84" s="330">
        <f t="shared" si="588"/>
        <v>154930.27143367217</v>
      </c>
      <c r="CW84" s="330">
        <f t="shared" si="568"/>
        <v>604399.75043841638</v>
      </c>
      <c r="CX84" s="49">
        <f t="shared" ref="CX84:DA84" si="589">CX83</f>
        <v>159222.78396897399</v>
      </c>
      <c r="CY84" s="49">
        <f t="shared" si="589"/>
        <v>163137.03222614608</v>
      </c>
      <c r="CZ84" s="49">
        <f t="shared" si="589"/>
        <v>166729.75584690811</v>
      </c>
      <c r="DA84" s="330">
        <f t="shared" si="589"/>
        <v>170049.18352672149</v>
      </c>
      <c r="DB84" s="330">
        <f t="shared" si="570"/>
        <v>659138.75556874974</v>
      </c>
      <c r="DC84" s="65">
        <f>CE84+CE40</f>
        <v>360581.66399999999</v>
      </c>
    </row>
    <row r="85" spans="1:107" s="7" customFormat="1" ht="11.5" customHeight="1" x14ac:dyDescent="0.35">
      <c r="A85" s="321" t="s">
        <v>85</v>
      </c>
      <c r="B85" s="204"/>
      <c r="C85" s="204"/>
      <c r="D85" s="204"/>
      <c r="E85" s="476"/>
      <c r="F85" s="476"/>
      <c r="G85" s="204"/>
      <c r="H85" s="204"/>
      <c r="I85" s="204"/>
      <c r="J85" s="476"/>
      <c r="K85" s="476"/>
      <c r="L85" s="204"/>
      <c r="M85" s="204"/>
      <c r="N85" s="204"/>
      <c r="O85" s="476"/>
      <c r="P85" s="476"/>
      <c r="Q85" s="204"/>
      <c r="R85" s="204"/>
      <c r="S85" s="204"/>
      <c r="T85" s="476"/>
      <c r="U85" s="476"/>
      <c r="V85" s="204"/>
      <c r="W85" s="204"/>
      <c r="X85" s="204"/>
      <c r="Y85" s="476"/>
      <c r="Z85" s="476"/>
      <c r="AA85" s="204"/>
      <c r="AB85" s="204"/>
      <c r="AC85" s="204"/>
      <c r="AD85" s="476"/>
      <c r="AE85" s="476"/>
      <c r="AF85" s="204"/>
      <c r="AG85" s="204"/>
      <c r="AH85" s="204"/>
      <c r="AI85" s="476"/>
      <c r="AJ85" s="476"/>
      <c r="AK85" s="204"/>
      <c r="AL85" s="204"/>
      <c r="AM85" s="204"/>
      <c r="AN85" s="476"/>
      <c r="AO85" s="476"/>
      <c r="AP85" s="204"/>
      <c r="AQ85" s="204"/>
      <c r="AR85" s="204"/>
      <c r="AS85" s="476"/>
      <c r="AT85" s="476"/>
      <c r="AU85" s="204"/>
      <c r="AV85" s="204"/>
      <c r="AW85" s="204"/>
      <c r="AX85" s="476"/>
      <c r="AY85" s="476"/>
      <c r="AZ85" s="204" t="e">
        <f t="shared" ref="AZ85:BE85" si="590">AZ70/AZ67</f>
        <v>#DIV/0!</v>
      </c>
      <c r="BA85" s="204" t="e">
        <f t="shared" si="590"/>
        <v>#DIV/0!</v>
      </c>
      <c r="BB85" s="204" t="e">
        <f t="shared" si="590"/>
        <v>#DIV/0!</v>
      </c>
      <c r="BC85" s="476" t="e">
        <f t="shared" si="590"/>
        <v>#DIV/0!</v>
      </c>
      <c r="BD85" s="476" t="e">
        <f t="shared" si="590"/>
        <v>#DIV/0!</v>
      </c>
      <c r="BE85" s="334">
        <f t="shared" si="590"/>
        <v>0.38787427626137305</v>
      </c>
      <c r="BF85" s="334">
        <f t="shared" ref="BF85:BQ85" si="591">BF70/BF67</f>
        <v>0.36007357155433017</v>
      </c>
      <c r="BG85" s="334">
        <f t="shared" si="591"/>
        <v>0.31748725620736201</v>
      </c>
      <c r="BH85" s="333">
        <f t="shared" si="591"/>
        <v>0.32862748776636491</v>
      </c>
      <c r="BI85" s="333">
        <f t="shared" si="591"/>
        <v>0.34723200092013323</v>
      </c>
      <c r="BJ85" s="334">
        <f t="shared" si="591"/>
        <v>0.3255726732444752</v>
      </c>
      <c r="BK85" s="334">
        <f t="shared" si="591"/>
        <v>0.26946808326256133</v>
      </c>
      <c r="BL85" s="334">
        <f t="shared" si="591"/>
        <v>0.36472182388255597</v>
      </c>
      <c r="BM85" s="333">
        <f t="shared" si="591"/>
        <v>0.31441103295464856</v>
      </c>
      <c r="BN85" s="333">
        <f t="shared" si="591"/>
        <v>0.32232144805166468</v>
      </c>
      <c r="BO85" s="334">
        <f t="shared" si="591"/>
        <v>0.28783986234033465</v>
      </c>
      <c r="BP85" s="334">
        <f t="shared" si="591"/>
        <v>0.28714726528633622</v>
      </c>
      <c r="BQ85" s="334">
        <f t="shared" si="591"/>
        <v>0.32627250140039077</v>
      </c>
      <c r="BR85" s="333">
        <f t="shared" ref="BR85:BZ85" si="592">BR70/BR67</f>
        <v>0.30588955388819949</v>
      </c>
      <c r="BS85" s="333">
        <f t="shared" si="592"/>
        <v>0.30296613150966811</v>
      </c>
      <c r="BT85" s="334">
        <f t="shared" si="592"/>
        <v>0.30947413914908117</v>
      </c>
      <c r="BU85" s="334">
        <f>BU70/BU67</f>
        <v>0.31409090909090909</v>
      </c>
      <c r="BV85" s="334">
        <f t="shared" si="592"/>
        <v>0.33671106896259029</v>
      </c>
      <c r="BW85" s="333">
        <f t="shared" si="592"/>
        <v>0.33277035532939658</v>
      </c>
      <c r="BX85" s="333">
        <f t="shared" si="592"/>
        <v>0.32445546179784396</v>
      </c>
      <c r="BY85" s="334">
        <f t="shared" si="592"/>
        <v>0.32559156285263507</v>
      </c>
      <c r="BZ85" s="334">
        <f t="shared" si="592"/>
        <v>0.30701885703709347</v>
      </c>
      <c r="CA85" s="334">
        <f t="shared" ref="CA85:CB85" si="593">CA70/CA67</f>
        <v>0.30329837917256897</v>
      </c>
      <c r="CB85" s="333">
        <f t="shared" si="593"/>
        <v>0.31922476186285942</v>
      </c>
      <c r="CC85" s="476">
        <f>CC70/CC67</f>
        <v>0.31352797362295559</v>
      </c>
      <c r="CD85" s="334">
        <f t="shared" ref="CD85:CE85" si="594">CD70/CD67</f>
        <v>0.30595572714565522</v>
      </c>
      <c r="CE85" s="334">
        <f t="shared" si="594"/>
        <v>0.33039780617022213</v>
      </c>
      <c r="CF85" s="569">
        <v>0.3</v>
      </c>
      <c r="CG85" s="570">
        <v>0.3</v>
      </c>
      <c r="CH85" s="476">
        <f>CH70/CH67</f>
        <v>0.30953589692105127</v>
      </c>
      <c r="CI85" s="569">
        <f>CG85</f>
        <v>0.3</v>
      </c>
      <c r="CJ85" s="569">
        <f>CI85</f>
        <v>0.3</v>
      </c>
      <c r="CK85" s="569">
        <f t="shared" ref="CK85:CL85" si="595">CJ85</f>
        <v>0.3</v>
      </c>
      <c r="CL85" s="571">
        <f t="shared" si="595"/>
        <v>0.3</v>
      </c>
      <c r="CM85" s="476">
        <f t="shared" ref="CM85" si="596">CM70/CM67</f>
        <v>0.3</v>
      </c>
      <c r="CN85" s="569">
        <f t="shared" ref="CN85" si="597">CL85</f>
        <v>0.3</v>
      </c>
      <c r="CO85" s="569">
        <f t="shared" ref="CO85:DA85" si="598">CN85</f>
        <v>0.3</v>
      </c>
      <c r="CP85" s="569">
        <f t="shared" si="598"/>
        <v>0.3</v>
      </c>
      <c r="CQ85" s="571">
        <f t="shared" si="598"/>
        <v>0.3</v>
      </c>
      <c r="CR85" s="476">
        <f t="shared" ref="CR85:DB85" si="599">CR70/CR67</f>
        <v>0.30000000000000004</v>
      </c>
      <c r="CS85" s="569">
        <f t="shared" ref="CS85" si="600">CQ85</f>
        <v>0.3</v>
      </c>
      <c r="CT85" s="569">
        <f t="shared" ref="CT85" si="601">CS85</f>
        <v>0.3</v>
      </c>
      <c r="CU85" s="569">
        <f t="shared" si="598"/>
        <v>0.3</v>
      </c>
      <c r="CV85" s="571">
        <f t="shared" si="598"/>
        <v>0.3</v>
      </c>
      <c r="CW85" s="476">
        <f t="shared" si="599"/>
        <v>0.3</v>
      </c>
      <c r="CX85" s="569">
        <f t="shared" ref="CX85" si="602">CV85</f>
        <v>0.3</v>
      </c>
      <c r="CY85" s="569">
        <f t="shared" ref="CY85" si="603">CX85</f>
        <v>0.3</v>
      </c>
      <c r="CZ85" s="569">
        <f t="shared" si="598"/>
        <v>0.3</v>
      </c>
      <c r="DA85" s="571">
        <f t="shared" si="598"/>
        <v>0.3</v>
      </c>
      <c r="DB85" s="476">
        <f t="shared" si="599"/>
        <v>0.3</v>
      </c>
    </row>
    <row r="86" spans="1:107" s="7" customFormat="1" ht="11.5" customHeight="1" x14ac:dyDescent="0.35">
      <c r="A86" s="335" t="s">
        <v>225</v>
      </c>
      <c r="B86" s="101"/>
      <c r="C86" s="101"/>
      <c r="D86" s="101"/>
      <c r="E86" s="477"/>
      <c r="F86" s="477"/>
      <c r="G86" s="101"/>
      <c r="H86" s="101"/>
      <c r="I86" s="101"/>
      <c r="J86" s="477"/>
      <c r="K86" s="477"/>
      <c r="L86" s="101"/>
      <c r="M86" s="101"/>
      <c r="N86" s="101"/>
      <c r="O86" s="477"/>
      <c r="P86" s="477"/>
      <c r="Q86" s="101"/>
      <c r="R86" s="101"/>
      <c r="S86" s="101"/>
      <c r="T86" s="477"/>
      <c r="U86" s="477"/>
      <c r="V86" s="101"/>
      <c r="W86" s="101"/>
      <c r="X86" s="101"/>
      <c r="Y86" s="477"/>
      <c r="Z86" s="477"/>
      <c r="AA86" s="101"/>
      <c r="AB86" s="101"/>
      <c r="AC86" s="101"/>
      <c r="AD86" s="477"/>
      <c r="AE86" s="477"/>
      <c r="AF86" s="101"/>
      <c r="AG86" s="101"/>
      <c r="AH86" s="101"/>
      <c r="AI86" s="477"/>
      <c r="AJ86" s="477"/>
      <c r="AK86" s="101"/>
      <c r="AL86" s="101"/>
      <c r="AM86" s="101"/>
      <c r="AN86" s="477"/>
      <c r="AO86" s="477"/>
      <c r="AP86" s="101"/>
      <c r="AQ86" s="101"/>
      <c r="AR86" s="101"/>
      <c r="AS86" s="477"/>
      <c r="AT86" s="477"/>
      <c r="AU86" s="101"/>
      <c r="AV86" s="101"/>
      <c r="AW86" s="101"/>
      <c r="AX86" s="477"/>
      <c r="AY86" s="477"/>
      <c r="AZ86" s="101" t="e">
        <f t="shared" ref="AZ86:BE86" si="604">AZ83/AZ67</f>
        <v>#DIV/0!</v>
      </c>
      <c r="BA86" s="101" t="e">
        <f t="shared" si="604"/>
        <v>#DIV/0!</v>
      </c>
      <c r="BB86" s="101" t="e">
        <f t="shared" si="604"/>
        <v>#DIV/0!</v>
      </c>
      <c r="BC86" s="477" t="e">
        <f t="shared" si="604"/>
        <v>#DIV/0!</v>
      </c>
      <c r="BD86" s="477" t="e">
        <f t="shared" si="604"/>
        <v>#DIV/0!</v>
      </c>
      <c r="BE86" s="336">
        <f t="shared" si="604"/>
        <v>0.30013167907361454</v>
      </c>
      <c r="BF86" s="336">
        <f t="shared" ref="BF86:BQ86" si="605">BF83/BF67</f>
        <v>0.28333866814509029</v>
      </c>
      <c r="BG86" s="336">
        <f t="shared" si="605"/>
        <v>0.23753752814603338</v>
      </c>
      <c r="BH86" s="337">
        <f t="shared" si="605"/>
        <v>0.2390962024920657</v>
      </c>
      <c r="BI86" s="337">
        <f t="shared" si="605"/>
        <v>0.26353476748150489</v>
      </c>
      <c r="BJ86" s="336">
        <f t="shared" si="605"/>
        <v>0.23630074048429595</v>
      </c>
      <c r="BK86" s="336">
        <f t="shared" si="605"/>
        <v>0.17872479100588706</v>
      </c>
      <c r="BL86" s="336">
        <f t="shared" si="605"/>
        <v>0.28120549627721203</v>
      </c>
      <c r="BM86" s="337">
        <f t="shared" si="605"/>
        <v>0.13170803165097966</v>
      </c>
      <c r="BN86" s="337">
        <f t="shared" si="605"/>
        <v>0.20796010494392808</v>
      </c>
      <c r="BO86" s="336">
        <f t="shared" si="605"/>
        <v>0.18269883699242512</v>
      </c>
      <c r="BP86" s="336">
        <f t="shared" si="605"/>
        <v>0.18366755726258285</v>
      </c>
      <c r="BQ86" s="336">
        <f t="shared" si="605"/>
        <v>0.20726318875315453</v>
      </c>
      <c r="BR86" s="337">
        <f t="shared" ref="BR86:CG86" si="606">BR83/BR67</f>
        <v>0.13874467462061246</v>
      </c>
      <c r="BS86" s="337">
        <f t="shared" si="606"/>
        <v>0.17721545751206461</v>
      </c>
      <c r="BT86" s="336">
        <f t="shared" si="606"/>
        <v>0.22562408969638539</v>
      </c>
      <c r="BU86" s="336">
        <f>BU83/BU67</f>
        <v>0.23474984326018808</v>
      </c>
      <c r="BV86" s="336">
        <f t="shared" si="606"/>
        <v>0.2514213101750627</v>
      </c>
      <c r="BW86" s="337">
        <f t="shared" si="606"/>
        <v>0.23913885650593447</v>
      </c>
      <c r="BX86" s="337">
        <f t="shared" si="606"/>
        <v>0.23868065197341642</v>
      </c>
      <c r="BY86" s="336">
        <f t="shared" si="606"/>
        <v>0.24904370678735532</v>
      </c>
      <c r="BZ86" s="336">
        <f t="shared" si="606"/>
        <v>0.22594556500342952</v>
      </c>
      <c r="CA86" s="336">
        <f t="shared" ref="CA86:CB86" si="607">CA83/CA67</f>
        <v>0.21909944856530891</v>
      </c>
      <c r="CB86" s="337">
        <f t="shared" si="607"/>
        <v>0.22697576533220148</v>
      </c>
      <c r="CC86" s="337">
        <f t="shared" si="606"/>
        <v>0.22951332830062685</v>
      </c>
      <c r="CD86" s="336">
        <f t="shared" ref="CD86:CE86" si="608">CD83/CD67</f>
        <v>0.20511420118214563</v>
      </c>
      <c r="CE86" s="336">
        <f t="shared" si="608"/>
        <v>0.2434039739642061</v>
      </c>
      <c r="CF86" s="336">
        <f t="shared" si="606"/>
        <v>0.21212174979095358</v>
      </c>
      <c r="CG86" s="337">
        <f t="shared" si="606"/>
        <v>0.2116954525616572</v>
      </c>
      <c r="CH86" s="337">
        <f>CH83/CH67</f>
        <v>0.21929238795600484</v>
      </c>
      <c r="CI86" s="336">
        <f t="shared" ref="CI86:DB86" si="609">CI83/CI67</f>
        <v>0.21202814123803249</v>
      </c>
      <c r="CJ86" s="336">
        <f t="shared" si="609"/>
        <v>0.21181128457136256</v>
      </c>
      <c r="CK86" s="336">
        <f t="shared" si="609"/>
        <v>0.2114284322861682</v>
      </c>
      <c r="CL86" s="337">
        <f t="shared" si="609"/>
        <v>0.211153882289184</v>
      </c>
      <c r="CM86" s="337">
        <f>CM83/CM67</f>
        <v>0.21161149843953417</v>
      </c>
      <c r="CN86" s="336">
        <f t="shared" si="609"/>
        <v>0.21160303738106501</v>
      </c>
      <c r="CO86" s="336">
        <f t="shared" si="609"/>
        <v>0.21183165554169445</v>
      </c>
      <c r="CP86" s="336">
        <f t="shared" si="609"/>
        <v>0.21263992280810318</v>
      </c>
      <c r="CQ86" s="337">
        <f t="shared" si="609"/>
        <v>0.21272355402375048</v>
      </c>
      <c r="CR86" s="337">
        <f t="shared" si="609"/>
        <v>0.21221270662858788</v>
      </c>
      <c r="CS86" s="336">
        <f t="shared" si="609"/>
        <v>0.21352473048312753</v>
      </c>
      <c r="CT86" s="336">
        <f t="shared" si="609"/>
        <v>0.2135960873132686</v>
      </c>
      <c r="CU86" s="336">
        <f t="shared" si="609"/>
        <v>0.21388616662212742</v>
      </c>
      <c r="CV86" s="337">
        <f t="shared" si="609"/>
        <v>0.21418289612276539</v>
      </c>
      <c r="CW86" s="337">
        <f t="shared" si="609"/>
        <v>0.21380158560902324</v>
      </c>
      <c r="CX86" s="336">
        <f t="shared" si="609"/>
        <v>0.2145899118380214</v>
      </c>
      <c r="CY86" s="336">
        <f t="shared" si="609"/>
        <v>0.2149436415274999</v>
      </c>
      <c r="CZ86" s="336">
        <f t="shared" si="609"/>
        <v>0.21525465722521253</v>
      </c>
      <c r="DA86" s="337">
        <f t="shared" si="609"/>
        <v>0.21553108713678526</v>
      </c>
      <c r="DB86" s="337">
        <f t="shared" si="609"/>
        <v>0.21508784801396533</v>
      </c>
    </row>
    <row r="87" spans="1:107" ht="11.5" customHeight="1" x14ac:dyDescent="0.2">
      <c r="A87" s="338" t="s">
        <v>137</v>
      </c>
      <c r="B87" s="204"/>
      <c r="C87" s="204"/>
      <c r="D87" s="204"/>
      <c r="E87" s="481"/>
      <c r="F87" s="39"/>
      <c r="G87" s="204"/>
      <c r="H87" s="204"/>
      <c r="I87" s="204"/>
      <c r="J87" s="481"/>
      <c r="K87" s="39"/>
      <c r="L87" s="204"/>
      <c r="M87" s="204"/>
      <c r="N87" s="204"/>
      <c r="O87" s="481"/>
      <c r="P87" s="39"/>
      <c r="Q87" s="204"/>
      <c r="R87" s="204"/>
      <c r="S87" s="204"/>
      <c r="T87" s="481"/>
      <c r="U87" s="39"/>
      <c r="V87" s="204"/>
      <c r="W87" s="204"/>
      <c r="X87" s="204"/>
      <c r="Y87" s="481"/>
      <c r="Z87" s="39"/>
      <c r="AA87" s="204"/>
      <c r="AB87" s="204"/>
      <c r="AC87" s="204"/>
      <c r="AD87" s="481"/>
      <c r="AE87" s="39"/>
      <c r="AF87" s="204"/>
      <c r="AG87" s="204"/>
      <c r="AH87" s="204"/>
      <c r="AI87" s="481"/>
      <c r="AJ87" s="39"/>
      <c r="AK87" s="204"/>
      <c r="AL87" s="204"/>
      <c r="AM87" s="204"/>
      <c r="AN87" s="481"/>
      <c r="AO87" s="39"/>
      <c r="AP87" s="204"/>
      <c r="AQ87" s="204"/>
      <c r="AR87" s="204"/>
      <c r="AS87" s="481"/>
      <c r="AT87" s="39"/>
      <c r="AU87" s="204"/>
      <c r="AV87" s="204"/>
      <c r="AW87" s="204"/>
      <c r="AX87" s="481"/>
      <c r="AY87" s="39"/>
      <c r="AZ87" s="204"/>
      <c r="BA87" s="204"/>
      <c r="BB87" s="204"/>
      <c r="BC87" s="481"/>
      <c r="BD87" s="39" t="e">
        <f>AVERAGE(AZ87:BC87)</f>
        <v>#DIV/0!</v>
      </c>
      <c r="BE87" s="489">
        <v>986864</v>
      </c>
      <c r="BF87" s="490">
        <v>1065968</v>
      </c>
      <c r="BG87" s="490">
        <v>1238833</v>
      </c>
      <c r="BH87" s="491">
        <v>1217859</v>
      </c>
      <c r="BI87" s="226">
        <f>AVERAGE(BE87:BH87)</f>
        <v>1127381</v>
      </c>
      <c r="BJ87" s="489">
        <v>1144009</v>
      </c>
      <c r="BK87" s="490">
        <v>1239874</v>
      </c>
      <c r="BL87" s="490">
        <v>1425110</v>
      </c>
      <c r="BM87" s="491">
        <v>1494899</v>
      </c>
      <c r="BN87" s="226">
        <f>AVERAGE(BJ87:BM87)</f>
        <v>1325973</v>
      </c>
      <c r="BO87" s="489">
        <v>1808767</v>
      </c>
      <c r="BP87" s="490">
        <v>1529275</v>
      </c>
      <c r="BQ87" s="490">
        <v>1635901</v>
      </c>
      <c r="BR87" s="491">
        <v>1818271</v>
      </c>
      <c r="BS87" s="226">
        <f>AVERAGE(BO87:BR87)</f>
        <v>1698053.5</v>
      </c>
      <c r="BT87" s="489">
        <v>1808767</v>
      </c>
      <c r="BU87" s="490">
        <v>1863017</v>
      </c>
      <c r="BV87" s="490">
        <v>1881806</v>
      </c>
      <c r="BW87" s="491">
        <v>1920802</v>
      </c>
      <c r="BX87" s="226">
        <f>AVERAGE(BT87:BW87)</f>
        <v>1868598</v>
      </c>
      <c r="BY87" s="489">
        <v>1867731</v>
      </c>
      <c r="BZ87" s="490">
        <v>1925065</v>
      </c>
      <c r="CA87" s="490">
        <v>1820359</v>
      </c>
      <c r="CB87" s="491">
        <v>1934471</v>
      </c>
      <c r="CC87" s="39">
        <f>AVERAGE(BY87:CB87)</f>
        <v>1886906.5</v>
      </c>
      <c r="CD87" s="489">
        <v>1848730</v>
      </c>
      <c r="CE87" s="490">
        <v>1824055</v>
      </c>
      <c r="CF87" s="576">
        <f>CE87+CF83-IS!CF55*'Business lines'!CE87/'BS &amp; FCF'!CE65</f>
        <v>1960184.3217284912</v>
      </c>
      <c r="CG87" s="580">
        <f ca="1">CF87+CG83-IS!CG55*'Business lines'!CF87/'BS &amp; FCF'!CF65</f>
        <v>2092942.4659493221</v>
      </c>
      <c r="CH87" s="39">
        <f ca="1">AVERAGE(CD87:CG87)</f>
        <v>1931477.9469194533</v>
      </c>
      <c r="CI87" s="576">
        <f ca="1">CG87+CI83-IS!CI$55*'Business lines'!CG87/'BS &amp; FCF'!CG$65</f>
        <v>2083721.6826314258</v>
      </c>
      <c r="CJ87" s="576">
        <f ca="1">CI87+CJ83-IS!CJ$55*'Business lines'!CI87/'BS &amp; FCF'!CI$65</f>
        <v>2217380.5261570467</v>
      </c>
      <c r="CK87" s="576">
        <f ca="1">CJ87+CK83-IS!CK$55*'Business lines'!CJ87/'BS &amp; FCF'!CJ$65</f>
        <v>2348104.2629402149</v>
      </c>
      <c r="CL87" s="580">
        <f ca="1">CK87+CL83-IS!CL$55*'Business lines'!CK87/'BS &amp; FCF'!CK$65</f>
        <v>2476795.1087885862</v>
      </c>
      <c r="CM87" s="39">
        <f t="shared" ref="CM87" ca="1" si="610">AVERAGE(CI87:CL87)</f>
        <v>2281500.3951293183</v>
      </c>
      <c r="CN87" s="576">
        <f ca="1">CL87+CN83-IS!CN$55*'Business lines'!CL87/'BS &amp; FCF'!CL$65</f>
        <v>2300177.838813412</v>
      </c>
      <c r="CO87" s="576">
        <f ca="1">CN87+CO83-IS!CO$55*'Business lines'!CN87/'BS &amp; FCF'!CN$65</f>
        <v>2433996.2475862489</v>
      </c>
      <c r="CP87" s="576">
        <f ca="1">CO87+CP83-IS!CP$55*'Business lines'!CO87/'BS &amp; FCF'!CO$65</f>
        <v>2574441.316034927</v>
      </c>
      <c r="CQ87" s="580">
        <f ca="1">CP87+CQ83-IS!CQ$55*'Business lines'!CP87/'BS &amp; FCF'!CP$65</f>
        <v>2715606.6549037979</v>
      </c>
      <c r="CR87" s="39">
        <f t="shared" ref="CR87" ca="1" si="611">AVERAGE(CN87:CQ87)</f>
        <v>2506055.5143345967</v>
      </c>
      <c r="CS87" s="576">
        <f ca="1">CQ87+CS83-IS!CS$55*'Business lines'!CQ87/'BS &amp; FCF'!CQ$65</f>
        <v>2507678.3127052085</v>
      </c>
      <c r="CT87" s="576">
        <f ca="1">CS87+CT83-IS!CT$55*'Business lines'!CS87/'BS &amp; FCF'!CS$65</f>
        <v>2656786.10224937</v>
      </c>
      <c r="CU87" s="576">
        <f ca="1">CT87+CU83-IS!CU$55*'Business lines'!CT87/'BS &amp; FCF'!CT$65</f>
        <v>2808720.3977017896</v>
      </c>
      <c r="CV87" s="580">
        <f ca="1">CU87+CV83-IS!CV$55*'Business lines'!CU87/'BS &amp; FCF'!CU$65</f>
        <v>2963650.6691354616</v>
      </c>
      <c r="CW87" s="39">
        <f t="shared" ref="CW87" ca="1" si="612">AVERAGE(CS87:CV87)</f>
        <v>2734208.8704479574</v>
      </c>
      <c r="CX87" s="576">
        <f ca="1">CV87+CX83-IS!CX$55*'Business lines'!CV87/'BS &amp; FCF'!CV$65</f>
        <v>2723610.6562853782</v>
      </c>
      <c r="CY87" s="576">
        <f ca="1">CX87+CY83-IS!CY$55*'Business lines'!CX87/'BS &amp; FCF'!CX$65</f>
        <v>2886747.6885115243</v>
      </c>
      <c r="CZ87" s="576">
        <f ca="1">CY87+CZ83-IS!CZ$55*'Business lines'!CY87/'BS &amp; FCF'!CY$65</f>
        <v>3053477.4443584327</v>
      </c>
      <c r="DA87" s="580">
        <f ca="1">CZ87+DA83-IS!DA$55*'Business lines'!CZ87/'BS &amp; FCF'!CZ$65</f>
        <v>3223526.627885154</v>
      </c>
      <c r="DB87" s="39">
        <f t="shared" ref="DB87" ca="1" si="613">AVERAGE(CX87:DA87)</f>
        <v>2971840.6042601219</v>
      </c>
    </row>
    <row r="88" spans="1:107" ht="11.5" customHeight="1" x14ac:dyDescent="0.2">
      <c r="A88" s="335" t="s">
        <v>362</v>
      </c>
      <c r="B88" s="101"/>
      <c r="C88" s="101"/>
      <c r="D88" s="101"/>
      <c r="E88" s="477"/>
      <c r="F88" s="477"/>
      <c r="G88" s="101"/>
      <c r="H88" s="101"/>
      <c r="I88" s="101"/>
      <c r="J88" s="477"/>
      <c r="K88" s="477"/>
      <c r="L88" s="101"/>
      <c r="M88" s="101"/>
      <c r="N88" s="101"/>
      <c r="O88" s="477"/>
      <c r="P88" s="477"/>
      <c r="Q88" s="101"/>
      <c r="R88" s="101"/>
      <c r="S88" s="101"/>
      <c r="T88" s="477"/>
      <c r="U88" s="477"/>
      <c r="V88" s="101"/>
      <c r="W88" s="101"/>
      <c r="X88" s="101"/>
      <c r="Y88" s="477"/>
      <c r="Z88" s="477"/>
      <c r="AA88" s="101"/>
      <c r="AB88" s="101"/>
      <c r="AC88" s="101"/>
      <c r="AD88" s="477"/>
      <c r="AE88" s="477"/>
      <c r="AF88" s="101"/>
      <c r="AG88" s="101"/>
      <c r="AH88" s="101"/>
      <c r="AI88" s="477"/>
      <c r="AJ88" s="477"/>
      <c r="AK88" s="101"/>
      <c r="AL88" s="101"/>
      <c r="AM88" s="101"/>
      <c r="AN88" s="477"/>
      <c r="AO88" s="477"/>
      <c r="AP88" s="101"/>
      <c r="AQ88" s="101"/>
      <c r="AR88" s="101"/>
      <c r="AS88" s="477"/>
      <c r="AT88" s="477"/>
      <c r="AU88" s="101"/>
      <c r="AV88" s="101"/>
      <c r="AW88" s="101"/>
      <c r="AX88" s="477"/>
      <c r="AY88" s="477"/>
      <c r="AZ88" s="101"/>
      <c r="BA88" s="101"/>
      <c r="BB88" s="101"/>
      <c r="BC88" s="477"/>
      <c r="BD88" s="477" t="e">
        <f>BD83/BD87</f>
        <v>#DIV/0!</v>
      </c>
      <c r="BE88" s="336">
        <f>BE84/AVERAGE(BE87,BC87)*4</f>
        <v>0.36768916486972875</v>
      </c>
      <c r="BF88" s="336">
        <f>BF84/AVERAGE(BE87:BF87)*4</f>
        <v>0.29476368567910088</v>
      </c>
      <c r="BG88" s="336">
        <f>BG84/AVERAGE(BF87:BG87)*4</f>
        <v>0.27059890793174773</v>
      </c>
      <c r="BH88" s="337">
        <f>BH84/AVERAGE(BG87:BH87)*4</f>
        <v>0.24900655678448905</v>
      </c>
      <c r="BI88" s="337">
        <f>BI83/BI87</f>
        <v>0.28453421868915657</v>
      </c>
      <c r="BJ88" s="336">
        <f>BJ84/AVERAGE(BJ87,BH87)*4</f>
        <v>0.16645786335222798</v>
      </c>
      <c r="BK88" s="336">
        <f>BK84/AVERAGE(BJ87:BK87)*4</f>
        <v>0.20763202086679589</v>
      </c>
      <c r="BL88" s="336">
        <f>BL84/AVERAGE(BK87:BL87)*4</f>
        <v>0.41676994023228658</v>
      </c>
      <c r="BM88" s="337">
        <f>BM84/AVERAGE(BL87:BM87)*4</f>
        <v>0.15112746405918612</v>
      </c>
      <c r="BN88" s="337">
        <f>BN83/BN87</f>
        <v>0.23002926183263159</v>
      </c>
      <c r="BO88" s="336">
        <f>BO84/AVERAGE(BO87,BM87)*4</f>
        <v>0.14706486963270501</v>
      </c>
      <c r="BP88" s="336">
        <f>BP84/AVERAGE(BO87:BP87)*4</f>
        <v>0.23608852375134887</v>
      </c>
      <c r="BQ88" s="336">
        <f>BQ84/AVERAGE(BP87:BQ87)*4</f>
        <v>0.26840275700308608</v>
      </c>
      <c r="BR88" s="337">
        <f>BR84/AVERAGE(BQ87:BR87)*4</f>
        <v>0.17272281472955028</v>
      </c>
      <c r="BS88" s="337">
        <f>BS83/BS87</f>
        <v>0.2002353645512347</v>
      </c>
      <c r="BT88" s="336">
        <f>BT84/AVERAGE(BT87,BR87)*4</f>
        <v>0.23950265621700131</v>
      </c>
      <c r="BU88" s="336">
        <f>BU84/AVERAGE(BT87:BU87)*4</f>
        <v>0.35894799911977393</v>
      </c>
      <c r="BV88" s="336">
        <f>BV84/AVERAGE(BU87:BV87)*4</f>
        <v>0.36700410865880712</v>
      </c>
      <c r="BW88" s="337">
        <f>BW84/AVERAGE(BV87:BW87)*4</f>
        <v>0.36967295372018372</v>
      </c>
      <c r="BX88" s="337">
        <f>BX83/BX87</f>
        <v>0.3322512060914119</v>
      </c>
      <c r="BY88" s="336">
        <f t="shared" ref="BY88:CA88" si="614">BY84/AVERAGE(BX87:BY87)*4</f>
        <v>0.30857317586326044</v>
      </c>
      <c r="BZ88" s="336">
        <f t="shared" si="614"/>
        <v>0.35018597066649509</v>
      </c>
      <c r="CA88" s="336">
        <f t="shared" si="614"/>
        <v>0.30195494192379824</v>
      </c>
      <c r="CB88" s="337">
        <f>CB84/AVERAGE(CA87:CB87)*4</f>
        <v>0.37370498307513256</v>
      </c>
      <c r="CC88" s="337">
        <f>CC83/CC87</f>
        <v>0.33224107967193922</v>
      </c>
      <c r="CD88" s="336">
        <f t="shared" ref="CD88:CE88" si="615">CD84/AVERAGE(CC87:CD87)*4</f>
        <v>0.20206417578369842</v>
      </c>
      <c r="CE88" s="336">
        <f t="shared" si="615"/>
        <v>0.34935531744983711</v>
      </c>
      <c r="CF88" s="336">
        <f t="shared" ref="CF88" si="616">CF84/AVERAGE(CE87:CF87)*4</f>
        <v>0.28778163357028441</v>
      </c>
      <c r="CG88" s="337">
        <f t="shared" ref="CG88" ca="1" si="617">CG84/AVERAGE(CF87:CG87)*4</f>
        <v>0.26203600563286195</v>
      </c>
      <c r="CH88" s="337">
        <f ca="1">CH83/CH87</f>
        <v>0.27110360063104494</v>
      </c>
      <c r="CI88" s="336">
        <f t="shared" ref="CI88" ca="1" si="618">CI84/AVERAGE(CI87,CG87)*4</f>
        <v>0.25929908748232161</v>
      </c>
      <c r="CJ88" s="336">
        <f t="shared" ref="CJ88" ca="1" si="619">CJ84/AVERAGE(CI87:CJ87)*4</f>
        <v>0.24860389181640874</v>
      </c>
      <c r="CK88" s="336">
        <f t="shared" ref="CK88" ca="1" si="620">CK84/AVERAGE(CJ87:CK87)*4</f>
        <v>0.22906436940996353</v>
      </c>
      <c r="CL88" s="337">
        <f t="shared" ref="CL88" ca="1" si="621">CL84/AVERAGE(CK87:CL87)*4</f>
        <v>0.21337787329191099</v>
      </c>
      <c r="CM88" s="337">
        <f t="shared" ref="CM88" ca="1" si="622">CM83/CM87</f>
        <v>0.23162348671567784</v>
      </c>
      <c r="CN88" s="336">
        <f t="shared" ref="CN88" ca="1" si="623">CN84/AVERAGE(CN87,CL87)*4</f>
        <v>0.22114003689822914</v>
      </c>
      <c r="CO88" s="336">
        <f t="shared" ref="CO88" ca="1" si="624">CO84/AVERAGE(CN87:CO87)*4</f>
        <v>0.22613179208136072</v>
      </c>
      <c r="CP88" s="336">
        <f t="shared" ref="CP88" ca="1" si="625">CP84/AVERAGE(CO87:CP87)*4</f>
        <v>0.22433354380823595</v>
      </c>
      <c r="CQ88" s="337">
        <f t="shared" ref="CQ88" ca="1" si="626">CQ84/AVERAGE(CP87:CQ87)*4</f>
        <v>0.21348061816357519</v>
      </c>
      <c r="CR88" s="337">
        <f t="shared" ref="CR88" ca="1" si="627">CR83/CR87</f>
        <v>0.2184613667557038</v>
      </c>
      <c r="CS88" s="336">
        <f t="shared" ref="CS88" ca="1" si="628">CS84/AVERAGE(CS87,CQ87)*4</f>
        <v>0.22733187245743028</v>
      </c>
      <c r="CT88" s="336">
        <f t="shared" ref="CT88" ca="1" si="629">CT84/AVERAGE(CS87:CT87)*4</f>
        <v>0.23097502867851244</v>
      </c>
      <c r="CU88" s="336">
        <f t="shared" ref="CU88" ca="1" si="630">CU84/AVERAGE(CT87:CU87)*4</f>
        <v>0.22239006826361302</v>
      </c>
      <c r="CV88" s="337">
        <f t="shared" ref="CV88" ca="1" si="631">CV84/AVERAGE(CU87:CV87)*4</f>
        <v>0.21471976716640326</v>
      </c>
      <c r="CW88" s="337">
        <f t="shared" ref="CW88" ca="1" si="632">CW83/CW87</f>
        <v>0.22105105318431467</v>
      </c>
      <c r="CX88" s="336">
        <f t="shared" ref="CX88" ca="1" si="633">CX84/AVERAGE(CX87,CV87)*4</f>
        <v>0.22397111700463948</v>
      </c>
      <c r="CY88" s="336">
        <f t="shared" ref="CY88" ca="1" si="634">CY84/AVERAGE(CX87:CY87)*4</f>
        <v>0.23262262008977141</v>
      </c>
      <c r="CZ88" s="336">
        <f t="shared" ref="CZ88" ca="1" si="635">CZ84/AVERAGE(CY87:CZ87)*4</f>
        <v>0.22454334927384059</v>
      </c>
      <c r="DA88" s="337">
        <f t="shared" ref="DA88" ca="1" si="636">DA84/AVERAGE(CZ87:DA87)*4</f>
        <v>0.21672655498652993</v>
      </c>
      <c r="DB88" s="337">
        <f t="shared" ref="DB88" ca="1" si="637">DB83/DB87</f>
        <v>0.22179478758849883</v>
      </c>
    </row>
    <row r="89" spans="1:107" ht="11.5" customHeight="1" x14ac:dyDescent="0.2">
      <c r="BY89" s="566"/>
      <c r="BZ89" s="566"/>
      <c r="CA89" s="566"/>
      <c r="CB89" s="566"/>
      <c r="CC89" s="566"/>
      <c r="CD89" s="566"/>
      <c r="CE89" s="566"/>
      <c r="CF89" s="566"/>
      <c r="CG89" s="566"/>
      <c r="CH89" s="566"/>
      <c r="CI89" s="566"/>
      <c r="CJ89" s="566"/>
      <c r="CK89" s="566"/>
      <c r="CL89" s="566"/>
      <c r="CM89" s="566"/>
      <c r="CN89" s="566"/>
      <c r="CO89" s="566"/>
      <c r="CP89" s="566"/>
      <c r="CQ89" s="566"/>
      <c r="CR89" s="566"/>
      <c r="CS89" s="566"/>
      <c r="CT89" s="566"/>
      <c r="CU89" s="566"/>
      <c r="CV89" s="566"/>
      <c r="CW89" s="566"/>
      <c r="CX89" s="566"/>
      <c r="CY89" s="566"/>
      <c r="CZ89" s="566"/>
      <c r="DA89" s="566"/>
      <c r="DB89" s="566"/>
    </row>
    <row r="90" spans="1:107" ht="11.5" customHeight="1" x14ac:dyDescent="0.2">
      <c r="CA90" s="676"/>
      <c r="CB90" s="677"/>
      <c r="CH90" s="808">
        <f ca="1">CH128/IS!CH45</f>
        <v>0.2197772656704306</v>
      </c>
    </row>
    <row r="91" spans="1:107" s="15" customFormat="1" ht="11.5" customHeight="1" thickBot="1" x14ac:dyDescent="0.4">
      <c r="A91" s="124" t="s">
        <v>363</v>
      </c>
      <c r="B91" s="125" t="str">
        <f>Macro!B$3</f>
        <v>1Q10</v>
      </c>
      <c r="C91" s="125" t="str">
        <f>Macro!C$3</f>
        <v>2Q10</v>
      </c>
      <c r="D91" s="125" t="str">
        <f>Macro!D$3</f>
        <v>3Q10</v>
      </c>
      <c r="E91" s="125" t="str">
        <f>Macro!E$3</f>
        <v>4Q10</v>
      </c>
      <c r="F91" s="126" t="str">
        <f>Macro!F$3</f>
        <v>2010</v>
      </c>
      <c r="G91" s="125" t="str">
        <f>Macro!G$3</f>
        <v>1Q11</v>
      </c>
      <c r="H91" s="125" t="str">
        <f>Macro!H$3</f>
        <v>2Q11</v>
      </c>
      <c r="I91" s="125" t="str">
        <f>Macro!I$3</f>
        <v>3Q11</v>
      </c>
      <c r="J91" s="125" t="str">
        <f>Macro!J$3</f>
        <v>4Q11</v>
      </c>
      <c r="K91" s="126" t="str">
        <f>Macro!K$3</f>
        <v>2011</v>
      </c>
      <c r="L91" s="125" t="str">
        <f>Macro!L$3</f>
        <v>1Q12</v>
      </c>
      <c r="M91" s="125" t="str">
        <f>Macro!M$3</f>
        <v>2Q12</v>
      </c>
      <c r="N91" s="125" t="str">
        <f>Macro!N$3</f>
        <v>3Q12</v>
      </c>
      <c r="O91" s="125" t="str">
        <f>Macro!O$3</f>
        <v>4Q12</v>
      </c>
      <c r="P91" s="126" t="str">
        <f>Macro!P$3</f>
        <v>2012</v>
      </c>
      <c r="Q91" s="125" t="str">
        <f>Macro!Q$3</f>
        <v>1Q13</v>
      </c>
      <c r="R91" s="125" t="str">
        <f>Macro!R$3</f>
        <v>2Q13</v>
      </c>
      <c r="S91" s="125" t="str">
        <f>Macro!S$3</f>
        <v>3Q13</v>
      </c>
      <c r="T91" s="125" t="str">
        <f>Macro!T$3</f>
        <v>4Q13</v>
      </c>
      <c r="U91" s="126" t="str">
        <f>Macro!U$3</f>
        <v>2013</v>
      </c>
      <c r="V91" s="125" t="str">
        <f>Macro!V$3</f>
        <v>1Q14</v>
      </c>
      <c r="W91" s="125" t="str">
        <f>Macro!W$3</f>
        <v>2Q14</v>
      </c>
      <c r="X91" s="125" t="str">
        <f>Macro!X$3</f>
        <v>3Q14</v>
      </c>
      <c r="Y91" s="125" t="str">
        <f>Macro!Y$3</f>
        <v>4Q14</v>
      </c>
      <c r="Z91" s="126" t="str">
        <f>Macro!Z$3</f>
        <v>2014</v>
      </c>
      <c r="AA91" s="125" t="str">
        <f>Macro!AA$3</f>
        <v>1Q15</v>
      </c>
      <c r="AB91" s="125" t="str">
        <f>Macro!AB$3</f>
        <v>2Q15</v>
      </c>
      <c r="AC91" s="125" t="str">
        <f>Macro!AC$3</f>
        <v>3Q15</v>
      </c>
      <c r="AD91" s="125" t="str">
        <f>Macro!AD$3</f>
        <v>4Q15</v>
      </c>
      <c r="AE91" s="126" t="str">
        <f>Macro!AE$3</f>
        <v>2015</v>
      </c>
      <c r="AF91" s="125" t="str">
        <f>Macro!AF$3</f>
        <v>1Q16</v>
      </c>
      <c r="AG91" s="125" t="str">
        <f>Macro!AG$3</f>
        <v>2Q16</v>
      </c>
      <c r="AH91" s="125" t="str">
        <f>Macro!AH$3</f>
        <v>3Q16</v>
      </c>
      <c r="AI91" s="125" t="str">
        <f>Macro!AI$3</f>
        <v>4Q16</v>
      </c>
      <c r="AJ91" s="126" t="str">
        <f>Macro!AJ$3</f>
        <v>2016</v>
      </c>
      <c r="AK91" s="125" t="str">
        <f>Macro!AK$3</f>
        <v>1Q17</v>
      </c>
      <c r="AL91" s="125" t="str">
        <f>Macro!AL$3</f>
        <v>2Q17</v>
      </c>
      <c r="AM91" s="125" t="str">
        <f>Macro!AM$3</f>
        <v>3Q17</v>
      </c>
      <c r="AN91" s="125" t="str">
        <f>Macro!AN$3</f>
        <v>4Q17</v>
      </c>
      <c r="AO91" s="126" t="str">
        <f>Macro!AO$3</f>
        <v>2017</v>
      </c>
      <c r="AP91" s="125" t="str">
        <f>Macro!AP$3</f>
        <v>1Q18</v>
      </c>
      <c r="AQ91" s="125" t="str">
        <f>Macro!AQ$3</f>
        <v>2Q18</v>
      </c>
      <c r="AR91" s="125" t="str">
        <f>Macro!AR$3</f>
        <v>3Q18</v>
      </c>
      <c r="AS91" s="125" t="str">
        <f>Macro!AS$3</f>
        <v>4Q18</v>
      </c>
      <c r="AT91" s="126" t="str">
        <f>Macro!AT$3</f>
        <v>2018</v>
      </c>
      <c r="AU91" s="125" t="str">
        <f>Macro!AU$3</f>
        <v>1Q19</v>
      </c>
      <c r="AV91" s="125" t="str">
        <f>Macro!AV$3</f>
        <v>2Q19</v>
      </c>
      <c r="AW91" s="125" t="str">
        <f>Macro!AW$3</f>
        <v>3Q19</v>
      </c>
      <c r="AX91" s="125" t="str">
        <f>Macro!AX$3</f>
        <v>4Q19</v>
      </c>
      <c r="AY91" s="126" t="str">
        <f>Macro!AY$3</f>
        <v>2019</v>
      </c>
      <c r="AZ91" s="125" t="str">
        <f>Macro!AZ$3</f>
        <v>1Q20</v>
      </c>
      <c r="BA91" s="125" t="str">
        <f>Macro!BA$3</f>
        <v>2Q20</v>
      </c>
      <c r="BB91" s="125" t="str">
        <f>Macro!BB$3</f>
        <v>3Q20</v>
      </c>
      <c r="BC91" s="125" t="str">
        <f>Macro!BC$3</f>
        <v>4Q20</v>
      </c>
      <c r="BD91" s="126" t="str">
        <f>Macro!BD$3</f>
        <v>2020</v>
      </c>
      <c r="BE91" s="125" t="str">
        <f>Macro!BE$3</f>
        <v>1Q21</v>
      </c>
      <c r="BF91" s="125" t="str">
        <f>Macro!BF$3</f>
        <v>2Q21</v>
      </c>
      <c r="BG91" s="125" t="str">
        <f>Macro!BG$3</f>
        <v>3Q21</v>
      </c>
      <c r="BH91" s="125" t="str">
        <f>Macro!BH$3</f>
        <v>4Q21</v>
      </c>
      <c r="BI91" s="126" t="str">
        <f>Macro!BI$3</f>
        <v>2021</v>
      </c>
      <c r="BJ91" s="125" t="str">
        <f>Macro!BJ$3</f>
        <v>1Q22</v>
      </c>
      <c r="BK91" s="125" t="str">
        <f>Macro!BK$3</f>
        <v>2Q22</v>
      </c>
      <c r="BL91" s="125" t="str">
        <f>Macro!BL$3</f>
        <v>3Q22</v>
      </c>
      <c r="BM91" s="125" t="str">
        <f>Macro!BM$3</f>
        <v>4Q22</v>
      </c>
      <c r="BN91" s="126" t="str">
        <f>Macro!BN$3</f>
        <v>2022</v>
      </c>
      <c r="BO91" s="125" t="str">
        <f>Macro!BO$3</f>
        <v>1Q23</v>
      </c>
      <c r="BP91" s="125" t="str">
        <f>Macro!BP$3</f>
        <v>2Q23</v>
      </c>
      <c r="BQ91" s="125" t="str">
        <f>Macro!BQ$3</f>
        <v>3Q23</v>
      </c>
      <c r="BR91" s="125" t="str">
        <f>Macro!BR$3</f>
        <v>4Q23</v>
      </c>
      <c r="BS91" s="126" t="str">
        <f>Macro!BS$3</f>
        <v>2023</v>
      </c>
      <c r="BT91" s="125" t="str">
        <f>Macro!BT$3</f>
        <v>1Q24</v>
      </c>
      <c r="BU91" s="125" t="str">
        <f>Macro!BU$3</f>
        <v>2Q24</v>
      </c>
      <c r="BV91" s="125" t="str">
        <f>Macro!BV$3</f>
        <v>3Q24</v>
      </c>
      <c r="BW91" s="125" t="str">
        <f>Macro!BW$3</f>
        <v>4Q24</v>
      </c>
      <c r="BX91" s="126" t="str">
        <f>Macro!BX$3</f>
        <v>2024</v>
      </c>
      <c r="BY91" s="125" t="str">
        <f>Macro!BY$3</f>
        <v>1Q25</v>
      </c>
      <c r="BZ91" s="125" t="str">
        <f>Macro!BZ$3</f>
        <v>2Q25</v>
      </c>
      <c r="CA91" s="125" t="str">
        <f>Macro!CA$3</f>
        <v>3Q25</v>
      </c>
      <c r="CB91" s="125" t="str">
        <f>Macro!CB$3</f>
        <v>4Q25</v>
      </c>
      <c r="CC91" s="126" t="str">
        <f>Macro!CC$3</f>
        <v>2025</v>
      </c>
      <c r="CD91" s="125" t="str">
        <f>Macro!CD$3</f>
        <v>1Q26</v>
      </c>
      <c r="CE91" s="125" t="str">
        <f>Macro!CE$3</f>
        <v>2Q26</v>
      </c>
      <c r="CF91" s="125" t="str">
        <f>Macro!CF$3</f>
        <v>3Q26E</v>
      </c>
      <c r="CG91" s="125" t="str">
        <f>Macro!CG$3</f>
        <v>4Q26E</v>
      </c>
      <c r="CH91" s="126" t="str">
        <f>Macro!CH$3</f>
        <v>2026E</v>
      </c>
      <c r="CI91" s="125" t="str">
        <f>Macro!CI$3</f>
        <v>1Q27E</v>
      </c>
      <c r="CJ91" s="125" t="str">
        <f>Macro!CJ$3</f>
        <v>2Q27E</v>
      </c>
      <c r="CK91" s="125" t="str">
        <f>Macro!CK$3</f>
        <v>3Q27E</v>
      </c>
      <c r="CL91" s="125" t="str">
        <f>Macro!CL$3</f>
        <v>4Q27E</v>
      </c>
      <c r="CM91" s="126" t="str">
        <f>Macro!CM$3</f>
        <v>2027E</v>
      </c>
      <c r="CN91" s="125" t="str">
        <f>Macro!CN$3</f>
        <v>1Q28E</v>
      </c>
      <c r="CO91" s="125" t="str">
        <f>Macro!CO$3</f>
        <v>2Q28E</v>
      </c>
      <c r="CP91" s="125" t="str">
        <f>Macro!CP$3</f>
        <v>3Q28E</v>
      </c>
      <c r="CQ91" s="125" t="str">
        <f>Macro!CQ$3</f>
        <v>4Q28E</v>
      </c>
      <c r="CR91" s="126" t="str">
        <f>Macro!CR$3</f>
        <v>2028E</v>
      </c>
      <c r="CS91" s="125" t="str">
        <f>Macro!CS$3</f>
        <v>1Q29E</v>
      </c>
      <c r="CT91" s="125" t="str">
        <f>Macro!CT$3</f>
        <v>2Q29E</v>
      </c>
      <c r="CU91" s="125" t="str">
        <f>Macro!CU$3</f>
        <v>3Q29E</v>
      </c>
      <c r="CV91" s="125" t="str">
        <f>Macro!CV$3</f>
        <v>4Q29E</v>
      </c>
      <c r="CW91" s="126" t="str">
        <f>Macro!CW$3</f>
        <v>2029E</v>
      </c>
      <c r="CX91" s="125" t="str">
        <f>Macro!CX$3</f>
        <v>1Q30E</v>
      </c>
      <c r="CY91" s="125" t="str">
        <f>Macro!CY$3</f>
        <v>2Q30E</v>
      </c>
      <c r="CZ91" s="125" t="str">
        <f>Macro!CZ$3</f>
        <v>3Q30E</v>
      </c>
      <c r="DA91" s="125" t="str">
        <f>Macro!DA$3</f>
        <v>4Q30E</v>
      </c>
      <c r="DB91" s="126" t="str">
        <f>Macro!DB$3</f>
        <v>2030E</v>
      </c>
    </row>
    <row r="92" spans="1:107" s="7" customFormat="1" ht="11.5" customHeight="1" thickTop="1" x14ac:dyDescent="0.35">
      <c r="A92" s="224" t="s">
        <v>63</v>
      </c>
      <c r="B92" s="530"/>
      <c r="C92" s="530"/>
      <c r="D92" s="530"/>
      <c r="E92" s="530"/>
      <c r="F92" s="226"/>
      <c r="G92" s="530"/>
      <c r="H92" s="530"/>
      <c r="I92" s="530"/>
      <c r="J92" s="530"/>
      <c r="K92" s="226"/>
      <c r="L92" s="530"/>
      <c r="M92" s="530"/>
      <c r="N92" s="530"/>
      <c r="O92" s="530"/>
      <c r="P92" s="226"/>
      <c r="Q92" s="530"/>
      <c r="R92" s="530"/>
      <c r="S92" s="530"/>
      <c r="T92" s="530"/>
      <c r="U92" s="226"/>
      <c r="V92" s="530"/>
      <c r="W92" s="530"/>
      <c r="X92" s="530"/>
      <c r="Y92" s="530"/>
      <c r="Z92" s="226"/>
      <c r="AA92" s="530"/>
      <c r="AB92" s="530"/>
      <c r="AC92" s="530"/>
      <c r="AD92" s="530"/>
      <c r="AE92" s="226"/>
      <c r="AF92" s="530"/>
      <c r="AG92" s="530"/>
      <c r="AH92" s="530"/>
      <c r="AI92" s="530"/>
      <c r="AJ92" s="226"/>
      <c r="AK92" s="530"/>
      <c r="AL92" s="530"/>
      <c r="AM92" s="530"/>
      <c r="AN92" s="530"/>
      <c r="AO92" s="226"/>
      <c r="AP92" s="530"/>
      <c r="AQ92" s="530"/>
      <c r="AR92" s="530"/>
      <c r="AS92" s="530"/>
      <c r="AT92" s="226"/>
      <c r="AU92" s="530"/>
      <c r="AV92" s="530"/>
      <c r="AW92" s="530"/>
      <c r="AX92" s="530"/>
      <c r="AY92" s="226"/>
      <c r="AZ92" s="530">
        <v>465235.39480725687</v>
      </c>
      <c r="BA92" s="530">
        <v>109293.130668632</v>
      </c>
      <c r="BB92" s="530">
        <v>333687.93277285219</v>
      </c>
      <c r="BC92" s="530">
        <v>1137518.2812251246</v>
      </c>
      <c r="BD92" s="226">
        <f>SUM(AZ92:BC92)</f>
        <v>2045734.7394738656</v>
      </c>
      <c r="BE92" s="530">
        <v>62578.633613525461</v>
      </c>
      <c r="BF92" s="530">
        <v>513233.51007731579</v>
      </c>
      <c r="BG92" s="530">
        <v>512458.8749325684</v>
      </c>
      <c r="BH92" s="530">
        <v>634073.35572526802</v>
      </c>
      <c r="BI92" s="226">
        <f>SUM(BE92:BH92)</f>
        <v>1722344.3743486777</v>
      </c>
      <c r="BJ92" s="530">
        <v>117008.45187642865</v>
      </c>
      <c r="BK92" s="530">
        <v>311049.58674483973</v>
      </c>
      <c r="BL92" s="530">
        <v>161127.89807239268</v>
      </c>
      <c r="BM92" s="530">
        <v>77073.546706541601</v>
      </c>
      <c r="BN92" s="226">
        <f>SUM(BJ92:BM92)</f>
        <v>666259.48340020259</v>
      </c>
      <c r="BO92" s="530">
        <v>113466.13886471668</v>
      </c>
      <c r="BP92" s="530">
        <v>435871.03091859492</v>
      </c>
      <c r="BQ92" s="530">
        <v>583213.4972550479</v>
      </c>
      <c r="BR92" s="530">
        <v>352107.60500039608</v>
      </c>
      <c r="BS92" s="226">
        <f>SUM(BO92:BR92)</f>
        <v>1484658.2720387555</v>
      </c>
      <c r="BT92" s="530">
        <v>450761.51199807931</v>
      </c>
      <c r="BU92" s="530">
        <v>467901.52488155721</v>
      </c>
      <c r="BV92" s="530">
        <v>706585.60193402506</v>
      </c>
      <c r="BW92" s="530">
        <v>1418972.5487755178</v>
      </c>
      <c r="BX92" s="226">
        <f>SUM(BT92:BW92)</f>
        <v>3044221.1875891797</v>
      </c>
      <c r="BY92" s="530">
        <v>1048250.6874377301</v>
      </c>
      <c r="BZ92" s="530">
        <v>1316101.044899171</v>
      </c>
      <c r="CA92" s="530">
        <v>1460433.8112905954</v>
      </c>
      <c r="CB92" s="530">
        <v>1584581.8350946845</v>
      </c>
      <c r="CC92" s="226">
        <f>SUM(BY92:CB92)</f>
        <v>5409367.3787221815</v>
      </c>
      <c r="CD92" s="530">
        <v>962776.09144343226</v>
      </c>
      <c r="CE92" s="530">
        <v>1438712.0674734444</v>
      </c>
      <c r="CF92" s="611">
        <f>CC92*(1+Macro!CH11)*25%*1.3</f>
        <v>1828366.1740080973</v>
      </c>
      <c r="CG92" s="611">
        <f>CC92*(1+Macro!CH11)*25%*1.3</f>
        <v>1828366.1740080973</v>
      </c>
      <c r="CH92" s="226">
        <f>SUM(CD92:CG92)</f>
        <v>6058220.5069330717</v>
      </c>
      <c r="CI92" s="612">
        <f>CH92*(1+Macro!CM11)*25%*1.1</f>
        <v>1732651.0649828587</v>
      </c>
      <c r="CJ92" s="612">
        <f>CH92*(1+Macro!CM11)*25%*1.1</f>
        <v>1732651.0649828587</v>
      </c>
      <c r="CK92" s="612">
        <f>CH92*(1+Macro!CM11)*25%*1.1</f>
        <v>1732651.0649828587</v>
      </c>
      <c r="CL92" s="612">
        <f>CH92*(1+Macro!CM11)*25%*1.1</f>
        <v>1732651.0649828587</v>
      </c>
      <c r="CM92" s="226">
        <f>SUM(CI92:CL92)</f>
        <v>6930604.2599314349</v>
      </c>
      <c r="CN92" s="612">
        <f>CM92*(1+Macro!CR11)*25%</f>
        <v>1793293.8522572587</v>
      </c>
      <c r="CO92" s="612">
        <f>CM92*(1+Macro!CR11)*25%</f>
        <v>1793293.8522572587</v>
      </c>
      <c r="CP92" s="612">
        <f>CM92*(1+Macro!CR11)*25%</f>
        <v>1793293.8522572587</v>
      </c>
      <c r="CQ92" s="612">
        <f>CM92*(1+Macro!CR11)*25%</f>
        <v>1793293.8522572587</v>
      </c>
      <c r="CR92" s="226">
        <f>SUM(CN92:CQ92)</f>
        <v>7173175.4090290349</v>
      </c>
      <c r="CS92" s="612">
        <f>CR92*(1+Macro!CW11)*25%</f>
        <v>1856059.1370862627</v>
      </c>
      <c r="CT92" s="612">
        <f>CR92*(1+Macro!CW11)*25%</f>
        <v>1856059.1370862627</v>
      </c>
      <c r="CU92" s="612">
        <f>CR92*(1+Macro!CW11)*25%</f>
        <v>1856059.1370862627</v>
      </c>
      <c r="CV92" s="612">
        <f>CR92*(1+Macro!CW11)*25%</f>
        <v>1856059.1370862627</v>
      </c>
      <c r="CW92" s="226">
        <f t="shared" ref="CW92" si="638">SUM(CS92:CV92)</f>
        <v>7424236.5483450508</v>
      </c>
      <c r="CX92" s="612">
        <f>CW92*(1+Macro!DB11)*25%</f>
        <v>1921021.2068842817</v>
      </c>
      <c r="CY92" s="612">
        <f>CW92*(1+Macro!DB11)*25%</f>
        <v>1921021.2068842817</v>
      </c>
      <c r="CZ92" s="612">
        <f>CW92*(1+Macro!DB11)*25%</f>
        <v>1921021.2068842817</v>
      </c>
      <c r="DA92" s="612">
        <f>CW92*(1+Macro!DB11)*25%</f>
        <v>1921021.2068842817</v>
      </c>
      <c r="DB92" s="226">
        <f t="shared" ref="DB92" si="639">SUM(CX92:DA92)</f>
        <v>7684084.8275371268</v>
      </c>
    </row>
    <row r="93" spans="1:107" s="7" customFormat="1" ht="11.5" customHeight="1" x14ac:dyDescent="0.35">
      <c r="A93" s="224" t="s">
        <v>64</v>
      </c>
      <c r="B93" s="396"/>
      <c r="C93" s="396"/>
      <c r="D93" s="396"/>
      <c r="E93" s="396"/>
      <c r="F93" s="226"/>
      <c r="G93" s="396"/>
      <c r="H93" s="396"/>
      <c r="I93" s="396"/>
      <c r="J93" s="396"/>
      <c r="K93" s="226"/>
      <c r="L93" s="396"/>
      <c r="M93" s="396"/>
      <c r="N93" s="396"/>
      <c r="O93" s="396"/>
      <c r="P93" s="226"/>
      <c r="Q93" s="396"/>
      <c r="R93" s="396"/>
      <c r="S93" s="396"/>
      <c r="T93" s="396"/>
      <c r="U93" s="226"/>
      <c r="V93" s="396"/>
      <c r="W93" s="396"/>
      <c r="X93" s="396"/>
      <c r="Y93" s="396"/>
      <c r="Z93" s="226"/>
      <c r="AA93" s="396"/>
      <c r="AB93" s="396"/>
      <c r="AC93" s="396"/>
      <c r="AD93" s="396"/>
      <c r="AE93" s="226"/>
      <c r="AF93" s="396"/>
      <c r="AG93" s="396"/>
      <c r="AH93" s="396"/>
      <c r="AI93" s="396"/>
      <c r="AJ93" s="226"/>
      <c r="AK93" s="396"/>
      <c r="AL93" s="396"/>
      <c r="AM93" s="396"/>
      <c r="AN93" s="396"/>
      <c r="AO93" s="226"/>
      <c r="AP93" s="396"/>
      <c r="AQ93" s="396"/>
      <c r="AR93" s="396"/>
      <c r="AS93" s="396"/>
      <c r="AT93" s="226"/>
      <c r="AU93" s="396"/>
      <c r="AV93" s="396"/>
      <c r="AW93" s="396"/>
      <c r="AX93" s="396"/>
      <c r="AY93" s="226"/>
      <c r="AZ93" s="396">
        <v>400429.53230796941</v>
      </c>
      <c r="BA93" s="396">
        <v>109293.130668632</v>
      </c>
      <c r="BB93" s="396">
        <v>287371.11267591803</v>
      </c>
      <c r="BC93" s="396">
        <v>984801.79772975412</v>
      </c>
      <c r="BD93" s="226">
        <f>SUM(AZ93:BC93)</f>
        <v>1781895.5733822735</v>
      </c>
      <c r="BE93" s="396">
        <v>48030.016510200243</v>
      </c>
      <c r="BF93" s="396">
        <v>433419.2871068815</v>
      </c>
      <c r="BG93" s="396">
        <v>428606.5873328512</v>
      </c>
      <c r="BH93" s="396">
        <v>568314.73086280574</v>
      </c>
      <c r="BI93" s="226">
        <f>SUM(BE93:BH93)</f>
        <v>1478370.6218127385</v>
      </c>
      <c r="BJ93" s="396">
        <v>108249.00969794866</v>
      </c>
      <c r="BK93" s="396">
        <v>218576.0426944569</v>
      </c>
      <c r="BL93" s="396">
        <v>161127.89807239268</v>
      </c>
      <c r="BM93" s="396">
        <v>41039.471118550799</v>
      </c>
      <c r="BN93" s="226">
        <f>SUM(BJ93:BM93)</f>
        <v>528992.421583349</v>
      </c>
      <c r="BO93" s="396">
        <v>96459.052003902339</v>
      </c>
      <c r="BP93" s="396">
        <v>280448.19911792176</v>
      </c>
      <c r="BQ93" s="396">
        <v>420965.38375504792</v>
      </c>
      <c r="BR93" s="396">
        <v>253424.22500019803</v>
      </c>
      <c r="BS93" s="226">
        <f>SUM(BO93:BR93)</f>
        <v>1051296.8598770699</v>
      </c>
      <c r="BT93" s="396">
        <v>359245.06719807931</v>
      </c>
      <c r="BU93" s="396">
        <v>388845.26045082859</v>
      </c>
      <c r="BV93" s="396">
        <v>598504.53053402493</v>
      </c>
      <c r="BW93" s="396">
        <v>1078509.4369755178</v>
      </c>
      <c r="BX93" s="226">
        <f>SUM(BT93:BW93)</f>
        <v>2425104.2951584505</v>
      </c>
      <c r="BY93" s="396">
        <v>758601.37100340449</v>
      </c>
      <c r="BZ93" s="396">
        <v>840709.23213155195</v>
      </c>
      <c r="CA93" s="396">
        <v>952046.27556040487</v>
      </c>
      <c r="CB93" s="396">
        <v>1272419.9807283187</v>
      </c>
      <c r="CC93" s="226">
        <f>SUM(BY93:CB93)</f>
        <v>3823776.8594236802</v>
      </c>
      <c r="CD93" s="396">
        <v>691942.8400552047</v>
      </c>
      <c r="CE93" s="396">
        <v>1154393.9779533222</v>
      </c>
      <c r="CF93" s="529">
        <f>CF92*CF94</f>
        <v>1467044.6912112676</v>
      </c>
      <c r="CG93" s="529">
        <f t="shared" ref="CG93" si="640">CG92*CG94</f>
        <v>1467044.6912112676</v>
      </c>
      <c r="CH93" s="226">
        <f>SUM(CD93:CG93)</f>
        <v>4780426.2004310619</v>
      </c>
      <c r="CI93" s="529">
        <f t="shared" ref="CI93" si="641">CI92*CI94</f>
        <v>1299488.2987371441</v>
      </c>
      <c r="CJ93" s="529">
        <f t="shared" ref="CJ93:CK93" si="642">CJ92*CJ94</f>
        <v>1299488.2987371441</v>
      </c>
      <c r="CK93" s="529">
        <f t="shared" si="642"/>
        <v>1299488.2987371441</v>
      </c>
      <c r="CL93" s="529">
        <f t="shared" ref="CL93" si="643">CL92*CL94</f>
        <v>1299488.2987371441</v>
      </c>
      <c r="CM93" s="226">
        <f t="shared" ref="CM93" si="644">SUM(CI93:CL93)</f>
        <v>5197953.1949485764</v>
      </c>
      <c r="CN93" s="529">
        <f t="shared" ref="CN93" si="645">CN92*CN94</f>
        <v>1255305.696580081</v>
      </c>
      <c r="CO93" s="529">
        <f t="shared" ref="CO93:CP93" si="646">CO92*CO94</f>
        <v>1255305.696580081</v>
      </c>
      <c r="CP93" s="529">
        <f t="shared" si="646"/>
        <v>1255305.696580081</v>
      </c>
      <c r="CQ93" s="529">
        <f t="shared" ref="CQ93" si="647">CQ92*CQ94</f>
        <v>1255305.696580081</v>
      </c>
      <c r="CR93" s="226">
        <f t="shared" ref="CR93" si="648">SUM(CN93:CQ93)</f>
        <v>5021222.7863203241</v>
      </c>
      <c r="CS93" s="529">
        <f t="shared" ref="CS93" si="649">CS92*CS94</f>
        <v>1299241.3959603838</v>
      </c>
      <c r="CT93" s="529">
        <f t="shared" ref="CT93:CU93" si="650">CT92*CT94</f>
        <v>1299241.3959603838</v>
      </c>
      <c r="CU93" s="529">
        <f t="shared" si="650"/>
        <v>1299241.3959603838</v>
      </c>
      <c r="CV93" s="529">
        <f t="shared" ref="CV93" si="651">CV92*CV94</f>
        <v>1299241.3959603838</v>
      </c>
      <c r="CW93" s="226">
        <f t="shared" ref="CW93" si="652">SUM(CS93:CV93)</f>
        <v>5196965.5838415353</v>
      </c>
      <c r="CX93" s="529">
        <f t="shared" ref="CX93" si="653">CX92*CX94</f>
        <v>1344714.8448189972</v>
      </c>
      <c r="CY93" s="529">
        <f t="shared" ref="CY93:CZ93" si="654">CY92*CY94</f>
        <v>1344714.8448189972</v>
      </c>
      <c r="CZ93" s="529">
        <f t="shared" si="654"/>
        <v>1344714.8448189972</v>
      </c>
      <c r="DA93" s="529">
        <f t="shared" ref="DA93" si="655">DA92*DA94</f>
        <v>1344714.8448189972</v>
      </c>
      <c r="DB93" s="226">
        <f t="shared" ref="DB93" si="656">SUM(CX93:DA93)</f>
        <v>5378859.3792759888</v>
      </c>
    </row>
    <row r="94" spans="1:107" s="7" customFormat="1" ht="11.5" customHeight="1" x14ac:dyDescent="0.35">
      <c r="A94" s="7" t="s">
        <v>66</v>
      </c>
      <c r="B94" s="340"/>
      <c r="C94" s="340"/>
      <c r="D94" s="340"/>
      <c r="E94" s="340"/>
      <c r="F94" s="341"/>
      <c r="G94" s="340"/>
      <c r="H94" s="340"/>
      <c r="I94" s="340"/>
      <c r="J94" s="340"/>
      <c r="K94" s="341"/>
      <c r="L94" s="340"/>
      <c r="M94" s="340"/>
      <c r="N94" s="340"/>
      <c r="O94" s="340"/>
      <c r="P94" s="341"/>
      <c r="Q94" s="340"/>
      <c r="R94" s="340"/>
      <c r="S94" s="340"/>
      <c r="T94" s="340"/>
      <c r="U94" s="341"/>
      <c r="V94" s="340"/>
      <c r="W94" s="340"/>
      <c r="X94" s="340"/>
      <c r="Y94" s="340"/>
      <c r="Z94" s="341"/>
      <c r="AA94" s="340"/>
      <c r="AB94" s="340"/>
      <c r="AC94" s="340"/>
      <c r="AD94" s="340"/>
      <c r="AE94" s="341"/>
      <c r="AF94" s="340"/>
      <c r="AG94" s="340"/>
      <c r="AH94" s="340"/>
      <c r="AI94" s="340"/>
      <c r="AJ94" s="341"/>
      <c r="AK94" s="340"/>
      <c r="AL94" s="340"/>
      <c r="AM94" s="340"/>
      <c r="AN94" s="340"/>
      <c r="AO94" s="341"/>
      <c r="AP94" s="340"/>
      <c r="AQ94" s="340"/>
      <c r="AR94" s="340"/>
      <c r="AS94" s="340"/>
      <c r="AT94" s="341"/>
      <c r="AU94" s="340"/>
      <c r="AV94" s="340"/>
      <c r="AW94" s="340"/>
      <c r="AX94" s="340"/>
      <c r="AY94" s="341"/>
      <c r="AZ94" s="340">
        <f t="shared" ref="AZ94:CC94" si="657">AZ93/AZ92</f>
        <v>0.86070306940825947</v>
      </c>
      <c r="BA94" s="340">
        <f t="shared" si="657"/>
        <v>1</v>
      </c>
      <c r="BB94" s="340">
        <f t="shared" si="657"/>
        <v>0.86119719789668603</v>
      </c>
      <c r="BC94" s="340">
        <f t="shared" si="657"/>
        <v>0.86574590842540788</v>
      </c>
      <c r="BD94" s="341">
        <f t="shared" si="657"/>
        <v>0.87102963008808865</v>
      </c>
      <c r="BE94" s="340">
        <f t="shared" si="657"/>
        <v>0.76751462498885969</v>
      </c>
      <c r="BF94" s="340">
        <f t="shared" si="657"/>
        <v>0.84448750636253134</v>
      </c>
      <c r="BG94" s="340">
        <f t="shared" si="657"/>
        <v>0.83637265017460993</v>
      </c>
      <c r="BH94" s="340">
        <f t="shared" si="657"/>
        <v>0.89629177086735334</v>
      </c>
      <c r="BI94" s="341">
        <f t="shared" si="657"/>
        <v>0.85834786807475683</v>
      </c>
      <c r="BJ94" s="340">
        <f t="shared" si="657"/>
        <v>0.92513838070662846</v>
      </c>
      <c r="BK94" s="340">
        <f t="shared" si="657"/>
        <v>0.70270481623805936</v>
      </c>
      <c r="BL94" s="340">
        <f t="shared" si="657"/>
        <v>1</v>
      </c>
      <c r="BM94" s="340">
        <f t="shared" si="657"/>
        <v>0.53247155311029148</v>
      </c>
      <c r="BN94" s="341">
        <f t="shared" si="657"/>
        <v>0.79397357150351988</v>
      </c>
      <c r="BO94" s="340">
        <f t="shared" si="657"/>
        <v>0.85011310836009379</v>
      </c>
      <c r="BP94" s="340">
        <f t="shared" si="657"/>
        <v>0.64342013858291813</v>
      </c>
      <c r="BQ94" s="340">
        <f t="shared" si="657"/>
        <v>0.72180322598218871</v>
      </c>
      <c r="BR94" s="340">
        <f t="shared" si="657"/>
        <v>0.71973516448164465</v>
      </c>
      <c r="BS94" s="341">
        <f t="shared" si="657"/>
        <v>0.7081069628456742</v>
      </c>
      <c r="BT94" s="340">
        <f t="shared" si="657"/>
        <v>0.79697369370703963</v>
      </c>
      <c r="BU94" s="340">
        <f t="shared" si="657"/>
        <v>0.83104080618087184</v>
      </c>
      <c r="BV94" s="340">
        <f t="shared" si="657"/>
        <v>0.84703754066858017</v>
      </c>
      <c r="BW94" s="340">
        <f t="shared" si="657"/>
        <v>0.76006363752857808</v>
      </c>
      <c r="BX94" s="341">
        <f t="shared" si="657"/>
        <v>0.79662552282509125</v>
      </c>
      <c r="BY94" s="340">
        <f t="shared" si="657"/>
        <v>0.7236831609981349</v>
      </c>
      <c r="BZ94" s="340">
        <f t="shared" si="657"/>
        <v>0.63878775523345954</v>
      </c>
      <c r="CA94" s="340">
        <f t="shared" si="657"/>
        <v>0.65189279253886556</v>
      </c>
      <c r="CB94" s="340">
        <f t="shared" ref="CB94" si="658">CB93/CB92</f>
        <v>0.80300048413232439</v>
      </c>
      <c r="CC94" s="341">
        <f t="shared" si="657"/>
        <v>0.70688060020928833</v>
      </c>
      <c r="CD94" s="340">
        <f t="shared" ref="CD94:CE94" si="659">CD93/CD92</f>
        <v>0.71869549545815625</v>
      </c>
      <c r="CE94" s="340">
        <f t="shared" si="659"/>
        <v>0.80238013154402765</v>
      </c>
      <c r="CF94" s="528">
        <f t="shared" ref="CF94:CG94" si="660">CE94</f>
        <v>0.80238013154402765</v>
      </c>
      <c r="CG94" s="528">
        <f t="shared" si="660"/>
        <v>0.80238013154402765</v>
      </c>
      <c r="CH94" s="341">
        <f t="shared" ref="CH94" si="661">CH93/CH92</f>
        <v>0.78908091822678084</v>
      </c>
      <c r="CI94" s="528">
        <v>0.75</v>
      </c>
      <c r="CJ94" s="528">
        <f t="shared" ref="CJ94:CL94" si="662">CI94</f>
        <v>0.75</v>
      </c>
      <c r="CK94" s="528">
        <f t="shared" si="662"/>
        <v>0.75</v>
      </c>
      <c r="CL94" s="528">
        <f t="shared" si="662"/>
        <v>0.75</v>
      </c>
      <c r="CM94" s="341">
        <f t="shared" ref="CM94:DB94" si="663">CM93/CM92</f>
        <v>0.75</v>
      </c>
      <c r="CN94" s="528">
        <v>0.7</v>
      </c>
      <c r="CO94" s="528">
        <f t="shared" ref="CO94:CQ94" si="664">CN94</f>
        <v>0.7</v>
      </c>
      <c r="CP94" s="528">
        <f t="shared" si="664"/>
        <v>0.7</v>
      </c>
      <c r="CQ94" s="528">
        <f t="shared" si="664"/>
        <v>0.7</v>
      </c>
      <c r="CR94" s="341">
        <f t="shared" si="663"/>
        <v>0.7</v>
      </c>
      <c r="CS94" s="528">
        <v>0.7</v>
      </c>
      <c r="CT94" s="528">
        <f t="shared" ref="CT94:CV94" si="665">CS94</f>
        <v>0.7</v>
      </c>
      <c r="CU94" s="528">
        <f t="shared" si="665"/>
        <v>0.7</v>
      </c>
      <c r="CV94" s="528">
        <f t="shared" si="665"/>
        <v>0.7</v>
      </c>
      <c r="CW94" s="341">
        <f t="shared" si="663"/>
        <v>0.7</v>
      </c>
      <c r="CX94" s="528">
        <v>0.7</v>
      </c>
      <c r="CY94" s="528">
        <f t="shared" ref="CY94:DA94" si="666">CX94</f>
        <v>0.7</v>
      </c>
      <c r="CZ94" s="528">
        <f t="shared" si="666"/>
        <v>0.7</v>
      </c>
      <c r="DA94" s="528">
        <f t="shared" si="666"/>
        <v>0.7</v>
      </c>
      <c r="DB94" s="341">
        <f t="shared" si="663"/>
        <v>0.7</v>
      </c>
    </row>
    <row r="95" spans="1:107" s="7" customFormat="1" ht="11.5" customHeight="1" x14ac:dyDescent="0.35">
      <c r="A95" s="127" t="s">
        <v>65</v>
      </c>
      <c r="B95" s="395"/>
      <c r="C95" s="395"/>
      <c r="D95" s="395"/>
      <c r="E95" s="395"/>
      <c r="F95" s="98"/>
      <c r="G95" s="395"/>
      <c r="H95" s="395"/>
      <c r="I95" s="395"/>
      <c r="J95" s="395"/>
      <c r="K95" s="98"/>
      <c r="L95" s="395"/>
      <c r="M95" s="395"/>
      <c r="N95" s="395"/>
      <c r="O95" s="395"/>
      <c r="P95" s="98"/>
      <c r="Q95" s="395"/>
      <c r="R95" s="395"/>
      <c r="S95" s="395"/>
      <c r="T95" s="395"/>
      <c r="U95" s="98"/>
      <c r="V95" s="395"/>
      <c r="W95" s="395"/>
      <c r="X95" s="395"/>
      <c r="Y95" s="395"/>
      <c r="Z95" s="98"/>
      <c r="AA95" s="395"/>
      <c r="AB95" s="395"/>
      <c r="AC95" s="395"/>
      <c r="AD95" s="395"/>
      <c r="AE95" s="98"/>
      <c r="AF95" s="395"/>
      <c r="AG95" s="395"/>
      <c r="AH95" s="395"/>
      <c r="AI95" s="395"/>
      <c r="AJ95" s="98"/>
      <c r="AK95" s="395"/>
      <c r="AL95" s="395"/>
      <c r="AM95" s="395"/>
      <c r="AN95" s="395"/>
      <c r="AO95" s="98"/>
      <c r="AP95" s="395"/>
      <c r="AQ95" s="395"/>
      <c r="AR95" s="395"/>
      <c r="AS95" s="395"/>
      <c r="AT95" s="98"/>
      <c r="AU95" s="395"/>
      <c r="AV95" s="395"/>
      <c r="AW95" s="395"/>
      <c r="AX95" s="395"/>
      <c r="AY95" s="98"/>
      <c r="AZ95" s="395">
        <v>2634</v>
      </c>
      <c r="BA95" s="395">
        <v>576</v>
      </c>
      <c r="BB95" s="395">
        <v>1664</v>
      </c>
      <c r="BC95" s="395">
        <v>5609</v>
      </c>
      <c r="BD95" s="98">
        <f>SUM(AZ95:BC95)</f>
        <v>10483</v>
      </c>
      <c r="BE95" s="395">
        <v>345</v>
      </c>
      <c r="BF95" s="395">
        <v>2750</v>
      </c>
      <c r="BG95" s="395">
        <v>2533</v>
      </c>
      <c r="BH95" s="395">
        <v>2230</v>
      </c>
      <c r="BI95" s="98">
        <f>SUM(BE95:BH95)</f>
        <v>7858</v>
      </c>
      <c r="BJ95" s="395">
        <v>534</v>
      </c>
      <c r="BK95" s="395">
        <v>1276</v>
      </c>
      <c r="BL95" s="395">
        <v>635</v>
      </c>
      <c r="BM95" s="395">
        <v>250</v>
      </c>
      <c r="BN95" s="98">
        <f>SUM(BJ95:BM95)</f>
        <v>2695</v>
      </c>
      <c r="BO95" s="395">
        <v>436</v>
      </c>
      <c r="BP95" s="395">
        <v>1259</v>
      </c>
      <c r="BQ95" s="395">
        <v>2290</v>
      </c>
      <c r="BR95" s="395">
        <v>1321</v>
      </c>
      <c r="BS95" s="98">
        <f>SUM(BO95:BR95)</f>
        <v>5306</v>
      </c>
      <c r="BT95" s="395">
        <v>1835</v>
      </c>
      <c r="BU95" s="395">
        <v>1527</v>
      </c>
      <c r="BV95" s="395">
        <v>2880</v>
      </c>
      <c r="BW95" s="395">
        <v>4987</v>
      </c>
      <c r="BX95" s="98">
        <f>SUM(BT95:BW95)</f>
        <v>11229</v>
      </c>
      <c r="BY95" s="395">
        <v>3886</v>
      </c>
      <c r="BZ95" s="395">
        <v>4372</v>
      </c>
      <c r="CA95" s="395">
        <v>5018</v>
      </c>
      <c r="CB95" s="395">
        <v>6033</v>
      </c>
      <c r="CC95" s="98">
        <f>SUM(BY95:CB95)</f>
        <v>19309</v>
      </c>
      <c r="CD95" s="395">
        <v>3290</v>
      </c>
      <c r="CE95" s="395">
        <v>5201</v>
      </c>
      <c r="CF95" s="90">
        <f>CF92/CF96*1000</f>
        <v>6609.6147283421851</v>
      </c>
      <c r="CG95" s="90">
        <f>CG92/CG96*1000</f>
        <v>6609.6147283421851</v>
      </c>
      <c r="CH95" s="98">
        <f>SUM(CD95:CG95)</f>
        <v>21710.22945668437</v>
      </c>
      <c r="CI95" s="90">
        <f t="shared" ref="CI95:CL95" si="667">CI92/CI96*1000</f>
        <v>6263.6008918735106</v>
      </c>
      <c r="CJ95" s="90">
        <f t="shared" si="667"/>
        <v>6263.6008918735106</v>
      </c>
      <c r="CK95" s="90">
        <f t="shared" si="667"/>
        <v>6263.6008918735106</v>
      </c>
      <c r="CL95" s="90">
        <f t="shared" si="667"/>
        <v>6263.6008918735106</v>
      </c>
      <c r="CM95" s="98">
        <f t="shared" ref="CM95" si="668">SUM(CI95:CL95)</f>
        <v>25054.403567494042</v>
      </c>
      <c r="CN95" s="90">
        <f t="shared" ref="CN95:CQ95" si="669">CN92/CN96*1000</f>
        <v>6482.8269230890837</v>
      </c>
      <c r="CO95" s="90">
        <f t="shared" si="669"/>
        <v>6482.8269230890837</v>
      </c>
      <c r="CP95" s="90">
        <f t="shared" si="669"/>
        <v>6482.8269230890837</v>
      </c>
      <c r="CQ95" s="90">
        <f t="shared" si="669"/>
        <v>6482.8269230890837</v>
      </c>
      <c r="CR95" s="98">
        <f t="shared" ref="CR95" si="670">SUM(CN95:CQ95)</f>
        <v>25931.307692356335</v>
      </c>
      <c r="CS95" s="90">
        <f t="shared" ref="CS95:CV95" si="671">CS92/CS96*1000</f>
        <v>6709.7258653972003</v>
      </c>
      <c r="CT95" s="90">
        <f t="shared" si="671"/>
        <v>6709.7258653972003</v>
      </c>
      <c r="CU95" s="90">
        <f t="shared" si="671"/>
        <v>6709.7258653972003</v>
      </c>
      <c r="CV95" s="90">
        <f t="shared" si="671"/>
        <v>6709.7258653972003</v>
      </c>
      <c r="CW95" s="98">
        <f t="shared" ref="CW95" si="672">SUM(CS95:CV95)</f>
        <v>26838.903461588801</v>
      </c>
      <c r="CX95" s="90">
        <f t="shared" ref="CX95:DA95" si="673">CX92/CX96*1000</f>
        <v>6944.5662706861021</v>
      </c>
      <c r="CY95" s="90">
        <f t="shared" si="673"/>
        <v>6944.5662706861021</v>
      </c>
      <c r="CZ95" s="90">
        <f t="shared" si="673"/>
        <v>6944.5662706861021</v>
      </c>
      <c r="DA95" s="90">
        <f t="shared" si="673"/>
        <v>6944.5662706861021</v>
      </c>
      <c r="DB95" s="98">
        <f t="shared" ref="DB95" si="674">SUM(CX95:DA95)</f>
        <v>27778.265082744409</v>
      </c>
    </row>
    <row r="96" spans="1:107" s="7" customFormat="1" ht="11.5" customHeight="1" x14ac:dyDescent="0.35">
      <c r="A96" s="250" t="s">
        <v>67</v>
      </c>
      <c r="B96" s="93"/>
      <c r="C96" s="93"/>
      <c r="D96" s="93"/>
      <c r="E96" s="93"/>
      <c r="F96" s="73"/>
      <c r="G96" s="93"/>
      <c r="H96" s="93"/>
      <c r="I96" s="93"/>
      <c r="J96" s="93"/>
      <c r="K96" s="73"/>
      <c r="L96" s="93"/>
      <c r="M96" s="93"/>
      <c r="N96" s="93"/>
      <c r="O96" s="93"/>
      <c r="P96" s="73"/>
      <c r="Q96" s="93"/>
      <c r="R96" s="93"/>
      <c r="S96" s="93"/>
      <c r="T96" s="93"/>
      <c r="U96" s="73"/>
      <c r="V96" s="93"/>
      <c r="W96" s="93"/>
      <c r="X96" s="93"/>
      <c r="Y96" s="93"/>
      <c r="Z96" s="73"/>
      <c r="AA96" s="93"/>
      <c r="AB96" s="93"/>
      <c r="AC96" s="93"/>
      <c r="AD96" s="93"/>
      <c r="AE96" s="73"/>
      <c r="AF96" s="93"/>
      <c r="AG96" s="93"/>
      <c r="AH96" s="93"/>
      <c r="AI96" s="93"/>
      <c r="AJ96" s="73"/>
      <c r="AK96" s="93"/>
      <c r="AL96" s="93"/>
      <c r="AM96" s="93"/>
      <c r="AN96" s="93"/>
      <c r="AO96" s="73"/>
      <c r="AP96" s="93"/>
      <c r="AQ96" s="93"/>
      <c r="AR96" s="93"/>
      <c r="AS96" s="93"/>
      <c r="AT96" s="73"/>
      <c r="AU96" s="93"/>
      <c r="AV96" s="93"/>
      <c r="AW96" s="93"/>
      <c r="AX96" s="93"/>
      <c r="AY96" s="73"/>
      <c r="AZ96" s="93">
        <f t="shared" ref="AZ96:BH96" si="675">AZ92*1000/AZ95</f>
        <v>176626.95322978622</v>
      </c>
      <c r="BA96" s="93">
        <f t="shared" si="675"/>
        <v>189745.01852193056</v>
      </c>
      <c r="BB96" s="93">
        <f t="shared" si="675"/>
        <v>200533.61344522366</v>
      </c>
      <c r="BC96" s="93">
        <f t="shared" si="675"/>
        <v>202802.33218490364</v>
      </c>
      <c r="BD96" s="73">
        <f t="shared" si="675"/>
        <v>195147.83358522042</v>
      </c>
      <c r="BE96" s="93">
        <f t="shared" si="675"/>
        <v>181387.34380732017</v>
      </c>
      <c r="BF96" s="93">
        <f t="shared" si="675"/>
        <v>186630.3673008421</v>
      </c>
      <c r="BG96" s="93">
        <f t="shared" si="675"/>
        <v>202313.01813366302</v>
      </c>
      <c r="BH96" s="93">
        <f t="shared" si="675"/>
        <v>284337.82767949236</v>
      </c>
      <c r="BI96" s="73">
        <f t="shared" ref="BI96:CA96" si="676">BI92*1000/BI95</f>
        <v>219183.55489293428</v>
      </c>
      <c r="BJ96" s="93">
        <f t="shared" si="676"/>
        <v>219116.95107945439</v>
      </c>
      <c r="BK96" s="93">
        <f t="shared" si="676"/>
        <v>243769.26860880858</v>
      </c>
      <c r="BL96" s="93">
        <f t="shared" si="676"/>
        <v>253744.72137384673</v>
      </c>
      <c r="BM96" s="93">
        <f t="shared" si="676"/>
        <v>308294.18682616641</v>
      </c>
      <c r="BN96" s="73">
        <f t="shared" si="676"/>
        <v>247220.58753254273</v>
      </c>
      <c r="BO96" s="93">
        <f t="shared" si="676"/>
        <v>260243.43776311164</v>
      </c>
      <c r="BP96" s="93">
        <f t="shared" si="676"/>
        <v>346204.15482017066</v>
      </c>
      <c r="BQ96" s="93">
        <f t="shared" si="676"/>
        <v>254678.38308080696</v>
      </c>
      <c r="BR96" s="93">
        <f t="shared" si="676"/>
        <v>266546.25662406971</v>
      </c>
      <c r="BS96" s="73">
        <f t="shared" si="676"/>
        <v>279807.43913282233</v>
      </c>
      <c r="BT96" s="93">
        <f t="shared" si="676"/>
        <v>245646.60054391241</v>
      </c>
      <c r="BU96" s="93">
        <f t="shared" si="676"/>
        <v>306418.81131732627</v>
      </c>
      <c r="BV96" s="93">
        <f t="shared" si="676"/>
        <v>245342.22289375871</v>
      </c>
      <c r="BW96" s="93">
        <f t="shared" si="676"/>
        <v>284534.29893232766</v>
      </c>
      <c r="BX96" s="73">
        <f t="shared" si="676"/>
        <v>271103.49876117014</v>
      </c>
      <c r="BY96" s="93">
        <f t="shared" si="676"/>
        <v>269750.56290214363</v>
      </c>
      <c r="BZ96" s="93">
        <f t="shared" si="676"/>
        <v>301029.51621664478</v>
      </c>
      <c r="CA96" s="93">
        <f t="shared" si="676"/>
        <v>291039.02177971211</v>
      </c>
      <c r="CB96" s="93">
        <f t="shared" ref="CB96" si="677">CB92*1000/CB95</f>
        <v>262652.38440157211</v>
      </c>
      <c r="CC96" s="73">
        <f>CC92*1000/CC95</f>
        <v>280147.46381077124</v>
      </c>
      <c r="CD96" s="93">
        <f t="shared" ref="CD96:CE96" si="678">CD92*1000/CD95</f>
        <v>292637.10986122559</v>
      </c>
      <c r="CE96" s="93">
        <f t="shared" si="678"/>
        <v>276622.20101392892</v>
      </c>
      <c r="CF96" s="508">
        <f>CE96*(1+Macro!CF92)</f>
        <v>276622.20101392892</v>
      </c>
      <c r="CG96" s="508">
        <f>CF96*(1+Macro!CG92)</f>
        <v>276622.20101392892</v>
      </c>
      <c r="CH96" s="73">
        <f>CH92*1000/CH95</f>
        <v>279049.12377919635</v>
      </c>
      <c r="CI96" s="508">
        <f>CG96*(1+Macro!CI92)</f>
        <v>276622.20101392892</v>
      </c>
      <c r="CJ96" s="508">
        <f>CI96*(1+Macro!CJ92)</f>
        <v>276622.20101392892</v>
      </c>
      <c r="CK96" s="508">
        <f>CJ96*(1+Macro!CK92)</f>
        <v>276622.20101392892</v>
      </c>
      <c r="CL96" s="508">
        <f>CK96*(1+Macro!CL92)</f>
        <v>276622.20101392892</v>
      </c>
      <c r="CM96" s="73">
        <f t="shared" ref="CM96" si="679">CM92*1000/CM95</f>
        <v>276622.20101392892</v>
      </c>
      <c r="CN96" s="508">
        <f>CL96*(1+Macro!CN92)</f>
        <v>276622.20101392892</v>
      </c>
      <c r="CO96" s="508">
        <f>CN96*(1+Macro!CO92)</f>
        <v>276622.20101392892</v>
      </c>
      <c r="CP96" s="508">
        <f>CO96*(1+Macro!CP92)</f>
        <v>276622.20101392892</v>
      </c>
      <c r="CQ96" s="508">
        <f>CP96*(1+Macro!CQ92)</f>
        <v>276622.20101392892</v>
      </c>
      <c r="CR96" s="73">
        <f t="shared" ref="CR96" si="680">CR92*1000/CR95</f>
        <v>276622.20101392892</v>
      </c>
      <c r="CS96" s="508">
        <f>CQ96*(1+Macro!CS92)</f>
        <v>276622.20101392892</v>
      </c>
      <c r="CT96" s="508">
        <f>CS96*(1+Macro!CT92)</f>
        <v>276622.20101392892</v>
      </c>
      <c r="CU96" s="508">
        <f>CT96*(1+Macro!CU92)</f>
        <v>276622.20101392892</v>
      </c>
      <c r="CV96" s="508">
        <f>CU96*(1+Macro!CV92)</f>
        <v>276622.20101392892</v>
      </c>
      <c r="CW96" s="73">
        <f t="shared" ref="CW96" si="681">CW92*1000/CW95</f>
        <v>276622.20101392892</v>
      </c>
      <c r="CX96" s="508">
        <f>CV96*(1+Macro!CX92)</f>
        <v>276622.20101392892</v>
      </c>
      <c r="CY96" s="508">
        <f>CX96*(1+Macro!CY92)</f>
        <v>276622.20101392892</v>
      </c>
      <c r="CZ96" s="508">
        <f>CY96*(1+Macro!CZ92)</f>
        <v>276622.20101392892</v>
      </c>
      <c r="DA96" s="508">
        <f>CZ96*(1+Macro!DA92)</f>
        <v>276622.20101392892</v>
      </c>
      <c r="DB96" s="73">
        <f t="shared" ref="DB96" si="682">DB92*1000/DB95</f>
        <v>276622.20101392892</v>
      </c>
    </row>
    <row r="97" spans="1:107" s="7" customFormat="1" ht="11.5" customHeight="1" x14ac:dyDescent="0.35">
      <c r="A97" s="224" t="s">
        <v>61</v>
      </c>
      <c r="B97" s="396"/>
      <c r="C97" s="396"/>
      <c r="D97" s="396"/>
      <c r="E97" s="396"/>
      <c r="F97" s="225"/>
      <c r="G97" s="396"/>
      <c r="H97" s="396"/>
      <c r="I97" s="396"/>
      <c r="J97" s="396"/>
      <c r="K97" s="225"/>
      <c r="L97" s="396"/>
      <c r="M97" s="396"/>
      <c r="N97" s="396"/>
      <c r="O97" s="396"/>
      <c r="P97" s="225"/>
      <c r="Q97" s="396"/>
      <c r="R97" s="396"/>
      <c r="S97" s="396"/>
      <c r="T97" s="396"/>
      <c r="U97" s="225"/>
      <c r="V97" s="396"/>
      <c r="W97" s="396"/>
      <c r="X97" s="396"/>
      <c r="Y97" s="396"/>
      <c r="Z97" s="225"/>
      <c r="AA97" s="396"/>
      <c r="AB97" s="396"/>
      <c r="AC97" s="396"/>
      <c r="AD97" s="396"/>
      <c r="AE97" s="225"/>
      <c r="AF97" s="396"/>
      <c r="AG97" s="396"/>
      <c r="AH97" s="396"/>
      <c r="AI97" s="396"/>
      <c r="AJ97" s="225"/>
      <c r="AK97" s="396"/>
      <c r="AL97" s="396"/>
      <c r="AM97" s="396"/>
      <c r="AN97" s="396"/>
      <c r="AO97" s="225"/>
      <c r="AP97" s="396"/>
      <c r="AQ97" s="396"/>
      <c r="AR97" s="396"/>
      <c r="AS97" s="396"/>
      <c r="AT97" s="225"/>
      <c r="AU97" s="396"/>
      <c r="AV97" s="396"/>
      <c r="AW97" s="396"/>
      <c r="AX97" s="396"/>
      <c r="AY97" s="225"/>
      <c r="AZ97" s="396">
        <v>268925.98404181295</v>
      </c>
      <c r="BA97" s="396">
        <v>145743.43354295011</v>
      </c>
      <c r="BB97" s="396">
        <v>216016.90896147481</v>
      </c>
      <c r="BC97" s="396">
        <v>516434.78771721531</v>
      </c>
      <c r="BD97" s="225">
        <f>SUM(AZ97:BC97)</f>
        <v>1147121.1142634531</v>
      </c>
      <c r="BE97" s="396">
        <v>330485.9870904159</v>
      </c>
      <c r="BF97" s="396">
        <v>381631.95372575941</v>
      </c>
      <c r="BG97" s="396">
        <v>250276.64600926058</v>
      </c>
      <c r="BH97" s="396">
        <v>404380.79991966288</v>
      </c>
      <c r="BI97" s="225">
        <f>SUM(BE97:BH97)</f>
        <v>1366775.3867450987</v>
      </c>
      <c r="BJ97" s="396">
        <v>325588.58131715312</v>
      </c>
      <c r="BK97" s="396">
        <v>452654.19432283554</v>
      </c>
      <c r="BL97" s="396">
        <v>272727.27304200479</v>
      </c>
      <c r="BM97" s="396">
        <v>277798.73072719981</v>
      </c>
      <c r="BN97" s="225">
        <f>SUM(BJ97:BM97)</f>
        <v>1328768.7794091934</v>
      </c>
      <c r="BO97" s="396">
        <v>299538.62218982098</v>
      </c>
      <c r="BP97" s="396">
        <v>458477.83151338814</v>
      </c>
      <c r="BQ97" s="396">
        <v>522944.61234223132</v>
      </c>
      <c r="BR97" s="396">
        <v>394787.25044151233</v>
      </c>
      <c r="BS97" s="225">
        <f>SUM(BO97:BR97)</f>
        <v>1675748.3164869526</v>
      </c>
      <c r="BT97" s="396">
        <v>409986.52641189483</v>
      </c>
      <c r="BU97" s="396">
        <v>467093.47818145715</v>
      </c>
      <c r="BV97" s="396">
        <v>657197.75721000007</v>
      </c>
      <c r="BW97" s="396">
        <v>1014718.6813700001</v>
      </c>
      <c r="BX97" s="225">
        <f>SUM(BT97:BW97)</f>
        <v>2548996.4431733522</v>
      </c>
      <c r="BY97" s="396">
        <v>876042.70699469943</v>
      </c>
      <c r="BZ97" s="396">
        <v>1302745.837388518</v>
      </c>
      <c r="CA97" s="396">
        <v>931400.3221514707</v>
      </c>
      <c r="CB97" s="396">
        <v>1105900.1258016767</v>
      </c>
      <c r="CC97" s="225">
        <f>SUM(BY97:CB97)</f>
        <v>4216088.9923363654</v>
      </c>
      <c r="CD97" s="396">
        <v>1192314.4525037971</v>
      </c>
      <c r="CE97" s="396">
        <v>1362862.5439616328</v>
      </c>
      <c r="CF97" s="95">
        <f>CF104*CF105</f>
        <v>1444287.1620472607</v>
      </c>
      <c r="CG97" s="95">
        <f>CG104*CG105</f>
        <v>1559510.8656355117</v>
      </c>
      <c r="CH97" s="225">
        <f>SUM(CD97:CG97)</f>
        <v>5558975.0241482016</v>
      </c>
      <c r="CI97" s="95">
        <f t="shared" ref="CI97:CL97" si="683">CI104*CI105</f>
        <v>1611452.9254397156</v>
      </c>
      <c r="CJ97" s="95">
        <f t="shared" si="683"/>
        <v>1647812.3673026587</v>
      </c>
      <c r="CK97" s="95">
        <f t="shared" si="683"/>
        <v>1673263.9766067187</v>
      </c>
      <c r="CL97" s="95">
        <f t="shared" si="683"/>
        <v>1691080.1031195605</v>
      </c>
      <c r="CM97" s="225">
        <f t="shared" ref="CM97:CM98" si="684">SUM(CI97:CL97)</f>
        <v>6623609.3724686531</v>
      </c>
      <c r="CN97" s="95">
        <f t="shared" ref="CN97:CQ97" si="685">CN104*CN105</f>
        <v>1721744.2278608701</v>
      </c>
      <c r="CO97" s="95">
        <f t="shared" si="685"/>
        <v>1743209.1151797865</v>
      </c>
      <c r="CP97" s="95">
        <f t="shared" si="685"/>
        <v>1758234.5363030282</v>
      </c>
      <c r="CQ97" s="95">
        <f t="shared" si="685"/>
        <v>1768752.3310892975</v>
      </c>
      <c r="CR97" s="225">
        <f t="shared" ref="CR97:CR98" si="686">SUM(CN97:CQ97)</f>
        <v>6991940.2104329821</v>
      </c>
      <c r="CS97" s="95">
        <f t="shared" ref="CS97:CV97" si="687">CS104*CS105</f>
        <v>1794944.3728883869</v>
      </c>
      <c r="CT97" s="95">
        <f t="shared" si="687"/>
        <v>1813278.8021477496</v>
      </c>
      <c r="CU97" s="95">
        <f t="shared" si="687"/>
        <v>1826112.9026293035</v>
      </c>
      <c r="CV97" s="95">
        <f t="shared" si="687"/>
        <v>1835096.7729663912</v>
      </c>
      <c r="CW97" s="225">
        <f t="shared" ref="CW97:CW98" si="688">SUM(CS97:CV97)</f>
        <v>7269432.8506318312</v>
      </c>
      <c r="CX97" s="95">
        <f t="shared" ref="CX97:DA97" si="689">CX104*CX105</f>
        <v>1860874.1031417584</v>
      </c>
      <c r="CY97" s="95">
        <f t="shared" si="689"/>
        <v>1878918.2342645153</v>
      </c>
      <c r="CZ97" s="95">
        <f t="shared" si="689"/>
        <v>1891549.1260504453</v>
      </c>
      <c r="DA97" s="95">
        <f t="shared" si="689"/>
        <v>1900390.750300596</v>
      </c>
      <c r="DB97" s="225">
        <f t="shared" ref="DB97:DB98" si="690">SUM(CX97:DA97)</f>
        <v>7531732.2137573157</v>
      </c>
    </row>
    <row r="98" spans="1:107" s="7" customFormat="1" ht="11.5" customHeight="1" x14ac:dyDescent="0.35">
      <c r="A98" s="224" t="s">
        <v>62</v>
      </c>
      <c r="B98" s="396"/>
      <c r="C98" s="396"/>
      <c r="D98" s="396"/>
      <c r="E98" s="396"/>
      <c r="F98" s="225"/>
      <c r="G98" s="396"/>
      <c r="H98" s="396"/>
      <c r="I98" s="396"/>
      <c r="J98" s="396"/>
      <c r="K98" s="225"/>
      <c r="L98" s="396"/>
      <c r="M98" s="396"/>
      <c r="N98" s="396"/>
      <c r="O98" s="396"/>
      <c r="P98" s="225"/>
      <c r="Q98" s="396"/>
      <c r="R98" s="396"/>
      <c r="S98" s="396"/>
      <c r="T98" s="396"/>
      <c r="U98" s="225"/>
      <c r="V98" s="396"/>
      <c r="W98" s="396"/>
      <c r="X98" s="396"/>
      <c r="Y98" s="396"/>
      <c r="Z98" s="225"/>
      <c r="AA98" s="396"/>
      <c r="AB98" s="396"/>
      <c r="AC98" s="396"/>
      <c r="AD98" s="396"/>
      <c r="AE98" s="225"/>
      <c r="AF98" s="396"/>
      <c r="AG98" s="396"/>
      <c r="AH98" s="396"/>
      <c r="AI98" s="396"/>
      <c r="AJ98" s="225"/>
      <c r="AK98" s="396"/>
      <c r="AL98" s="396"/>
      <c r="AM98" s="396"/>
      <c r="AN98" s="396"/>
      <c r="AO98" s="225"/>
      <c r="AP98" s="396"/>
      <c r="AQ98" s="396"/>
      <c r="AR98" s="396"/>
      <c r="AS98" s="396"/>
      <c r="AT98" s="225"/>
      <c r="AU98" s="396"/>
      <c r="AV98" s="396"/>
      <c r="AW98" s="396"/>
      <c r="AX98" s="396"/>
      <c r="AY98" s="225"/>
      <c r="AZ98" s="396">
        <v>217434.84073480536</v>
      </c>
      <c r="BA98" s="396">
        <v>131856.37732333355</v>
      </c>
      <c r="BB98" s="396">
        <v>176286.25087594762</v>
      </c>
      <c r="BC98" s="396">
        <v>450363.18182809727</v>
      </c>
      <c r="BD98" s="225">
        <f>SUM(AZ98:BC98)</f>
        <v>975940.65076218382</v>
      </c>
      <c r="BE98" s="396">
        <v>274702.65186518192</v>
      </c>
      <c r="BF98" s="396">
        <v>309110.49002869823</v>
      </c>
      <c r="BG98" s="396">
        <v>209405.30955975663</v>
      </c>
      <c r="BH98" s="396">
        <v>357730.48955479922</v>
      </c>
      <c r="BI98" s="225">
        <f>SUM(BE98:BH98)</f>
        <v>1150948.941008436</v>
      </c>
      <c r="BJ98" s="396">
        <v>296939.0534210215</v>
      </c>
      <c r="BK98" s="396">
        <v>374756.74388748617</v>
      </c>
      <c r="BL98" s="396">
        <v>228303.1641702675</v>
      </c>
      <c r="BM98" s="396">
        <v>212334.48504518211</v>
      </c>
      <c r="BN98" s="225">
        <f>SUM(BJ98:BM98)</f>
        <v>1112333.4465239572</v>
      </c>
      <c r="BO98" s="396">
        <v>246097.44537717183</v>
      </c>
      <c r="BP98" s="396">
        <v>334579.22805938788</v>
      </c>
      <c r="BQ98" s="396">
        <v>429982.95474282536</v>
      </c>
      <c r="BR98" s="396">
        <v>327889.50955335988</v>
      </c>
      <c r="BS98" s="225">
        <f>SUM(BO98:BR98)</f>
        <v>1338549.1377327449</v>
      </c>
      <c r="BT98" s="396">
        <v>317429.26587722159</v>
      </c>
      <c r="BU98" s="396">
        <v>364358.55128594756</v>
      </c>
      <c r="BV98" s="396">
        <v>542172.27890598169</v>
      </c>
      <c r="BW98" s="396">
        <v>777982.91548905114</v>
      </c>
      <c r="BX98" s="225">
        <f>SUM(BT98:BW98)</f>
        <v>2001943.0115582021</v>
      </c>
      <c r="BY98" s="396">
        <v>627793.8757869571</v>
      </c>
      <c r="BZ98" s="396">
        <v>871861.05097769876</v>
      </c>
      <c r="CA98" s="396">
        <v>611661.92355155922</v>
      </c>
      <c r="CB98" s="396">
        <v>808890.67403746466</v>
      </c>
      <c r="CC98" s="225">
        <f>SUM(BY98:CB98)</f>
        <v>2920207.5243536802</v>
      </c>
      <c r="CD98" s="396">
        <v>885453.98111179704</v>
      </c>
      <c r="CE98" s="396">
        <v>999187.39106281637</v>
      </c>
      <c r="CF98" s="95">
        <f t="shared" ref="CF98" si="691">CF97*CF99</f>
        <v>1065321.3015369594</v>
      </c>
      <c r="CG98" s="95">
        <f t="shared" ref="CG98" si="692">CG97*CG99</f>
        <v>1158560.6382591869</v>
      </c>
      <c r="CH98" s="225">
        <f>SUM(CD98:CG98)</f>
        <v>4108523.3119707596</v>
      </c>
      <c r="CI98" s="95">
        <f t="shared" ref="CI98" si="693">CI97*CI99</f>
        <v>1202449.4384263188</v>
      </c>
      <c r="CJ98" s="95">
        <f t="shared" ref="CJ98" si="694">CJ97*CJ99</f>
        <v>1252487.5904009342</v>
      </c>
      <c r="CK98" s="95">
        <f t="shared" ref="CK98" si="695">CK97*CK99</f>
        <v>1292353.0402917359</v>
      </c>
      <c r="CL98" s="95">
        <f t="shared" ref="CL98" si="696">CL97*CL99</f>
        <v>1294909.8985884134</v>
      </c>
      <c r="CM98" s="225">
        <f t="shared" si="684"/>
        <v>5042199.9677074021</v>
      </c>
      <c r="CN98" s="95">
        <f t="shared" ref="CN98" si="697">CN97*CN99</f>
        <v>1314366.715399218</v>
      </c>
      <c r="CO98" s="95">
        <f t="shared" ref="CO98" si="698">CO97*CO99</f>
        <v>1308444.1031355588</v>
      </c>
      <c r="CP98" s="95">
        <f t="shared" ref="CP98" si="699">CP97*CP99</f>
        <v>1297221.0742086899</v>
      </c>
      <c r="CQ98" s="95">
        <f t="shared" ref="CQ98" si="700">CQ97*CQ99</f>
        <v>1282345.4400397406</v>
      </c>
      <c r="CR98" s="225">
        <f t="shared" si="686"/>
        <v>5202377.3327832073</v>
      </c>
      <c r="CS98" s="95">
        <f t="shared" ref="CS98" si="701">CS97*CS99</f>
        <v>1290116.2680135281</v>
      </c>
      <c r="CT98" s="95">
        <f t="shared" ref="CT98" si="702">CT97*CT99</f>
        <v>1291961.1465302715</v>
      </c>
      <c r="CU98" s="95">
        <f t="shared" ref="CU98" si="703">CU97*CU99</f>
        <v>1289692.2374819457</v>
      </c>
      <c r="CV98" s="95">
        <f t="shared" ref="CV98" si="704">CV97*CV99</f>
        <v>1284567.7410764738</v>
      </c>
      <c r="CW98" s="225">
        <f t="shared" si="688"/>
        <v>5156337.3931022193</v>
      </c>
      <c r="CX98" s="95">
        <f t="shared" ref="CX98" si="705">CX97*CX99</f>
        <v>1302611.8721992311</v>
      </c>
      <c r="CY98" s="95">
        <f t="shared" ref="CY98" si="706">CY97*CY99</f>
        <v>1315242.763985161</v>
      </c>
      <c r="CZ98" s="95">
        <f t="shared" ref="CZ98" si="707">CZ97*CZ99</f>
        <v>1324084.3882353117</v>
      </c>
      <c r="DA98" s="95">
        <f t="shared" ref="DA98" si="708">DA97*DA99</f>
        <v>1330273.5252104173</v>
      </c>
      <c r="DB98" s="225">
        <f t="shared" si="690"/>
        <v>5272212.5496301204</v>
      </c>
    </row>
    <row r="99" spans="1:107" s="7" customFormat="1" ht="11.5" customHeight="1" x14ac:dyDescent="0.35">
      <c r="A99" s="7" t="s">
        <v>66</v>
      </c>
      <c r="B99" s="340"/>
      <c r="C99" s="340"/>
      <c r="D99" s="340"/>
      <c r="E99" s="340"/>
      <c r="F99" s="341"/>
      <c r="G99" s="340"/>
      <c r="H99" s="340"/>
      <c r="I99" s="340"/>
      <c r="J99" s="340"/>
      <c r="K99" s="341"/>
      <c r="L99" s="340"/>
      <c r="M99" s="340"/>
      <c r="N99" s="340"/>
      <c r="O99" s="340"/>
      <c r="P99" s="341"/>
      <c r="Q99" s="340"/>
      <c r="R99" s="340"/>
      <c r="S99" s="340"/>
      <c r="T99" s="340"/>
      <c r="U99" s="341"/>
      <c r="V99" s="340"/>
      <c r="W99" s="340"/>
      <c r="X99" s="340"/>
      <c r="Y99" s="340"/>
      <c r="Z99" s="341"/>
      <c r="AA99" s="340"/>
      <c r="AB99" s="340"/>
      <c r="AC99" s="340"/>
      <c r="AD99" s="340"/>
      <c r="AE99" s="341"/>
      <c r="AF99" s="340"/>
      <c r="AG99" s="340"/>
      <c r="AH99" s="340"/>
      <c r="AI99" s="340"/>
      <c r="AJ99" s="341"/>
      <c r="AK99" s="340"/>
      <c r="AL99" s="340"/>
      <c r="AM99" s="340"/>
      <c r="AN99" s="340"/>
      <c r="AO99" s="341"/>
      <c r="AP99" s="340"/>
      <c r="AQ99" s="340"/>
      <c r="AR99" s="340"/>
      <c r="AS99" s="340"/>
      <c r="AT99" s="341"/>
      <c r="AU99" s="340"/>
      <c r="AV99" s="340"/>
      <c r="AW99" s="340"/>
      <c r="AX99" s="340"/>
      <c r="AY99" s="341"/>
      <c r="AZ99" s="340">
        <f t="shared" ref="AZ99:CA99" si="709">AZ98/AZ97</f>
        <v>0.80853042709699008</v>
      </c>
      <c r="BA99" s="340">
        <f t="shared" si="709"/>
        <v>0.90471573310694586</v>
      </c>
      <c r="BB99" s="340">
        <f t="shared" si="709"/>
        <v>0.81607616609025324</v>
      </c>
      <c r="BC99" s="340">
        <f t="shared" si="709"/>
        <v>0.87206205418273075</v>
      </c>
      <c r="BD99" s="341">
        <f t="shared" si="709"/>
        <v>0.8507738534555862</v>
      </c>
      <c r="BE99" s="340">
        <f t="shared" si="709"/>
        <v>0.83120816795789731</v>
      </c>
      <c r="BF99" s="340">
        <f t="shared" si="709"/>
        <v>0.80997014796833533</v>
      </c>
      <c r="BG99" s="340">
        <f t="shared" si="709"/>
        <v>0.8366953645047982</v>
      </c>
      <c r="BH99" s="340">
        <f t="shared" si="709"/>
        <v>0.88463767227788381</v>
      </c>
      <c r="BI99" s="341">
        <f t="shared" si="709"/>
        <v>0.84209077231728491</v>
      </c>
      <c r="BJ99" s="340">
        <f t="shared" si="709"/>
        <v>0.91200696357276623</v>
      </c>
      <c r="BK99" s="340">
        <f t="shared" si="709"/>
        <v>0.82790957995676395</v>
      </c>
      <c r="BL99" s="340">
        <f t="shared" si="709"/>
        <v>0.83711160099160598</v>
      </c>
      <c r="BM99" s="340">
        <f t="shared" si="709"/>
        <v>0.76434649103453234</v>
      </c>
      <c r="BN99" s="341">
        <f t="shared" si="709"/>
        <v>0.83711588032534201</v>
      </c>
      <c r="BO99" s="340">
        <f t="shared" si="709"/>
        <v>0.82158836005200397</v>
      </c>
      <c r="BP99" s="340">
        <f t="shared" si="709"/>
        <v>0.72976097220442759</v>
      </c>
      <c r="BQ99" s="340">
        <f t="shared" si="709"/>
        <v>0.82223421868132962</v>
      </c>
      <c r="BR99" s="340">
        <f t="shared" si="709"/>
        <v>0.83054736237470428</v>
      </c>
      <c r="BS99" s="341">
        <f t="shared" si="709"/>
        <v>0.79877695508528768</v>
      </c>
      <c r="BT99" s="340">
        <f t="shared" si="709"/>
        <v>0.77424316514810254</v>
      </c>
      <c r="BU99" s="340">
        <f t="shared" si="709"/>
        <v>0.78005488902245179</v>
      </c>
      <c r="BV99" s="340">
        <f t="shared" si="709"/>
        <v>0.82497585081188385</v>
      </c>
      <c r="BW99" s="340">
        <f t="shared" si="709"/>
        <v>0.76669813000651044</v>
      </c>
      <c r="BX99" s="341">
        <f t="shared" si="709"/>
        <v>0.78538478032001469</v>
      </c>
      <c r="BY99" s="340">
        <f t="shared" si="709"/>
        <v>0.71662473846809349</v>
      </c>
      <c r="BZ99" s="340">
        <f t="shared" si="709"/>
        <v>0.66924877129174321</v>
      </c>
      <c r="CA99" s="340">
        <f t="shared" si="709"/>
        <v>0.65671216662096732</v>
      </c>
      <c r="CB99" s="340">
        <f t="shared" ref="CB99" si="710">CB98/CB97</f>
        <v>0.73143193961669251</v>
      </c>
      <c r="CC99" s="225"/>
      <c r="CD99" s="340">
        <f t="shared" ref="CD99:CE99" si="711">CD98/CD97</f>
        <v>0.74263461224712213</v>
      </c>
      <c r="CE99" s="340">
        <f t="shared" si="711"/>
        <v>0.73315346106609669</v>
      </c>
      <c r="CF99" s="533">
        <f>AVERAGE(CD94:CF94,BY94:CB94,BW94)</f>
        <v>0.73761044862219682</v>
      </c>
      <c r="CG99" s="533">
        <f>AVERAGE(CD94:CG94,BY94:CB94)</f>
        <v>0.74290001037412801</v>
      </c>
      <c r="CH99" s="225"/>
      <c r="CI99" s="533">
        <f t="shared" ref="CI99" si="712">AVERAGE(CI94,CD94:CG94,BZ94:CB94)</f>
        <v>0.74618961524936112</v>
      </c>
      <c r="CJ99" s="533">
        <f t="shared" ref="CJ99" si="713">AVERAGE(CI94:CJ94,CD94:CG94,CA94:CB94)</f>
        <v>0.76009114584517867</v>
      </c>
      <c r="CK99" s="533">
        <f t="shared" ref="CK99" si="714">AVERAGE(CI94:CK94,CD94:CG94,CB94)</f>
        <v>0.77235454677782045</v>
      </c>
      <c r="CL99" s="533">
        <f t="shared" ref="CL99" si="715">AVERAGE(CI94:CL94,CD94:CG94)</f>
        <v>0.7657294862612799</v>
      </c>
      <c r="CM99" s="225"/>
      <c r="CN99" s="533">
        <f t="shared" ref="CN99" si="716">AVERAGE(CN94,CI94:CL94,CE94:CG94)</f>
        <v>0.76339254932901035</v>
      </c>
      <c r="CO99" s="533">
        <f t="shared" ref="CO99" si="717">AVERAGE(CN94:CO94,CI94:CL94,CF94:CG94)</f>
        <v>0.75059503288600693</v>
      </c>
      <c r="CP99" s="533">
        <f t="shared" ref="CP99" si="718">AVERAGE(CN94:CP94,CI94:CL94,CG94)</f>
        <v>0.7377975164430034</v>
      </c>
      <c r="CQ99" s="533">
        <f t="shared" ref="CQ99" si="719">AVERAGE(CN94:CQ94,CI94:CL94)</f>
        <v>0.72499999999999998</v>
      </c>
      <c r="CR99" s="225"/>
      <c r="CS99" s="533">
        <f t="shared" ref="CS99" si="720">AVERAGE(CS94,CN94:CQ94,CJ94:CL94)</f>
        <v>0.71875</v>
      </c>
      <c r="CT99" s="533">
        <f t="shared" ref="CT99" si="721">AVERAGE(CS94:CT94,CN94:CQ94,CK94:CL94)</f>
        <v>0.71250000000000002</v>
      </c>
      <c r="CU99" s="533">
        <f t="shared" ref="CU99" si="722">AVERAGE(CS94:CU94,CN94:CQ94,CL94)</f>
        <v>0.70625000000000004</v>
      </c>
      <c r="CV99" s="533">
        <f t="shared" ref="CV99" si="723">AVERAGE(CS94:CV94,CN94:CQ94)</f>
        <v>0.70000000000000007</v>
      </c>
      <c r="CW99" s="225"/>
      <c r="CX99" s="533">
        <f t="shared" ref="CX99" si="724">AVERAGE(CX94,CS94:CV94,CO94:CQ94)</f>
        <v>0.70000000000000007</v>
      </c>
      <c r="CY99" s="533">
        <f t="shared" ref="CY99" si="725">AVERAGE(CX94:CY94,CS94:CV94,CP94:CQ94)</f>
        <v>0.70000000000000007</v>
      </c>
      <c r="CZ99" s="533">
        <f t="shared" ref="CZ99" si="726">AVERAGE(CX94:CZ94,CS94:CV94,CQ94)</f>
        <v>0.70000000000000007</v>
      </c>
      <c r="DA99" s="533">
        <f t="shared" ref="DA99" si="727">AVERAGE(CX94:DA94,CS94:CV94)</f>
        <v>0.70000000000000007</v>
      </c>
      <c r="DB99" s="225"/>
    </row>
    <row r="100" spans="1:107" s="7" customFormat="1" ht="11.5" customHeight="1" x14ac:dyDescent="0.35">
      <c r="A100" s="127" t="s">
        <v>38</v>
      </c>
      <c r="B100" s="395"/>
      <c r="C100" s="395"/>
      <c r="D100" s="395"/>
      <c r="E100" s="395"/>
      <c r="F100" s="98"/>
      <c r="G100" s="395"/>
      <c r="H100" s="395"/>
      <c r="I100" s="395"/>
      <c r="J100" s="395"/>
      <c r="K100" s="98"/>
      <c r="L100" s="395"/>
      <c r="M100" s="395"/>
      <c r="N100" s="395"/>
      <c r="O100" s="395"/>
      <c r="P100" s="98"/>
      <c r="Q100" s="395"/>
      <c r="R100" s="395"/>
      <c r="S100" s="395"/>
      <c r="T100" s="395"/>
      <c r="U100" s="98"/>
      <c r="V100" s="395"/>
      <c r="W100" s="395"/>
      <c r="X100" s="395"/>
      <c r="Y100" s="395"/>
      <c r="Z100" s="98"/>
      <c r="AA100" s="395"/>
      <c r="AB100" s="395"/>
      <c r="AC100" s="395"/>
      <c r="AD100" s="395"/>
      <c r="AE100" s="98"/>
      <c r="AF100" s="395"/>
      <c r="AG100" s="395"/>
      <c r="AH100" s="395"/>
      <c r="AI100" s="395"/>
      <c r="AJ100" s="98"/>
      <c r="AK100" s="395"/>
      <c r="AL100" s="395"/>
      <c r="AM100" s="395"/>
      <c r="AN100" s="395"/>
      <c r="AO100" s="98"/>
      <c r="AP100" s="395"/>
      <c r="AQ100" s="395"/>
      <c r="AR100" s="395"/>
      <c r="AS100" s="395"/>
      <c r="AT100" s="98"/>
      <c r="AU100" s="395"/>
      <c r="AV100" s="395"/>
      <c r="AW100" s="395"/>
      <c r="AX100" s="395"/>
      <c r="AY100" s="98"/>
      <c r="AZ100" s="395">
        <v>1470</v>
      </c>
      <c r="BA100" s="395">
        <v>728</v>
      </c>
      <c r="BB100" s="395">
        <v>1027</v>
      </c>
      <c r="BC100" s="395">
        <v>2436</v>
      </c>
      <c r="BD100" s="98">
        <f>SUM(AZ100:BC100)</f>
        <v>5661</v>
      </c>
      <c r="BE100" s="395">
        <v>1668</v>
      </c>
      <c r="BF100" s="395">
        <v>1914</v>
      </c>
      <c r="BG100" s="395">
        <v>1182</v>
      </c>
      <c r="BH100" s="395">
        <v>1666</v>
      </c>
      <c r="BI100" s="98">
        <f>SUM(BE100:BH100)</f>
        <v>6430</v>
      </c>
      <c r="BJ100" s="395">
        <v>1402</v>
      </c>
      <c r="BK100" s="395">
        <v>2004</v>
      </c>
      <c r="BL100" s="395">
        <v>1118</v>
      </c>
      <c r="BM100" s="395">
        <v>1125</v>
      </c>
      <c r="BN100" s="98">
        <f>SUM(BJ100:BM100)</f>
        <v>5649</v>
      </c>
      <c r="BO100" s="395">
        <v>1226</v>
      </c>
      <c r="BP100" s="395">
        <v>1806</v>
      </c>
      <c r="BQ100" s="395">
        <v>2043</v>
      </c>
      <c r="BR100" s="395">
        <v>1538</v>
      </c>
      <c r="BS100" s="98">
        <f>SUM(BO100:BR100)</f>
        <v>6613</v>
      </c>
      <c r="BT100" s="395">
        <v>1544</v>
      </c>
      <c r="BU100" s="395">
        <v>1651</v>
      </c>
      <c r="BV100" s="395">
        <v>2465</v>
      </c>
      <c r="BW100" s="395">
        <v>3432</v>
      </c>
      <c r="BX100" s="98">
        <f>SUM(BT100:BW100)</f>
        <v>9092</v>
      </c>
      <c r="BY100" s="395">
        <v>3076</v>
      </c>
      <c r="BZ100" s="395">
        <v>4536</v>
      </c>
      <c r="CA100" s="395">
        <v>3190</v>
      </c>
      <c r="CB100" s="395">
        <v>4008</v>
      </c>
      <c r="CC100" s="339">
        <f>SUM(BY100:CB100)</f>
        <v>14810</v>
      </c>
      <c r="CD100" s="395">
        <v>4202</v>
      </c>
      <c r="CE100" s="395">
        <v>4772</v>
      </c>
      <c r="CF100" s="90">
        <f>CF97/CF101*1000</f>
        <v>5124.1129950273089</v>
      </c>
      <c r="CG100" s="90">
        <f>CG97/CG101*1000</f>
        <v>5552.3919156122729</v>
      </c>
      <c r="CH100" s="339">
        <f>SUM(CD100:CG100)</f>
        <v>19650.504910639582</v>
      </c>
      <c r="CI100" s="90">
        <f t="shared" ref="CI100:CL100" si="728">CI97/CI101*1000</f>
        <v>5719.831177435306</v>
      </c>
      <c r="CJ100" s="90">
        <f t="shared" si="728"/>
        <v>5912.9206303139308</v>
      </c>
      <c r="CK100" s="90">
        <f t="shared" si="728"/>
        <v>6043.3294027914535</v>
      </c>
      <c r="CL100" s="90">
        <f t="shared" si="728"/>
        <v>6069.397147826754</v>
      </c>
      <c r="CM100" s="339">
        <f t="shared" ref="CM100" si="729">SUM(CI100:CL100)</f>
        <v>23745.478358367443</v>
      </c>
      <c r="CN100" s="90">
        <f t="shared" ref="CN100:CQ100" si="730">CN97/CN101*1000</f>
        <v>6224.1722520824496</v>
      </c>
      <c r="CO100" s="90">
        <f t="shared" si="730"/>
        <v>6301.7686533844389</v>
      </c>
      <c r="CP100" s="90">
        <f t="shared" si="730"/>
        <v>6356.0861342958324</v>
      </c>
      <c r="CQ100" s="90">
        <f t="shared" si="730"/>
        <v>6394.1083709338081</v>
      </c>
      <c r="CR100" s="339">
        <f t="shared" ref="CR100" si="731">SUM(CN100:CQ100)</f>
        <v>25276.13541069653</v>
      </c>
      <c r="CS100" s="90">
        <f t="shared" ref="CS100:CV100" si="732">CS97/CS101*1000</f>
        <v>6488.7936192728257</v>
      </c>
      <c r="CT100" s="90">
        <f t="shared" si="732"/>
        <v>6555.0732931101384</v>
      </c>
      <c r="CU100" s="90">
        <f t="shared" si="732"/>
        <v>6601.469064796257</v>
      </c>
      <c r="CV100" s="90">
        <f t="shared" si="732"/>
        <v>6633.9461049765396</v>
      </c>
      <c r="CW100" s="339">
        <f t="shared" ref="CW100" si="733">SUM(CS100:CV100)</f>
        <v>26279.282082155762</v>
      </c>
      <c r="CX100" s="90">
        <f t="shared" ref="CX100:DA100" si="734">CX97/CX101*1000</f>
        <v>6727.1321546894087</v>
      </c>
      <c r="CY100" s="90">
        <f t="shared" si="734"/>
        <v>6792.3623894884167</v>
      </c>
      <c r="CZ100" s="90">
        <f t="shared" si="734"/>
        <v>6838.0235538477218</v>
      </c>
      <c r="DA100" s="90">
        <f t="shared" si="734"/>
        <v>6869.9863688992355</v>
      </c>
      <c r="DB100" s="339">
        <f t="shared" ref="DB100" si="735">SUM(CX100:DA100)</f>
        <v>27227.50446692478</v>
      </c>
    </row>
    <row r="101" spans="1:107" s="7" customFormat="1" ht="11.5" customHeight="1" x14ac:dyDescent="0.35">
      <c r="A101" s="250" t="s">
        <v>68</v>
      </c>
      <c r="B101" s="93"/>
      <c r="C101" s="93"/>
      <c r="D101" s="93"/>
      <c r="E101" s="93"/>
      <c r="F101" s="159"/>
      <c r="G101" s="93"/>
      <c r="H101" s="93"/>
      <c r="I101" s="93"/>
      <c r="J101" s="93"/>
      <c r="K101" s="159"/>
      <c r="L101" s="93"/>
      <c r="M101" s="93"/>
      <c r="N101" s="93"/>
      <c r="O101" s="93"/>
      <c r="P101" s="159"/>
      <c r="Q101" s="93"/>
      <c r="R101" s="93"/>
      <c r="S101" s="93"/>
      <c r="T101" s="93"/>
      <c r="U101" s="159"/>
      <c r="V101" s="93"/>
      <c r="W101" s="93"/>
      <c r="X101" s="93"/>
      <c r="Y101" s="93"/>
      <c r="Z101" s="159"/>
      <c r="AA101" s="93"/>
      <c r="AB101" s="93"/>
      <c r="AC101" s="93"/>
      <c r="AD101" s="93"/>
      <c r="AE101" s="159"/>
      <c r="AF101" s="93"/>
      <c r="AG101" s="93"/>
      <c r="AH101" s="93"/>
      <c r="AI101" s="93"/>
      <c r="AJ101" s="159"/>
      <c r="AK101" s="93"/>
      <c r="AL101" s="93"/>
      <c r="AM101" s="93"/>
      <c r="AN101" s="93"/>
      <c r="AO101" s="159"/>
      <c r="AP101" s="93"/>
      <c r="AQ101" s="93"/>
      <c r="AR101" s="93"/>
      <c r="AS101" s="93"/>
      <c r="AT101" s="159"/>
      <c r="AU101" s="93"/>
      <c r="AV101" s="93"/>
      <c r="AW101" s="93"/>
      <c r="AX101" s="93"/>
      <c r="AY101" s="159"/>
      <c r="AZ101" s="93">
        <f t="shared" ref="AZ101:CA101" si="736">AZ97*1000/AZ100</f>
        <v>182942.84628694758</v>
      </c>
      <c r="BA101" s="93">
        <f t="shared" si="736"/>
        <v>200197.02409745893</v>
      </c>
      <c r="BB101" s="93">
        <f t="shared" si="736"/>
        <v>210337.78866745357</v>
      </c>
      <c r="BC101" s="93">
        <f t="shared" si="736"/>
        <v>212001.14438309331</v>
      </c>
      <c r="BD101" s="159">
        <f t="shared" si="736"/>
        <v>202635.77358478238</v>
      </c>
      <c r="BE101" s="93">
        <f t="shared" si="736"/>
        <v>198133.08578562105</v>
      </c>
      <c r="BF101" s="93">
        <f t="shared" si="736"/>
        <v>199389.73548890252</v>
      </c>
      <c r="BG101" s="93">
        <f t="shared" si="736"/>
        <v>211739.97124302926</v>
      </c>
      <c r="BH101" s="93">
        <f t="shared" si="736"/>
        <v>242725.57017986968</v>
      </c>
      <c r="BI101" s="159">
        <f t="shared" si="736"/>
        <v>212562.26854511647</v>
      </c>
      <c r="BJ101" s="93">
        <f t="shared" si="736"/>
        <v>232231.51306501648</v>
      </c>
      <c r="BK101" s="93">
        <f t="shared" si="736"/>
        <v>225875.34646848083</v>
      </c>
      <c r="BL101" s="93">
        <f t="shared" si="736"/>
        <v>243942.10468873414</v>
      </c>
      <c r="BM101" s="93">
        <f t="shared" si="736"/>
        <v>246932.20509084425</v>
      </c>
      <c r="BN101" s="159">
        <f t="shared" si="736"/>
        <v>235221.94714271437</v>
      </c>
      <c r="BO101" s="93">
        <f t="shared" si="736"/>
        <v>244321.87780572675</v>
      </c>
      <c r="BP101" s="93">
        <f t="shared" si="736"/>
        <v>253863.6940827177</v>
      </c>
      <c r="BQ101" s="93">
        <f t="shared" si="736"/>
        <v>255968.9732463198</v>
      </c>
      <c r="BR101" s="93">
        <f t="shared" si="736"/>
        <v>256688.71940280386</v>
      </c>
      <c r="BS101" s="159">
        <f t="shared" si="736"/>
        <v>253402.134657032</v>
      </c>
      <c r="BT101" s="93">
        <f t="shared" si="736"/>
        <v>265535.31503361062</v>
      </c>
      <c r="BU101" s="93">
        <f t="shared" si="736"/>
        <v>282915.49253873841</v>
      </c>
      <c r="BV101" s="93">
        <f t="shared" si="736"/>
        <v>266611.66621095338</v>
      </c>
      <c r="BW101" s="93">
        <f t="shared" si="736"/>
        <v>295663.95144813525</v>
      </c>
      <c r="BX101" s="159">
        <f t="shared" si="736"/>
        <v>280355.9660331448</v>
      </c>
      <c r="BY101" s="93">
        <f t="shared" si="736"/>
        <v>284799.31956914807</v>
      </c>
      <c r="BZ101" s="93">
        <f t="shared" si="736"/>
        <v>287201.46326907363</v>
      </c>
      <c r="CA101" s="93">
        <f t="shared" si="736"/>
        <v>291975.02261801588</v>
      </c>
      <c r="CB101" s="93">
        <f t="shared" ref="CB101" si="737">CB97*1000/CB100</f>
        <v>275923.18508025864</v>
      </c>
      <c r="CC101" s="73">
        <f>CC97*1000/CC100</f>
        <v>284678.52750414348</v>
      </c>
      <c r="CD101" s="93">
        <f t="shared" ref="CD101:CE101" si="738">CD97*1000/CD100</f>
        <v>283749.27475102263</v>
      </c>
      <c r="CE101" s="93">
        <f t="shared" si="738"/>
        <v>285595.67140855675</v>
      </c>
      <c r="CF101" s="506">
        <f>AVERAGE(BY96:CB96,CD96:CF96,BW96)</f>
        <v>281860.91201518546</v>
      </c>
      <c r="CG101" s="506">
        <f>AVERAGE(BY96:CB96,CD96:CG96)</f>
        <v>280871.89977538562</v>
      </c>
      <c r="CH101" s="73">
        <f>CH97*1000/CH100</f>
        <v>282892.22335138812</v>
      </c>
      <c r="CI101" s="506">
        <f t="shared" ref="CI101" si="739">AVERAGE(BZ96:CB96,CD96:CG96,CI96)</f>
        <v>281730.85453935881</v>
      </c>
      <c r="CJ101" s="506">
        <f t="shared" ref="CJ101" si="740">AVERAGE(CD96:CG96,CI96:CJ96,CA96:CB96)</f>
        <v>278679.94013901934</v>
      </c>
      <c r="CK101" s="506">
        <f t="shared" ref="CK101" si="741">AVERAGE(CD96:CG96,CI96:CK96,CB96)</f>
        <v>276877.83754329645</v>
      </c>
      <c r="CL101" s="506">
        <f t="shared" ref="CL101" si="742">AVERAGE(CD96:CG96,CI96:CL96)</f>
        <v>278624.06461984105</v>
      </c>
      <c r="CM101" s="73">
        <f t="shared" ref="CM101" si="743">CM97*1000/CM100</f>
        <v>278941.92201584444</v>
      </c>
      <c r="CN101" s="506">
        <f t="shared" ref="CN101" si="744">AVERAGE(CE96:CG96,CI96:CL96,CN96)</f>
        <v>276622.20101392892</v>
      </c>
      <c r="CO101" s="506">
        <f t="shared" ref="CO101" si="745">AVERAGE(CI96:CL96,CN96:CO96,CF96:CG96)</f>
        <v>276622.20101392892</v>
      </c>
      <c r="CP101" s="506">
        <f t="shared" ref="CP101" si="746">AVERAGE(CI96:CL96,CN96:CP96,CG96)</f>
        <v>276622.20101392892</v>
      </c>
      <c r="CQ101" s="506">
        <f t="shared" ref="CQ101" si="747">AVERAGE(CI96:CL96,CN96:CQ96)</f>
        <v>276622.20101392892</v>
      </c>
      <c r="CR101" s="73">
        <f t="shared" ref="CR101" si="748">CR97*1000/CR100</f>
        <v>276622.20101392892</v>
      </c>
      <c r="CS101" s="506">
        <f t="shared" ref="CS101" si="749">AVERAGE(CJ96:CL96,CN96:CQ96,CS96)</f>
        <v>276622.20101392892</v>
      </c>
      <c r="CT101" s="506">
        <f t="shared" ref="CT101" si="750">AVERAGE(CN96:CQ96,CS96:CT96,CK96:CL96)</f>
        <v>276622.20101392892</v>
      </c>
      <c r="CU101" s="506">
        <f t="shared" ref="CU101" si="751">AVERAGE(CN96:CQ96,CS96:CU96,CL96)</f>
        <v>276622.20101392892</v>
      </c>
      <c r="CV101" s="506">
        <f t="shared" ref="CV101" si="752">AVERAGE(CN96:CQ96,CS96:CV96)</f>
        <v>276622.20101392892</v>
      </c>
      <c r="CW101" s="73">
        <f t="shared" ref="CW101" si="753">CW97*1000/CW100</f>
        <v>276622.20101392892</v>
      </c>
      <c r="CX101" s="506">
        <f t="shared" ref="CX101" si="754">AVERAGE(CO96:CQ96,CS96:CV96,CX96)</f>
        <v>276622.20101392892</v>
      </c>
      <c r="CY101" s="506">
        <f t="shared" ref="CY101" si="755">AVERAGE(CS96:CV96,CX96:CY96,CP96:CQ96)</f>
        <v>276622.20101392892</v>
      </c>
      <c r="CZ101" s="506">
        <f t="shared" ref="CZ101" si="756">AVERAGE(CS96:CV96,CX96:CZ96,CQ96)</f>
        <v>276622.20101392892</v>
      </c>
      <c r="DA101" s="506">
        <f t="shared" ref="DA101" si="757">AVERAGE(CS96:CV96,CX96:DA96)</f>
        <v>276622.20101392892</v>
      </c>
      <c r="DB101" s="73">
        <f t="shared" ref="DB101" si="758">DB97*1000/DB100</f>
        <v>276622.20101392898</v>
      </c>
    </row>
    <row r="102" spans="1:107" s="7" customFormat="1" ht="11.5" customHeight="1" x14ac:dyDescent="0.35">
      <c r="A102" s="132" t="s">
        <v>265</v>
      </c>
      <c r="B102" s="468"/>
      <c r="C102" s="468"/>
      <c r="D102" s="468"/>
      <c r="E102" s="468"/>
      <c r="F102" s="39"/>
      <c r="G102" s="468"/>
      <c r="H102" s="468"/>
      <c r="I102" s="468"/>
      <c r="J102" s="468"/>
      <c r="K102" s="39"/>
      <c r="L102" s="468"/>
      <c r="M102" s="468"/>
      <c r="N102" s="468"/>
      <c r="O102" s="468"/>
      <c r="P102" s="39"/>
      <c r="Q102" s="468"/>
      <c r="R102" s="468"/>
      <c r="S102" s="468"/>
      <c r="T102" s="468"/>
      <c r="U102" s="39"/>
      <c r="V102" s="468"/>
      <c r="W102" s="468"/>
      <c r="X102" s="468"/>
      <c r="Y102" s="468"/>
      <c r="Z102" s="39"/>
      <c r="AA102" s="468"/>
      <c r="AB102" s="468"/>
      <c r="AC102" s="468"/>
      <c r="AD102" s="468"/>
      <c r="AE102" s="39"/>
      <c r="AF102" s="468"/>
      <c r="AG102" s="468"/>
      <c r="AH102" s="468"/>
      <c r="AI102" s="468"/>
      <c r="AJ102" s="39"/>
      <c r="AK102" s="468"/>
      <c r="AL102" s="468"/>
      <c r="AM102" s="468"/>
      <c r="AN102" s="468"/>
      <c r="AO102" s="39"/>
      <c r="AP102" s="468"/>
      <c r="AQ102" s="468"/>
      <c r="AR102" s="468"/>
      <c r="AS102" s="468"/>
      <c r="AT102" s="39"/>
      <c r="AU102" s="468"/>
      <c r="AV102" s="468"/>
      <c r="AW102" s="468"/>
      <c r="AX102" s="468"/>
      <c r="AY102" s="39"/>
      <c r="AZ102" s="468">
        <v>593391.88394146354</v>
      </c>
      <c r="BA102" s="468">
        <v>571496.43130969082</v>
      </c>
      <c r="BB102" s="468">
        <v>816714.85864446755</v>
      </c>
      <c r="BC102" s="468">
        <v>1462936.5465882164</v>
      </c>
      <c r="BD102" s="39">
        <f>BC102</f>
        <v>1462936.5465882164</v>
      </c>
      <c r="BE102" s="468">
        <v>1134167.2239961785</v>
      </c>
      <c r="BF102" s="468">
        <v>1330615.3111225255</v>
      </c>
      <c r="BG102" s="468">
        <v>1656501.784235602</v>
      </c>
      <c r="BH102" s="468">
        <v>1866100.9272500004</v>
      </c>
      <c r="BI102" s="39">
        <f>BH102</f>
        <v>1866100.9272500004</v>
      </c>
      <c r="BJ102" s="468">
        <v>1596843.0022347488</v>
      </c>
      <c r="BK102" s="468">
        <v>1475124.5752359901</v>
      </c>
      <c r="BL102" s="468">
        <v>1422374.754052859</v>
      </c>
      <c r="BM102" s="468">
        <v>1278466.3662428099</v>
      </c>
      <c r="BN102" s="39">
        <f>BM102</f>
        <v>1278466.3662428099</v>
      </c>
      <c r="BO102" s="468">
        <v>1064995.007967114</v>
      </c>
      <c r="BP102" s="468">
        <v>1050139.8690812984</v>
      </c>
      <c r="BQ102" s="468">
        <v>1119501.3239153358</v>
      </c>
      <c r="BR102" s="468">
        <v>1079026.547002288</v>
      </c>
      <c r="BS102" s="39">
        <f>BR102</f>
        <v>1079026.547002288</v>
      </c>
      <c r="BT102" s="468">
        <v>1129944.2852967279</v>
      </c>
      <c r="BU102" s="468">
        <v>1150670.4479346732</v>
      </c>
      <c r="BV102" s="468">
        <v>1237156.4207820699</v>
      </c>
      <c r="BW102" s="468">
        <v>1696918.2827871323</v>
      </c>
      <c r="BX102" s="39">
        <f>BW102</f>
        <v>1696918.2827871323</v>
      </c>
      <c r="BY102" s="468">
        <v>1861399.3850134551</v>
      </c>
      <c r="BZ102" s="468">
        <v>1920562.6141588441</v>
      </c>
      <c r="CA102" s="468">
        <v>2509945.6145981676</v>
      </c>
      <c r="CB102" s="468">
        <v>3037152.1997882803</v>
      </c>
      <c r="CC102" s="226">
        <f>CB102</f>
        <v>3037152.1997882803</v>
      </c>
      <c r="CD102" s="468">
        <v>2833096.7698913766</v>
      </c>
      <c r="CE102" s="468">
        <v>2985924.3661494385</v>
      </c>
      <c r="CF102" s="237">
        <f>CE102+(CF92-CF97)</f>
        <v>3370003.3781102751</v>
      </c>
      <c r="CG102" s="237">
        <f>CF102+(CG92-CG97)</f>
        <v>3638858.6864828607</v>
      </c>
      <c r="CH102" s="226">
        <f>CG102</f>
        <v>3638858.6864828607</v>
      </c>
      <c r="CI102" s="237">
        <f t="shared" ref="CI102:CL102" si="759">CH102+(CI92-CI97)</f>
        <v>3760056.8260260038</v>
      </c>
      <c r="CJ102" s="237">
        <f t="shared" si="759"/>
        <v>3844895.5237062038</v>
      </c>
      <c r="CK102" s="237">
        <f t="shared" si="759"/>
        <v>3904282.6120823435</v>
      </c>
      <c r="CL102" s="237">
        <f t="shared" si="759"/>
        <v>3945853.5739456415</v>
      </c>
      <c r="CM102" s="226">
        <f t="shared" ref="CM102" si="760">CL102</f>
        <v>3945853.5739456415</v>
      </c>
      <c r="CN102" s="237">
        <f t="shared" ref="CN102:CQ102" si="761">CM102+(CN92-CN97)</f>
        <v>4017403.1983420299</v>
      </c>
      <c r="CO102" s="237">
        <f t="shared" si="761"/>
        <v>4067487.9354195022</v>
      </c>
      <c r="CP102" s="237">
        <f t="shared" si="761"/>
        <v>4102547.2513737325</v>
      </c>
      <c r="CQ102" s="237">
        <f t="shared" si="761"/>
        <v>4127088.7725416934</v>
      </c>
      <c r="CR102" s="226">
        <f t="shared" ref="CR102" si="762">CQ102</f>
        <v>4127088.7725416934</v>
      </c>
      <c r="CS102" s="237">
        <f t="shared" ref="CS102:CV102" si="763">CR102+(CS92-CS97)</f>
        <v>4188203.5367395692</v>
      </c>
      <c r="CT102" s="237">
        <f t="shared" si="763"/>
        <v>4230983.8716780823</v>
      </c>
      <c r="CU102" s="237">
        <f t="shared" si="763"/>
        <v>4260930.1061350415</v>
      </c>
      <c r="CV102" s="237">
        <f t="shared" si="763"/>
        <v>4281892.470254913</v>
      </c>
      <c r="CW102" s="226">
        <f t="shared" ref="CW102" si="764">CV102</f>
        <v>4281892.470254913</v>
      </c>
      <c r="CX102" s="237">
        <f t="shared" ref="CX102:DA102" si="765">CW102+(CX92-CX97)</f>
        <v>4342039.5739974361</v>
      </c>
      <c r="CY102" s="237">
        <f t="shared" si="765"/>
        <v>4384142.5466172025</v>
      </c>
      <c r="CZ102" s="237">
        <f t="shared" si="765"/>
        <v>4413614.6274510389</v>
      </c>
      <c r="DA102" s="237">
        <f t="shared" si="765"/>
        <v>4434245.0840347242</v>
      </c>
      <c r="DB102" s="226">
        <f t="shared" ref="DB102" si="766">DA102</f>
        <v>4434245.0840347242</v>
      </c>
    </row>
    <row r="103" spans="1:107" s="7" customFormat="1" ht="11.5" customHeight="1" x14ac:dyDescent="0.35">
      <c r="A103" s="561" t="s">
        <v>402</v>
      </c>
      <c r="B103" s="562"/>
      <c r="C103" s="562"/>
      <c r="D103" s="562"/>
      <c r="E103" s="562"/>
      <c r="F103" s="563"/>
      <c r="G103" s="562"/>
      <c r="H103" s="562"/>
      <c r="I103" s="562"/>
      <c r="J103" s="562"/>
      <c r="K103" s="563"/>
      <c r="L103" s="562"/>
      <c r="M103" s="562"/>
      <c r="N103" s="562"/>
      <c r="O103" s="562"/>
      <c r="P103" s="563"/>
      <c r="Q103" s="562"/>
      <c r="R103" s="562"/>
      <c r="S103" s="562"/>
      <c r="T103" s="562"/>
      <c r="U103" s="563"/>
      <c r="V103" s="562"/>
      <c r="W103" s="562"/>
      <c r="X103" s="562"/>
      <c r="Y103" s="562"/>
      <c r="Z103" s="563"/>
      <c r="AA103" s="562"/>
      <c r="AB103" s="562"/>
      <c r="AC103" s="562"/>
      <c r="AD103" s="562"/>
      <c r="AE103" s="563"/>
      <c r="AF103" s="562"/>
      <c r="AG103" s="562"/>
      <c r="AH103" s="562"/>
      <c r="AI103" s="562"/>
      <c r="AJ103" s="563"/>
      <c r="AK103" s="562"/>
      <c r="AL103" s="562"/>
      <c r="AM103" s="562"/>
      <c r="AN103" s="562"/>
      <c r="AO103" s="563"/>
      <c r="AP103" s="562"/>
      <c r="AQ103" s="562"/>
      <c r="AR103" s="562"/>
      <c r="AS103" s="562"/>
      <c r="AT103" s="563"/>
      <c r="AU103" s="562"/>
      <c r="AV103" s="562"/>
      <c r="AW103" s="562"/>
      <c r="AX103" s="562"/>
      <c r="AY103" s="563"/>
      <c r="AZ103" s="564">
        <f>AZ102/SUM(AZ97,AV97:AX97)*12</f>
        <v>26.478298973856042</v>
      </c>
      <c r="BA103" s="564">
        <f>BA102/SUM(AZ97:BA97,AW97:AX97)*12</f>
        <v>16.538372218670904</v>
      </c>
      <c r="BB103" s="564">
        <f>BB102/SUM(AZ97:BB97,AX97)*12</f>
        <v>15.539544605958881</v>
      </c>
      <c r="BC103" s="564">
        <f>BC102/SUM(AZ97:BC97)*12</f>
        <v>15.303735883486478</v>
      </c>
      <c r="BD103" s="565">
        <f>BD102/SUM(AZ97:BC97)*12</f>
        <v>15.303735883486478</v>
      </c>
      <c r="BE103" s="564">
        <f t="shared" ref="BE103" si="767">BE102/SUM(BE97,BA97:BC97)*12</f>
        <v>11.26021288246892</v>
      </c>
      <c r="BF103" s="564">
        <f t="shared" ref="BF103" si="768">BF102/SUM(BE97:BF97,BB97:BC97)*12</f>
        <v>11.053384564527136</v>
      </c>
      <c r="BG103" s="564">
        <f t="shared" ref="BG103" si="769">BG102/SUM(BE97:BG97,BC97)*12</f>
        <v>13.441727458906326</v>
      </c>
      <c r="BH103" s="564">
        <f t="shared" ref="BH103" si="770">BH102/SUM(BE97:BH97)*12</f>
        <v>16.383973068411937</v>
      </c>
      <c r="BI103" s="565">
        <f t="shared" ref="BI103" si="771">BI102/SUM(BE97:BH97)*12</f>
        <v>16.383973068411937</v>
      </c>
      <c r="BJ103" s="564">
        <f t="shared" ref="BJ103" si="772">BJ102/SUM(BJ97,BF97:BH97)*12</f>
        <v>14.070361878633872</v>
      </c>
      <c r="BK103" s="564">
        <f t="shared" ref="BK103" si="773">BK102/SUM(BJ97:BK97,BG97:BH97)*12</f>
        <v>12.353613068361554</v>
      </c>
      <c r="BL103" s="564">
        <f t="shared" ref="BL103" si="774">BL102/SUM(BJ97:BL97,BH97)*12</f>
        <v>11.728097774522356</v>
      </c>
      <c r="BM103" s="564">
        <f t="shared" ref="BM103" si="775">BM102/SUM(BJ97:BM97)*12</f>
        <v>11.545723102957769</v>
      </c>
      <c r="BN103" s="565">
        <f t="shared" ref="BN103" si="776">BN102/SUM(BJ97:BM97)*12</f>
        <v>11.545723102957769</v>
      </c>
      <c r="BO103" s="564">
        <f t="shared" ref="BO103" si="777">BO102/SUM(BO97,BK97:BM97)*12</f>
        <v>9.8102060833359666</v>
      </c>
      <c r="BP103" s="564">
        <f t="shared" ref="BP103" si="778">BP102/SUM(BO97:BP97,BL97:BM97)*12</f>
        <v>9.6303168131946109</v>
      </c>
      <c r="BQ103" s="564">
        <f t="shared" ref="BQ103" si="779">BQ102/SUM(BO97:BQ97,BM97)*12</f>
        <v>8.6184002915642992</v>
      </c>
      <c r="BR103" s="564">
        <f t="shared" ref="BR103" si="780">BR102/SUM(BO97:BR97)*12</f>
        <v>7.7268874070375784</v>
      </c>
      <c r="BS103" s="565">
        <f t="shared" ref="BS103" si="781">BS102/SUM(BO97:BR97)*12</f>
        <v>7.7268874070375784</v>
      </c>
      <c r="BT103" s="564">
        <f t="shared" ref="BT103" si="782">BT102/SUM(BT97,BP97:BR97)*12</f>
        <v>7.591176863076325</v>
      </c>
      <c r="BU103" s="564">
        <f t="shared" ref="BU103" si="783">BU102/SUM(BT97:BU97,BQ97:BR97)*12</f>
        <v>7.6933107175154225</v>
      </c>
      <c r="BV103" s="564">
        <f t="shared" ref="BV103" si="784">BV102/SUM(BT97:BV97,BR97)*12</f>
        <v>7.695892546466645</v>
      </c>
      <c r="BW103" s="564">
        <f t="shared" ref="BW103" si="785">BW102/SUM(BT97:BW97)*12</f>
        <v>7.9886417448644274</v>
      </c>
      <c r="BX103" s="565">
        <f t="shared" ref="BX103" si="786">BX102/SUM(BT97:BW97)*12</f>
        <v>7.9886417448644274</v>
      </c>
      <c r="BY103" s="564">
        <f t="shared" ref="BY103" si="787">BY102/SUM(BY97,BU97:BW97)*12</f>
        <v>7.4084254596970371</v>
      </c>
      <c r="BZ103" s="564">
        <f t="shared" ref="BZ103:CA103" si="788">BZ102/SUM(BY97:BZ97,BV97:BW97)*12</f>
        <v>5.9850732455154372</v>
      </c>
      <c r="CA103" s="564">
        <f t="shared" si="788"/>
        <v>5.1949065180057978</v>
      </c>
      <c r="CB103" s="564">
        <f t="shared" ref="CB103" si="789">CB102/SUM(BY97:CB97)*12</f>
        <v>8.6444632605496174</v>
      </c>
      <c r="CC103" s="565">
        <f t="shared" ref="CC103" si="790">CC102/SUM(BY97:CB97)*12</f>
        <v>8.6444632605496174</v>
      </c>
      <c r="CD103" s="564">
        <f t="shared" ref="CD103" si="791">CD102/SUM(CD97,BZ97:CB97)*12</f>
        <v>7.5009830869856282</v>
      </c>
      <c r="CE103" s="564">
        <f t="shared" ref="CE103" si="792">CE102/SUM(CD97:CE97,CA97:CB97)*12</f>
        <v>7.8021270278290054</v>
      </c>
      <c r="CF103" s="564">
        <f t="shared" ref="CF103" si="793">CF102/SUM(CD97:CF97,CB97)*12</f>
        <v>7.9210881506674431</v>
      </c>
      <c r="CG103" s="564">
        <f t="shared" ref="CG103" si="794">CG102/SUM(CD97:CG97)*12</f>
        <v>7.8550999146619276</v>
      </c>
      <c r="CH103" s="565">
        <f t="shared" ref="CH103" si="795">CH102/SUM(CD97:CG97)*12</f>
        <v>7.8550999146619276</v>
      </c>
      <c r="CI103" s="564">
        <f t="shared" ref="CI103" si="796">CI102/SUM(CI97,CE97:CG97)*12</f>
        <v>7.5476455798840334</v>
      </c>
      <c r="CJ103" s="564">
        <f t="shared" ref="CJ103" si="797">CJ102/SUM(CI97:CJ97,CF97:CG97)*12</f>
        <v>7.3668018226809941</v>
      </c>
      <c r="CK103" s="564">
        <f t="shared" ref="CK103" si="798">CK102/SUM(CI97:CK97,CG97)*12</f>
        <v>7.2167439465620671</v>
      </c>
      <c r="CL103" s="564">
        <f t="shared" ref="CL103" si="799">CL102/SUM(CI97:CL97)*12</f>
        <v>7.1487070303634201</v>
      </c>
      <c r="CM103" s="565">
        <f t="shared" ref="CM103" si="800">CM102/SUM(CI97:CL97)*12</f>
        <v>7.1487070303634201</v>
      </c>
      <c r="CN103" s="564">
        <f t="shared" ref="CN103" si="801">CN102/SUM(CN97,CJ97:CL97)*12</f>
        <v>7.1591252540851054</v>
      </c>
      <c r="CO103" s="564">
        <f t="shared" ref="CO103" si="802">CO102/SUM(CN97:CO97,CK97:CL97)*12</f>
        <v>7.1471268863347275</v>
      </c>
      <c r="CP103" s="564">
        <f t="shared" ref="CP103" si="803">CP102/SUM(CN97:CP97,CL97)*12</f>
        <v>7.1201415885743753</v>
      </c>
      <c r="CQ103" s="564">
        <f t="shared" ref="CQ103" si="804">CQ102/SUM(CN97:CQ97)*12</f>
        <v>7.0831648698313803</v>
      </c>
      <c r="CR103" s="565">
        <f t="shared" ref="CR103" si="805">CR102/SUM(CN97:CQ97)*12</f>
        <v>7.0831648698313803</v>
      </c>
      <c r="CS103" s="564">
        <f t="shared" ref="CS103" si="806">CS102/SUM(CS97,CO97:CQ97)*12</f>
        <v>7.1135801855700045</v>
      </c>
      <c r="CT103" s="564">
        <f t="shared" ref="CT103" si="807">CT102/SUM(CS97:CT97,CP97:CQ97)*12</f>
        <v>7.1156708994171183</v>
      </c>
      <c r="CU103" s="564">
        <f t="shared" ref="CU103" si="808">CU102/SUM(CS97:CU97,CQ97)*12</f>
        <v>7.0985053038464656</v>
      </c>
      <c r="CV103" s="564">
        <f t="shared" ref="CV103" si="809">CV102/SUM(CS97:CV97)*12</f>
        <v>7.0683244069849227</v>
      </c>
      <c r="CW103" s="565">
        <f t="shared" ref="CW103" si="810">CW102/SUM(CS97:CV97)*12</f>
        <v>7.0683244069849227</v>
      </c>
      <c r="CX103" s="564">
        <f t="shared" ref="CX103" si="811">CX102/SUM(CX97,CT97:CV97)*12</f>
        <v>7.103190103205705</v>
      </c>
      <c r="CY103" s="564">
        <f t="shared" ref="CY103" si="812">CY102/SUM(CX97:CY97,CU97:CV97)*12</f>
        <v>7.1084578097644719</v>
      </c>
      <c r="CZ103" s="564">
        <f t="shared" ref="CZ103" si="813">CZ102/SUM(CX97:CZ97,CV97)*12</f>
        <v>7.0935262373221244</v>
      </c>
      <c r="DA103" s="564">
        <f t="shared" ref="DA103" si="814">DA102/SUM(CX97:DA97)*12</f>
        <v>7.0649008087704743</v>
      </c>
      <c r="DB103" s="565">
        <f t="shared" ref="DB103" si="815">DB102/SUM(CX97:DA97)*12</f>
        <v>7.0649008087704743</v>
      </c>
    </row>
    <row r="104" spans="1:107" s="7" customFormat="1" ht="11.5" customHeight="1" x14ac:dyDescent="0.35">
      <c r="A104" s="158" t="s">
        <v>276</v>
      </c>
      <c r="B104" s="97"/>
      <c r="C104" s="97"/>
      <c r="D104" s="97"/>
      <c r="E104" s="97"/>
      <c r="F104" s="29"/>
      <c r="G104" s="97"/>
      <c r="H104" s="97"/>
      <c r="I104" s="97"/>
      <c r="J104" s="97"/>
      <c r="K104" s="29"/>
      <c r="L104" s="97"/>
      <c r="M104" s="97"/>
      <c r="N104" s="97"/>
      <c r="O104" s="97"/>
      <c r="P104" s="29"/>
      <c r="Q104" s="97"/>
      <c r="R104" s="97"/>
      <c r="S104" s="97"/>
      <c r="T104" s="97"/>
      <c r="U104" s="29"/>
      <c r="V104" s="97"/>
      <c r="W104" s="97"/>
      <c r="X104" s="97"/>
      <c r="Y104" s="97"/>
      <c r="Z104" s="29"/>
      <c r="AA104" s="97"/>
      <c r="AB104" s="97"/>
      <c r="AC104" s="97"/>
      <c r="AD104" s="97"/>
      <c r="AE104" s="29"/>
      <c r="AF104" s="97"/>
      <c r="AG104" s="97"/>
      <c r="AH104" s="97"/>
      <c r="AI104" s="97"/>
      <c r="AJ104" s="29"/>
      <c r="AK104" s="97"/>
      <c r="AL104" s="97"/>
      <c r="AM104" s="97"/>
      <c r="AN104" s="97"/>
      <c r="AO104" s="29"/>
      <c r="AP104" s="97"/>
      <c r="AQ104" s="97"/>
      <c r="AR104" s="97"/>
      <c r="AS104" s="97"/>
      <c r="AT104" s="29"/>
      <c r="AU104" s="97"/>
      <c r="AV104" s="97"/>
      <c r="AW104" s="97"/>
      <c r="AX104" s="97"/>
      <c r="AY104" s="29"/>
      <c r="AZ104" s="97"/>
      <c r="BA104" s="97">
        <f>AZ102+BA92</f>
        <v>702685.01461009553</v>
      </c>
      <c r="BB104" s="97">
        <f>BA102+BB92</f>
        <v>905184.36408254295</v>
      </c>
      <c r="BC104" s="97">
        <f>BB102+BC92</f>
        <v>1954233.1398695922</v>
      </c>
      <c r="BD104" s="29">
        <f>AY102+SUM(AZ92:BC92)</f>
        <v>2045734.7394738656</v>
      </c>
      <c r="BE104" s="97">
        <f>BD102+BE92</f>
        <v>1525515.1802017419</v>
      </c>
      <c r="BF104" s="97">
        <f>BE102+BF92</f>
        <v>1647400.7340734943</v>
      </c>
      <c r="BG104" s="97">
        <f>BF102+BG92</f>
        <v>1843074.186055094</v>
      </c>
      <c r="BH104" s="97">
        <f>BG102+BH92</f>
        <v>2290575.1399608701</v>
      </c>
      <c r="BI104" s="29">
        <f>BD102+SUM(BE92:BH92)</f>
        <v>3185280.9209368941</v>
      </c>
      <c r="BJ104" s="97">
        <f>BI102+BJ92</f>
        <v>1983109.3791264291</v>
      </c>
      <c r="BK104" s="97">
        <f>BJ102+BK92</f>
        <v>1907892.5889795886</v>
      </c>
      <c r="BL104" s="97">
        <f>BK102+BL92</f>
        <v>1636252.4733083828</v>
      </c>
      <c r="BM104" s="97">
        <f>BL102+BM92</f>
        <v>1499448.3007594007</v>
      </c>
      <c r="BN104" s="29">
        <f>BI102+SUM(BJ92:BM92)</f>
        <v>2532360.410650203</v>
      </c>
      <c r="BO104" s="97">
        <f>BN102+BO92</f>
        <v>1391932.5051075267</v>
      </c>
      <c r="BP104" s="97">
        <f>BO102+BP92</f>
        <v>1500866.0388857089</v>
      </c>
      <c r="BQ104" s="97">
        <f>BP102+BQ92</f>
        <v>1633353.3663363461</v>
      </c>
      <c r="BR104" s="97">
        <f>BQ102+BR92</f>
        <v>1471608.9289157318</v>
      </c>
      <c r="BS104" s="29">
        <f>BN102+SUM(BO92:BR92)</f>
        <v>2763124.6382815652</v>
      </c>
      <c r="BT104" s="97">
        <f>BS102+BT92</f>
        <v>1529788.0590003673</v>
      </c>
      <c r="BU104" s="97">
        <f>BT102+BU92</f>
        <v>1597845.810178285</v>
      </c>
      <c r="BV104" s="97">
        <f>BU102+BV92</f>
        <v>1857256.0498686982</v>
      </c>
      <c r="BW104" s="97">
        <f>BV102+BW92</f>
        <v>2656128.969557588</v>
      </c>
      <c r="BX104" s="29">
        <f>BS102+SUM(BT92:BW92)</f>
        <v>4123247.7345914678</v>
      </c>
      <c r="BY104" s="97">
        <f>BX102+BY92</f>
        <v>2745168.9702248625</v>
      </c>
      <c r="BZ104" s="97">
        <f>BY102+BZ92</f>
        <v>3177500.4299126258</v>
      </c>
      <c r="CA104" s="97">
        <f>BZ102+CA92</f>
        <v>3380996.4254494393</v>
      </c>
      <c r="CB104" s="97">
        <f>CA102+CB92</f>
        <v>4094527.4496928519</v>
      </c>
      <c r="CC104" s="29">
        <f>BX102+SUM(BY92:CB92)</f>
        <v>7106285.6615093136</v>
      </c>
      <c r="CD104" s="97">
        <f>CC102+CD92</f>
        <v>3999928.2912317123</v>
      </c>
      <c r="CE104" s="97">
        <f>CD102+CE92</f>
        <v>4271808.8373648208</v>
      </c>
      <c r="CF104" s="97">
        <f>CE102+CF92</f>
        <v>4814290.540157536</v>
      </c>
      <c r="CG104" s="97">
        <f>CF102+CG92</f>
        <v>5198369.5521183722</v>
      </c>
      <c r="CH104" s="29">
        <f>CC102+SUM(CD92:CG92)</f>
        <v>9095372.7067213524</v>
      </c>
      <c r="CI104" s="97">
        <f t="shared" ref="CI104:CL104" si="816">CH102+CI92</f>
        <v>5371509.7514657192</v>
      </c>
      <c r="CJ104" s="97">
        <f t="shared" si="816"/>
        <v>5492707.8910088623</v>
      </c>
      <c r="CK104" s="97">
        <f t="shared" si="816"/>
        <v>5577546.5886890627</v>
      </c>
      <c r="CL104" s="97">
        <f t="shared" si="816"/>
        <v>5636933.677065202</v>
      </c>
      <c r="CM104" s="29">
        <f t="shared" ref="CM104" si="817">CH102+SUM(CI92:CL92)</f>
        <v>10569462.946414296</v>
      </c>
      <c r="CN104" s="97">
        <f t="shared" ref="CN104:CQ104" si="818">CM102+CN92</f>
        <v>5739147.4262029007</v>
      </c>
      <c r="CO104" s="97">
        <f t="shared" si="818"/>
        <v>5810697.0505992882</v>
      </c>
      <c r="CP104" s="97">
        <f t="shared" si="818"/>
        <v>5860781.7876767609</v>
      </c>
      <c r="CQ104" s="97">
        <f t="shared" si="818"/>
        <v>5895841.1036309917</v>
      </c>
      <c r="CR104" s="29">
        <f t="shared" ref="CR104" si="819">CM102+SUM(CN92:CQ92)</f>
        <v>11119028.982974676</v>
      </c>
      <c r="CS104" s="97">
        <f t="shared" ref="CS104:CV104" si="820">CR102+CS92</f>
        <v>5983147.9096279563</v>
      </c>
      <c r="CT104" s="97">
        <f t="shared" si="820"/>
        <v>6044262.6738258321</v>
      </c>
      <c r="CU104" s="97">
        <f t="shared" si="820"/>
        <v>6087043.0087643452</v>
      </c>
      <c r="CV104" s="97">
        <f t="shared" si="820"/>
        <v>6116989.2432213044</v>
      </c>
      <c r="CW104" s="29">
        <f t="shared" ref="CW104" si="821">CR102+SUM(CS92:CV92)</f>
        <v>11551325.320886744</v>
      </c>
      <c r="CX104" s="97">
        <f t="shared" ref="CX104:DA104" si="822">CW102+CX92</f>
        <v>6202913.6771391947</v>
      </c>
      <c r="CY104" s="97">
        <f t="shared" si="822"/>
        <v>6263060.7808817178</v>
      </c>
      <c r="CZ104" s="97">
        <f t="shared" si="822"/>
        <v>6305163.7535014842</v>
      </c>
      <c r="DA104" s="97">
        <f t="shared" si="822"/>
        <v>6334635.8343353206</v>
      </c>
      <c r="DB104" s="29">
        <f t="shared" ref="DB104" si="823">CW102+SUM(CX92:DA92)</f>
        <v>11965977.29779204</v>
      </c>
    </row>
    <row r="105" spans="1:107" s="7" customFormat="1" ht="11.5" customHeight="1" x14ac:dyDescent="0.35">
      <c r="A105" s="239" t="s">
        <v>275</v>
      </c>
      <c r="B105" s="101"/>
      <c r="C105" s="101"/>
      <c r="D105" s="101"/>
      <c r="E105" s="101"/>
      <c r="F105" s="236"/>
      <c r="G105" s="101"/>
      <c r="H105" s="101"/>
      <c r="I105" s="101"/>
      <c r="J105" s="101"/>
      <c r="K105" s="236"/>
      <c r="L105" s="101"/>
      <c r="M105" s="101"/>
      <c r="N105" s="101"/>
      <c r="O105" s="101"/>
      <c r="P105" s="236"/>
      <c r="Q105" s="101"/>
      <c r="R105" s="101"/>
      <c r="S105" s="101"/>
      <c r="T105" s="101"/>
      <c r="U105" s="236"/>
      <c r="V105" s="101"/>
      <c r="W105" s="101"/>
      <c r="X105" s="101"/>
      <c r="Y105" s="101"/>
      <c r="Z105" s="236"/>
      <c r="AA105" s="101"/>
      <c r="AB105" s="101"/>
      <c r="AC105" s="101"/>
      <c r="AD105" s="101"/>
      <c r="AE105" s="236"/>
      <c r="AF105" s="101"/>
      <c r="AG105" s="101"/>
      <c r="AH105" s="101"/>
      <c r="AI105" s="101"/>
      <c r="AJ105" s="236"/>
      <c r="AK105" s="101"/>
      <c r="AL105" s="101"/>
      <c r="AM105" s="101"/>
      <c r="AN105" s="101"/>
      <c r="AO105" s="236"/>
      <c r="AP105" s="101"/>
      <c r="AQ105" s="101"/>
      <c r="AR105" s="101"/>
      <c r="AS105" s="101"/>
      <c r="AT105" s="236"/>
      <c r="AU105" s="101"/>
      <c r="AV105" s="101"/>
      <c r="AW105" s="101"/>
      <c r="AX105" s="101"/>
      <c r="AY105" s="236"/>
      <c r="AZ105" s="101"/>
      <c r="BA105" s="101">
        <f t="shared" ref="BA105:BZ105" si="824">BA97/BA104</f>
        <v>0.20740933777251525</v>
      </c>
      <c r="BB105" s="101">
        <f t="shared" si="824"/>
        <v>0.23864410117205298</v>
      </c>
      <c r="BC105" s="101">
        <f t="shared" si="824"/>
        <v>0.26426467609267823</v>
      </c>
      <c r="BD105" s="236">
        <f t="shared" si="824"/>
        <v>0.56073795498945112</v>
      </c>
      <c r="BE105" s="101">
        <f t="shared" si="824"/>
        <v>0.21663893704860462</v>
      </c>
      <c r="BF105" s="101">
        <f t="shared" si="824"/>
        <v>0.23165702541731048</v>
      </c>
      <c r="BG105" s="101">
        <f t="shared" si="824"/>
        <v>0.13579303964153031</v>
      </c>
      <c r="BH105" s="101">
        <f t="shared" si="824"/>
        <v>0.17654116333706954</v>
      </c>
      <c r="BI105" s="236">
        <f t="shared" si="824"/>
        <v>0.4290910034845799</v>
      </c>
      <c r="BJ105" s="101">
        <f t="shared" si="824"/>
        <v>0.1641808488952721</v>
      </c>
      <c r="BK105" s="101">
        <f t="shared" si="824"/>
        <v>0.23725349998079909</v>
      </c>
      <c r="BL105" s="101">
        <f t="shared" si="824"/>
        <v>0.16667798979125159</v>
      </c>
      <c r="BM105" s="101">
        <f t="shared" si="824"/>
        <v>0.1852672950354525</v>
      </c>
      <c r="BN105" s="236">
        <f t="shared" si="824"/>
        <v>0.52471550803782385</v>
      </c>
      <c r="BO105" s="101">
        <f t="shared" si="824"/>
        <v>0.2151962261752639</v>
      </c>
      <c r="BP105" s="101">
        <f t="shared" si="824"/>
        <v>0.30547551855712374</v>
      </c>
      <c r="BQ105" s="101">
        <f t="shared" si="824"/>
        <v>0.32016624394953164</v>
      </c>
      <c r="BR105" s="101">
        <f t="shared" si="824"/>
        <v>0.26826913229752419</v>
      </c>
      <c r="BS105" s="236">
        <f t="shared" si="824"/>
        <v>0.60646859474610215</v>
      </c>
      <c r="BT105" s="101">
        <f t="shared" si="824"/>
        <v>0.26800217454945918</v>
      </c>
      <c r="BU105" s="101">
        <f t="shared" si="824"/>
        <v>0.29232700377349902</v>
      </c>
      <c r="BV105" s="101">
        <f t="shared" si="824"/>
        <v>0.35385414803546433</v>
      </c>
      <c r="BW105" s="101">
        <f t="shared" si="824"/>
        <v>0.38202914579822317</v>
      </c>
      <c r="BX105" s="236">
        <f t="shared" si="824"/>
        <v>0.61820113833783685</v>
      </c>
      <c r="BY105" s="101">
        <f t="shared" si="824"/>
        <v>0.31912159743046381</v>
      </c>
      <c r="BZ105" s="101">
        <f t="shared" si="824"/>
        <v>0.40999076668082168</v>
      </c>
      <c r="CA105" s="101">
        <f t="shared" ref="CA105:CB105" si="825">CA97/CA104</f>
        <v>0.27548101356766702</v>
      </c>
      <c r="CB105" s="101">
        <f t="shared" si="825"/>
        <v>0.27009224859016023</v>
      </c>
      <c r="CC105" s="102">
        <f>CC97/CC104</f>
        <v>0.59329010866710707</v>
      </c>
      <c r="CD105" s="101">
        <f t="shared" ref="CD105:CE105" si="826">CD97/CD104</f>
        <v>0.29808395693429879</v>
      </c>
      <c r="CE105" s="101">
        <f t="shared" si="826"/>
        <v>0.3190364072570136</v>
      </c>
      <c r="CF105" s="577">
        <v>0.3</v>
      </c>
      <c r="CG105" s="101">
        <f t="shared" ref="CF105:CG105" si="827">CF105</f>
        <v>0.3</v>
      </c>
      <c r="CH105" s="102">
        <f>CH97/CH104</f>
        <v>0.61118716114186256</v>
      </c>
      <c r="CI105" s="577">
        <v>0.3</v>
      </c>
      <c r="CJ105" s="101">
        <f t="shared" ref="CJ105:CL105" si="828">CI105</f>
        <v>0.3</v>
      </c>
      <c r="CK105" s="101">
        <f t="shared" si="828"/>
        <v>0.3</v>
      </c>
      <c r="CL105" s="101">
        <f t="shared" si="828"/>
        <v>0.3</v>
      </c>
      <c r="CM105" s="102">
        <f t="shared" ref="CM105" si="829">CM97/CM104</f>
        <v>0.62667416557013633</v>
      </c>
      <c r="CN105" s="101">
        <f>CL105</f>
        <v>0.3</v>
      </c>
      <c r="CO105" s="101">
        <f t="shared" ref="CO105:CQ105" si="830">CN105</f>
        <v>0.3</v>
      </c>
      <c r="CP105" s="101">
        <f t="shared" si="830"/>
        <v>0.3</v>
      </c>
      <c r="CQ105" s="101">
        <f t="shared" si="830"/>
        <v>0.3</v>
      </c>
      <c r="CR105" s="102">
        <f t="shared" ref="CR105" si="831">CR97/CR104</f>
        <v>0.62882651184190241</v>
      </c>
      <c r="CS105" s="101">
        <f t="shared" ref="CS105" si="832">CQ105</f>
        <v>0.3</v>
      </c>
      <c r="CT105" s="101">
        <f t="shared" ref="CT105" si="833">CS105</f>
        <v>0.3</v>
      </c>
      <c r="CU105" s="101">
        <f t="shared" ref="CU105" si="834">CT105</f>
        <v>0.3</v>
      </c>
      <c r="CV105" s="101">
        <f t="shared" ref="CV105" si="835">CU105</f>
        <v>0.3</v>
      </c>
      <c r="CW105" s="102">
        <f t="shared" ref="CW105:DB105" si="836">CW97/CW104</f>
        <v>0.62931591386206309</v>
      </c>
      <c r="CX105" s="101">
        <f t="shared" ref="CX105" si="837">CV105</f>
        <v>0.3</v>
      </c>
      <c r="CY105" s="101">
        <f t="shared" ref="CY105" si="838">CX105</f>
        <v>0.3</v>
      </c>
      <c r="CZ105" s="101">
        <f t="shared" ref="CZ105" si="839">CY105</f>
        <v>0.3</v>
      </c>
      <c r="DA105" s="101">
        <f t="shared" ref="DA105" si="840">CZ105</f>
        <v>0.3</v>
      </c>
      <c r="DB105" s="102">
        <f t="shared" si="836"/>
        <v>0.62942892388297189</v>
      </c>
    </row>
    <row r="106" spans="1:107" s="7" customFormat="1" ht="11.5" customHeight="1" x14ac:dyDescent="0.35">
      <c r="A106" s="7" t="s">
        <v>397</v>
      </c>
      <c r="B106" s="204"/>
      <c r="C106" s="204"/>
      <c r="D106" s="204"/>
      <c r="E106" s="204"/>
      <c r="F106" s="526"/>
      <c r="G106" s="204"/>
      <c r="H106" s="204"/>
      <c r="I106" s="204"/>
      <c r="J106" s="204"/>
      <c r="K106" s="526"/>
      <c r="L106" s="204"/>
      <c r="M106" s="204"/>
      <c r="N106" s="204"/>
      <c r="O106" s="204"/>
      <c r="P106" s="526"/>
      <c r="Q106" s="204"/>
      <c r="R106" s="204"/>
      <c r="S106" s="204"/>
      <c r="T106" s="204"/>
      <c r="U106" s="526"/>
      <c r="V106" s="204"/>
      <c r="W106" s="204"/>
      <c r="X106" s="204"/>
      <c r="Y106" s="204"/>
      <c r="Z106" s="526"/>
      <c r="AA106" s="204"/>
      <c r="AB106" s="204"/>
      <c r="AC106" s="204"/>
      <c r="AD106" s="204"/>
      <c r="AE106" s="526"/>
      <c r="AF106" s="204"/>
      <c r="AG106" s="204"/>
      <c r="AH106" s="204"/>
      <c r="AI106" s="204"/>
      <c r="AJ106" s="526"/>
      <c r="AK106" s="204"/>
      <c r="AL106" s="204"/>
      <c r="AM106" s="204"/>
      <c r="AN106" s="204"/>
      <c r="AO106" s="526"/>
      <c r="AP106" s="204"/>
      <c r="AQ106" s="204"/>
      <c r="AR106" s="204"/>
      <c r="AS106" s="204"/>
      <c r="AT106" s="526"/>
      <c r="AU106" s="204"/>
      <c r="AV106" s="204"/>
      <c r="AW106" s="204"/>
      <c r="AX106" s="204"/>
      <c r="AY106" s="526"/>
      <c r="AZ106" s="204"/>
      <c r="BA106" s="204"/>
      <c r="BB106" s="204"/>
      <c r="BC106" s="204"/>
      <c r="BD106" s="526"/>
      <c r="BE106" s="204"/>
      <c r="BF106" s="204"/>
      <c r="BG106" s="204"/>
      <c r="BH106" s="204"/>
      <c r="BI106" s="526"/>
      <c r="BJ106" s="204"/>
      <c r="BK106" s="204"/>
      <c r="BL106" s="204"/>
      <c r="BM106" s="537">
        <f t="shared" ref="BM106" si="841">SUM(BJ97:BM97,BE97:BH97,AZ97:BC97)</f>
        <v>3842665.2804177455</v>
      </c>
      <c r="BN106" s="537">
        <f t="shared" ref="BN106" si="842">BN97+BI97+BD97</f>
        <v>3842665.2804177455</v>
      </c>
      <c r="BO106" s="537">
        <f>SUM(BO97,BJ97:BM97,BE97:BH97,BA97:BC97)</f>
        <v>3873277.9185657534</v>
      </c>
      <c r="BP106" s="537">
        <f>SUM(BO97:BP97,BJ97:BM97,BE97:BH97,BB97:BC97)</f>
        <v>4186012.3165361914</v>
      </c>
      <c r="BQ106" s="537">
        <f>SUM(BO97:BQ97,BJ97:BM97,BE97:BH97,BC97)</f>
        <v>4492940.0199169479</v>
      </c>
      <c r="BR106" s="537">
        <f>SUM(BO97:BR97,BJ97:BM97,BE97:BH97)</f>
        <v>4371292.4826412443</v>
      </c>
      <c r="BS106" s="537">
        <f>BS97+BN97+BI97</f>
        <v>4371292.4826412452</v>
      </c>
      <c r="BT106" s="537">
        <f>SUM(BT97,BO97:BR97,BJ97:BM97,BF97:BH97)</f>
        <v>4450793.0219627246</v>
      </c>
      <c r="BU106" s="537">
        <f>SUM(BT97:BU97,BO97:BR97,BJ97:BM97,BG97:BH97)</f>
        <v>4536254.5464184219</v>
      </c>
      <c r="BV106" s="537">
        <f>SUM(BT97:BV97,BO97:BR97,BJ97:BM97,BH97)</f>
        <v>4943175.6576191615</v>
      </c>
      <c r="BW106" s="538">
        <f>SUM(BT97:BW97,BO97:BR97,BJ97:BM97)</f>
        <v>5553513.539069498</v>
      </c>
      <c r="BX106" s="538">
        <f>BX97+BS97+BN97</f>
        <v>5553513.539069498</v>
      </c>
      <c r="BY106" s="537">
        <f>SUM(BY97,BT97:BW97,BO97:BR97,BK97:BM97)</f>
        <v>6103967.6647470435</v>
      </c>
      <c r="BZ106" s="537">
        <f>SUM(BY97:BZ97,BT97:BW97,BO97:BR97,BL97:BM97)</f>
        <v>6954059.3078127252</v>
      </c>
      <c r="CA106" s="537">
        <f>SUM(BZ97:CA97,BU97:BX97,BP97:BS97,BM97:BN97)</f>
        <v>11580678.040395275</v>
      </c>
      <c r="CB106" s="538">
        <f>SUM(BY97:CB97,BT97:BW97,BO97:BR97)</f>
        <v>8440833.7519966699</v>
      </c>
      <c r="CC106" s="539">
        <f>CC97+BX97+BS97</f>
        <v>8440833.7519966699</v>
      </c>
      <c r="CD106" s="537">
        <f>SUM(CD97,BY97:CB97,BT97:BW97,BP97:BR97)</f>
        <v>9333609.5823106468</v>
      </c>
      <c r="CE106" s="537">
        <f>SUM(CD97:CE97,BY97:CB97,BT97:BW97,BQ97:BR97)</f>
        <v>10237994.29475889</v>
      </c>
      <c r="CF106" s="537">
        <f>SUM(CD97:CF97,BY97:CB97,BT97:BW97,BR97)</f>
        <v>11159336.844463918</v>
      </c>
      <c r="CG106" s="538">
        <f>SUM(CD97:CG97,BY97:CB97,BT97:BW97)</f>
        <v>12324060.459657917</v>
      </c>
      <c r="CH106" s="538">
        <f>CH97+CC97+BX97</f>
        <v>12324060.459657919</v>
      </c>
      <c r="CI106" s="537">
        <f t="shared" ref="CI106" si="843">SUM(CI97,CD97:CG97,BY97:CB97,BU97:BW97)</f>
        <v>13525526.858685739</v>
      </c>
      <c r="CJ106" s="537">
        <f t="shared" ref="CJ106" si="844">SUM(CI97:CJ97,CD97:CG97,BY97:CB97,BV97:BW97)</f>
        <v>14706245.74780694</v>
      </c>
      <c r="CK106" s="537">
        <f t="shared" ref="CK106" si="845">SUM(CI97:CK97,CD97:CG97,BY97:CB97,BW97)</f>
        <v>15722311.96720366</v>
      </c>
      <c r="CL106" s="538">
        <f t="shared" ref="CL106" si="846">SUM(CI97:CL97,CD97:CG97,BY97:CB97)</f>
        <v>16398673.388953222</v>
      </c>
      <c r="CM106" s="538">
        <f t="shared" ref="CM106" si="847">CM97+CH97+CC97</f>
        <v>16398673.38895322</v>
      </c>
      <c r="CN106" s="537">
        <f t="shared" ref="CN106" si="848">SUM(CN97,CI97:CL97,CD97:CG97,BZ97:CB97)</f>
        <v>17244374.909819391</v>
      </c>
      <c r="CO106" s="537">
        <f t="shared" ref="CO106" si="849">SUM(CN97:CO97,CI97:CL97,CD97:CG97,CA97:CB97)</f>
        <v>17684838.18761066</v>
      </c>
      <c r="CP106" s="537">
        <f t="shared" ref="CP106" si="850">SUM(CN97:CP97,CI97:CL97,CD97:CG97,CB97)</f>
        <v>18511672.401762217</v>
      </c>
      <c r="CQ106" s="538">
        <f t="shared" ref="CQ106" si="851">SUM(CN97:CQ97,CI97:CL97,CD97:CG97)</f>
        <v>19174524.607049834</v>
      </c>
      <c r="CR106" s="538">
        <f t="shared" ref="CR106" si="852">CR97+CM97+CH97</f>
        <v>19174524.607049838</v>
      </c>
      <c r="CS106" s="537">
        <f t="shared" ref="CS106" si="853">SUM(CS97,CN97:CQ97,CI97:CL97,CE97:CG97)</f>
        <v>19777154.527434427</v>
      </c>
      <c r="CT106" s="537">
        <f t="shared" ref="CT106" si="854">SUM(CS97:CT97,CN97:CQ97,CI97:CL97,CF97:CG97)</f>
        <v>20227570.78562054</v>
      </c>
      <c r="CU106" s="537">
        <f t="shared" ref="CU106" si="855">SUM(CS97:CU97,CN97:CQ97,CI97:CL97,CG97)</f>
        <v>20609396.526202586</v>
      </c>
      <c r="CV106" s="538">
        <f t="shared" ref="CV106" si="856">SUM(CS97:CV97,CN97:CQ97,CI97:CL97)</f>
        <v>20884982.433533467</v>
      </c>
      <c r="CW106" s="538">
        <f t="shared" ref="CW106" si="857">CW97+CR97+CM97</f>
        <v>20884982.433533467</v>
      </c>
      <c r="CX106" s="537">
        <f t="shared" ref="CX106" si="858">SUM(CX97,CS97:CV97,CN97:CQ97,CJ97:CL97)</f>
        <v>21134403.611235511</v>
      </c>
      <c r="CY106" s="537">
        <f t="shared" ref="CY106" si="859">SUM(CX97:CY97,CS97:CV97,CN97:CQ97,CK97:CL97)</f>
        <v>21365509.478197366</v>
      </c>
      <c r="CZ106" s="537">
        <f t="shared" ref="CZ106" si="860">SUM(CX97:CZ97,CS97:CV97,CN97:CQ97,CL97)</f>
        <v>21583794.627641093</v>
      </c>
      <c r="DA106" s="538">
        <f t="shared" ref="DA106" si="861">SUM(CX97:DA97,CS97:CV97,CN97:CQ97)</f>
        <v>21793105.274822127</v>
      </c>
      <c r="DB106" s="538">
        <f t="shared" ref="DB106" si="862">DB97+CW97+CR97</f>
        <v>21793105.274822131</v>
      </c>
    </row>
    <row r="107" spans="1:107" s="7" customFormat="1" ht="11.5" customHeight="1" x14ac:dyDescent="0.35">
      <c r="A107" s="11" t="s">
        <v>398</v>
      </c>
      <c r="B107" s="204"/>
      <c r="C107" s="204"/>
      <c r="D107" s="204"/>
      <c r="E107" s="204"/>
      <c r="F107" s="526"/>
      <c r="G107" s="204"/>
      <c r="H107" s="204"/>
      <c r="I107" s="204"/>
      <c r="J107" s="204"/>
      <c r="K107" s="526"/>
      <c r="L107" s="204"/>
      <c r="M107" s="204"/>
      <c r="N107" s="204"/>
      <c r="O107" s="204"/>
      <c r="P107" s="526"/>
      <c r="Q107" s="204"/>
      <c r="R107" s="204"/>
      <c r="S107" s="204"/>
      <c r="T107" s="204"/>
      <c r="U107" s="526"/>
      <c r="V107" s="204"/>
      <c r="W107" s="204"/>
      <c r="X107" s="204"/>
      <c r="Y107" s="204"/>
      <c r="Z107" s="526"/>
      <c r="AA107" s="204"/>
      <c r="AB107" s="204"/>
      <c r="AC107" s="204"/>
      <c r="AD107" s="204"/>
      <c r="AE107" s="526"/>
      <c r="AF107" s="204"/>
      <c r="AG107" s="204"/>
      <c r="AH107" s="204"/>
      <c r="AI107" s="204"/>
      <c r="AJ107" s="526"/>
      <c r="AK107" s="204"/>
      <c r="AL107" s="204"/>
      <c r="AM107" s="204"/>
      <c r="AN107" s="204"/>
      <c r="AO107" s="526"/>
      <c r="AP107" s="204"/>
      <c r="AQ107" s="204"/>
      <c r="AR107" s="204"/>
      <c r="AS107" s="204"/>
      <c r="AT107" s="526"/>
      <c r="AU107" s="204"/>
      <c r="AV107" s="204"/>
      <c r="AW107" s="204"/>
      <c r="AX107" s="204"/>
      <c r="AY107" s="526"/>
      <c r="AZ107" s="204"/>
      <c r="BA107" s="204"/>
      <c r="BB107" s="204"/>
      <c r="BC107" s="204"/>
      <c r="BD107" s="526"/>
      <c r="BE107" s="204"/>
      <c r="BF107" s="204"/>
      <c r="BG107" s="204"/>
      <c r="BH107" s="204"/>
      <c r="BI107" s="526"/>
      <c r="BJ107" s="204"/>
      <c r="BK107" s="204"/>
      <c r="BL107" s="204"/>
      <c r="BM107" s="204">
        <f t="shared" ref="BM107" si="863">BM109/BM106</f>
        <v>7.0249911383249597E-2</v>
      </c>
      <c r="BN107" s="204">
        <f t="shared" ref="BN107" si="864">BN109/BN106</f>
        <v>0.30189878953128835</v>
      </c>
      <c r="BO107" s="204">
        <f>BO109/BO106</f>
        <v>6.5084796022414404E-2</v>
      </c>
      <c r="BP107" s="204">
        <f>BP109/BP106</f>
        <v>7.693787885536614E-2</v>
      </c>
      <c r="BQ107" s="204">
        <f t="shared" ref="BQ107" si="865">BQ109/BQ106</f>
        <v>7.5611772467643973E-2</v>
      </c>
      <c r="BR107" s="204">
        <f t="shared" ref="BR107" si="866">BR109/BR106</f>
        <v>5.5274899638374085E-2</v>
      </c>
      <c r="BS107" s="204">
        <f t="shared" ref="BS107" si="867">BS109/BS106</f>
        <v>0.26433745353759347</v>
      </c>
      <c r="BT107" s="204">
        <f>BT109/BT106</f>
        <v>4.0318786115174178E-2</v>
      </c>
      <c r="BU107" s="204">
        <f>BU109/BU106</f>
        <v>5.1097498122750704E-2</v>
      </c>
      <c r="BV107" s="204">
        <f t="shared" ref="BV107" si="868">BV109/BV106</f>
        <v>5.4213556408799546E-2</v>
      </c>
      <c r="BW107" s="476">
        <f t="shared" ref="BW107" si="869">BW109/BW106</f>
        <v>5.2736847347401215E-2</v>
      </c>
      <c r="BX107" s="102">
        <f t="shared" ref="BX107" si="870">BX109/BX106</f>
        <v>0.17504301580091447</v>
      </c>
      <c r="BY107" s="204">
        <f>BY109/BY106</f>
        <v>3.6483488802515007E-2</v>
      </c>
      <c r="BZ107" s="204">
        <f>BZ109/BZ106</f>
        <v>5.4309512172716984E-2</v>
      </c>
      <c r="CA107" s="204">
        <f>CA109/CA106</f>
        <v>2.9822483806962421E-2</v>
      </c>
      <c r="CB107" s="476">
        <f t="shared" ref="CB107" si="871">CB109/CB106</f>
        <v>5.4403099247304125E-2</v>
      </c>
      <c r="CC107" s="102">
        <f t="shared" ref="CC107" si="872">CC109/CC106</f>
        <v>0.16644537086351566</v>
      </c>
      <c r="CD107" s="204">
        <f>CD109/CD106</f>
        <v>5.046452087663917E-2</v>
      </c>
      <c r="CE107" s="204">
        <f>CE109/CE106</f>
        <v>4.9966862921404606E-2</v>
      </c>
      <c r="CF107" s="569">
        <v>0.05</v>
      </c>
      <c r="CG107" s="573">
        <v>0.05</v>
      </c>
      <c r="CH107" s="477">
        <f t="shared" ref="CH107" si="873">CH109/CH106</f>
        <v>0.17500291120798445</v>
      </c>
      <c r="CI107" s="569">
        <v>0.05</v>
      </c>
      <c r="CJ107" s="569">
        <v>0.05</v>
      </c>
      <c r="CK107" s="569">
        <v>0.05</v>
      </c>
      <c r="CL107" s="573">
        <v>0.05</v>
      </c>
      <c r="CM107" s="477">
        <f t="shared" ref="CM107" si="874">CM109/CM106</f>
        <v>0.18401719618156895</v>
      </c>
      <c r="CN107" s="569">
        <f>CI107</f>
        <v>0.05</v>
      </c>
      <c r="CO107" s="569">
        <f t="shared" ref="CO107:CQ107" si="875">CJ107</f>
        <v>0.05</v>
      </c>
      <c r="CP107" s="569">
        <f t="shared" si="875"/>
        <v>0.05</v>
      </c>
      <c r="CQ107" s="573">
        <f t="shared" si="875"/>
        <v>0.05</v>
      </c>
      <c r="CR107" s="477">
        <f t="shared" ref="CR107" si="876">CR109/CR106</f>
        <v>0.18935387341896295</v>
      </c>
      <c r="CS107" s="569">
        <f t="shared" ref="CS107" si="877">CN107</f>
        <v>0.05</v>
      </c>
      <c r="CT107" s="204">
        <f t="shared" ref="CT107" si="878">CO107</f>
        <v>0.05</v>
      </c>
      <c r="CU107" s="204">
        <f t="shared" ref="CU107" si="879">CP107</f>
        <v>0.05</v>
      </c>
      <c r="CV107" s="477">
        <f t="shared" ref="CV107" si="880">CQ107</f>
        <v>0.05</v>
      </c>
      <c r="CW107" s="477">
        <f t="shared" ref="CW107:DB107" si="881">CW109/CW106</f>
        <v>0.19511413172637854</v>
      </c>
      <c r="CX107" s="569">
        <f t="shared" ref="CX107" si="882">CS107</f>
        <v>0.05</v>
      </c>
      <c r="CY107" s="204">
        <f t="shared" ref="CY107" si="883">CT107</f>
        <v>0.05</v>
      </c>
      <c r="CZ107" s="204">
        <f t="shared" ref="CZ107" si="884">CU107</f>
        <v>0.05</v>
      </c>
      <c r="DA107" s="477">
        <f t="shared" ref="DA107" si="885">CV107</f>
        <v>0.05</v>
      </c>
      <c r="DB107" s="477">
        <f t="shared" si="881"/>
        <v>0.1970274816483146</v>
      </c>
    </row>
    <row r="108" spans="1:107" s="7" customFormat="1" ht="11.5" customHeight="1" thickBot="1" x14ac:dyDescent="0.4">
      <c r="A108" s="318" t="s">
        <v>364</v>
      </c>
      <c r="B108" s="129" t="str">
        <f>Macro!B$3</f>
        <v>1Q10</v>
      </c>
      <c r="C108" s="129" t="str">
        <f>Macro!C$3</f>
        <v>2Q10</v>
      </c>
      <c r="D108" s="129" t="str">
        <f>Macro!D$3</f>
        <v>3Q10</v>
      </c>
      <c r="E108" s="319" t="str">
        <f>Macro!E$3</f>
        <v>4Q10</v>
      </c>
      <c r="F108" s="319" t="str">
        <f>Macro!F$3</f>
        <v>2010</v>
      </c>
      <c r="G108" s="129" t="str">
        <f>Macro!G$3</f>
        <v>1Q11</v>
      </c>
      <c r="H108" s="129" t="str">
        <f>Macro!H$3</f>
        <v>2Q11</v>
      </c>
      <c r="I108" s="129" t="str">
        <f>Macro!I$3</f>
        <v>3Q11</v>
      </c>
      <c r="J108" s="319" t="str">
        <f>Macro!J$3</f>
        <v>4Q11</v>
      </c>
      <c r="K108" s="319" t="str">
        <f>Macro!K$3</f>
        <v>2011</v>
      </c>
      <c r="L108" s="129" t="str">
        <f>Macro!L$3</f>
        <v>1Q12</v>
      </c>
      <c r="M108" s="129" t="str">
        <f>Macro!M$3</f>
        <v>2Q12</v>
      </c>
      <c r="N108" s="129" t="str">
        <f>Macro!N$3</f>
        <v>3Q12</v>
      </c>
      <c r="O108" s="319" t="str">
        <f>Macro!O$3</f>
        <v>4Q12</v>
      </c>
      <c r="P108" s="319" t="str">
        <f>Macro!P$3</f>
        <v>2012</v>
      </c>
      <c r="Q108" s="129" t="str">
        <f>Macro!Q$3</f>
        <v>1Q13</v>
      </c>
      <c r="R108" s="129" t="str">
        <f>Macro!R$3</f>
        <v>2Q13</v>
      </c>
      <c r="S108" s="129" t="str">
        <f>Macro!S$3</f>
        <v>3Q13</v>
      </c>
      <c r="T108" s="319" t="str">
        <f>Macro!T$3</f>
        <v>4Q13</v>
      </c>
      <c r="U108" s="319" t="str">
        <f>Macro!U$3</f>
        <v>2013</v>
      </c>
      <c r="V108" s="129" t="str">
        <f>Macro!V$3</f>
        <v>1Q14</v>
      </c>
      <c r="W108" s="129" t="str">
        <f>Macro!W$3</f>
        <v>2Q14</v>
      </c>
      <c r="X108" s="129" t="str">
        <f>Macro!X$3</f>
        <v>3Q14</v>
      </c>
      <c r="Y108" s="319" t="str">
        <f>Macro!Y$3</f>
        <v>4Q14</v>
      </c>
      <c r="Z108" s="319" t="str">
        <f>Macro!Z$3</f>
        <v>2014</v>
      </c>
      <c r="AA108" s="129" t="str">
        <f>Macro!AA$3</f>
        <v>1Q15</v>
      </c>
      <c r="AB108" s="129" t="str">
        <f>Macro!AB$3</f>
        <v>2Q15</v>
      </c>
      <c r="AC108" s="129" t="str">
        <f>Macro!AC$3</f>
        <v>3Q15</v>
      </c>
      <c r="AD108" s="319" t="str">
        <f>Macro!AD$3</f>
        <v>4Q15</v>
      </c>
      <c r="AE108" s="319" t="str">
        <f>Macro!AE$3</f>
        <v>2015</v>
      </c>
      <c r="AF108" s="129" t="str">
        <f>Macro!AF$3</f>
        <v>1Q16</v>
      </c>
      <c r="AG108" s="129" t="str">
        <f>Macro!AG$3</f>
        <v>2Q16</v>
      </c>
      <c r="AH108" s="129" t="str">
        <f>Macro!AH$3</f>
        <v>3Q16</v>
      </c>
      <c r="AI108" s="319" t="str">
        <f>Macro!AI$3</f>
        <v>4Q16</v>
      </c>
      <c r="AJ108" s="319" t="str">
        <f>Macro!AJ$3</f>
        <v>2016</v>
      </c>
      <c r="AK108" s="129" t="str">
        <f>Macro!AK$3</f>
        <v>1Q17</v>
      </c>
      <c r="AL108" s="129" t="str">
        <f>Macro!AL$3</f>
        <v>2Q17</v>
      </c>
      <c r="AM108" s="129" t="str">
        <f>Macro!AM$3</f>
        <v>3Q17</v>
      </c>
      <c r="AN108" s="319" t="str">
        <f>Macro!AN$3</f>
        <v>4Q17</v>
      </c>
      <c r="AO108" s="319" t="str">
        <f>Macro!AO$3</f>
        <v>2017</v>
      </c>
      <c r="AP108" s="129" t="str">
        <f>Macro!AP$3</f>
        <v>1Q18</v>
      </c>
      <c r="AQ108" s="129" t="str">
        <f>Macro!AQ$3</f>
        <v>2Q18</v>
      </c>
      <c r="AR108" s="129" t="str">
        <f>Macro!AR$3</f>
        <v>3Q18</v>
      </c>
      <c r="AS108" s="319" t="str">
        <f>Macro!AS$3</f>
        <v>4Q18</v>
      </c>
      <c r="AT108" s="319" t="str">
        <f>Macro!AT$3</f>
        <v>2018</v>
      </c>
      <c r="AU108" s="129" t="str">
        <f>Macro!AU$3</f>
        <v>1Q19</v>
      </c>
      <c r="AV108" s="129" t="str">
        <f>Macro!AV$3</f>
        <v>2Q19</v>
      </c>
      <c r="AW108" s="129" t="str">
        <f>Macro!AW$3</f>
        <v>3Q19</v>
      </c>
      <c r="AX108" s="319" t="str">
        <f>Macro!AX$3</f>
        <v>4Q19</v>
      </c>
      <c r="AY108" s="319" t="str">
        <f>Macro!AY$3</f>
        <v>2019</v>
      </c>
      <c r="AZ108" s="129" t="str">
        <f>Macro!AZ$3</f>
        <v>1Q20</v>
      </c>
      <c r="BA108" s="129" t="str">
        <f>Macro!BA$3</f>
        <v>2Q20</v>
      </c>
      <c r="BB108" s="129" t="str">
        <f>Macro!BB$3</f>
        <v>3Q20</v>
      </c>
      <c r="BC108" s="319" t="str">
        <f>Macro!BC$3</f>
        <v>4Q20</v>
      </c>
      <c r="BD108" s="319" t="str">
        <f>Macro!BD$3</f>
        <v>2020</v>
      </c>
      <c r="BE108" s="129" t="str">
        <f>Macro!BE$3</f>
        <v>1Q21</v>
      </c>
      <c r="BF108" s="129" t="str">
        <f>Macro!BF$3</f>
        <v>2Q21</v>
      </c>
      <c r="BG108" s="129" t="str">
        <f>Macro!BG$3</f>
        <v>3Q21</v>
      </c>
      <c r="BH108" s="319" t="str">
        <f>Macro!BH$3</f>
        <v>4Q21</v>
      </c>
      <c r="BI108" s="319" t="str">
        <f>Macro!BI$3</f>
        <v>2021</v>
      </c>
      <c r="BJ108" s="129" t="str">
        <f>Macro!BJ$3</f>
        <v>1Q22</v>
      </c>
      <c r="BK108" s="129" t="str">
        <f>Macro!BK$3</f>
        <v>2Q22</v>
      </c>
      <c r="BL108" s="129" t="str">
        <f>Macro!BL$3</f>
        <v>3Q22</v>
      </c>
      <c r="BM108" s="319" t="str">
        <f>Macro!BM$3</f>
        <v>4Q22</v>
      </c>
      <c r="BN108" s="319" t="str">
        <f>Macro!BN$3</f>
        <v>2022</v>
      </c>
      <c r="BO108" s="129" t="str">
        <f>Macro!BO$3</f>
        <v>1Q23</v>
      </c>
      <c r="BP108" s="129" t="str">
        <f>Macro!BP$3</f>
        <v>2Q23</v>
      </c>
      <c r="BQ108" s="129" t="str">
        <f>Macro!BQ$3</f>
        <v>3Q23</v>
      </c>
      <c r="BR108" s="319" t="str">
        <f>Macro!BR$3</f>
        <v>4Q23</v>
      </c>
      <c r="BS108" s="319" t="str">
        <f>Macro!BS$3</f>
        <v>2023</v>
      </c>
      <c r="BT108" s="129" t="str">
        <f>Macro!BT$3</f>
        <v>1Q24</v>
      </c>
      <c r="BU108" s="129" t="str">
        <f>Macro!BU$3</f>
        <v>2Q24</v>
      </c>
      <c r="BV108" s="129" t="str">
        <f>Macro!BV$3</f>
        <v>3Q24</v>
      </c>
      <c r="BW108" s="319" t="str">
        <f>Macro!BW$3</f>
        <v>4Q24</v>
      </c>
      <c r="BX108" s="319" t="str">
        <f>Macro!BX$3</f>
        <v>2024</v>
      </c>
      <c r="BY108" s="129" t="str">
        <f>Macro!BY$3</f>
        <v>1Q25</v>
      </c>
      <c r="BZ108" s="129" t="str">
        <f>Macro!BZ$3</f>
        <v>2Q25</v>
      </c>
      <c r="CA108" s="129" t="str">
        <f>Macro!CA$3</f>
        <v>3Q25</v>
      </c>
      <c r="CB108" s="319" t="str">
        <f>Macro!CB$3</f>
        <v>4Q25</v>
      </c>
      <c r="CC108" s="319" t="str">
        <f>Macro!CC$3</f>
        <v>2025</v>
      </c>
      <c r="CD108" s="129" t="str">
        <f>Macro!CD$3</f>
        <v>1Q26</v>
      </c>
      <c r="CE108" s="129" t="str">
        <f>Macro!CE$3</f>
        <v>2Q26</v>
      </c>
      <c r="CF108" s="129" t="str">
        <f>Macro!CF$3</f>
        <v>3Q26E</v>
      </c>
      <c r="CG108" s="320" t="str">
        <f>Macro!CG$3</f>
        <v>4Q26E</v>
      </c>
      <c r="CH108" s="319" t="str">
        <f>Macro!CH$3</f>
        <v>2026E</v>
      </c>
      <c r="CI108" s="129" t="str">
        <f>Macro!CI$3</f>
        <v>1Q27E</v>
      </c>
      <c r="CJ108" s="129" t="str">
        <f>Macro!CJ$3</f>
        <v>2Q27E</v>
      </c>
      <c r="CK108" s="129" t="str">
        <f>Macro!CK$3</f>
        <v>3Q27E</v>
      </c>
      <c r="CL108" s="320" t="str">
        <f>Macro!CL$3</f>
        <v>4Q27E</v>
      </c>
      <c r="CM108" s="319" t="str">
        <f>Macro!CM$3</f>
        <v>2027E</v>
      </c>
      <c r="CN108" s="129" t="str">
        <f>Macro!CN$3</f>
        <v>1Q28E</v>
      </c>
      <c r="CO108" s="129" t="str">
        <f>Macro!CO$3</f>
        <v>2Q28E</v>
      </c>
      <c r="CP108" s="129" t="str">
        <f>Macro!CP$3</f>
        <v>3Q28E</v>
      </c>
      <c r="CQ108" s="320" t="str">
        <f>Macro!CQ$3</f>
        <v>4Q28E</v>
      </c>
      <c r="CR108" s="319" t="str">
        <f>Macro!CR$3</f>
        <v>2028E</v>
      </c>
      <c r="CS108" s="129" t="str">
        <f>Macro!CS$3</f>
        <v>1Q29E</v>
      </c>
      <c r="CT108" s="129" t="str">
        <f>Macro!CT$3</f>
        <v>2Q29E</v>
      </c>
      <c r="CU108" s="129" t="str">
        <f>Macro!CU$3</f>
        <v>3Q29E</v>
      </c>
      <c r="CV108" s="320" t="str">
        <f>Macro!CV$3</f>
        <v>4Q29E</v>
      </c>
      <c r="CW108" s="319" t="str">
        <f>Macro!CW$3</f>
        <v>2029E</v>
      </c>
      <c r="CX108" s="129" t="str">
        <f>Macro!CX$3</f>
        <v>1Q30E</v>
      </c>
      <c r="CY108" s="129" t="str">
        <f>Macro!CY$3</f>
        <v>2Q30E</v>
      </c>
      <c r="CZ108" s="129" t="str">
        <f>Macro!CZ$3</f>
        <v>3Q30E</v>
      </c>
      <c r="DA108" s="320" t="str">
        <f>Macro!DA$3</f>
        <v>4Q30E</v>
      </c>
      <c r="DB108" s="319" t="str">
        <f>Macro!DB$3</f>
        <v>2030E</v>
      </c>
    </row>
    <row r="109" spans="1:107" s="7" customFormat="1" ht="11.5" customHeight="1" thickTop="1" x14ac:dyDescent="0.35">
      <c r="A109" s="321" t="s">
        <v>350</v>
      </c>
      <c r="B109" s="133"/>
      <c r="C109" s="133"/>
      <c r="D109" s="133"/>
      <c r="E109" s="540"/>
      <c r="F109" s="316"/>
      <c r="G109" s="133"/>
      <c r="H109" s="133"/>
      <c r="I109" s="133"/>
      <c r="J109" s="540"/>
      <c r="K109" s="316"/>
      <c r="L109" s="133"/>
      <c r="M109" s="133"/>
      <c r="N109" s="133"/>
      <c r="O109" s="540"/>
      <c r="P109" s="316"/>
      <c r="Q109" s="133"/>
      <c r="R109" s="133"/>
      <c r="S109" s="133"/>
      <c r="T109" s="540"/>
      <c r="U109" s="316"/>
      <c r="V109" s="133"/>
      <c r="W109" s="133"/>
      <c r="X109" s="133"/>
      <c r="Y109" s="540"/>
      <c r="Z109" s="316"/>
      <c r="AA109" s="133"/>
      <c r="AB109" s="133"/>
      <c r="AC109" s="133"/>
      <c r="AD109" s="540"/>
      <c r="AE109" s="316"/>
      <c r="AF109" s="133"/>
      <c r="AG109" s="133"/>
      <c r="AH109" s="133"/>
      <c r="AI109" s="540"/>
      <c r="AJ109" s="316"/>
      <c r="AK109" s="133"/>
      <c r="AL109" s="133"/>
      <c r="AM109" s="133"/>
      <c r="AN109" s="540"/>
      <c r="AO109" s="316"/>
      <c r="AP109" s="133"/>
      <c r="AQ109" s="133"/>
      <c r="AR109" s="133"/>
      <c r="AS109" s="540"/>
      <c r="AT109" s="316"/>
      <c r="AU109" s="133"/>
      <c r="AV109" s="133"/>
      <c r="AW109" s="133"/>
      <c r="AX109" s="540"/>
      <c r="AY109" s="316"/>
      <c r="AZ109" s="133">
        <f>AZ111/(1-2.08%)</f>
        <v>0</v>
      </c>
      <c r="BA109" s="133">
        <f>BA111/(1-2.08%)</f>
        <v>0</v>
      </c>
      <c r="BB109" s="133">
        <f>BB111/(1-2.08%)</f>
        <v>0</v>
      </c>
      <c r="BC109" s="540">
        <f>BC111/(1-2.08%)</f>
        <v>0</v>
      </c>
      <c r="BD109" s="316">
        <f>SUM(AZ109:BC109)</f>
        <v>0</v>
      </c>
      <c r="BE109" s="541">
        <f>BE111/(1-2.08%)</f>
        <v>229649.7140522876</v>
      </c>
      <c r="BF109" s="541">
        <f>BF111/(1-2.08%)</f>
        <v>168789.82843137256</v>
      </c>
      <c r="BG109" s="541">
        <f>BG111/(1-2.08%)</f>
        <v>210213.43954248365</v>
      </c>
      <c r="BH109" s="542">
        <f>BH111/(1-2.08%)</f>
        <v>225355.39215686274</v>
      </c>
      <c r="BI109" s="316">
        <f>SUM(BE109:BH109)</f>
        <v>834008.37418300658</v>
      </c>
      <c r="BJ109" s="541">
        <f>BJ111/(1-2.08%)</f>
        <v>263146.44607843139</v>
      </c>
      <c r="BK109" s="541">
        <f>BK111/(1-2.08%)</f>
        <v>344922.38562091504</v>
      </c>
      <c r="BL109" s="541">
        <f>BL111/(1-2.08%)</f>
        <v>282080.26960784313</v>
      </c>
      <c r="BM109" s="542">
        <f>BM111/(1-2.08%)</f>
        <v>269946.89542483661</v>
      </c>
      <c r="BN109" s="316">
        <f>SUM(BJ109:BM109)</f>
        <v>1160095.9967320261</v>
      </c>
      <c r="BO109" s="541">
        <f>BO111/(1-2.08%)</f>
        <v>252091.50326797387</v>
      </c>
      <c r="BP109" s="541">
        <f>BP111/(1-2.08%)</f>
        <v>322062.90849673207</v>
      </c>
      <c r="BQ109" s="541">
        <f>BQ111/(1-2.08%)</f>
        <v>339719.15849673207</v>
      </c>
      <c r="BR109" s="542">
        <f>BR111/(1-2.08%)</f>
        <v>241622.75326797387</v>
      </c>
      <c r="BS109" s="316">
        <f>SUM(BO109:BR109)</f>
        <v>1155496.3235294118</v>
      </c>
      <c r="BT109" s="541">
        <f>BT111/(1-2.08%)</f>
        <v>179450.57189542483</v>
      </c>
      <c r="BU109" s="541">
        <f>BU111/(1-2.08%)</f>
        <v>231791.25816993465</v>
      </c>
      <c r="BV109" s="541">
        <f>BV111/(1-2.08%)</f>
        <v>267987.1323529412</v>
      </c>
      <c r="BW109" s="542">
        <f>BW111/(1-2.08%)</f>
        <v>292874.795751634</v>
      </c>
      <c r="BX109" s="316">
        <f>SUM(BT109:BW109)</f>
        <v>972103.75816993462</v>
      </c>
      <c r="BY109" s="541">
        <f>BY111/(1-2.08%)</f>
        <v>222694.03594771243</v>
      </c>
      <c r="BZ109" s="541">
        <f>BZ111/(1-2.08%)</f>
        <v>377671.56862745102</v>
      </c>
      <c r="CA109" s="541">
        <f>CA111/(1-2.08%)</f>
        <v>345364.58333333337</v>
      </c>
      <c r="CB109" s="542">
        <f>CB111/(1-2.08%)</f>
        <v>459207.5163398693</v>
      </c>
      <c r="CC109" s="316">
        <f>SUM(BY109:CB109)</f>
        <v>1404937.7042483662</v>
      </c>
      <c r="CD109" s="541">
        <f>CD111/(1-2.08%)</f>
        <v>471016.13562091504</v>
      </c>
      <c r="CE109" s="541">
        <f>CE111/(1-2.08%)</f>
        <v>511560.4575163399</v>
      </c>
      <c r="CF109" s="133">
        <f>CF106*CF107</f>
        <v>557966.84222319594</v>
      </c>
      <c r="CG109" s="540">
        <f>CG106*CG107</f>
        <v>616203.02298289584</v>
      </c>
      <c r="CH109" s="316">
        <f>SUM(CD109:CG109)</f>
        <v>2156746.4583433466</v>
      </c>
      <c r="CI109" s="133">
        <f t="shared" ref="CI109:CL109" si="886">CI106*CI107</f>
        <v>676276.34293428704</v>
      </c>
      <c r="CJ109" s="133">
        <f t="shared" si="886"/>
        <v>735312.2873903471</v>
      </c>
      <c r="CK109" s="133">
        <f t="shared" si="886"/>
        <v>786115.59836018307</v>
      </c>
      <c r="CL109" s="540">
        <f t="shared" si="886"/>
        <v>819933.66944766114</v>
      </c>
      <c r="CM109" s="316">
        <f t="shared" ref="CM109:CM113" si="887">SUM(CI109:CL109)</f>
        <v>3017637.8981324788</v>
      </c>
      <c r="CN109" s="133">
        <f t="shared" ref="CN109:CQ109" si="888">CN106*CN107</f>
        <v>862218.74549096962</v>
      </c>
      <c r="CO109" s="133">
        <f t="shared" si="888"/>
        <v>884241.90938053303</v>
      </c>
      <c r="CP109" s="133">
        <f t="shared" si="888"/>
        <v>925583.62008811091</v>
      </c>
      <c r="CQ109" s="540">
        <f t="shared" si="888"/>
        <v>958726.23035249172</v>
      </c>
      <c r="CR109" s="316">
        <f t="shared" ref="CR109:CR113" si="889">SUM(CN109:CQ109)</f>
        <v>3630770.5053121052</v>
      </c>
      <c r="CS109" s="133">
        <f t="shared" ref="CS109:CV109" si="890">CS106*CS107</f>
        <v>988857.72637172136</v>
      </c>
      <c r="CT109" s="133">
        <f t="shared" si="890"/>
        <v>1011378.539281027</v>
      </c>
      <c r="CU109" s="133">
        <f t="shared" si="890"/>
        <v>1030469.8263101294</v>
      </c>
      <c r="CV109" s="540">
        <f t="shared" si="890"/>
        <v>1044249.1216766734</v>
      </c>
      <c r="CW109" s="316">
        <f t="shared" ref="CW109:CW113" si="891">SUM(CS109:CV109)</f>
        <v>4074955.2136395508</v>
      </c>
      <c r="CX109" s="133">
        <f t="shared" ref="CX109:DA109" si="892">CX106*CX107</f>
        <v>1056720.1805617756</v>
      </c>
      <c r="CY109" s="133">
        <f t="shared" si="892"/>
        <v>1068275.4739098684</v>
      </c>
      <c r="CZ109" s="133">
        <f t="shared" si="892"/>
        <v>1079189.7313820547</v>
      </c>
      <c r="DA109" s="540">
        <f t="shared" si="892"/>
        <v>1089655.2637411065</v>
      </c>
      <c r="DB109" s="316">
        <f t="shared" ref="DB109:DB113" si="893">SUM(CX109:DA109)</f>
        <v>4293840.6495948052</v>
      </c>
    </row>
    <row r="110" spans="1:107" s="7" customFormat="1" ht="11.5" customHeight="1" x14ac:dyDescent="0.35">
      <c r="A110" s="322" t="s">
        <v>351</v>
      </c>
      <c r="B110" s="23"/>
      <c r="C110" s="23"/>
      <c r="D110" s="23"/>
      <c r="E110" s="324"/>
      <c r="F110" s="323"/>
      <c r="G110" s="23"/>
      <c r="H110" s="23"/>
      <c r="I110" s="23"/>
      <c r="J110" s="324"/>
      <c r="K110" s="323"/>
      <c r="L110" s="23"/>
      <c r="M110" s="23"/>
      <c r="N110" s="23"/>
      <c r="O110" s="324"/>
      <c r="P110" s="323"/>
      <c r="Q110" s="23"/>
      <c r="R110" s="23"/>
      <c r="S110" s="23"/>
      <c r="T110" s="324"/>
      <c r="U110" s="323"/>
      <c r="V110" s="23"/>
      <c r="W110" s="23"/>
      <c r="X110" s="23"/>
      <c r="Y110" s="324"/>
      <c r="Z110" s="323"/>
      <c r="AA110" s="23"/>
      <c r="AB110" s="23"/>
      <c r="AC110" s="23"/>
      <c r="AD110" s="324"/>
      <c r="AE110" s="323"/>
      <c r="AF110" s="23"/>
      <c r="AG110" s="23"/>
      <c r="AH110" s="23"/>
      <c r="AI110" s="324"/>
      <c r="AJ110" s="323"/>
      <c r="AK110" s="23"/>
      <c r="AL110" s="23"/>
      <c r="AM110" s="23"/>
      <c r="AN110" s="324"/>
      <c r="AO110" s="323"/>
      <c r="AP110" s="23"/>
      <c r="AQ110" s="23"/>
      <c r="AR110" s="23"/>
      <c r="AS110" s="324"/>
      <c r="AT110" s="323"/>
      <c r="AU110" s="23"/>
      <c r="AV110" s="23"/>
      <c r="AW110" s="23"/>
      <c r="AX110" s="324"/>
      <c r="AY110" s="323"/>
      <c r="AZ110" s="23">
        <f>AZ111-AZ109</f>
        <v>0</v>
      </c>
      <c r="BA110" s="23">
        <f>BA111-BA109</f>
        <v>0</v>
      </c>
      <c r="BB110" s="23">
        <f>BB111-BB109</f>
        <v>0</v>
      </c>
      <c r="BC110" s="324">
        <f>BC111-BC109</f>
        <v>0</v>
      </c>
      <c r="BD110" s="323">
        <f>SUM(AZ110:BC110)</f>
        <v>0</v>
      </c>
      <c r="BE110" s="152">
        <f>BE111-BE109</f>
        <v>-4776.7140522875998</v>
      </c>
      <c r="BF110" s="152">
        <f>BF111-BF109</f>
        <v>-3510.8284313725599</v>
      </c>
      <c r="BG110" s="152">
        <f>BG111-BG109</f>
        <v>-4372.4395424836548</v>
      </c>
      <c r="BH110" s="323">
        <f>BH111-BH109</f>
        <v>-4687.3921568627411</v>
      </c>
      <c r="BI110" s="323">
        <f>SUM(BE110:BH110)</f>
        <v>-17347.374183006556</v>
      </c>
      <c r="BJ110" s="152">
        <f>BJ111-BJ109</f>
        <v>-5473.4460784313851</v>
      </c>
      <c r="BK110" s="152">
        <f>BK111-BK109</f>
        <v>-7174.3856209150399</v>
      </c>
      <c r="BL110" s="152">
        <f>BL111-BL109</f>
        <v>-5867.2696078431327</v>
      </c>
      <c r="BM110" s="323">
        <f>BM111-BM109</f>
        <v>-5614.8954248366063</v>
      </c>
      <c r="BN110" s="323">
        <f>SUM(BJ110:BM110)</f>
        <v>-24129.996732026164</v>
      </c>
      <c r="BO110" s="152">
        <f>BO111-BO109</f>
        <v>-5243.5032679738651</v>
      </c>
      <c r="BP110" s="152">
        <f>BP111-BP109</f>
        <v>-6698.9084967320669</v>
      </c>
      <c r="BQ110" s="152">
        <f>BQ111-BQ109</f>
        <v>-7066.1584967320669</v>
      </c>
      <c r="BR110" s="323">
        <f>BR111-BR109</f>
        <v>-5025.7532679738651</v>
      </c>
      <c r="BS110" s="323">
        <f>SUM(BO110:BR110)</f>
        <v>-24034.323529411864</v>
      </c>
      <c r="BT110" s="152">
        <f>BT111-BT109</f>
        <v>-3732.5718954248296</v>
      </c>
      <c r="BU110" s="152">
        <f>BU111-BU109</f>
        <v>-4821.2581699346483</v>
      </c>
      <c r="BV110" s="152">
        <f>BV111-BV109</f>
        <v>-5574.1323529412039</v>
      </c>
      <c r="BW110" s="323">
        <f>BW111-BW109</f>
        <v>-6091.7957516339957</v>
      </c>
      <c r="BX110" s="323">
        <f>SUM(BT110:BW110)</f>
        <v>-20219.758169934677</v>
      </c>
      <c r="BY110" s="152">
        <f>BY111-BY109</f>
        <v>-4632.0359477124293</v>
      </c>
      <c r="BZ110" s="152">
        <f>BZ111-BZ109</f>
        <v>-7855.5686274510226</v>
      </c>
      <c r="CA110" s="152">
        <f>CA111-CA109</f>
        <v>-7183.5833333333721</v>
      </c>
      <c r="CB110" s="323">
        <f>CB111-CB109</f>
        <v>-9551.5163398692966</v>
      </c>
      <c r="CC110" s="324">
        <f>SUM(BY110:CB110)</f>
        <v>-29222.704248366121</v>
      </c>
      <c r="CD110" s="152">
        <f>CD111-CD109</f>
        <v>-9797.1356209150399</v>
      </c>
      <c r="CE110" s="152">
        <f>CE111-CE109</f>
        <v>-10640.457516339899</v>
      </c>
      <c r="CF110" s="531">
        <f t="shared" ref="CF110" si="894">-2.08%*CF109</f>
        <v>-11605.710318242474</v>
      </c>
      <c r="CG110" s="532">
        <f t="shared" ref="CG110" si="895">-2.08%*CG109</f>
        <v>-12817.022878044232</v>
      </c>
      <c r="CH110" s="324">
        <f>SUM(CD110:CG110)</f>
        <v>-44860.326333541649</v>
      </c>
      <c r="CI110" s="531">
        <f t="shared" ref="CI110" si="896">-2.08%*CI109</f>
        <v>-14066.547933033169</v>
      </c>
      <c r="CJ110" s="531">
        <f t="shared" ref="CJ110" si="897">-2.08%*CJ109</f>
        <v>-15294.495577719219</v>
      </c>
      <c r="CK110" s="531">
        <f t="shared" ref="CK110" si="898">-2.08%*CK109</f>
        <v>-16351.204445891806</v>
      </c>
      <c r="CL110" s="532">
        <f t="shared" ref="CL110" si="899">-2.08%*CL109</f>
        <v>-17054.62032451135</v>
      </c>
      <c r="CM110" s="324">
        <f t="shared" si="887"/>
        <v>-62766.868281155541</v>
      </c>
      <c r="CN110" s="531">
        <f t="shared" ref="CN110" si="900">-2.08%*CN109</f>
        <v>-17934.149906212166</v>
      </c>
      <c r="CO110" s="531">
        <f t="shared" ref="CO110" si="901">-2.08%*CO109</f>
        <v>-18392.231715115086</v>
      </c>
      <c r="CP110" s="531">
        <f t="shared" ref="CP110" si="902">-2.08%*CP109</f>
        <v>-19252.139297832706</v>
      </c>
      <c r="CQ110" s="532">
        <f t="shared" ref="CQ110" si="903">-2.08%*CQ109</f>
        <v>-19941.505591331828</v>
      </c>
      <c r="CR110" s="324">
        <f t="shared" si="889"/>
        <v>-75520.026510491793</v>
      </c>
      <c r="CS110" s="531">
        <f t="shared" ref="CS110" si="904">-2.08%*CS109</f>
        <v>-20568.240708531805</v>
      </c>
      <c r="CT110" s="531">
        <f t="shared" ref="CT110" si="905">-2.08%*CT109</f>
        <v>-21036.673617045362</v>
      </c>
      <c r="CU110" s="531">
        <f t="shared" ref="CU110" si="906">-2.08%*CU109</f>
        <v>-21433.77238725069</v>
      </c>
      <c r="CV110" s="532">
        <f t="shared" ref="CV110" si="907">-2.08%*CV109</f>
        <v>-21720.381730874808</v>
      </c>
      <c r="CW110" s="324">
        <f t="shared" si="891"/>
        <v>-84759.068443702665</v>
      </c>
      <c r="CX110" s="531">
        <f t="shared" ref="CX110" si="908">-2.08%*CX109</f>
        <v>-21979.779755684933</v>
      </c>
      <c r="CY110" s="531">
        <f t="shared" ref="CY110" si="909">-2.08%*CY109</f>
        <v>-22220.129857325261</v>
      </c>
      <c r="CZ110" s="531">
        <f t="shared" ref="CZ110" si="910">-2.08%*CZ109</f>
        <v>-22447.146412746737</v>
      </c>
      <c r="DA110" s="532">
        <f t="shared" ref="DA110" si="911">-2.08%*DA109</f>
        <v>-22664.829485815015</v>
      </c>
      <c r="DB110" s="324">
        <f t="shared" si="893"/>
        <v>-89311.885511571949</v>
      </c>
    </row>
    <row r="111" spans="1:107" s="7" customFormat="1" ht="11.5" customHeight="1" x14ac:dyDescent="0.35">
      <c r="A111" s="321" t="s">
        <v>110</v>
      </c>
      <c r="B111" s="48"/>
      <c r="C111" s="48"/>
      <c r="D111" s="48"/>
      <c r="E111" s="317"/>
      <c r="F111" s="316"/>
      <c r="G111" s="48"/>
      <c r="H111" s="48"/>
      <c r="I111" s="48"/>
      <c r="J111" s="317"/>
      <c r="K111" s="316"/>
      <c r="L111" s="48"/>
      <c r="M111" s="48"/>
      <c r="N111" s="48"/>
      <c r="O111" s="317"/>
      <c r="P111" s="316"/>
      <c r="Q111" s="48"/>
      <c r="R111" s="48"/>
      <c r="S111" s="48"/>
      <c r="T111" s="317"/>
      <c r="U111" s="316"/>
      <c r="V111" s="48"/>
      <c r="W111" s="48"/>
      <c r="X111" s="48"/>
      <c r="Y111" s="317"/>
      <c r="Z111" s="316"/>
      <c r="AA111" s="48"/>
      <c r="AB111" s="48"/>
      <c r="AC111" s="48"/>
      <c r="AD111" s="317"/>
      <c r="AE111" s="316"/>
      <c r="AF111" s="48"/>
      <c r="AG111" s="48"/>
      <c r="AH111" s="48"/>
      <c r="AI111" s="317"/>
      <c r="AJ111" s="316"/>
      <c r="AK111" s="48"/>
      <c r="AL111" s="48"/>
      <c r="AM111" s="48"/>
      <c r="AN111" s="317"/>
      <c r="AO111" s="316"/>
      <c r="AP111" s="48"/>
      <c r="AQ111" s="48"/>
      <c r="AR111" s="48"/>
      <c r="AS111" s="317"/>
      <c r="AT111" s="316"/>
      <c r="AU111" s="48"/>
      <c r="AV111" s="48"/>
      <c r="AW111" s="48"/>
      <c r="AX111" s="317"/>
      <c r="AY111" s="316"/>
      <c r="AZ111" s="48"/>
      <c r="BA111" s="48"/>
      <c r="BB111" s="48"/>
      <c r="BC111" s="317"/>
      <c r="BD111" s="316">
        <f>SUM(AZ111:BC111)</f>
        <v>0</v>
      </c>
      <c r="BE111" s="482">
        <v>224873</v>
      </c>
      <c r="BF111" s="482">
        <f>390152-BE111</f>
        <v>165279</v>
      </c>
      <c r="BG111" s="482">
        <f>595993-SUM(BE111:BF111)</f>
        <v>205841</v>
      </c>
      <c r="BH111" s="483">
        <f>816661-SUM(BE111:BG111)</f>
        <v>220668</v>
      </c>
      <c r="BI111" s="316">
        <f>SUM(BE111:BH111)</f>
        <v>816661</v>
      </c>
      <c r="BJ111" s="482">
        <v>257673</v>
      </c>
      <c r="BK111" s="482">
        <f>595421-BJ111</f>
        <v>337748</v>
      </c>
      <c r="BL111" s="482">
        <f>871634-SUM(BJ111:BK111)</f>
        <v>276213</v>
      </c>
      <c r="BM111" s="483">
        <f>1135966-SUM(BJ111:BL111)</f>
        <v>264332</v>
      </c>
      <c r="BN111" s="316">
        <f>SUM(BJ111:BM111)</f>
        <v>1135966</v>
      </c>
      <c r="BO111" s="482">
        <v>246848</v>
      </c>
      <c r="BP111" s="482">
        <f>562212-BO111</f>
        <v>315364</v>
      </c>
      <c r="BQ111" s="482">
        <f>894865-SUM(BO111:BP111)</f>
        <v>332653</v>
      </c>
      <c r="BR111" s="483">
        <f>1131462-SUM(BO111:BQ111)</f>
        <v>236597</v>
      </c>
      <c r="BS111" s="316">
        <f>SUM(BO111:BR111)</f>
        <v>1131462</v>
      </c>
      <c r="BT111" s="482">
        <v>175718</v>
      </c>
      <c r="BU111" s="482">
        <f>402688-BT111</f>
        <v>226970</v>
      </c>
      <c r="BV111" s="482">
        <f>665101-SUM(BT111:BU111)</f>
        <v>262413</v>
      </c>
      <c r="BW111" s="483">
        <f>951884-SUM(BT111:BV111)</f>
        <v>286783</v>
      </c>
      <c r="BX111" s="316">
        <f>SUM(BT111:BW111)</f>
        <v>951884</v>
      </c>
      <c r="BY111" s="482">
        <v>218062</v>
      </c>
      <c r="BZ111" s="482">
        <f>587878-BY111</f>
        <v>369816</v>
      </c>
      <c r="CA111" s="482">
        <f>926059-BZ111-BY111</f>
        <v>338181</v>
      </c>
      <c r="CB111" s="483">
        <f>1375715-SUM(BY111:CA111)</f>
        <v>449656</v>
      </c>
      <c r="CC111" s="316">
        <f>SUM(BY111:CB111)</f>
        <v>1375715</v>
      </c>
      <c r="CD111" s="482">
        <v>461219</v>
      </c>
      <c r="CE111" s="482">
        <f>962139-CD111</f>
        <v>500920</v>
      </c>
      <c r="CF111" s="133">
        <f>CF109+CF110</f>
        <v>546361.13190495351</v>
      </c>
      <c r="CG111" s="316">
        <f>CG109+CG110</f>
        <v>603386.00010485156</v>
      </c>
      <c r="CH111" s="316">
        <f>SUM(CD111:CG111)</f>
        <v>2111886.1320098052</v>
      </c>
      <c r="CI111" s="133">
        <f t="shared" ref="CI111:CL111" si="912">CI109+CI110</f>
        <v>662209.79500125383</v>
      </c>
      <c r="CJ111" s="133">
        <f t="shared" si="912"/>
        <v>720017.79181262793</v>
      </c>
      <c r="CK111" s="133">
        <f t="shared" si="912"/>
        <v>769764.39391429129</v>
      </c>
      <c r="CL111" s="316">
        <f t="shared" si="912"/>
        <v>802879.04912314983</v>
      </c>
      <c r="CM111" s="316">
        <f t="shared" si="887"/>
        <v>2954871.029851323</v>
      </c>
      <c r="CN111" s="133">
        <f t="shared" ref="CN111:CQ111" si="913">CN109+CN110</f>
        <v>844284.59558475751</v>
      </c>
      <c r="CO111" s="133">
        <f t="shared" si="913"/>
        <v>865849.6776654179</v>
      </c>
      <c r="CP111" s="133">
        <f t="shared" si="913"/>
        <v>906331.48079027818</v>
      </c>
      <c r="CQ111" s="316">
        <f t="shared" si="913"/>
        <v>938784.72476115986</v>
      </c>
      <c r="CR111" s="316">
        <f t="shared" si="889"/>
        <v>3555250.4788016137</v>
      </c>
      <c r="CS111" s="133">
        <f t="shared" ref="CS111:CV111" si="914">CS109+CS110</f>
        <v>968289.48566318955</v>
      </c>
      <c r="CT111" s="133">
        <f t="shared" si="914"/>
        <v>990341.86566398165</v>
      </c>
      <c r="CU111" s="133">
        <f t="shared" si="914"/>
        <v>1009036.0539228787</v>
      </c>
      <c r="CV111" s="316">
        <f t="shared" si="914"/>
        <v>1022528.7399457986</v>
      </c>
      <c r="CW111" s="316">
        <f t="shared" si="891"/>
        <v>3990196.1451958483</v>
      </c>
      <c r="CX111" s="133">
        <f t="shared" ref="CX111:DA111" si="915">CX109+CX110</f>
        <v>1034740.4008060907</v>
      </c>
      <c r="CY111" s="133">
        <f t="shared" si="915"/>
        <v>1046055.3440525432</v>
      </c>
      <c r="CZ111" s="133">
        <f t="shared" si="915"/>
        <v>1056742.584969308</v>
      </c>
      <c r="DA111" s="316">
        <f t="shared" si="915"/>
        <v>1066990.4342552915</v>
      </c>
      <c r="DB111" s="316">
        <f t="shared" si="893"/>
        <v>4204528.7640832337</v>
      </c>
      <c r="DC111" s="65"/>
    </row>
    <row r="112" spans="1:107" s="7" customFormat="1" ht="11.5" customHeight="1" x14ac:dyDescent="0.35">
      <c r="A112" s="322" t="s">
        <v>352</v>
      </c>
      <c r="B112" s="23"/>
      <c r="C112" s="23"/>
      <c r="D112" s="23"/>
      <c r="E112" s="324"/>
      <c r="F112" s="324"/>
      <c r="G112" s="23"/>
      <c r="H112" s="23"/>
      <c r="I112" s="23"/>
      <c r="J112" s="324"/>
      <c r="K112" s="324"/>
      <c r="L112" s="23"/>
      <c r="M112" s="23"/>
      <c r="N112" s="23"/>
      <c r="O112" s="324"/>
      <c r="P112" s="324"/>
      <c r="Q112" s="23"/>
      <c r="R112" s="23"/>
      <c r="S112" s="23"/>
      <c r="T112" s="324"/>
      <c r="U112" s="324"/>
      <c r="V112" s="23"/>
      <c r="W112" s="23"/>
      <c r="X112" s="23"/>
      <c r="Y112" s="324"/>
      <c r="Z112" s="324"/>
      <c r="AA112" s="23"/>
      <c r="AB112" s="23"/>
      <c r="AC112" s="23"/>
      <c r="AD112" s="324"/>
      <c r="AE112" s="324"/>
      <c r="AF112" s="23"/>
      <c r="AG112" s="23"/>
      <c r="AH112" s="23"/>
      <c r="AI112" s="324"/>
      <c r="AJ112" s="324"/>
      <c r="AK112" s="23"/>
      <c r="AL112" s="23"/>
      <c r="AM112" s="23"/>
      <c r="AN112" s="324"/>
      <c r="AO112" s="324"/>
      <c r="AP112" s="23"/>
      <c r="AQ112" s="23"/>
      <c r="AR112" s="23"/>
      <c r="AS112" s="324"/>
      <c r="AT112" s="324"/>
      <c r="AU112" s="23"/>
      <c r="AV112" s="23"/>
      <c r="AW112" s="23"/>
      <c r="AX112" s="324"/>
      <c r="AY112" s="324"/>
      <c r="AZ112" s="23"/>
      <c r="BA112" s="23"/>
      <c r="BB112" s="23"/>
      <c r="BC112" s="324"/>
      <c r="BD112" s="324">
        <f>SUM(AZ112:BC112)</f>
        <v>0</v>
      </c>
      <c r="BE112" s="404">
        <v>-157066</v>
      </c>
      <c r="BF112" s="404">
        <f>-273412-BE112</f>
        <v>-116346</v>
      </c>
      <c r="BG112" s="404">
        <f>-422539-SUM(BE112:BF112)</f>
        <v>-149127</v>
      </c>
      <c r="BH112" s="484">
        <f>-583842-SUM(BE112:BG112)</f>
        <v>-161303</v>
      </c>
      <c r="BI112" s="324">
        <f>SUM(BE112:BH112)</f>
        <v>-583842</v>
      </c>
      <c r="BJ112" s="404">
        <v>-178716</v>
      </c>
      <c r="BK112" s="404">
        <f>-424034-BJ112</f>
        <v>-245318</v>
      </c>
      <c r="BL112" s="404">
        <f>-619759-SUM(BJ112:BK112)</f>
        <v>-195725</v>
      </c>
      <c r="BM112" s="484">
        <f>-802341-SUM(BJ112:BL112)</f>
        <v>-182582</v>
      </c>
      <c r="BN112" s="324">
        <f>SUM(BJ112:BM112)</f>
        <v>-802341</v>
      </c>
      <c r="BO112" s="404">
        <v>-177277</v>
      </c>
      <c r="BP112" s="404">
        <f>-403831-BO112</f>
        <v>-226554</v>
      </c>
      <c r="BQ112" s="404">
        <f>-634398-SUM(BO112:BP112)</f>
        <v>-230567</v>
      </c>
      <c r="BR112" s="484">
        <f>-804519-SUM(BO112:BQ112)</f>
        <v>-170121</v>
      </c>
      <c r="BS112" s="324">
        <f>SUM(BO112:BR112)</f>
        <v>-804519</v>
      </c>
      <c r="BT112" s="404">
        <v>-134091</v>
      </c>
      <c r="BU112" s="404">
        <f>-298970-BT112</f>
        <v>-164879</v>
      </c>
      <c r="BV112" s="404">
        <f>-485396-SUM(BT112:BU112)</f>
        <v>-186426</v>
      </c>
      <c r="BW112" s="484">
        <f>-684855-SUM(BT112:BV112)</f>
        <v>-199459</v>
      </c>
      <c r="BX112" s="324">
        <f>SUM(BT112:BW112)</f>
        <v>-684855</v>
      </c>
      <c r="BY112" s="404">
        <v>-144298</v>
      </c>
      <c r="BZ112" s="404">
        <f>-391458-BY112</f>
        <v>-247160</v>
      </c>
      <c r="CA112" s="404">
        <f>-613496-BZ112-BY112</f>
        <v>-222038</v>
      </c>
      <c r="CB112" s="484">
        <f>-901306-SUM(BY112:CA112)</f>
        <v>-287810</v>
      </c>
      <c r="CC112" s="324">
        <f>SUM(BY112:CB112)</f>
        <v>-901306</v>
      </c>
      <c r="CD112" s="404">
        <v>-290898</v>
      </c>
      <c r="CE112" s="404">
        <f>-608462-CD112</f>
        <v>-317564</v>
      </c>
      <c r="CF112" s="152">
        <f>-(1-CF129)*CF111</f>
        <v>-346939.31875964551</v>
      </c>
      <c r="CG112" s="323">
        <f>-(1-CG129)*CG111</f>
        <v>-383150.11006658076</v>
      </c>
      <c r="CH112" s="324">
        <f>SUM(CD112:CG112)</f>
        <v>-1338551.4288262264</v>
      </c>
      <c r="CI112" s="152">
        <f t="shared" ref="CI112" si="916">-(1-CI129)*CI111</f>
        <v>-420503.2198257962</v>
      </c>
      <c r="CJ112" s="152">
        <f t="shared" ref="CJ112:CL112" si="917">-(1-CJ129)*CJ111</f>
        <v>-457211.29780101875</v>
      </c>
      <c r="CK112" s="152">
        <f t="shared" si="917"/>
        <v>-488800.39013557497</v>
      </c>
      <c r="CL112" s="323">
        <f t="shared" si="917"/>
        <v>-509828.19619320013</v>
      </c>
      <c r="CM112" s="324">
        <f t="shared" si="887"/>
        <v>-1876343.1039555902</v>
      </c>
      <c r="CN112" s="152">
        <f t="shared" ref="CN112" si="918">-(1-CN129)*CN111</f>
        <v>-548784.98713009246</v>
      </c>
      <c r="CO112" s="152">
        <f t="shared" ref="CO112:CQ112" si="919">-(1-CO129)*CO111</f>
        <v>-562802.29048252164</v>
      </c>
      <c r="CP112" s="152">
        <f t="shared" si="919"/>
        <v>-589115.4625136808</v>
      </c>
      <c r="CQ112" s="323">
        <f t="shared" si="919"/>
        <v>-610210.07109475392</v>
      </c>
      <c r="CR112" s="324">
        <f t="shared" si="889"/>
        <v>-2310912.8112210487</v>
      </c>
      <c r="CS112" s="152">
        <f t="shared" ref="CS112" si="920">-(1-CS129)*CS111</f>
        <v>-629388.16568107321</v>
      </c>
      <c r="CT112" s="152">
        <f t="shared" ref="CT112:CV112" si="921">-(1-CT129)*CT111</f>
        <v>-643722.21268158813</v>
      </c>
      <c r="CU112" s="152">
        <f t="shared" si="921"/>
        <v>-655873.43504987122</v>
      </c>
      <c r="CV112" s="323">
        <f t="shared" si="921"/>
        <v>-664643.6809647691</v>
      </c>
      <c r="CW112" s="324">
        <f t="shared" si="891"/>
        <v>-2593627.4943773015</v>
      </c>
      <c r="CX112" s="152">
        <f t="shared" ref="CX112" si="922">-(1-CX129)*CX111</f>
        <v>-672581.26052395895</v>
      </c>
      <c r="CY112" s="152">
        <f t="shared" ref="CY112:DA112" si="923">-(1-CY129)*CY111</f>
        <v>-679935.97363415302</v>
      </c>
      <c r="CZ112" s="152">
        <f t="shared" si="923"/>
        <v>-686882.68023005023</v>
      </c>
      <c r="DA112" s="323">
        <f t="shared" si="923"/>
        <v>-693543.78226593952</v>
      </c>
      <c r="DB112" s="324">
        <f t="shared" si="893"/>
        <v>-2732943.6966541018</v>
      </c>
    </row>
    <row r="113" spans="1:106" s="7" customFormat="1" ht="11.5" customHeight="1" outlineLevel="1" x14ac:dyDescent="0.35">
      <c r="A113" s="322" t="s">
        <v>353</v>
      </c>
      <c r="B113" s="23"/>
      <c r="C113" s="23"/>
      <c r="D113" s="23"/>
      <c r="E113" s="324"/>
      <c r="F113" s="324"/>
      <c r="G113" s="23"/>
      <c r="H113" s="23"/>
      <c r="I113" s="23"/>
      <c r="J113" s="324"/>
      <c r="K113" s="324"/>
      <c r="L113" s="23"/>
      <c r="M113" s="23"/>
      <c r="N113" s="23"/>
      <c r="O113" s="324"/>
      <c r="P113" s="324"/>
      <c r="Q113" s="23"/>
      <c r="R113" s="23"/>
      <c r="S113" s="23"/>
      <c r="T113" s="324"/>
      <c r="U113" s="324"/>
      <c r="V113" s="23"/>
      <c r="W113" s="23"/>
      <c r="X113" s="23"/>
      <c r="Y113" s="324"/>
      <c r="Z113" s="324"/>
      <c r="AA113" s="23"/>
      <c r="AB113" s="23"/>
      <c r="AC113" s="23"/>
      <c r="AD113" s="324"/>
      <c r="AE113" s="324"/>
      <c r="AF113" s="23"/>
      <c r="AG113" s="23"/>
      <c r="AH113" s="23"/>
      <c r="AI113" s="324"/>
      <c r="AJ113" s="324"/>
      <c r="AK113" s="23"/>
      <c r="AL113" s="23"/>
      <c r="AM113" s="23"/>
      <c r="AN113" s="324"/>
      <c r="AO113" s="324"/>
      <c r="AP113" s="23"/>
      <c r="AQ113" s="23"/>
      <c r="AR113" s="23"/>
      <c r="AS113" s="324"/>
      <c r="AT113" s="324"/>
      <c r="AU113" s="23"/>
      <c r="AV113" s="23"/>
      <c r="AW113" s="23"/>
      <c r="AX113" s="324"/>
      <c r="AY113" s="324"/>
      <c r="AZ113" s="23"/>
      <c r="BA113" s="23"/>
      <c r="BB113" s="23"/>
      <c r="BC113" s="324"/>
      <c r="BD113" s="324">
        <f>SUM(AZ113:BC113)</f>
        <v>0</v>
      </c>
      <c r="BE113" s="404"/>
      <c r="BF113" s="404"/>
      <c r="BG113" s="404"/>
      <c r="BH113" s="484"/>
      <c r="BI113" s="324">
        <f>SUM(BE113:BH113)</f>
        <v>0</v>
      </c>
      <c r="BJ113" s="404"/>
      <c r="BK113" s="404"/>
      <c r="BL113" s="404"/>
      <c r="BM113" s="484"/>
      <c r="BN113" s="324">
        <f>SUM(BJ113:BM113)</f>
        <v>0</v>
      </c>
      <c r="BO113" s="404"/>
      <c r="BP113" s="404"/>
      <c r="BQ113" s="404"/>
      <c r="BR113" s="484"/>
      <c r="BS113" s="324">
        <f>SUM(BO113:BR113)</f>
        <v>0</v>
      </c>
      <c r="BT113" s="404"/>
      <c r="BU113" s="404"/>
      <c r="BV113" s="404"/>
      <c r="BW113" s="484"/>
      <c r="BX113" s="324">
        <f>SUM(BT113:BW113)</f>
        <v>0</v>
      </c>
      <c r="BY113" s="404"/>
      <c r="BZ113" s="404"/>
      <c r="CA113" s="404"/>
      <c r="CB113" s="484"/>
      <c r="CC113" s="324">
        <f>SUM(BY113:CB113)</f>
        <v>0</v>
      </c>
      <c r="CD113" s="404"/>
      <c r="CE113" s="404"/>
      <c r="CF113" s="152">
        <f>-(1-CF129)*CF111-CF112</f>
        <v>0</v>
      </c>
      <c r="CG113" s="323">
        <f>-(1-CG129)*CG111-CG112</f>
        <v>0</v>
      </c>
      <c r="CH113" s="324">
        <f>SUM(CD113:CG113)</f>
        <v>0</v>
      </c>
      <c r="CI113" s="152">
        <f t="shared" ref="CI113" si="924">-(1-CI129)*CI111-CI112</f>
        <v>0</v>
      </c>
      <c r="CJ113" s="152">
        <f t="shared" ref="CJ113:CL113" si="925">-(1-CJ129)*CJ111-CJ112</f>
        <v>0</v>
      </c>
      <c r="CK113" s="152">
        <f t="shared" si="925"/>
        <v>0</v>
      </c>
      <c r="CL113" s="323">
        <f t="shared" si="925"/>
        <v>0</v>
      </c>
      <c r="CM113" s="324">
        <f t="shared" si="887"/>
        <v>0</v>
      </c>
      <c r="CN113" s="152">
        <f t="shared" ref="CN113" si="926">-(1-CN129)*CN111-CN112</f>
        <v>0</v>
      </c>
      <c r="CO113" s="152">
        <f t="shared" ref="CO113:CQ113" si="927">-(1-CO129)*CO111-CO112</f>
        <v>0</v>
      </c>
      <c r="CP113" s="152">
        <f t="shared" si="927"/>
        <v>0</v>
      </c>
      <c r="CQ113" s="323">
        <f t="shared" si="927"/>
        <v>0</v>
      </c>
      <c r="CR113" s="324">
        <f t="shared" si="889"/>
        <v>0</v>
      </c>
      <c r="CS113" s="152">
        <f t="shared" ref="CS113" si="928">-(1-CS129)*CS111-CS112</f>
        <v>0</v>
      </c>
      <c r="CT113" s="152">
        <f t="shared" ref="CT113:CV113" si="929">-(1-CT129)*CT111-CT112</f>
        <v>0</v>
      </c>
      <c r="CU113" s="152">
        <f t="shared" si="929"/>
        <v>0</v>
      </c>
      <c r="CV113" s="323">
        <f t="shared" si="929"/>
        <v>0</v>
      </c>
      <c r="CW113" s="324">
        <f t="shared" si="891"/>
        <v>0</v>
      </c>
      <c r="CX113" s="152">
        <f t="shared" ref="CX113" si="930">-(1-CX129)*CX111-CX112</f>
        <v>0</v>
      </c>
      <c r="CY113" s="152">
        <f t="shared" ref="CY113:DA113" si="931">-(1-CY129)*CY111-CY112</f>
        <v>0</v>
      </c>
      <c r="CZ113" s="152">
        <f t="shared" si="931"/>
        <v>0</v>
      </c>
      <c r="DA113" s="323">
        <f t="shared" si="931"/>
        <v>0</v>
      </c>
      <c r="DB113" s="324">
        <f t="shared" si="893"/>
        <v>0</v>
      </c>
    </row>
    <row r="114" spans="1:106" s="7" customFormat="1" ht="11.5" customHeight="1" x14ac:dyDescent="0.35">
      <c r="A114" s="325" t="s">
        <v>354</v>
      </c>
      <c r="B114" s="48"/>
      <c r="C114" s="48"/>
      <c r="D114" s="48"/>
      <c r="E114" s="317"/>
      <c r="F114" s="317"/>
      <c r="G114" s="48"/>
      <c r="H114" s="48"/>
      <c r="I114" s="48"/>
      <c r="J114" s="317"/>
      <c r="K114" s="317"/>
      <c r="L114" s="48"/>
      <c r="M114" s="48"/>
      <c r="N114" s="48"/>
      <c r="O114" s="317"/>
      <c r="P114" s="317"/>
      <c r="Q114" s="48"/>
      <c r="R114" s="48"/>
      <c r="S114" s="48"/>
      <c r="T114" s="317"/>
      <c r="U114" s="317"/>
      <c r="V114" s="48"/>
      <c r="W114" s="48"/>
      <c r="X114" s="48"/>
      <c r="Y114" s="317"/>
      <c r="Z114" s="317"/>
      <c r="AA114" s="48"/>
      <c r="AB114" s="48"/>
      <c r="AC114" s="48"/>
      <c r="AD114" s="317"/>
      <c r="AE114" s="317"/>
      <c r="AF114" s="48"/>
      <c r="AG114" s="48"/>
      <c r="AH114" s="48"/>
      <c r="AI114" s="317"/>
      <c r="AJ114" s="317"/>
      <c r="AK114" s="48"/>
      <c r="AL114" s="48"/>
      <c r="AM114" s="48"/>
      <c r="AN114" s="317"/>
      <c r="AO114" s="317"/>
      <c r="AP114" s="48"/>
      <c r="AQ114" s="48"/>
      <c r="AR114" s="48"/>
      <c r="AS114" s="317"/>
      <c r="AT114" s="317"/>
      <c r="AU114" s="48"/>
      <c r="AV114" s="48"/>
      <c r="AW114" s="48"/>
      <c r="AX114" s="317"/>
      <c r="AY114" s="317"/>
      <c r="AZ114" s="48">
        <f t="shared" ref="AZ114:BH114" si="932">AZ111+AZ112+AZ113</f>
        <v>0</v>
      </c>
      <c r="BA114" s="48">
        <f t="shared" si="932"/>
        <v>0</v>
      </c>
      <c r="BB114" s="48">
        <f t="shared" si="932"/>
        <v>0</v>
      </c>
      <c r="BC114" s="317">
        <f t="shared" si="932"/>
        <v>0</v>
      </c>
      <c r="BD114" s="317">
        <f t="shared" si="932"/>
        <v>0</v>
      </c>
      <c r="BE114" s="48">
        <f t="shared" si="932"/>
        <v>67807</v>
      </c>
      <c r="BF114" s="48">
        <f t="shared" si="932"/>
        <v>48933</v>
      </c>
      <c r="BG114" s="48">
        <f t="shared" si="932"/>
        <v>56714</v>
      </c>
      <c r="BH114" s="317">
        <f t="shared" si="932"/>
        <v>59365</v>
      </c>
      <c r="BI114" s="317">
        <f t="shared" ref="BI114:BX114" si="933">BI111+BI112+BI113</f>
        <v>232819</v>
      </c>
      <c r="BJ114" s="48">
        <f>BJ111+BJ112+BJ113</f>
        <v>78957</v>
      </c>
      <c r="BK114" s="48">
        <f>BK111+BK112+BK113</f>
        <v>92430</v>
      </c>
      <c r="BL114" s="48">
        <f t="shared" si="933"/>
        <v>80488</v>
      </c>
      <c r="BM114" s="317">
        <f t="shared" si="933"/>
        <v>81750</v>
      </c>
      <c r="BN114" s="317">
        <f t="shared" si="933"/>
        <v>333625</v>
      </c>
      <c r="BO114" s="48">
        <f>BO111+BO112+BO113</f>
        <v>69571</v>
      </c>
      <c r="BP114" s="48">
        <f>BP111+BP112+BP113</f>
        <v>88810</v>
      </c>
      <c r="BQ114" s="48">
        <f>BQ111+BQ112+BQ113</f>
        <v>102086</v>
      </c>
      <c r="BR114" s="317">
        <f>BR111+BR112+BR113</f>
        <v>66476</v>
      </c>
      <c r="BS114" s="317">
        <f t="shared" si="933"/>
        <v>326943</v>
      </c>
      <c r="BT114" s="48">
        <f>BT111+BT112+BT113</f>
        <v>41627</v>
      </c>
      <c r="BU114" s="48">
        <f>BU111+BU112+BU113</f>
        <v>62091</v>
      </c>
      <c r="BV114" s="48">
        <f t="shared" si="933"/>
        <v>75987</v>
      </c>
      <c r="BW114" s="317">
        <f t="shared" si="933"/>
        <v>87324</v>
      </c>
      <c r="BX114" s="317">
        <f t="shared" si="933"/>
        <v>267029</v>
      </c>
      <c r="BY114" s="48">
        <f>BY111+BY112+BY113</f>
        <v>73764</v>
      </c>
      <c r="BZ114" s="48">
        <f>BZ111+BZ112+BZ113</f>
        <v>122656</v>
      </c>
      <c r="CA114" s="48">
        <f>CA111+CA112+CA113</f>
        <v>116143</v>
      </c>
      <c r="CB114" s="317">
        <f t="shared" ref="CB114" si="934">CB111+CB112+CB113</f>
        <v>161846</v>
      </c>
      <c r="CC114" s="317">
        <f t="shared" ref="CC114" si="935">CC111+CC112+CC113</f>
        <v>474409</v>
      </c>
      <c r="CD114" s="48">
        <f>CD111+CD112+CD113</f>
        <v>170321</v>
      </c>
      <c r="CE114" s="48">
        <f>CE111+CE112+CE113</f>
        <v>183356</v>
      </c>
      <c r="CF114" s="48">
        <f>CF111+CF112+CF113</f>
        <v>199421.813145308</v>
      </c>
      <c r="CG114" s="317">
        <f t="shared" ref="CG114:CK114" si="936">CG111+CG112+CG113</f>
        <v>220235.89003827079</v>
      </c>
      <c r="CH114" s="317">
        <f t="shared" si="936"/>
        <v>773334.70318357879</v>
      </c>
      <c r="CI114" s="48">
        <f t="shared" si="936"/>
        <v>241706.57517545763</v>
      </c>
      <c r="CJ114" s="48">
        <f t="shared" si="936"/>
        <v>262806.49401160917</v>
      </c>
      <c r="CK114" s="48">
        <f t="shared" si="936"/>
        <v>280964.00377871632</v>
      </c>
      <c r="CL114" s="317">
        <f t="shared" ref="CL114:DB114" si="937">CL111+CL112+CL113</f>
        <v>293050.8529299497</v>
      </c>
      <c r="CM114" s="317">
        <f t="shared" si="937"/>
        <v>1078527.9258957328</v>
      </c>
      <c r="CN114" s="48">
        <f t="shared" si="937"/>
        <v>295499.60845466505</v>
      </c>
      <c r="CO114" s="48">
        <f t="shared" si="937"/>
        <v>303047.38718289626</v>
      </c>
      <c r="CP114" s="48">
        <f t="shared" si="937"/>
        <v>317216.01827659737</v>
      </c>
      <c r="CQ114" s="317">
        <f t="shared" si="937"/>
        <v>328574.65366640594</v>
      </c>
      <c r="CR114" s="317">
        <f t="shared" si="937"/>
        <v>1244337.667580565</v>
      </c>
      <c r="CS114" s="48">
        <f t="shared" si="937"/>
        <v>338901.31998211634</v>
      </c>
      <c r="CT114" s="48">
        <f t="shared" si="937"/>
        <v>346619.65298239351</v>
      </c>
      <c r="CU114" s="48">
        <f t="shared" si="937"/>
        <v>353162.61887300748</v>
      </c>
      <c r="CV114" s="317">
        <f t="shared" si="937"/>
        <v>357885.05898102955</v>
      </c>
      <c r="CW114" s="317">
        <f t="shared" si="937"/>
        <v>1396568.6508185468</v>
      </c>
      <c r="CX114" s="48">
        <f t="shared" si="937"/>
        <v>362159.14028213173</v>
      </c>
      <c r="CY114" s="48">
        <f t="shared" si="937"/>
        <v>366119.37041839014</v>
      </c>
      <c r="CZ114" s="48">
        <f t="shared" si="937"/>
        <v>369859.90473925776</v>
      </c>
      <c r="DA114" s="317">
        <f t="shared" si="937"/>
        <v>373446.65198935196</v>
      </c>
      <c r="DB114" s="317">
        <f t="shared" si="937"/>
        <v>1471585.0674291318</v>
      </c>
    </row>
    <row r="115" spans="1:106" s="7" customFormat="1" ht="11.5" customHeight="1" x14ac:dyDescent="0.35">
      <c r="A115" s="322" t="s">
        <v>355</v>
      </c>
      <c r="B115" s="23"/>
      <c r="C115" s="23"/>
      <c r="D115" s="23"/>
      <c r="E115" s="324"/>
      <c r="F115" s="324"/>
      <c r="G115" s="23"/>
      <c r="H115" s="23"/>
      <c r="I115" s="23"/>
      <c r="J115" s="324"/>
      <c r="K115" s="324"/>
      <c r="L115" s="23"/>
      <c r="M115" s="23"/>
      <c r="N115" s="23"/>
      <c r="O115" s="324"/>
      <c r="P115" s="324"/>
      <c r="Q115" s="23"/>
      <c r="R115" s="23"/>
      <c r="S115" s="23"/>
      <c r="T115" s="324"/>
      <c r="U115" s="324"/>
      <c r="V115" s="23"/>
      <c r="W115" s="23"/>
      <c r="X115" s="23"/>
      <c r="Y115" s="324"/>
      <c r="Z115" s="324"/>
      <c r="AA115" s="23"/>
      <c r="AB115" s="23"/>
      <c r="AC115" s="23"/>
      <c r="AD115" s="324"/>
      <c r="AE115" s="324"/>
      <c r="AF115" s="23"/>
      <c r="AG115" s="23"/>
      <c r="AH115" s="23"/>
      <c r="AI115" s="324"/>
      <c r="AJ115" s="324"/>
      <c r="AK115" s="23"/>
      <c r="AL115" s="23"/>
      <c r="AM115" s="23"/>
      <c r="AN115" s="324"/>
      <c r="AO115" s="324"/>
      <c r="AP115" s="23"/>
      <c r="AQ115" s="23"/>
      <c r="AR115" s="23"/>
      <c r="AS115" s="324"/>
      <c r="AT115" s="324"/>
      <c r="AU115" s="23"/>
      <c r="AV115" s="23"/>
      <c r="AW115" s="23"/>
      <c r="AX115" s="324"/>
      <c r="AY115" s="324"/>
      <c r="AZ115" s="23"/>
      <c r="BA115" s="23"/>
      <c r="BB115" s="23"/>
      <c r="BC115" s="324"/>
      <c r="BD115" s="324">
        <f>SUM(AZ115:BC115)</f>
        <v>0</v>
      </c>
      <c r="BE115" s="485">
        <f>-BE111*8%</f>
        <v>-17989.84</v>
      </c>
      <c r="BF115" s="485">
        <f>-BF111*8%</f>
        <v>-13222.32</v>
      </c>
      <c r="BG115" s="485">
        <f>-BG111*8%</f>
        <v>-16467.28</v>
      </c>
      <c r="BH115" s="486">
        <f>-BH111*8%</f>
        <v>-17653.439999999999</v>
      </c>
      <c r="BI115" s="324">
        <f>SUM(BE115:BH115)</f>
        <v>-65332.880000000005</v>
      </c>
      <c r="BJ115" s="485">
        <f>-BJ111*8%</f>
        <v>-20613.84</v>
      </c>
      <c r="BK115" s="485">
        <f>-BK111*8%</f>
        <v>-27019.84</v>
      </c>
      <c r="BL115" s="485">
        <f>-BL111*8%</f>
        <v>-22097.040000000001</v>
      </c>
      <c r="BM115" s="486">
        <f>-BM111*8%</f>
        <v>-21146.560000000001</v>
      </c>
      <c r="BN115" s="324">
        <f>SUM(BJ115:BM115)</f>
        <v>-90877.28</v>
      </c>
      <c r="BO115" s="485">
        <f>-BO111*8%</f>
        <v>-19747.84</v>
      </c>
      <c r="BP115" s="485">
        <f>-BP111*8%</f>
        <v>-25229.119999999999</v>
      </c>
      <c r="BQ115" s="485">
        <f>-BQ111*8%</f>
        <v>-26612.240000000002</v>
      </c>
      <c r="BR115" s="486">
        <f>-BR111*8%</f>
        <v>-18927.760000000002</v>
      </c>
      <c r="BS115" s="324">
        <f>SUM(BO115:BR115)</f>
        <v>-90516.959999999992</v>
      </c>
      <c r="BT115" s="485">
        <f>-BT111*8%</f>
        <v>-14057.44</v>
      </c>
      <c r="BU115" s="485">
        <f>-BU111*8%</f>
        <v>-18157.600000000002</v>
      </c>
      <c r="BV115" s="485">
        <f>-BV111*8%</f>
        <v>-20993.040000000001</v>
      </c>
      <c r="BW115" s="486">
        <f>-BW111*8%</f>
        <v>-22942.639999999999</v>
      </c>
      <c r="BX115" s="324">
        <f>SUM(BT115:BW115)</f>
        <v>-76150.720000000001</v>
      </c>
      <c r="BY115" s="485">
        <f>-BY111*8%</f>
        <v>-17444.96</v>
      </c>
      <c r="BZ115" s="485">
        <f>-BZ111*8%</f>
        <v>-29585.279999999999</v>
      </c>
      <c r="CA115" s="485">
        <f>-CA111*8%</f>
        <v>-27054.48</v>
      </c>
      <c r="CB115" s="486">
        <f>-CB111*8%</f>
        <v>-35972.480000000003</v>
      </c>
      <c r="CC115" s="324">
        <f>SUM(BY115:CB115)</f>
        <v>-110057.20000000001</v>
      </c>
      <c r="CD115" s="485">
        <f>-CD111*8%</f>
        <v>-36897.520000000004</v>
      </c>
      <c r="CE115" s="485">
        <f>-CE111*8%</f>
        <v>-40073.599999999999</v>
      </c>
      <c r="CF115" s="531">
        <f t="shared" ref="CF115:DA115" si="938">-CF111*8%</f>
        <v>-43708.890552396282</v>
      </c>
      <c r="CG115" s="532">
        <f t="shared" si="938"/>
        <v>-48270.880008388129</v>
      </c>
      <c r="CH115" s="324">
        <f>SUM(CD115:CG115)</f>
        <v>-168950.89056078441</v>
      </c>
      <c r="CI115" s="531">
        <f t="shared" si="938"/>
        <v>-52976.783600100309</v>
      </c>
      <c r="CJ115" s="531">
        <f t="shared" si="938"/>
        <v>-57601.423345010233</v>
      </c>
      <c r="CK115" s="531">
        <f t="shared" si="938"/>
        <v>-61581.151513143304</v>
      </c>
      <c r="CL115" s="532">
        <f t="shared" si="938"/>
        <v>-64230.323929851991</v>
      </c>
      <c r="CM115" s="324">
        <f t="shared" ref="CM115" si="939">SUM(CI115:CL115)</f>
        <v>-236389.68238810584</v>
      </c>
      <c r="CN115" s="531">
        <f t="shared" si="938"/>
        <v>-67542.767646780601</v>
      </c>
      <c r="CO115" s="531">
        <f t="shared" si="938"/>
        <v>-69267.974213233436</v>
      </c>
      <c r="CP115" s="531">
        <f t="shared" si="938"/>
        <v>-72506.518463222252</v>
      </c>
      <c r="CQ115" s="532">
        <f t="shared" si="938"/>
        <v>-75102.777980892788</v>
      </c>
      <c r="CR115" s="324">
        <f t="shared" ref="CR115" si="940">SUM(CN115:CQ115)</f>
        <v>-284420.03830412909</v>
      </c>
      <c r="CS115" s="531">
        <f t="shared" si="938"/>
        <v>-77463.158853055167</v>
      </c>
      <c r="CT115" s="531">
        <f t="shared" si="938"/>
        <v>-79227.349253118533</v>
      </c>
      <c r="CU115" s="531">
        <f t="shared" si="938"/>
        <v>-80722.884313830291</v>
      </c>
      <c r="CV115" s="532">
        <f t="shared" si="938"/>
        <v>-81802.299195663887</v>
      </c>
      <c r="CW115" s="324">
        <f t="shared" ref="CW115" si="941">SUM(CS115:CV115)</f>
        <v>-319215.69161566789</v>
      </c>
      <c r="CX115" s="531">
        <f t="shared" si="938"/>
        <v>-82779.232064487253</v>
      </c>
      <c r="CY115" s="531">
        <f t="shared" si="938"/>
        <v>-83684.427524203449</v>
      </c>
      <c r="CZ115" s="531">
        <f t="shared" si="938"/>
        <v>-84539.406797544638</v>
      </c>
      <c r="DA115" s="532">
        <f t="shared" si="938"/>
        <v>-85359.234740423315</v>
      </c>
      <c r="DB115" s="324">
        <f t="shared" ref="DB115" si="942">SUM(CX115:DA115)</f>
        <v>-336362.30112665868</v>
      </c>
    </row>
    <row r="116" spans="1:106" s="7" customFormat="1" ht="11.5" customHeight="1" x14ac:dyDescent="0.35">
      <c r="A116" s="322" t="s">
        <v>356</v>
      </c>
      <c r="B116" s="23"/>
      <c r="C116" s="23"/>
      <c r="D116" s="23"/>
      <c r="E116" s="324"/>
      <c r="F116" s="324"/>
      <c r="G116" s="23"/>
      <c r="H116" s="23"/>
      <c r="I116" s="23"/>
      <c r="J116" s="324"/>
      <c r="K116" s="324"/>
      <c r="L116" s="23"/>
      <c r="M116" s="23"/>
      <c r="N116" s="23"/>
      <c r="O116" s="324"/>
      <c r="P116" s="324"/>
      <c r="Q116" s="23"/>
      <c r="R116" s="23"/>
      <c r="S116" s="23"/>
      <c r="T116" s="324"/>
      <c r="U116" s="324"/>
      <c r="V116" s="23"/>
      <c r="W116" s="23"/>
      <c r="X116" s="23"/>
      <c r="Y116" s="324"/>
      <c r="Z116" s="324"/>
      <c r="AA116" s="23"/>
      <c r="AB116" s="23"/>
      <c r="AC116" s="23"/>
      <c r="AD116" s="324"/>
      <c r="AE116" s="324"/>
      <c r="AF116" s="23"/>
      <c r="AG116" s="23"/>
      <c r="AH116" s="23"/>
      <c r="AI116" s="324"/>
      <c r="AJ116" s="324"/>
      <c r="AK116" s="23"/>
      <c r="AL116" s="23"/>
      <c r="AM116" s="23"/>
      <c r="AN116" s="324"/>
      <c r="AO116" s="324"/>
      <c r="AP116" s="23"/>
      <c r="AQ116" s="23"/>
      <c r="AR116" s="23"/>
      <c r="AS116" s="324"/>
      <c r="AT116" s="324"/>
      <c r="AU116" s="23"/>
      <c r="AV116" s="23"/>
      <c r="AW116" s="23"/>
      <c r="AX116" s="324"/>
      <c r="AY116" s="324"/>
      <c r="AZ116" s="23"/>
      <c r="BA116" s="23"/>
      <c r="BB116" s="23"/>
      <c r="BC116" s="324"/>
      <c r="BD116" s="324">
        <f>SUM(AZ116:BC116)</f>
        <v>0</v>
      </c>
      <c r="BE116" s="404">
        <f>-18174-BE115</f>
        <v>-184.15999999999985</v>
      </c>
      <c r="BF116" s="404">
        <f>-35095-BE116-SUM(BE115:BF115)</f>
        <v>-3698.6799999999967</v>
      </c>
      <c r="BG116" s="404">
        <f>-58455-SUM(BE116:BF116)-SUM(BE115:BG115)</f>
        <v>-6892.7200000000012</v>
      </c>
      <c r="BH116" s="484">
        <f>-115258-SUM(BE116:BG116)-SUM(BE115:BH115)</f>
        <v>-39149.56</v>
      </c>
      <c r="BI116" s="324">
        <f>SUM(BE116:BH116)</f>
        <v>-49925.119999999995</v>
      </c>
      <c r="BJ116" s="404">
        <f>-18152-BJ115</f>
        <v>2461.84</v>
      </c>
      <c r="BK116" s="404">
        <f>-53707-BJ116-SUM(BJ115:BK115)</f>
        <v>-8535.1599999999962</v>
      </c>
      <c r="BL116" s="404">
        <f>-81397-SUM(BJ116:BK116)-SUM(BJ115:BL115)</f>
        <v>-5592.9600000000064</v>
      </c>
      <c r="BM116" s="484">
        <f>-126352-SUM(BJ116:BL116)-SUM(BJ115:BM115)</f>
        <v>-23808.440000000002</v>
      </c>
      <c r="BN116" s="324">
        <f>SUM(BJ116:BM116)</f>
        <v>-35474.720000000001</v>
      </c>
      <c r="BO116" s="404">
        <f>-22632-BO115</f>
        <v>-2884.16</v>
      </c>
      <c r="BP116" s="404">
        <f>-54875-BO116-SUM(BO115:BP115)</f>
        <v>-7013.8799999999974</v>
      </c>
      <c r="BQ116" s="404">
        <f>-103832-SUM(BO116:BP116)-SUM(BO115:BQ115)</f>
        <v>-22344.760000000009</v>
      </c>
      <c r="BR116" s="484">
        <f>-164028-SUM(BO116:BQ116)-SUM(BO115:BR115)</f>
        <v>-41268.239999999991</v>
      </c>
      <c r="BS116" s="324">
        <f>SUM(BO116:BR116)</f>
        <v>-73511.039999999994</v>
      </c>
      <c r="BT116" s="404">
        <f>-23548-BT115</f>
        <v>-9490.56</v>
      </c>
      <c r="BU116" s="404">
        <f>-57033-BT116-SUM(BT115:BU115)</f>
        <v>-15327.400000000001</v>
      </c>
      <c r="BV116" s="404">
        <f>-107093-SUM(BT116:BU116)-SUM(BT115:BV115)</f>
        <v>-29066.960000000006</v>
      </c>
      <c r="BW116" s="484">
        <f>-161743-SUM(BT116:BV116)-SUM(BT115:BW115)</f>
        <v>-31707.359999999986</v>
      </c>
      <c r="BX116" s="324">
        <f>SUM(BT116:BW116)</f>
        <v>-85592.28</v>
      </c>
      <c r="BY116" s="404">
        <f>-48181-BY115</f>
        <v>-30736.04</v>
      </c>
      <c r="BZ116" s="404">
        <f>-117364-BY116-SUM(BY115:BZ115)</f>
        <v>-39597.719999999994</v>
      </c>
      <c r="CA116" s="404">
        <f>-199018-BZ116-BY116-SUM(BY115:CA115)</f>
        <v>-54599.51999999999</v>
      </c>
      <c r="CB116" s="484">
        <f>-285394-SUM(BY116:CA116)-SUM(BY115:CB115)</f>
        <v>-50403.520000000019</v>
      </c>
      <c r="CC116" s="324">
        <f>SUM(BY116:CB116)</f>
        <v>-175336.8</v>
      </c>
      <c r="CD116" s="404">
        <f>-57647-CD115</f>
        <v>-20749.479999999996</v>
      </c>
      <c r="CE116" s="404">
        <f>-140361-CD116-SUM(CD115:CE115)</f>
        <v>-42640.400000000009</v>
      </c>
      <c r="CF116" s="448">
        <f>CE116*(1+Macro!CF95)^(1/4)</f>
        <v>-42640.400000000009</v>
      </c>
      <c r="CG116" s="578">
        <f>CF116*(1+Macro!CG95)^(1/4)</f>
        <v>-42640.400000000009</v>
      </c>
      <c r="CH116" s="324">
        <f>SUM(CD116:CG116)</f>
        <v>-148670.68000000002</v>
      </c>
      <c r="CI116" s="448">
        <f>CH116*(1+Macro!CI95)^(1/4)*1.3/4</f>
        <v>-48317.971000000012</v>
      </c>
      <c r="CJ116" s="448">
        <f>CI116*(1+Macro!CJ95)^(1/4)</f>
        <v>-48317.971000000012</v>
      </c>
      <c r="CK116" s="448">
        <f>CJ116*(1+Macro!CK95)^(1/4)</f>
        <v>-48317.971000000012</v>
      </c>
      <c r="CL116" s="578">
        <f>CK116*(1+Macro!CL95)^(1/4)</f>
        <v>-48317.971000000012</v>
      </c>
      <c r="CM116" s="324">
        <f t="shared" ref="CM116" si="943">SUM(CI116:CL116)</f>
        <v>-193271.88400000005</v>
      </c>
      <c r="CN116" s="448">
        <f>CL116*(1+Macro!CN95)^(1/4)</f>
        <v>-48317.971000000012</v>
      </c>
      <c r="CO116" s="448">
        <f>CN116*(1+Macro!CO95)^(1/4)</f>
        <v>-48317.971000000012</v>
      </c>
      <c r="CP116" s="448">
        <f>CO116*(1+Macro!CP95)^(1/4)</f>
        <v>-48317.971000000012</v>
      </c>
      <c r="CQ116" s="578">
        <f>CP116*(1+Macro!CQ95)^(1/4)</f>
        <v>-48317.971000000012</v>
      </c>
      <c r="CR116" s="324">
        <f t="shared" ref="CR116" si="944">SUM(CN116:CQ116)</f>
        <v>-193271.88400000005</v>
      </c>
      <c r="CS116" s="448">
        <f>CQ116*(1+Macro!CS95)^(1/4)*1.2</f>
        <v>-57981.565200000012</v>
      </c>
      <c r="CT116" s="448">
        <f>CS116*(1+Macro!CT95)^(1/4)</f>
        <v>-57981.565200000012</v>
      </c>
      <c r="CU116" s="448">
        <f>CT116*(1+Macro!CU95)^(1/4)</f>
        <v>-57981.565200000012</v>
      </c>
      <c r="CV116" s="578">
        <f>CU116*(1+Macro!CV95)^(1/4)</f>
        <v>-57981.565200000012</v>
      </c>
      <c r="CW116" s="324">
        <f t="shared" ref="CW116" si="945">SUM(CS116:CV116)</f>
        <v>-231926.26080000005</v>
      </c>
      <c r="CX116" s="448">
        <f>CV116*(1+Macro!CX95)^(1/4)*1.2</f>
        <v>-69577.878240000005</v>
      </c>
      <c r="CY116" s="448">
        <f>CX116*(1+Macro!CY95)^(1/4)</f>
        <v>-69577.878240000005</v>
      </c>
      <c r="CZ116" s="448">
        <f>CY116*(1+Macro!CZ95)^(1/4)</f>
        <v>-69577.878240000005</v>
      </c>
      <c r="DA116" s="578">
        <f>CZ116*(1+Macro!DA95)^(1/4)</f>
        <v>-69577.878240000005</v>
      </c>
      <c r="DB116" s="324">
        <f t="shared" ref="DB116" si="946">SUM(CX116:DA116)</f>
        <v>-278311.51296000002</v>
      </c>
    </row>
    <row r="117" spans="1:106" s="7" customFormat="1" ht="11.5" customHeight="1" x14ac:dyDescent="0.35">
      <c r="A117" s="326" t="s">
        <v>115</v>
      </c>
      <c r="B117" s="48"/>
      <c r="C117" s="48"/>
      <c r="D117" s="48"/>
      <c r="E117" s="317"/>
      <c r="F117" s="317"/>
      <c r="G117" s="48"/>
      <c r="H117" s="48"/>
      <c r="I117" s="48"/>
      <c r="J117" s="317"/>
      <c r="K117" s="317"/>
      <c r="L117" s="48"/>
      <c r="M117" s="48"/>
      <c r="N117" s="48"/>
      <c r="O117" s="317"/>
      <c r="P117" s="317"/>
      <c r="Q117" s="48"/>
      <c r="R117" s="48"/>
      <c r="S117" s="48"/>
      <c r="T117" s="317"/>
      <c r="U117" s="317"/>
      <c r="V117" s="48"/>
      <c r="W117" s="48"/>
      <c r="X117" s="48"/>
      <c r="Y117" s="317"/>
      <c r="Z117" s="317"/>
      <c r="AA117" s="48"/>
      <c r="AB117" s="48"/>
      <c r="AC117" s="48"/>
      <c r="AD117" s="317"/>
      <c r="AE117" s="317"/>
      <c r="AF117" s="48"/>
      <c r="AG117" s="48"/>
      <c r="AH117" s="48"/>
      <c r="AI117" s="317"/>
      <c r="AJ117" s="317"/>
      <c r="AK117" s="48"/>
      <c r="AL117" s="48"/>
      <c r="AM117" s="48"/>
      <c r="AN117" s="317"/>
      <c r="AO117" s="317"/>
      <c r="AP117" s="48"/>
      <c r="AQ117" s="48"/>
      <c r="AR117" s="48"/>
      <c r="AS117" s="317"/>
      <c r="AT117" s="317"/>
      <c r="AU117" s="48"/>
      <c r="AV117" s="48"/>
      <c r="AW117" s="48"/>
      <c r="AX117" s="317"/>
      <c r="AY117" s="317"/>
      <c r="AZ117" s="48">
        <f t="shared" ref="AZ117:BZ117" si="947">AZ114+AZ115+AZ116</f>
        <v>0</v>
      </c>
      <c r="BA117" s="48">
        <f t="shared" si="947"/>
        <v>0</v>
      </c>
      <c r="BB117" s="48">
        <f t="shared" si="947"/>
        <v>0</v>
      </c>
      <c r="BC117" s="317">
        <f t="shared" si="947"/>
        <v>0</v>
      </c>
      <c r="BD117" s="317">
        <f t="shared" si="947"/>
        <v>0</v>
      </c>
      <c r="BE117" s="48">
        <f t="shared" si="947"/>
        <v>49633</v>
      </c>
      <c r="BF117" s="48">
        <f t="shared" si="947"/>
        <v>32012.000000000004</v>
      </c>
      <c r="BG117" s="48">
        <f t="shared" si="947"/>
        <v>33354</v>
      </c>
      <c r="BH117" s="317">
        <f t="shared" si="947"/>
        <v>2562</v>
      </c>
      <c r="BI117" s="317">
        <f t="shared" si="947"/>
        <v>117561</v>
      </c>
      <c r="BJ117" s="48">
        <f t="shared" si="947"/>
        <v>60805</v>
      </c>
      <c r="BK117" s="48">
        <f t="shared" si="947"/>
        <v>56875.000000000007</v>
      </c>
      <c r="BL117" s="48">
        <f t="shared" si="947"/>
        <v>52797.999999999993</v>
      </c>
      <c r="BM117" s="317">
        <f t="shared" si="947"/>
        <v>36795</v>
      </c>
      <c r="BN117" s="317">
        <f t="shared" si="947"/>
        <v>207273</v>
      </c>
      <c r="BO117" s="48">
        <f t="shared" si="947"/>
        <v>46939</v>
      </c>
      <c r="BP117" s="48">
        <f t="shared" si="947"/>
        <v>56567.000000000007</v>
      </c>
      <c r="BQ117" s="48">
        <f t="shared" si="947"/>
        <v>53128.999999999985</v>
      </c>
      <c r="BR117" s="317">
        <f t="shared" si="947"/>
        <v>6280.0000000000073</v>
      </c>
      <c r="BS117" s="317">
        <f t="shared" si="947"/>
        <v>162915</v>
      </c>
      <c r="BT117" s="48">
        <f t="shared" si="947"/>
        <v>18079</v>
      </c>
      <c r="BU117" s="48">
        <f t="shared" si="947"/>
        <v>28605.999999999993</v>
      </c>
      <c r="BV117" s="48">
        <f t="shared" si="947"/>
        <v>25926.999999999993</v>
      </c>
      <c r="BW117" s="317">
        <f t="shared" si="947"/>
        <v>32674.000000000015</v>
      </c>
      <c r="BX117" s="317">
        <f t="shared" si="947"/>
        <v>105286</v>
      </c>
      <c r="BY117" s="48">
        <f t="shared" si="947"/>
        <v>25583</v>
      </c>
      <c r="BZ117" s="48">
        <f t="shared" si="947"/>
        <v>53473.000000000007</v>
      </c>
      <c r="CA117" s="48">
        <f t="shared" ref="CA117:CB117" si="948">CA114+CA115+CA116</f>
        <v>34489.000000000015</v>
      </c>
      <c r="CB117" s="317">
        <f t="shared" si="948"/>
        <v>75469.999999999971</v>
      </c>
      <c r="CC117" s="317">
        <f>CC114+CC115</f>
        <v>364351.8</v>
      </c>
      <c r="CD117" s="48">
        <f t="shared" ref="CD117:CE117" si="949">CD114+CD115+CD116</f>
        <v>112673.99999999999</v>
      </c>
      <c r="CE117" s="48">
        <f t="shared" si="949"/>
        <v>100641.99999999999</v>
      </c>
      <c r="CF117" s="48">
        <f t="shared" ref="CF117:CG117" si="950">CF114+CF115+CF116</f>
        <v>113072.52259291172</v>
      </c>
      <c r="CG117" s="317">
        <f t="shared" si="950"/>
        <v>129324.61002988265</v>
      </c>
      <c r="CH117" s="317">
        <f>CH114+CH115</f>
        <v>604383.81262279442</v>
      </c>
      <c r="CI117" s="48">
        <f t="shared" ref="CI117:CL117" si="951">CI114+CI115+CI116</f>
        <v>140411.8205753573</v>
      </c>
      <c r="CJ117" s="48">
        <f t="shared" si="951"/>
        <v>156887.09966659892</v>
      </c>
      <c r="CK117" s="48">
        <f t="shared" si="951"/>
        <v>171064.881265573</v>
      </c>
      <c r="CL117" s="317">
        <f t="shared" si="951"/>
        <v>180502.55800009769</v>
      </c>
      <c r="CM117" s="317">
        <f t="shared" ref="CM117" si="952">CM114+CM115</f>
        <v>842138.24350762693</v>
      </c>
      <c r="CN117" s="48">
        <f t="shared" ref="CN117:CQ117" si="953">CN114+CN115+CN116</f>
        <v>179638.86980788445</v>
      </c>
      <c r="CO117" s="48">
        <f t="shared" si="953"/>
        <v>185461.44196966279</v>
      </c>
      <c r="CP117" s="48">
        <f t="shared" si="953"/>
        <v>196391.5288133751</v>
      </c>
      <c r="CQ117" s="317">
        <f t="shared" si="953"/>
        <v>205153.90468551312</v>
      </c>
      <c r="CR117" s="317">
        <f t="shared" ref="CR117" si="954">CR114+CR115</f>
        <v>959917.62927643582</v>
      </c>
      <c r="CS117" s="48">
        <f t="shared" ref="CS117:CV117" si="955">CS114+CS115+CS116</f>
        <v>203456.59592906118</v>
      </c>
      <c r="CT117" s="48">
        <f t="shared" si="955"/>
        <v>209410.738529275</v>
      </c>
      <c r="CU117" s="48">
        <f t="shared" si="955"/>
        <v>214458.16935917718</v>
      </c>
      <c r="CV117" s="317">
        <f t="shared" si="955"/>
        <v>218101.19458536565</v>
      </c>
      <c r="CW117" s="317">
        <f t="shared" ref="CW117" si="956">CW114+CW115</f>
        <v>1077352.9592028789</v>
      </c>
      <c r="CX117" s="48">
        <f t="shared" ref="CX117:DA117" si="957">CX114+CX115+CX116</f>
        <v>209802.0299776445</v>
      </c>
      <c r="CY117" s="48">
        <f t="shared" si="957"/>
        <v>212857.06465418672</v>
      </c>
      <c r="CZ117" s="48">
        <f t="shared" si="957"/>
        <v>215742.61970171315</v>
      </c>
      <c r="DA117" s="317">
        <f t="shared" si="957"/>
        <v>218509.53900892864</v>
      </c>
      <c r="DB117" s="317">
        <f t="shared" ref="DB117" si="958">DB114+DB115</f>
        <v>1135222.7663024731</v>
      </c>
    </row>
    <row r="118" spans="1:106" s="7" customFormat="1" ht="11.5" customHeight="1" x14ac:dyDescent="0.35">
      <c r="A118" s="326" t="s">
        <v>231</v>
      </c>
      <c r="B118" s="48"/>
      <c r="C118" s="48"/>
      <c r="D118" s="48"/>
      <c r="E118" s="317"/>
      <c r="F118" s="317"/>
      <c r="G118" s="48"/>
      <c r="H118" s="48"/>
      <c r="I118" s="48"/>
      <c r="J118" s="317"/>
      <c r="K118" s="317"/>
      <c r="L118" s="48"/>
      <c r="M118" s="48"/>
      <c r="N118" s="48"/>
      <c r="O118" s="317"/>
      <c r="P118" s="317"/>
      <c r="Q118" s="48"/>
      <c r="R118" s="48"/>
      <c r="S118" s="48"/>
      <c r="T118" s="317"/>
      <c r="U118" s="317"/>
      <c r="V118" s="48"/>
      <c r="W118" s="48"/>
      <c r="X118" s="48"/>
      <c r="Y118" s="317"/>
      <c r="Z118" s="317"/>
      <c r="AA118" s="48"/>
      <c r="AB118" s="48"/>
      <c r="AC118" s="48"/>
      <c r="AD118" s="317"/>
      <c r="AE118" s="317"/>
      <c r="AF118" s="48"/>
      <c r="AG118" s="48"/>
      <c r="AH118" s="48"/>
      <c r="AI118" s="317"/>
      <c r="AJ118" s="317"/>
      <c r="AK118" s="48"/>
      <c r="AL118" s="48"/>
      <c r="AM118" s="48"/>
      <c r="AN118" s="317"/>
      <c r="AO118" s="317"/>
      <c r="AP118" s="48"/>
      <c r="AQ118" s="48"/>
      <c r="AR118" s="48"/>
      <c r="AS118" s="317"/>
      <c r="AT118" s="317"/>
      <c r="AU118" s="48"/>
      <c r="AV118" s="48"/>
      <c r="AW118" s="48"/>
      <c r="AX118" s="317"/>
      <c r="AY118" s="317"/>
      <c r="AZ118" s="567"/>
      <c r="BA118" s="567"/>
      <c r="BB118" s="567"/>
      <c r="BC118" s="568"/>
      <c r="BD118" s="324">
        <f>SUM(AZ118:BC118)</f>
        <v>0</v>
      </c>
      <c r="BE118" s="567"/>
      <c r="BF118" s="567"/>
      <c r="BG118" s="567"/>
      <c r="BH118" s="568"/>
      <c r="BI118" s="324">
        <f t="shared" ref="BI118" si="959">SUM(BE118:BH118)</f>
        <v>0</v>
      </c>
      <c r="BJ118" s="567"/>
      <c r="BK118" s="567"/>
      <c r="BL118" s="567"/>
      <c r="BM118" s="568"/>
      <c r="BN118" s="324">
        <f t="shared" ref="BN118" si="960">SUM(BJ118:BM118)</f>
        <v>0</v>
      </c>
      <c r="BO118" s="567"/>
      <c r="BP118" s="567"/>
      <c r="BQ118" s="567"/>
      <c r="BR118" s="568"/>
      <c r="BS118" s="324">
        <f t="shared" ref="BS118" si="961">SUM(BO118:BR118)</f>
        <v>0</v>
      </c>
      <c r="BT118" s="567"/>
      <c r="BU118" s="567"/>
      <c r="BV118" s="567"/>
      <c r="BW118" s="568"/>
      <c r="BX118" s="324">
        <f t="shared" ref="BX118" si="962">SUM(BT118:BW118)</f>
        <v>0</v>
      </c>
      <c r="BY118" s="567"/>
      <c r="BZ118" s="567"/>
      <c r="CA118" s="567"/>
      <c r="CB118" s="568"/>
      <c r="CC118" s="324">
        <f t="shared" ref="CC118" si="963">SUM(BY118:CB118)</f>
        <v>0</v>
      </c>
      <c r="CD118" s="567"/>
      <c r="CE118" s="567"/>
      <c r="CF118" s="567"/>
      <c r="CG118" s="568"/>
      <c r="CH118" s="324">
        <f t="shared" ref="CH118" si="964">SUM(CD118:CG118)</f>
        <v>0</v>
      </c>
      <c r="CI118" s="567"/>
      <c r="CJ118" s="567"/>
      <c r="CK118" s="567"/>
      <c r="CL118" s="568"/>
      <c r="CM118" s="324">
        <f t="shared" ref="CM118" si="965">SUM(CI118:CL118)</f>
        <v>0</v>
      </c>
      <c r="CN118" s="567"/>
      <c r="CO118" s="567"/>
      <c r="CP118" s="567"/>
      <c r="CQ118" s="568"/>
      <c r="CR118" s="324">
        <f t="shared" ref="CR118" si="966">SUM(CN118:CQ118)</f>
        <v>0</v>
      </c>
      <c r="CS118" s="567"/>
      <c r="CT118" s="567"/>
      <c r="CU118" s="567"/>
      <c r="CV118" s="568"/>
      <c r="CW118" s="324">
        <f t="shared" ref="CW118" si="967">SUM(CS118:CV118)</f>
        <v>0</v>
      </c>
      <c r="CX118" s="567"/>
      <c r="CY118" s="567"/>
      <c r="CZ118" s="567"/>
      <c r="DA118" s="568"/>
      <c r="DB118" s="324">
        <f t="shared" ref="DB118" si="968">SUM(CX118:DA118)</f>
        <v>0</v>
      </c>
    </row>
    <row r="119" spans="1:106" s="7" customFormat="1" ht="11.5" hidden="1" customHeight="1" outlineLevel="1" x14ac:dyDescent="0.35">
      <c r="A119" s="327" t="s">
        <v>122</v>
      </c>
      <c r="B119" s="161"/>
      <c r="C119" s="161"/>
      <c r="D119" s="161"/>
      <c r="E119" s="328"/>
      <c r="F119" s="324"/>
      <c r="G119" s="161"/>
      <c r="H119" s="161"/>
      <c r="I119" s="161"/>
      <c r="J119" s="328"/>
      <c r="K119" s="324"/>
      <c r="L119" s="161"/>
      <c r="M119" s="161"/>
      <c r="N119" s="161"/>
      <c r="O119" s="328"/>
      <c r="P119" s="324"/>
      <c r="Q119" s="161"/>
      <c r="R119" s="161"/>
      <c r="S119" s="161"/>
      <c r="T119" s="328"/>
      <c r="U119" s="324"/>
      <c r="V119" s="161"/>
      <c r="W119" s="161"/>
      <c r="X119" s="161"/>
      <c r="Y119" s="328"/>
      <c r="Z119" s="324"/>
      <c r="AA119" s="161"/>
      <c r="AB119" s="161"/>
      <c r="AC119" s="161"/>
      <c r="AD119" s="328"/>
      <c r="AE119" s="324"/>
      <c r="AF119" s="161"/>
      <c r="AG119" s="161"/>
      <c r="AH119" s="161"/>
      <c r="AI119" s="328"/>
      <c r="AJ119" s="324"/>
      <c r="AK119" s="161"/>
      <c r="AL119" s="161"/>
      <c r="AM119" s="161"/>
      <c r="AN119" s="328"/>
      <c r="AO119" s="324"/>
      <c r="AP119" s="161"/>
      <c r="AQ119" s="161"/>
      <c r="AR119" s="161"/>
      <c r="AS119" s="328"/>
      <c r="AT119" s="324"/>
      <c r="AU119" s="161"/>
      <c r="AV119" s="161"/>
      <c r="AW119" s="161"/>
      <c r="AX119" s="328"/>
      <c r="AY119" s="324"/>
      <c r="AZ119" s="161"/>
      <c r="BA119" s="161"/>
      <c r="BB119" s="161"/>
      <c r="BC119" s="328"/>
      <c r="BD119" s="324">
        <f>SUM(AZ119:BC119)</f>
        <v>0</v>
      </c>
      <c r="BE119" s="161"/>
      <c r="BF119" s="161"/>
      <c r="BG119" s="161"/>
      <c r="BH119" s="328"/>
      <c r="BI119" s="324">
        <f>SUM(BE119:BH119)</f>
        <v>0</v>
      </c>
      <c r="BJ119" s="161"/>
      <c r="BK119" s="161"/>
      <c r="BL119" s="161"/>
      <c r="BM119" s="328"/>
      <c r="BN119" s="324">
        <f>SUM(BJ119:BM119)</f>
        <v>0</v>
      </c>
      <c r="BO119" s="161"/>
      <c r="BP119" s="161"/>
      <c r="BQ119" s="161"/>
      <c r="BR119" s="328"/>
      <c r="BS119" s="324">
        <f>SUM(BO119:BR119)</f>
        <v>0</v>
      </c>
      <c r="BT119" s="161"/>
      <c r="BU119" s="161"/>
      <c r="BV119" s="161"/>
      <c r="BW119" s="328"/>
      <c r="BX119" s="324">
        <f>SUM(BT119:BW119)</f>
        <v>0</v>
      </c>
      <c r="BY119" s="161"/>
      <c r="BZ119" s="161"/>
      <c r="CA119" s="161"/>
      <c r="CB119" s="328"/>
      <c r="CC119" s="324">
        <f>SUM(BY119:CB119)</f>
        <v>0</v>
      </c>
      <c r="CD119" s="161"/>
      <c r="CE119" s="161"/>
      <c r="CF119" s="161"/>
      <c r="CG119" s="328"/>
      <c r="CH119" s="324">
        <f t="shared" ref="CH119:CH122" si="969">SUM(CD119:CG119)</f>
        <v>0</v>
      </c>
      <c r="CI119" s="161"/>
      <c r="CJ119" s="161"/>
      <c r="CK119" s="161"/>
      <c r="CL119" s="328"/>
      <c r="CM119" s="324">
        <f t="shared" ref="CM119:CM122" si="970">SUM(CI119:CL119)</f>
        <v>0</v>
      </c>
      <c r="CN119" s="161"/>
      <c r="CO119" s="161"/>
      <c r="CP119" s="161"/>
      <c r="CQ119" s="328"/>
      <c r="CR119" s="324">
        <f t="shared" ref="CR119:CR122" si="971">SUM(CN119:CQ119)</f>
        <v>0</v>
      </c>
      <c r="CS119" s="161"/>
      <c r="CT119" s="161"/>
      <c r="CU119" s="161"/>
      <c r="CV119" s="328"/>
      <c r="CW119" s="324">
        <f t="shared" ref="CW119:CW122" si="972">SUM(CS119:CV119)</f>
        <v>0</v>
      </c>
      <c r="CX119" s="161"/>
      <c r="CY119" s="161"/>
      <c r="CZ119" s="161"/>
      <c r="DA119" s="328"/>
      <c r="DB119" s="324">
        <f t="shared" ref="DB119:DB122" si="973">SUM(CX119:DA119)</f>
        <v>0</v>
      </c>
    </row>
    <row r="120" spans="1:106" s="7" customFormat="1" ht="11.5" hidden="1" customHeight="1" outlineLevel="1" x14ac:dyDescent="0.35">
      <c r="A120" s="327" t="s">
        <v>123</v>
      </c>
      <c r="B120" s="161"/>
      <c r="C120" s="161"/>
      <c r="D120" s="161"/>
      <c r="E120" s="328"/>
      <c r="F120" s="324"/>
      <c r="G120" s="161"/>
      <c r="H120" s="161"/>
      <c r="I120" s="161"/>
      <c r="J120" s="328"/>
      <c r="K120" s="324"/>
      <c r="L120" s="161"/>
      <c r="M120" s="161"/>
      <c r="N120" s="161"/>
      <c r="O120" s="328"/>
      <c r="P120" s="324"/>
      <c r="Q120" s="161"/>
      <c r="R120" s="161"/>
      <c r="S120" s="161"/>
      <c r="T120" s="328"/>
      <c r="U120" s="324"/>
      <c r="V120" s="161"/>
      <c r="W120" s="161"/>
      <c r="X120" s="161"/>
      <c r="Y120" s="328"/>
      <c r="Z120" s="324"/>
      <c r="AA120" s="161"/>
      <c r="AB120" s="161"/>
      <c r="AC120" s="161"/>
      <c r="AD120" s="328"/>
      <c r="AE120" s="324"/>
      <c r="AF120" s="161"/>
      <c r="AG120" s="161"/>
      <c r="AH120" s="161"/>
      <c r="AI120" s="328"/>
      <c r="AJ120" s="324"/>
      <c r="AK120" s="161"/>
      <c r="AL120" s="161"/>
      <c r="AM120" s="161"/>
      <c r="AN120" s="328"/>
      <c r="AO120" s="324"/>
      <c r="AP120" s="161"/>
      <c r="AQ120" s="161"/>
      <c r="AR120" s="161"/>
      <c r="AS120" s="328"/>
      <c r="AT120" s="324"/>
      <c r="AU120" s="161"/>
      <c r="AV120" s="161"/>
      <c r="AW120" s="161"/>
      <c r="AX120" s="328"/>
      <c r="AY120" s="324"/>
      <c r="AZ120" s="161"/>
      <c r="BA120" s="161"/>
      <c r="BB120" s="161"/>
      <c r="BC120" s="328"/>
      <c r="BD120" s="324">
        <f>SUM(AZ120:BC120)</f>
        <v>0</v>
      </c>
      <c r="BE120" s="161"/>
      <c r="BF120" s="161"/>
      <c r="BG120" s="161"/>
      <c r="BH120" s="328"/>
      <c r="BI120" s="324">
        <f>SUM(BE120:BH120)</f>
        <v>0</v>
      </c>
      <c r="BJ120" s="161"/>
      <c r="BK120" s="161"/>
      <c r="BL120" s="161"/>
      <c r="BM120" s="328"/>
      <c r="BN120" s="324">
        <f>SUM(BJ120:BM120)</f>
        <v>0</v>
      </c>
      <c r="BO120" s="161"/>
      <c r="BP120" s="161"/>
      <c r="BQ120" s="161"/>
      <c r="BR120" s="328"/>
      <c r="BS120" s="324">
        <f>SUM(BO120:BR120)</f>
        <v>0</v>
      </c>
      <c r="BT120" s="161"/>
      <c r="BU120" s="161"/>
      <c r="BV120" s="161"/>
      <c r="BW120" s="328"/>
      <c r="BX120" s="324">
        <f>SUM(BT120:BW120)</f>
        <v>0</v>
      </c>
      <c r="BY120" s="161"/>
      <c r="BZ120" s="161"/>
      <c r="CA120" s="161"/>
      <c r="CB120" s="328"/>
      <c r="CC120" s="324">
        <f>SUM(BY120:CB120)</f>
        <v>0</v>
      </c>
      <c r="CD120" s="161"/>
      <c r="CE120" s="161"/>
      <c r="CF120" s="161"/>
      <c r="CG120" s="328"/>
      <c r="CH120" s="324">
        <f t="shared" si="969"/>
        <v>0</v>
      </c>
      <c r="CI120" s="161"/>
      <c r="CJ120" s="161"/>
      <c r="CK120" s="161"/>
      <c r="CL120" s="328"/>
      <c r="CM120" s="324">
        <f t="shared" si="970"/>
        <v>0</v>
      </c>
      <c r="CN120" s="161"/>
      <c r="CO120" s="161"/>
      <c r="CP120" s="161"/>
      <c r="CQ120" s="328"/>
      <c r="CR120" s="324">
        <f t="shared" si="971"/>
        <v>0</v>
      </c>
      <c r="CS120" s="161"/>
      <c r="CT120" s="161"/>
      <c r="CU120" s="161"/>
      <c r="CV120" s="328"/>
      <c r="CW120" s="324">
        <f t="shared" si="972"/>
        <v>0</v>
      </c>
      <c r="CX120" s="161"/>
      <c r="CY120" s="161"/>
      <c r="CZ120" s="161"/>
      <c r="DA120" s="328"/>
      <c r="DB120" s="324">
        <f t="shared" si="973"/>
        <v>0</v>
      </c>
    </row>
    <row r="121" spans="1:106" s="7" customFormat="1" ht="11.5" hidden="1" customHeight="1" outlineLevel="1" x14ac:dyDescent="0.35">
      <c r="A121" s="322" t="s">
        <v>118</v>
      </c>
      <c r="B121" s="161"/>
      <c r="C121" s="161"/>
      <c r="D121" s="161"/>
      <c r="E121" s="328"/>
      <c r="F121" s="324"/>
      <c r="G121" s="161"/>
      <c r="H121" s="161"/>
      <c r="I121" s="161"/>
      <c r="J121" s="328"/>
      <c r="K121" s="324"/>
      <c r="L121" s="161"/>
      <c r="M121" s="161"/>
      <c r="N121" s="161"/>
      <c r="O121" s="328"/>
      <c r="P121" s="324"/>
      <c r="Q121" s="161"/>
      <c r="R121" s="161"/>
      <c r="S121" s="161"/>
      <c r="T121" s="328"/>
      <c r="U121" s="324"/>
      <c r="V121" s="161"/>
      <c r="W121" s="161"/>
      <c r="X121" s="161"/>
      <c r="Y121" s="328"/>
      <c r="Z121" s="324"/>
      <c r="AA121" s="161"/>
      <c r="AB121" s="161"/>
      <c r="AC121" s="161"/>
      <c r="AD121" s="328"/>
      <c r="AE121" s="324"/>
      <c r="AF121" s="161"/>
      <c r="AG121" s="161"/>
      <c r="AH121" s="161"/>
      <c r="AI121" s="328"/>
      <c r="AJ121" s="324"/>
      <c r="AK121" s="161"/>
      <c r="AL121" s="161"/>
      <c r="AM121" s="161"/>
      <c r="AN121" s="328"/>
      <c r="AO121" s="324"/>
      <c r="AP121" s="161"/>
      <c r="AQ121" s="161"/>
      <c r="AR121" s="161"/>
      <c r="AS121" s="328"/>
      <c r="AT121" s="324"/>
      <c r="AU121" s="161"/>
      <c r="AV121" s="161"/>
      <c r="AW121" s="161"/>
      <c r="AX121" s="328"/>
      <c r="AY121" s="324"/>
      <c r="AZ121" s="161"/>
      <c r="BA121" s="161"/>
      <c r="BB121" s="161"/>
      <c r="BC121" s="328"/>
      <c r="BD121" s="324">
        <f>SUM(AZ121:BC121)</f>
        <v>0</v>
      </c>
      <c r="BE121" s="161"/>
      <c r="BF121" s="161"/>
      <c r="BG121" s="161"/>
      <c r="BH121" s="328"/>
      <c r="BI121" s="324">
        <f>SUM(BE121:BH121)</f>
        <v>0</v>
      </c>
      <c r="BJ121" s="161"/>
      <c r="BK121" s="161"/>
      <c r="BL121" s="161"/>
      <c r="BM121" s="328"/>
      <c r="BN121" s="324">
        <f>SUM(BJ121:BM121)</f>
        <v>0</v>
      </c>
      <c r="BO121" s="161"/>
      <c r="BP121" s="161"/>
      <c r="BQ121" s="161"/>
      <c r="BR121" s="328"/>
      <c r="BS121" s="324">
        <f>SUM(BO121:BR121)</f>
        <v>0</v>
      </c>
      <c r="BT121" s="161"/>
      <c r="BU121" s="161"/>
      <c r="BV121" s="161"/>
      <c r="BW121" s="328"/>
      <c r="BX121" s="324">
        <f>SUM(BT121:BW121)</f>
        <v>0</v>
      </c>
      <c r="BY121" s="161"/>
      <c r="BZ121" s="161"/>
      <c r="CA121" s="161"/>
      <c r="CB121" s="328"/>
      <c r="CC121" s="324">
        <f>SUM(BY121:CB121)</f>
        <v>0</v>
      </c>
      <c r="CD121" s="161"/>
      <c r="CE121" s="161"/>
      <c r="CF121" s="161"/>
      <c r="CG121" s="328"/>
      <c r="CH121" s="324">
        <f t="shared" si="969"/>
        <v>0</v>
      </c>
      <c r="CI121" s="161"/>
      <c r="CJ121" s="161"/>
      <c r="CK121" s="161"/>
      <c r="CL121" s="328"/>
      <c r="CM121" s="324">
        <f t="shared" si="970"/>
        <v>0</v>
      </c>
      <c r="CN121" s="161"/>
      <c r="CO121" s="161"/>
      <c r="CP121" s="161"/>
      <c r="CQ121" s="328"/>
      <c r="CR121" s="324">
        <f t="shared" si="971"/>
        <v>0</v>
      </c>
      <c r="CS121" s="161"/>
      <c r="CT121" s="161"/>
      <c r="CU121" s="161"/>
      <c r="CV121" s="328"/>
      <c r="CW121" s="324">
        <f t="shared" si="972"/>
        <v>0</v>
      </c>
      <c r="CX121" s="161"/>
      <c r="CY121" s="161"/>
      <c r="CZ121" s="161"/>
      <c r="DA121" s="328"/>
      <c r="DB121" s="324">
        <f t="shared" si="973"/>
        <v>0</v>
      </c>
    </row>
    <row r="122" spans="1:106" s="11" customFormat="1" ht="11.5" hidden="1" customHeight="1" outlineLevel="1" x14ac:dyDescent="0.35">
      <c r="A122" s="186" t="s">
        <v>357</v>
      </c>
      <c r="B122" s="161"/>
      <c r="C122" s="161"/>
      <c r="D122" s="161"/>
      <c r="E122" s="161"/>
      <c r="F122" s="20"/>
      <c r="G122" s="161"/>
      <c r="H122" s="161"/>
      <c r="I122" s="161"/>
      <c r="J122" s="161"/>
      <c r="K122" s="20"/>
      <c r="L122" s="161"/>
      <c r="M122" s="161"/>
      <c r="N122" s="161"/>
      <c r="O122" s="161"/>
      <c r="P122" s="20"/>
      <c r="Q122" s="161"/>
      <c r="R122" s="161"/>
      <c r="S122" s="161"/>
      <c r="T122" s="161"/>
      <c r="U122" s="20"/>
      <c r="V122" s="161"/>
      <c r="W122" s="161"/>
      <c r="X122" s="161"/>
      <c r="Y122" s="161"/>
      <c r="Z122" s="20"/>
      <c r="AA122" s="161"/>
      <c r="AB122" s="161"/>
      <c r="AC122" s="161"/>
      <c r="AD122" s="161"/>
      <c r="AE122" s="20"/>
      <c r="AF122" s="161"/>
      <c r="AG122" s="161"/>
      <c r="AH122" s="161"/>
      <c r="AI122" s="161"/>
      <c r="AJ122" s="20"/>
      <c r="AK122" s="161"/>
      <c r="AL122" s="161"/>
      <c r="AM122" s="161"/>
      <c r="AN122" s="161"/>
      <c r="AO122" s="20"/>
      <c r="AP122" s="161"/>
      <c r="AQ122" s="161"/>
      <c r="AR122" s="161"/>
      <c r="AS122" s="161"/>
      <c r="AT122" s="20"/>
      <c r="AU122" s="161"/>
      <c r="AV122" s="161"/>
      <c r="AW122" s="161"/>
      <c r="AX122" s="161"/>
      <c r="AY122" s="20"/>
      <c r="AZ122" s="161"/>
      <c r="BA122" s="161"/>
      <c r="BB122" s="161"/>
      <c r="BC122" s="161"/>
      <c r="BD122" s="20">
        <f>SUM(AZ122:BC122)</f>
        <v>0</v>
      </c>
      <c r="BE122" s="161"/>
      <c r="BF122" s="161"/>
      <c r="BG122" s="161"/>
      <c r="BH122" s="161"/>
      <c r="BI122" s="20">
        <f>SUM(BE122:BH122)</f>
        <v>0</v>
      </c>
      <c r="BJ122" s="161"/>
      <c r="BK122" s="161"/>
      <c r="BL122" s="161"/>
      <c r="BM122" s="161"/>
      <c r="BN122" s="20">
        <f>SUM(BJ122:BM122)</f>
        <v>0</v>
      </c>
      <c r="BO122" s="161"/>
      <c r="BP122" s="161"/>
      <c r="BQ122" s="161"/>
      <c r="BR122" s="161"/>
      <c r="BS122" s="20">
        <f>SUM(BO122:BR122)</f>
        <v>0</v>
      </c>
      <c r="BT122" s="161"/>
      <c r="BU122" s="161"/>
      <c r="BV122" s="161"/>
      <c r="BW122" s="161"/>
      <c r="BX122" s="20">
        <f>SUM(BT122:BW122)</f>
        <v>0</v>
      </c>
      <c r="BY122" s="161"/>
      <c r="BZ122" s="161"/>
      <c r="CA122" s="161"/>
      <c r="CB122" s="161"/>
      <c r="CC122" s="328">
        <f>SUM(BY122:CB122)</f>
        <v>0</v>
      </c>
      <c r="CD122" s="161"/>
      <c r="CE122" s="161"/>
      <c r="CF122" s="23"/>
      <c r="CG122" s="324"/>
      <c r="CH122" s="328">
        <f t="shared" si="969"/>
        <v>0</v>
      </c>
      <c r="CI122" s="161"/>
      <c r="CJ122" s="161"/>
      <c r="CK122" s="23"/>
      <c r="CL122" s="324"/>
      <c r="CM122" s="328">
        <f t="shared" si="970"/>
        <v>0</v>
      </c>
      <c r="CN122" s="161"/>
      <c r="CO122" s="161"/>
      <c r="CP122" s="23"/>
      <c r="CQ122" s="324"/>
      <c r="CR122" s="328">
        <f t="shared" si="971"/>
        <v>0</v>
      </c>
      <c r="CS122" s="161"/>
      <c r="CT122" s="161"/>
      <c r="CU122" s="23"/>
      <c r="CV122" s="324"/>
      <c r="CW122" s="328">
        <f t="shared" si="972"/>
        <v>0</v>
      </c>
      <c r="CX122" s="161"/>
      <c r="CY122" s="161"/>
      <c r="CZ122" s="23"/>
      <c r="DA122" s="324"/>
      <c r="DB122" s="328">
        <f t="shared" si="973"/>
        <v>0</v>
      </c>
    </row>
    <row r="123" spans="1:106" s="7" customFormat="1" ht="11.5" hidden="1" customHeight="1" outlineLevel="2" x14ac:dyDescent="0.35">
      <c r="A123" s="322" t="s">
        <v>358</v>
      </c>
      <c r="B123" s="161"/>
      <c r="C123" s="161"/>
      <c r="D123" s="161"/>
      <c r="E123" s="328"/>
      <c r="F123" s="324"/>
      <c r="G123" s="161"/>
      <c r="H123" s="161"/>
      <c r="I123" s="161"/>
      <c r="J123" s="328"/>
      <c r="K123" s="324"/>
      <c r="L123" s="161"/>
      <c r="M123" s="161"/>
      <c r="N123" s="161"/>
      <c r="O123" s="328"/>
      <c r="P123" s="324"/>
      <c r="Q123" s="161"/>
      <c r="R123" s="161"/>
      <c r="S123" s="161"/>
      <c r="T123" s="328"/>
      <c r="U123" s="324"/>
      <c r="V123" s="161"/>
      <c r="W123" s="161"/>
      <c r="X123" s="161"/>
      <c r="Y123" s="328"/>
      <c r="Z123" s="324"/>
      <c r="AA123" s="161"/>
      <c r="AB123" s="161"/>
      <c r="AC123" s="161"/>
      <c r="AD123" s="328"/>
      <c r="AE123" s="324"/>
      <c r="AF123" s="161"/>
      <c r="AG123" s="161"/>
      <c r="AH123" s="161"/>
      <c r="AI123" s="328"/>
      <c r="AJ123" s="324"/>
      <c r="AK123" s="161"/>
      <c r="AL123" s="161"/>
      <c r="AM123" s="161"/>
      <c r="AN123" s="328"/>
      <c r="AO123" s="324"/>
      <c r="AP123" s="161"/>
      <c r="AQ123" s="161"/>
      <c r="AR123" s="161"/>
      <c r="AS123" s="328"/>
      <c r="AT123" s="324"/>
      <c r="AU123" s="161"/>
      <c r="AV123" s="161"/>
      <c r="AW123" s="161"/>
      <c r="AX123" s="328"/>
      <c r="AY123" s="324"/>
      <c r="AZ123" s="161"/>
      <c r="BA123" s="161"/>
      <c r="BB123" s="161"/>
      <c r="BC123" s="328"/>
      <c r="BD123" s="324">
        <v>0</v>
      </c>
      <c r="BE123" s="161"/>
      <c r="BF123" s="161"/>
      <c r="BG123" s="161"/>
      <c r="BH123" s="328"/>
      <c r="BI123" s="324">
        <v>0</v>
      </c>
      <c r="BJ123" s="161"/>
      <c r="BK123" s="161"/>
      <c r="BL123" s="161"/>
      <c r="BM123" s="328"/>
      <c r="BN123" s="324">
        <v>0</v>
      </c>
      <c r="BO123" s="161"/>
      <c r="BP123" s="161"/>
      <c r="BQ123" s="161"/>
      <c r="BR123" s="328"/>
      <c r="BS123" s="324">
        <v>0</v>
      </c>
      <c r="BT123" s="161"/>
      <c r="BU123" s="161"/>
      <c r="BV123" s="161"/>
      <c r="BW123" s="328"/>
      <c r="BX123" s="324">
        <v>0</v>
      </c>
      <c r="BY123" s="161"/>
      <c r="BZ123" s="161"/>
      <c r="CA123" s="161"/>
      <c r="CB123" s="328"/>
      <c r="CC123" s="324">
        <v>0</v>
      </c>
      <c r="CD123" s="161"/>
      <c r="CE123" s="161"/>
      <c r="CF123" s="161"/>
      <c r="CG123" s="328"/>
      <c r="CH123" s="324">
        <v>0</v>
      </c>
      <c r="CI123" s="161"/>
      <c r="CJ123" s="161"/>
      <c r="CK123" s="161"/>
      <c r="CL123" s="328"/>
      <c r="CM123" s="324">
        <v>0</v>
      </c>
      <c r="CN123" s="161"/>
      <c r="CO123" s="161"/>
      <c r="CP123" s="161"/>
      <c r="CQ123" s="328"/>
      <c r="CR123" s="324">
        <v>0</v>
      </c>
      <c r="CS123" s="161"/>
      <c r="CT123" s="161"/>
      <c r="CU123" s="161"/>
      <c r="CV123" s="328"/>
      <c r="CW123" s="324">
        <v>0</v>
      </c>
      <c r="CX123" s="161"/>
      <c r="CY123" s="161"/>
      <c r="CZ123" s="161"/>
      <c r="DA123" s="328"/>
      <c r="DB123" s="324">
        <v>0</v>
      </c>
    </row>
    <row r="124" spans="1:106" s="7" customFormat="1" ht="11.5" customHeight="1" collapsed="1" x14ac:dyDescent="0.35">
      <c r="A124" s="326" t="s">
        <v>119</v>
      </c>
      <c r="B124" s="48"/>
      <c r="C124" s="48"/>
      <c r="D124" s="48"/>
      <c r="E124" s="317"/>
      <c r="F124" s="317"/>
      <c r="G124" s="48"/>
      <c r="H124" s="48"/>
      <c r="I124" s="48"/>
      <c r="J124" s="317"/>
      <c r="K124" s="317"/>
      <c r="L124" s="48"/>
      <c r="M124" s="48"/>
      <c r="N124" s="48"/>
      <c r="O124" s="317"/>
      <c r="P124" s="317"/>
      <c r="Q124" s="48"/>
      <c r="R124" s="48"/>
      <c r="S124" s="48"/>
      <c r="T124" s="317"/>
      <c r="U124" s="317"/>
      <c r="V124" s="48"/>
      <c r="W124" s="48"/>
      <c r="X124" s="48"/>
      <c r="Y124" s="317"/>
      <c r="Z124" s="317"/>
      <c r="AA124" s="48"/>
      <c r="AB124" s="48"/>
      <c r="AC124" s="48"/>
      <c r="AD124" s="317"/>
      <c r="AE124" s="317"/>
      <c r="AF124" s="48"/>
      <c r="AG124" s="48"/>
      <c r="AH124" s="48"/>
      <c r="AI124" s="317"/>
      <c r="AJ124" s="317"/>
      <c r="AK124" s="48"/>
      <c r="AL124" s="48"/>
      <c r="AM124" s="48"/>
      <c r="AN124" s="317"/>
      <c r="AO124" s="317"/>
      <c r="AP124" s="48"/>
      <c r="AQ124" s="48"/>
      <c r="AR124" s="48"/>
      <c r="AS124" s="317"/>
      <c r="AT124" s="317"/>
      <c r="AU124" s="48"/>
      <c r="AV124" s="48"/>
      <c r="AW124" s="48"/>
      <c r="AX124" s="317"/>
      <c r="AY124" s="317"/>
      <c r="AZ124" s="48">
        <f>AZ117+AZ118+AZ121+AZ123</f>
        <v>0</v>
      </c>
      <c r="BA124" s="48">
        <f>BA117+BA118+BA121+BA123</f>
        <v>0</v>
      </c>
      <c r="BB124" s="48">
        <f>BB117+BB118+BB121+BB123</f>
        <v>0</v>
      </c>
      <c r="BC124" s="317">
        <f>BC117+BC118+BC121+BC123</f>
        <v>0</v>
      </c>
      <c r="BD124" s="317">
        <f>SUM(AZ124:BC124)</f>
        <v>0</v>
      </c>
      <c r="BE124" s="48">
        <f>BE117+BE118+BE121+BE123</f>
        <v>49633</v>
      </c>
      <c r="BF124" s="48">
        <f>BF117+BF118+BF121+BF122+BF123</f>
        <v>32012.000000000004</v>
      </c>
      <c r="BG124" s="48">
        <f>BG117+BG118+BG121+BG123</f>
        <v>33354</v>
      </c>
      <c r="BH124" s="317">
        <f>BH117+BH118+BH121+BH123</f>
        <v>2562</v>
      </c>
      <c r="BI124" s="317">
        <f>SUM(BE124:BH124)</f>
        <v>117561</v>
      </c>
      <c r="BJ124" s="48">
        <f>BJ117+BJ118+BJ121+BJ123</f>
        <v>60805</v>
      </c>
      <c r="BK124" s="48">
        <f>BK117+BK118+BK121+BK122+BK123</f>
        <v>56875.000000000007</v>
      </c>
      <c r="BL124" s="48">
        <f>BL117+BL118+BL121+BL123</f>
        <v>52797.999999999993</v>
      </c>
      <c r="BM124" s="317">
        <f>BM117+BM118+BM121+BM123</f>
        <v>36795</v>
      </c>
      <c r="BN124" s="317">
        <f>SUM(BJ124:BM124)</f>
        <v>207273</v>
      </c>
      <c r="BO124" s="48">
        <f>BO117+BO118+BO121+BO123</f>
        <v>46939</v>
      </c>
      <c r="BP124" s="48">
        <f>BP117+BP118+BP121+BP122+BP123</f>
        <v>56567.000000000007</v>
      </c>
      <c r="BQ124" s="48">
        <f>BQ117+BQ118+BQ121+BQ123</f>
        <v>53128.999999999985</v>
      </c>
      <c r="BR124" s="317">
        <f>BR117+BR118+BR121+BR123</f>
        <v>6280.0000000000073</v>
      </c>
      <c r="BS124" s="317">
        <f>SUM(BO124:BR124)</f>
        <v>162915</v>
      </c>
      <c r="BT124" s="48">
        <f>BT117+BT118+BT121+BT123</f>
        <v>18079</v>
      </c>
      <c r="BU124" s="48">
        <f>BU117+BU118+BU121+BU122+BU123</f>
        <v>28605.999999999993</v>
      </c>
      <c r="BV124" s="48">
        <f>BV117+BV118+BV121+BV123</f>
        <v>25926.999999999993</v>
      </c>
      <c r="BW124" s="317">
        <f>BW117+BW118+BW121+BW123</f>
        <v>32674.000000000015</v>
      </c>
      <c r="BX124" s="317">
        <f>SUM(BT124:BW124)</f>
        <v>105286</v>
      </c>
      <c r="BY124" s="48">
        <f>BY117+BY118+BY121+BY123</f>
        <v>25583</v>
      </c>
      <c r="BZ124" s="48">
        <f>BZ117+BZ118+BZ121+BZ122+BZ123</f>
        <v>53473.000000000007</v>
      </c>
      <c r="CA124" s="48">
        <f>CA117+CA118+CA121+CA122+CA123</f>
        <v>34489.000000000015</v>
      </c>
      <c r="CB124" s="317">
        <f>CB117+CB118+CB121+CB123</f>
        <v>75469.999999999971</v>
      </c>
      <c r="CC124" s="317">
        <f>SUM(BY124:CB124)</f>
        <v>189015</v>
      </c>
      <c r="CD124" s="48">
        <f>CD117+CD118+CD121+CD123</f>
        <v>112673.99999999999</v>
      </c>
      <c r="CE124" s="48">
        <f>CE117+CE118+CE121+CE122+CE123</f>
        <v>100641.99999999999</v>
      </c>
      <c r="CF124" s="48">
        <f>CF117+CF118+CF121+CF123</f>
        <v>113072.52259291172</v>
      </c>
      <c r="CG124" s="317">
        <f>CG117+CG118+CG121+CG123</f>
        <v>129324.61002988265</v>
      </c>
      <c r="CH124" s="317">
        <f>SUM(CD124:CG124)</f>
        <v>455713.13262279431</v>
      </c>
      <c r="CI124" s="48">
        <f t="shared" ref="CI124:CL124" si="974">CI117+CI118+CI121+CI123</f>
        <v>140411.8205753573</v>
      </c>
      <c r="CJ124" s="48">
        <f t="shared" si="974"/>
        <v>156887.09966659892</v>
      </c>
      <c r="CK124" s="48">
        <f t="shared" si="974"/>
        <v>171064.881265573</v>
      </c>
      <c r="CL124" s="317">
        <f t="shared" si="974"/>
        <v>180502.55800009769</v>
      </c>
      <c r="CM124" s="317">
        <f t="shared" ref="CM124:CM128" si="975">SUM(CI124:CL124)</f>
        <v>648866.35950762685</v>
      </c>
      <c r="CN124" s="48">
        <f t="shared" ref="CN124:CQ124" si="976">CN117+CN118+CN121+CN123</f>
        <v>179638.86980788445</v>
      </c>
      <c r="CO124" s="48">
        <f t="shared" si="976"/>
        <v>185461.44196966279</v>
      </c>
      <c r="CP124" s="48">
        <f t="shared" si="976"/>
        <v>196391.5288133751</v>
      </c>
      <c r="CQ124" s="317">
        <f t="shared" si="976"/>
        <v>205153.90468551312</v>
      </c>
      <c r="CR124" s="317">
        <f t="shared" ref="CR124:CR128" si="977">SUM(CN124:CQ124)</f>
        <v>766645.74527643551</v>
      </c>
      <c r="CS124" s="48">
        <f t="shared" ref="CS124:CV124" si="978">CS117+CS118+CS121+CS123</f>
        <v>203456.59592906118</v>
      </c>
      <c r="CT124" s="48">
        <f t="shared" si="978"/>
        <v>209410.738529275</v>
      </c>
      <c r="CU124" s="48">
        <f t="shared" si="978"/>
        <v>214458.16935917718</v>
      </c>
      <c r="CV124" s="317">
        <f t="shared" si="978"/>
        <v>218101.19458536565</v>
      </c>
      <c r="CW124" s="317">
        <f t="shared" ref="CW124:CW128" si="979">SUM(CS124:CV124)</f>
        <v>845426.69840287906</v>
      </c>
      <c r="CX124" s="48">
        <f t="shared" ref="CX124:DA124" si="980">CX117+CX118+CX121+CX123</f>
        <v>209802.0299776445</v>
      </c>
      <c r="CY124" s="48">
        <f t="shared" si="980"/>
        <v>212857.06465418672</v>
      </c>
      <c r="CZ124" s="48">
        <f t="shared" si="980"/>
        <v>215742.61970171315</v>
      </c>
      <c r="DA124" s="317">
        <f t="shared" si="980"/>
        <v>218509.53900892864</v>
      </c>
      <c r="DB124" s="317">
        <f t="shared" ref="DB124:DB128" si="981">SUM(CX124:DA124)</f>
        <v>856911.25334247295</v>
      </c>
    </row>
    <row r="125" spans="1:106" s="7" customFormat="1" ht="11.5" customHeight="1" x14ac:dyDescent="0.35">
      <c r="A125" s="322" t="s">
        <v>120</v>
      </c>
      <c r="B125" s="161"/>
      <c r="C125" s="161"/>
      <c r="D125" s="161"/>
      <c r="E125" s="328"/>
      <c r="F125" s="324"/>
      <c r="G125" s="161"/>
      <c r="H125" s="161"/>
      <c r="I125" s="161"/>
      <c r="J125" s="328"/>
      <c r="K125" s="324"/>
      <c r="L125" s="161"/>
      <c r="M125" s="161"/>
      <c r="N125" s="161"/>
      <c r="O125" s="328"/>
      <c r="P125" s="324"/>
      <c r="Q125" s="161"/>
      <c r="R125" s="161"/>
      <c r="S125" s="161"/>
      <c r="T125" s="328"/>
      <c r="U125" s="324"/>
      <c r="V125" s="161"/>
      <c r="W125" s="161"/>
      <c r="X125" s="161"/>
      <c r="Y125" s="328"/>
      <c r="Z125" s="324"/>
      <c r="AA125" s="161"/>
      <c r="AB125" s="161"/>
      <c r="AC125" s="161"/>
      <c r="AD125" s="328"/>
      <c r="AE125" s="324"/>
      <c r="AF125" s="161"/>
      <c r="AG125" s="161"/>
      <c r="AH125" s="161"/>
      <c r="AI125" s="328"/>
      <c r="AJ125" s="324"/>
      <c r="AK125" s="161"/>
      <c r="AL125" s="161"/>
      <c r="AM125" s="161"/>
      <c r="AN125" s="328"/>
      <c r="AO125" s="324"/>
      <c r="AP125" s="161"/>
      <c r="AQ125" s="161"/>
      <c r="AR125" s="161"/>
      <c r="AS125" s="328"/>
      <c r="AT125" s="324"/>
      <c r="AU125" s="161"/>
      <c r="AV125" s="161"/>
      <c r="AW125" s="161"/>
      <c r="AX125" s="328"/>
      <c r="AY125" s="324"/>
      <c r="AZ125" s="161">
        <f>-1.92%*AZ111</f>
        <v>0</v>
      </c>
      <c r="BA125" s="161">
        <f>-1.92%*BA111</f>
        <v>0</v>
      </c>
      <c r="BB125" s="161">
        <f>-1.92%*BB111</f>
        <v>0</v>
      </c>
      <c r="BC125" s="328">
        <f>-1.92%*BC111</f>
        <v>0</v>
      </c>
      <c r="BD125" s="324">
        <f>SUM(AZ125:BC125)</f>
        <v>0</v>
      </c>
      <c r="BE125" s="487">
        <f>-1.92%*BE111</f>
        <v>-4317.5616</v>
      </c>
      <c r="BF125" s="487">
        <f>-1.92%*BF111</f>
        <v>-3173.3567999999996</v>
      </c>
      <c r="BG125" s="487">
        <f>-1.92%*BG111</f>
        <v>-3952.1471999999994</v>
      </c>
      <c r="BH125" s="488">
        <f>-1.92%*BH111</f>
        <v>-4236.8255999999992</v>
      </c>
      <c r="BI125" s="324">
        <f>SUM(BE125:BH125)</f>
        <v>-15679.891199999998</v>
      </c>
      <c r="BJ125" s="487">
        <f>-1.92%*BJ111</f>
        <v>-4947.3215999999993</v>
      </c>
      <c r="BK125" s="487">
        <f>-1.92%*BK111</f>
        <v>-6484.7615999999998</v>
      </c>
      <c r="BL125" s="487">
        <f>-1.92%*BL111</f>
        <v>-5303.2895999999992</v>
      </c>
      <c r="BM125" s="488">
        <f>-1.92%*BM111</f>
        <v>-5075.1743999999999</v>
      </c>
      <c r="BN125" s="324">
        <f>SUM(BJ125:BM125)</f>
        <v>-21810.547199999997</v>
      </c>
      <c r="BO125" s="487">
        <f>-1.92%*BO111</f>
        <v>-4739.4815999999992</v>
      </c>
      <c r="BP125" s="487">
        <f>-1.92%*BP111</f>
        <v>-6054.9887999999992</v>
      </c>
      <c r="BQ125" s="487">
        <f>-1.92%*BQ111</f>
        <v>-6386.9375999999993</v>
      </c>
      <c r="BR125" s="488">
        <f>-1.92%*BR111</f>
        <v>-4542.6623999999993</v>
      </c>
      <c r="BS125" s="324">
        <f>SUM(BO125:BR125)</f>
        <v>-21724.070399999997</v>
      </c>
      <c r="BT125" s="487">
        <f>-1.92%*BT111</f>
        <v>-3373.7855999999997</v>
      </c>
      <c r="BU125" s="487">
        <f>-1.92%*BU111</f>
        <v>-4357.8239999999996</v>
      </c>
      <c r="BV125" s="487">
        <f>-1.92%*BV111</f>
        <v>-5038.3295999999991</v>
      </c>
      <c r="BW125" s="488">
        <f>-1.92%*BW111</f>
        <v>-5506.2335999999996</v>
      </c>
      <c r="BX125" s="324">
        <f>SUM(BT125:BW125)</f>
        <v>-18276.1728</v>
      </c>
      <c r="BY125" s="487">
        <f>-1.92%*BY111</f>
        <v>-4186.7903999999999</v>
      </c>
      <c r="BZ125" s="487">
        <f>-1.92%*BZ111</f>
        <v>-7100.4671999999991</v>
      </c>
      <c r="CA125" s="487">
        <f>-1.92%*CA111</f>
        <v>-6493.0751999999993</v>
      </c>
      <c r="CB125" s="488">
        <f>-1.92%*CB111</f>
        <v>-8633.395199999999</v>
      </c>
      <c r="CC125" s="324">
        <f>SUM(BY125:CB125)</f>
        <v>-26413.727999999996</v>
      </c>
      <c r="CD125" s="487">
        <f>-1.92%*CD111</f>
        <v>-8855.4047999999984</v>
      </c>
      <c r="CE125" s="487">
        <f>-1.92%*CE111</f>
        <v>-9617.6639999999989</v>
      </c>
      <c r="CF125" s="493">
        <f>-1.92%*CF109</f>
        <v>-10712.963370685362</v>
      </c>
      <c r="CG125" s="579">
        <f>-1.92%*CG109</f>
        <v>-11831.0980412716</v>
      </c>
      <c r="CH125" s="324">
        <f>SUM(CD125:CG125)</f>
        <v>-41017.130211956959</v>
      </c>
      <c r="CI125" s="493">
        <f t="shared" ref="CI125:CL125" si="982">-1.92%*CI109</f>
        <v>-12984.505784338309</v>
      </c>
      <c r="CJ125" s="493">
        <f t="shared" si="982"/>
        <v>-14117.995917894663</v>
      </c>
      <c r="CK125" s="493">
        <f t="shared" si="982"/>
        <v>-15093.419488515514</v>
      </c>
      <c r="CL125" s="579">
        <f t="shared" si="982"/>
        <v>-15742.726453395093</v>
      </c>
      <c r="CM125" s="324">
        <f t="shared" si="975"/>
        <v>-57938.647644143581</v>
      </c>
      <c r="CN125" s="493">
        <f t="shared" ref="CN125:CQ125" si="983">-1.92%*CN109</f>
        <v>-16554.599913426617</v>
      </c>
      <c r="CO125" s="493">
        <f t="shared" si="983"/>
        <v>-16977.444660106234</v>
      </c>
      <c r="CP125" s="493">
        <f t="shared" si="983"/>
        <v>-17771.205505691727</v>
      </c>
      <c r="CQ125" s="579">
        <f t="shared" si="983"/>
        <v>-18407.54362276784</v>
      </c>
      <c r="CR125" s="324">
        <f t="shared" si="977"/>
        <v>-69710.793701992428</v>
      </c>
      <c r="CS125" s="493">
        <f t="shared" ref="CS125:CV125" si="984">-1.92%*CS109</f>
        <v>-18986.068346337048</v>
      </c>
      <c r="CT125" s="493">
        <f t="shared" si="984"/>
        <v>-19418.467954195716</v>
      </c>
      <c r="CU125" s="493">
        <f t="shared" si="984"/>
        <v>-19785.020665154483</v>
      </c>
      <c r="CV125" s="579">
        <f t="shared" si="984"/>
        <v>-20049.583136192126</v>
      </c>
      <c r="CW125" s="324">
        <f t="shared" si="979"/>
        <v>-78239.140101879384</v>
      </c>
      <c r="CX125" s="493">
        <f t="shared" ref="CX125:DA125" si="985">-1.92%*CX109</f>
        <v>-20289.02746678609</v>
      </c>
      <c r="CY125" s="493">
        <f t="shared" si="985"/>
        <v>-20510.889099069471</v>
      </c>
      <c r="CZ125" s="493">
        <f t="shared" si="985"/>
        <v>-20720.442842535449</v>
      </c>
      <c r="DA125" s="579">
        <f t="shared" si="985"/>
        <v>-20921.381063829242</v>
      </c>
      <c r="DB125" s="324">
        <f t="shared" si="981"/>
        <v>-82441.740472220248</v>
      </c>
    </row>
    <row r="126" spans="1:106" s="7" customFormat="1" ht="11.5" customHeight="1" x14ac:dyDescent="0.35">
      <c r="A126" s="322" t="s">
        <v>121</v>
      </c>
      <c r="B126" s="161"/>
      <c r="C126" s="161"/>
      <c r="D126" s="161"/>
      <c r="E126" s="328"/>
      <c r="F126" s="324"/>
      <c r="G126" s="161"/>
      <c r="H126" s="161"/>
      <c r="I126" s="161"/>
      <c r="J126" s="328"/>
      <c r="K126" s="324"/>
      <c r="L126" s="161"/>
      <c r="M126" s="161"/>
      <c r="N126" s="161"/>
      <c r="O126" s="328"/>
      <c r="P126" s="324"/>
      <c r="Q126" s="161"/>
      <c r="R126" s="161"/>
      <c r="S126" s="161"/>
      <c r="T126" s="328"/>
      <c r="U126" s="324"/>
      <c r="V126" s="161"/>
      <c r="W126" s="161"/>
      <c r="X126" s="161"/>
      <c r="Y126" s="328"/>
      <c r="Z126" s="324"/>
      <c r="AA126" s="161"/>
      <c r="AB126" s="161"/>
      <c r="AC126" s="161"/>
      <c r="AD126" s="328"/>
      <c r="AE126" s="324"/>
      <c r="AF126" s="161"/>
      <c r="AG126" s="161"/>
      <c r="AH126" s="161"/>
      <c r="AI126" s="328"/>
      <c r="AJ126" s="324"/>
      <c r="AK126" s="161"/>
      <c r="AL126" s="161"/>
      <c r="AM126" s="161"/>
      <c r="AN126" s="328"/>
      <c r="AO126" s="324"/>
      <c r="AP126" s="161"/>
      <c r="AQ126" s="161"/>
      <c r="AR126" s="161"/>
      <c r="AS126" s="328"/>
      <c r="AT126" s="324"/>
      <c r="AU126" s="161"/>
      <c r="AV126" s="161"/>
      <c r="AW126" s="161"/>
      <c r="AX126" s="328"/>
      <c r="AY126" s="324"/>
      <c r="AZ126" s="567"/>
      <c r="BA126" s="567"/>
      <c r="BB126" s="567"/>
      <c r="BC126" s="568"/>
      <c r="BD126" s="324">
        <f>SUM(AZ126:BC126)</f>
        <v>0</v>
      </c>
      <c r="BE126" s="567"/>
      <c r="BF126" s="567"/>
      <c r="BG126" s="567"/>
      <c r="BH126" s="568"/>
      <c r="BI126" s="324">
        <f t="shared" ref="BI126" si="986">SUM(BE126:BH126)</f>
        <v>0</v>
      </c>
      <c r="BJ126" s="567"/>
      <c r="BK126" s="567"/>
      <c r="BL126" s="567"/>
      <c r="BM126" s="568"/>
      <c r="BN126" s="324">
        <f t="shared" ref="BN126" si="987">SUM(BJ126:BM126)</f>
        <v>0</v>
      </c>
      <c r="BO126" s="567"/>
      <c r="BP126" s="567"/>
      <c r="BQ126" s="567"/>
      <c r="BR126" s="568"/>
      <c r="BS126" s="324">
        <f t="shared" ref="BS126" si="988">SUM(BO126:BR126)</f>
        <v>0</v>
      </c>
      <c r="BT126" s="567"/>
      <c r="BU126" s="567"/>
      <c r="BV126" s="567"/>
      <c r="BW126" s="568"/>
      <c r="BX126" s="324">
        <f t="shared" ref="BX126" si="989">SUM(BT126:BW126)</f>
        <v>0</v>
      </c>
      <c r="BY126" s="567"/>
      <c r="BZ126" s="567"/>
      <c r="CA126" s="567"/>
      <c r="CB126" s="568"/>
      <c r="CC126" s="324">
        <f t="shared" ref="CC126" si="990">SUM(BY126:CB126)</f>
        <v>0</v>
      </c>
      <c r="CD126" s="567"/>
      <c r="CE126" s="567"/>
      <c r="CF126" s="567"/>
      <c r="CG126" s="568"/>
      <c r="CH126" s="324">
        <f t="shared" ref="CH126" si="991">SUM(CD126:CG126)</f>
        <v>0</v>
      </c>
      <c r="CI126" s="567"/>
      <c r="CJ126" s="567"/>
      <c r="CK126" s="567"/>
      <c r="CL126" s="568"/>
      <c r="CM126" s="324">
        <f t="shared" si="975"/>
        <v>0</v>
      </c>
      <c r="CN126" s="567"/>
      <c r="CO126" s="567"/>
      <c r="CP126" s="567"/>
      <c r="CQ126" s="568"/>
      <c r="CR126" s="324">
        <f t="shared" si="977"/>
        <v>0</v>
      </c>
      <c r="CS126" s="567"/>
      <c r="CT126" s="567"/>
      <c r="CU126" s="567"/>
      <c r="CV126" s="568"/>
      <c r="CW126" s="324">
        <f t="shared" si="979"/>
        <v>0</v>
      </c>
      <c r="CX126" s="567"/>
      <c r="CY126" s="567"/>
      <c r="CZ126" s="567"/>
      <c r="DA126" s="568"/>
      <c r="DB126" s="324">
        <f t="shared" si="981"/>
        <v>0</v>
      </c>
    </row>
    <row r="127" spans="1:106" s="7" customFormat="1" ht="11.5" customHeight="1" x14ac:dyDescent="0.35">
      <c r="A127" s="315" t="s">
        <v>128</v>
      </c>
      <c r="B127" s="48"/>
      <c r="C127" s="48"/>
      <c r="D127" s="48"/>
      <c r="E127" s="317"/>
      <c r="F127" s="317"/>
      <c r="G127" s="48"/>
      <c r="H127" s="48"/>
      <c r="I127" s="48"/>
      <c r="J127" s="317"/>
      <c r="K127" s="317"/>
      <c r="L127" s="48"/>
      <c r="M127" s="48"/>
      <c r="N127" s="48"/>
      <c r="O127" s="317"/>
      <c r="P127" s="317"/>
      <c r="Q127" s="48"/>
      <c r="R127" s="48"/>
      <c r="S127" s="48"/>
      <c r="T127" s="317"/>
      <c r="U127" s="317"/>
      <c r="V127" s="48"/>
      <c r="W127" s="48"/>
      <c r="X127" s="48"/>
      <c r="Y127" s="317"/>
      <c r="Z127" s="317"/>
      <c r="AA127" s="48"/>
      <c r="AB127" s="48"/>
      <c r="AC127" s="48"/>
      <c r="AD127" s="317"/>
      <c r="AE127" s="317"/>
      <c r="AF127" s="48"/>
      <c r="AG127" s="48"/>
      <c r="AH127" s="48"/>
      <c r="AI127" s="317"/>
      <c r="AJ127" s="317"/>
      <c r="AK127" s="48"/>
      <c r="AL127" s="48"/>
      <c r="AM127" s="48"/>
      <c r="AN127" s="317"/>
      <c r="AO127" s="317"/>
      <c r="AP127" s="48"/>
      <c r="AQ127" s="48"/>
      <c r="AR127" s="48"/>
      <c r="AS127" s="317"/>
      <c r="AT127" s="317"/>
      <c r="AU127" s="48"/>
      <c r="AV127" s="48"/>
      <c r="AW127" s="48"/>
      <c r="AX127" s="317"/>
      <c r="AY127" s="317"/>
      <c r="AZ127" s="48">
        <f>AZ124+AZ125+AZ126</f>
        <v>0</v>
      </c>
      <c r="BA127" s="48">
        <f>BA124+BA125+BA126</f>
        <v>0</v>
      </c>
      <c r="BB127" s="48">
        <f>BB124+BB125+BB126</f>
        <v>0</v>
      </c>
      <c r="BC127" s="317">
        <f>BC124+BC125+BC126</f>
        <v>0</v>
      </c>
      <c r="BD127" s="317">
        <f>SUM(AZ127:BC127)</f>
        <v>0</v>
      </c>
      <c r="BE127" s="48">
        <f>BE124+BE125+BE126</f>
        <v>45315.438399999999</v>
      </c>
      <c r="BF127" s="48">
        <f>BF124+BF125+BF126</f>
        <v>28838.643200000006</v>
      </c>
      <c r="BG127" s="48">
        <f>BG124+BG125+BG126</f>
        <v>29401.852800000001</v>
      </c>
      <c r="BH127" s="317">
        <f>BH124+BH125+BH126</f>
        <v>-1674.8255999999992</v>
      </c>
      <c r="BI127" s="317">
        <f>SUM(BE127:BH127)</f>
        <v>101881.1088</v>
      </c>
      <c r="BJ127" s="48">
        <f>BJ124+BJ125+BJ126</f>
        <v>55857.678400000004</v>
      </c>
      <c r="BK127" s="48">
        <f>BK124+BK125+BK126</f>
        <v>50390.238400000009</v>
      </c>
      <c r="BL127" s="48">
        <f>BL124+BL125+BL126</f>
        <v>47494.710399999996</v>
      </c>
      <c r="BM127" s="317">
        <f>BM124+BM125+BM126</f>
        <v>31719.8256</v>
      </c>
      <c r="BN127" s="317">
        <f>SUM(BJ127:BM127)</f>
        <v>185462.4528</v>
      </c>
      <c r="BO127" s="48">
        <f>BO124+BO125+BO126</f>
        <v>42199.518400000001</v>
      </c>
      <c r="BP127" s="48">
        <f>BP124+BP125+BP126</f>
        <v>50512.011200000008</v>
      </c>
      <c r="BQ127" s="48">
        <f>BQ124+BQ125+BQ126</f>
        <v>46742.062399999988</v>
      </c>
      <c r="BR127" s="317">
        <f>BR124+BR125+BR126</f>
        <v>1737.337600000008</v>
      </c>
      <c r="BS127" s="317">
        <f>SUM(BO127:BR127)</f>
        <v>141190.9296</v>
      </c>
      <c r="BT127" s="48">
        <f>BT124+BT125+BT126</f>
        <v>14705.214400000001</v>
      </c>
      <c r="BU127" s="48">
        <f>BU124+BU125+BU126</f>
        <v>24248.175999999992</v>
      </c>
      <c r="BV127" s="48">
        <f>BV124+BV125+BV126</f>
        <v>20888.670399999995</v>
      </c>
      <c r="BW127" s="317">
        <f>BW124+BW125+BW126</f>
        <v>27167.766400000015</v>
      </c>
      <c r="BX127" s="317">
        <f>SUM(BT127:BW127)</f>
        <v>87009.8272</v>
      </c>
      <c r="BY127" s="48">
        <f>BY124+BY125+BY126</f>
        <v>21396.209600000002</v>
      </c>
      <c r="BZ127" s="48">
        <f>BZ124+BZ125+BZ126</f>
        <v>46372.532800000008</v>
      </c>
      <c r="CA127" s="48">
        <f>CA124+CA125+CA126</f>
        <v>27995.924800000015</v>
      </c>
      <c r="CB127" s="317">
        <f>CB124+CB125+CB126</f>
        <v>66836.604799999972</v>
      </c>
      <c r="CC127" s="317">
        <f>SUM(BY127:CB127)</f>
        <v>162601.272</v>
      </c>
      <c r="CD127" s="48">
        <f>CD124+CD125+CD126</f>
        <v>103818.59519999998</v>
      </c>
      <c r="CE127" s="48">
        <f>CE124+CE125+CE126</f>
        <v>91024.335999999981</v>
      </c>
      <c r="CF127" s="48">
        <f>CF124+CF125+CF126</f>
        <v>102359.55922222635</v>
      </c>
      <c r="CG127" s="317">
        <f>CG124+CG125+CG126</f>
        <v>117493.51198861105</v>
      </c>
      <c r="CH127" s="317">
        <f>SUM(CD127:CG127)</f>
        <v>414696.00241083733</v>
      </c>
      <c r="CI127" s="48">
        <f t="shared" ref="CI127:CL127" si="992">CI124+CI125+CI126</f>
        <v>127427.31479101899</v>
      </c>
      <c r="CJ127" s="48">
        <f t="shared" si="992"/>
        <v>142769.10374870425</v>
      </c>
      <c r="CK127" s="48">
        <f t="shared" si="992"/>
        <v>155971.4617770575</v>
      </c>
      <c r="CL127" s="317">
        <f t="shared" si="992"/>
        <v>164759.8315467026</v>
      </c>
      <c r="CM127" s="317">
        <f t="shared" si="975"/>
        <v>590927.7118634833</v>
      </c>
      <c r="CN127" s="48">
        <f t="shared" ref="CN127:CQ127" si="993">CN124+CN125+CN126</f>
        <v>163084.26989445783</v>
      </c>
      <c r="CO127" s="48">
        <f t="shared" si="993"/>
        <v>168483.99730955655</v>
      </c>
      <c r="CP127" s="48">
        <f t="shared" si="993"/>
        <v>178620.32330768337</v>
      </c>
      <c r="CQ127" s="317">
        <f t="shared" si="993"/>
        <v>186746.36106274527</v>
      </c>
      <c r="CR127" s="317">
        <f t="shared" si="977"/>
        <v>696934.95157444291</v>
      </c>
      <c r="CS127" s="48">
        <f t="shared" ref="CS127:CV127" si="994">CS124+CS125+CS126</f>
        <v>184470.52758272414</v>
      </c>
      <c r="CT127" s="48">
        <f t="shared" si="994"/>
        <v>189992.27057507928</v>
      </c>
      <c r="CU127" s="48">
        <f t="shared" si="994"/>
        <v>194673.1486940227</v>
      </c>
      <c r="CV127" s="317">
        <f t="shared" si="994"/>
        <v>198051.61144917354</v>
      </c>
      <c r="CW127" s="317">
        <f t="shared" si="979"/>
        <v>767187.55830099969</v>
      </c>
      <c r="CX127" s="48">
        <f t="shared" ref="CX127:DA127" si="995">CX124+CX125+CX126</f>
        <v>189513.00251085841</v>
      </c>
      <c r="CY127" s="48">
        <f t="shared" si="995"/>
        <v>192346.17555511725</v>
      </c>
      <c r="CZ127" s="48">
        <f t="shared" si="995"/>
        <v>195022.17685917771</v>
      </c>
      <c r="DA127" s="317">
        <f t="shared" si="995"/>
        <v>197588.1579450994</v>
      </c>
      <c r="DB127" s="317">
        <f t="shared" si="981"/>
        <v>774469.51287025271</v>
      </c>
    </row>
    <row r="128" spans="1:106" s="7" customFormat="1" ht="11.5" customHeight="1" x14ac:dyDescent="0.35">
      <c r="A128" s="329" t="s">
        <v>129</v>
      </c>
      <c r="B128" s="49"/>
      <c r="C128" s="49"/>
      <c r="D128" s="49"/>
      <c r="E128" s="330"/>
      <c r="F128" s="330"/>
      <c r="G128" s="49"/>
      <c r="H128" s="49"/>
      <c r="I128" s="49"/>
      <c r="J128" s="330"/>
      <c r="K128" s="330"/>
      <c r="L128" s="49"/>
      <c r="M128" s="49"/>
      <c r="N128" s="49"/>
      <c r="O128" s="330"/>
      <c r="P128" s="330"/>
      <c r="Q128" s="49"/>
      <c r="R128" s="49"/>
      <c r="S128" s="49"/>
      <c r="T128" s="330"/>
      <c r="U128" s="330"/>
      <c r="V128" s="49"/>
      <c r="W128" s="49"/>
      <c r="X128" s="49"/>
      <c r="Y128" s="330"/>
      <c r="Z128" s="330"/>
      <c r="AA128" s="49"/>
      <c r="AB128" s="49"/>
      <c r="AC128" s="49"/>
      <c r="AD128" s="330"/>
      <c r="AE128" s="330"/>
      <c r="AF128" s="49"/>
      <c r="AG128" s="49"/>
      <c r="AH128" s="49"/>
      <c r="AI128" s="330"/>
      <c r="AJ128" s="330"/>
      <c r="AK128" s="49"/>
      <c r="AL128" s="49"/>
      <c r="AM128" s="49"/>
      <c r="AN128" s="330"/>
      <c r="AO128" s="330"/>
      <c r="AP128" s="49"/>
      <c r="AQ128" s="49"/>
      <c r="AR128" s="49"/>
      <c r="AS128" s="330"/>
      <c r="AT128" s="330"/>
      <c r="AU128" s="49"/>
      <c r="AV128" s="49"/>
      <c r="AW128" s="49"/>
      <c r="AX128" s="330"/>
      <c r="AY128" s="330"/>
      <c r="AZ128" s="49">
        <f>AZ127</f>
        <v>0</v>
      </c>
      <c r="BA128" s="49">
        <f>BA127</f>
        <v>0</v>
      </c>
      <c r="BB128" s="49">
        <f>BB127</f>
        <v>0</v>
      </c>
      <c r="BC128" s="330">
        <f>BC127</f>
        <v>0</v>
      </c>
      <c r="BD128" s="330">
        <f>SUM(AZ128:BC128)</f>
        <v>0</v>
      </c>
      <c r="BE128" s="49">
        <f>BE127</f>
        <v>45315.438399999999</v>
      </c>
      <c r="BF128" s="49">
        <f>BF127</f>
        <v>28838.643200000006</v>
      </c>
      <c r="BG128" s="49">
        <f>BG127</f>
        <v>29401.852800000001</v>
      </c>
      <c r="BH128" s="330">
        <f>BH127</f>
        <v>-1674.8255999999992</v>
      </c>
      <c r="BI128" s="330">
        <f>SUM(BE128:BH128)</f>
        <v>101881.1088</v>
      </c>
      <c r="BJ128" s="49">
        <f>BJ127</f>
        <v>55857.678400000004</v>
      </c>
      <c r="BK128" s="49">
        <f>BK127</f>
        <v>50390.238400000009</v>
      </c>
      <c r="BL128" s="49">
        <f>BL127</f>
        <v>47494.710399999996</v>
      </c>
      <c r="BM128" s="330">
        <f>BM127</f>
        <v>31719.8256</v>
      </c>
      <c r="BN128" s="330">
        <f>SUM(BJ128:BM128)</f>
        <v>185462.4528</v>
      </c>
      <c r="BO128" s="49">
        <f>BO127</f>
        <v>42199.518400000001</v>
      </c>
      <c r="BP128" s="49">
        <f>BP127</f>
        <v>50512.011200000008</v>
      </c>
      <c r="BQ128" s="49">
        <f>BQ127</f>
        <v>46742.062399999988</v>
      </c>
      <c r="BR128" s="330">
        <f>BR127</f>
        <v>1737.337600000008</v>
      </c>
      <c r="BS128" s="330">
        <f>SUM(BO128:BR128)</f>
        <v>141190.9296</v>
      </c>
      <c r="BT128" s="49">
        <f>BT127</f>
        <v>14705.214400000001</v>
      </c>
      <c r="BU128" s="49">
        <f>BU127</f>
        <v>24248.175999999992</v>
      </c>
      <c r="BV128" s="49">
        <f>BV127</f>
        <v>20888.670399999995</v>
      </c>
      <c r="BW128" s="330">
        <f>BW127</f>
        <v>27167.766400000015</v>
      </c>
      <c r="BX128" s="330">
        <f>SUM(BT128:BW128)</f>
        <v>87009.8272</v>
      </c>
      <c r="BY128" s="49">
        <f>BY127</f>
        <v>21396.209600000002</v>
      </c>
      <c r="BZ128" s="49">
        <f>BZ127</f>
        <v>46372.532800000008</v>
      </c>
      <c r="CA128" s="49">
        <f>CA127</f>
        <v>27995.924800000015</v>
      </c>
      <c r="CB128" s="330">
        <f>CB127</f>
        <v>66836.604799999972</v>
      </c>
      <c r="CC128" s="330">
        <f>SUM(BY128:CB128)</f>
        <v>162601.272</v>
      </c>
      <c r="CD128" s="49">
        <f>CD127</f>
        <v>103818.59519999998</v>
      </c>
      <c r="CE128" s="49">
        <f>CE127</f>
        <v>91024.335999999981</v>
      </c>
      <c r="CF128" s="49">
        <f>CF127</f>
        <v>102359.55922222635</v>
      </c>
      <c r="CG128" s="330">
        <f>CG127</f>
        <v>117493.51198861105</v>
      </c>
      <c r="CH128" s="330">
        <f>SUM(CD128:CG128)</f>
        <v>414696.00241083733</v>
      </c>
      <c r="CI128" s="49">
        <f t="shared" ref="CI128:CL128" si="996">CI127</f>
        <v>127427.31479101899</v>
      </c>
      <c r="CJ128" s="49">
        <f t="shared" si="996"/>
        <v>142769.10374870425</v>
      </c>
      <c r="CK128" s="49">
        <f t="shared" si="996"/>
        <v>155971.4617770575</v>
      </c>
      <c r="CL128" s="330">
        <f t="shared" si="996"/>
        <v>164759.8315467026</v>
      </c>
      <c r="CM128" s="330">
        <f t="shared" si="975"/>
        <v>590927.7118634833</v>
      </c>
      <c r="CN128" s="49">
        <f t="shared" ref="CN128:CQ128" si="997">CN127</f>
        <v>163084.26989445783</v>
      </c>
      <c r="CO128" s="49">
        <f t="shared" si="997"/>
        <v>168483.99730955655</v>
      </c>
      <c r="CP128" s="49">
        <f t="shared" si="997"/>
        <v>178620.32330768337</v>
      </c>
      <c r="CQ128" s="330">
        <f t="shared" si="997"/>
        <v>186746.36106274527</v>
      </c>
      <c r="CR128" s="330">
        <f t="shared" si="977"/>
        <v>696934.95157444291</v>
      </c>
      <c r="CS128" s="49">
        <f t="shared" ref="CS128:CV128" si="998">CS127</f>
        <v>184470.52758272414</v>
      </c>
      <c r="CT128" s="49">
        <f t="shared" si="998"/>
        <v>189992.27057507928</v>
      </c>
      <c r="CU128" s="49">
        <f t="shared" si="998"/>
        <v>194673.1486940227</v>
      </c>
      <c r="CV128" s="330">
        <f t="shared" si="998"/>
        <v>198051.61144917354</v>
      </c>
      <c r="CW128" s="330">
        <f t="shared" si="979"/>
        <v>767187.55830099969</v>
      </c>
      <c r="CX128" s="49">
        <f t="shared" ref="CX128:DA128" si="999">CX127</f>
        <v>189513.00251085841</v>
      </c>
      <c r="CY128" s="49">
        <f t="shared" si="999"/>
        <v>192346.17555511725</v>
      </c>
      <c r="CZ128" s="49">
        <f t="shared" si="999"/>
        <v>195022.17685917771</v>
      </c>
      <c r="DA128" s="330">
        <f t="shared" si="999"/>
        <v>197588.1579450994</v>
      </c>
      <c r="DB128" s="330">
        <f t="shared" si="981"/>
        <v>774469.51287025271</v>
      </c>
    </row>
    <row r="129" spans="1:106" s="7" customFormat="1" ht="11.5" customHeight="1" x14ac:dyDescent="0.35">
      <c r="A129" s="321" t="s">
        <v>85</v>
      </c>
      <c r="B129" s="204"/>
      <c r="C129" s="204"/>
      <c r="D129" s="204"/>
      <c r="E129" s="476"/>
      <c r="F129" s="333"/>
      <c r="G129" s="204"/>
      <c r="H129" s="204"/>
      <c r="I129" s="204"/>
      <c r="J129" s="476"/>
      <c r="K129" s="333"/>
      <c r="L129" s="204"/>
      <c r="M129" s="204"/>
      <c r="N129" s="204"/>
      <c r="O129" s="476"/>
      <c r="P129" s="333"/>
      <c r="Q129" s="204"/>
      <c r="R129" s="204"/>
      <c r="S129" s="204"/>
      <c r="T129" s="476"/>
      <c r="U129" s="333"/>
      <c r="V129" s="204"/>
      <c r="W129" s="204"/>
      <c r="X129" s="204"/>
      <c r="Y129" s="476"/>
      <c r="Z129" s="333"/>
      <c r="AA129" s="204"/>
      <c r="AB129" s="204"/>
      <c r="AC129" s="204"/>
      <c r="AD129" s="476"/>
      <c r="AE129" s="333"/>
      <c r="AF129" s="204"/>
      <c r="AG129" s="204"/>
      <c r="AH129" s="204"/>
      <c r="AI129" s="476"/>
      <c r="AJ129" s="333"/>
      <c r="AK129" s="204"/>
      <c r="AL129" s="204"/>
      <c r="AM129" s="204"/>
      <c r="AN129" s="476"/>
      <c r="AO129" s="333"/>
      <c r="AP129" s="204"/>
      <c r="AQ129" s="204"/>
      <c r="AR129" s="204"/>
      <c r="AS129" s="476"/>
      <c r="AT129" s="333"/>
      <c r="AU129" s="204"/>
      <c r="AV129" s="204"/>
      <c r="AW129" s="204"/>
      <c r="AX129" s="476"/>
      <c r="AY129" s="333"/>
      <c r="AZ129" s="204" t="e">
        <f t="shared" ref="AZ129:BE129" si="1000">AZ114/AZ111</f>
        <v>#DIV/0!</v>
      </c>
      <c r="BA129" s="204" t="e">
        <f t="shared" si="1000"/>
        <v>#DIV/0!</v>
      </c>
      <c r="BB129" s="204" t="e">
        <f t="shared" si="1000"/>
        <v>#DIV/0!</v>
      </c>
      <c r="BC129" s="476" t="e">
        <f>BC114/BC111</f>
        <v>#DIV/0!</v>
      </c>
      <c r="BD129" s="333" t="e">
        <f t="shared" si="1000"/>
        <v>#DIV/0!</v>
      </c>
      <c r="BE129" s="334">
        <f t="shared" si="1000"/>
        <v>0.30153464399905727</v>
      </c>
      <c r="BF129" s="334">
        <f>BF114/BF111</f>
        <v>0.29606302071043511</v>
      </c>
      <c r="BG129" s="334">
        <f>BG114/BG111</f>
        <v>0.27552334083102975</v>
      </c>
      <c r="BH129" s="333">
        <f>BH114/BH111</f>
        <v>0.26902405423532183</v>
      </c>
      <c r="BI129" s="333">
        <f t="shared" ref="BI129:BY129" si="1001">BI114/BI111</f>
        <v>0.28508646794692044</v>
      </c>
      <c r="BJ129" s="334">
        <f>BJ114/BJ111</f>
        <v>0.30642325738435927</v>
      </c>
      <c r="BK129" s="334">
        <f>BK114/BK111</f>
        <v>0.27366557314921186</v>
      </c>
      <c r="BL129" s="334">
        <f t="shared" si="1001"/>
        <v>0.29139830493133922</v>
      </c>
      <c r="BM129" s="333">
        <f t="shared" si="1001"/>
        <v>0.30927016025301513</v>
      </c>
      <c r="BN129" s="333">
        <f t="shared" si="1001"/>
        <v>0.29369276897371926</v>
      </c>
      <c r="BO129" s="334">
        <f t="shared" si="1001"/>
        <v>0.28183740601503759</v>
      </c>
      <c r="BP129" s="334">
        <f>BP114/BP111</f>
        <v>0.28161109067617102</v>
      </c>
      <c r="BQ129" s="334">
        <f>BQ114/BQ111</f>
        <v>0.30688435096030997</v>
      </c>
      <c r="BR129" s="333">
        <f>BR114/BR111</f>
        <v>0.28096721429265797</v>
      </c>
      <c r="BS129" s="333">
        <f t="shared" si="1001"/>
        <v>0.28895623538395454</v>
      </c>
      <c r="BT129" s="334">
        <f>BT114/BT111</f>
        <v>0.23689661844546375</v>
      </c>
      <c r="BU129" s="334">
        <f>BU114/BU111</f>
        <v>0.27356478829801295</v>
      </c>
      <c r="BV129" s="334">
        <f t="shared" si="1001"/>
        <v>0.28957025757108068</v>
      </c>
      <c r="BW129" s="333">
        <f t="shared" si="1001"/>
        <v>0.30449503631665753</v>
      </c>
      <c r="BX129" s="333">
        <f t="shared" si="1001"/>
        <v>0.28052682889931968</v>
      </c>
      <c r="BY129" s="334">
        <f t="shared" si="1001"/>
        <v>0.33827076702956038</v>
      </c>
      <c r="BZ129" s="334">
        <f>BZ114/BZ111</f>
        <v>0.33166764012373723</v>
      </c>
      <c r="CA129" s="334">
        <f>CA114/CA111</f>
        <v>0.34343443304029497</v>
      </c>
      <c r="CB129" s="333">
        <f t="shared" ref="CB129" si="1002">CB114/CB111</f>
        <v>0.35993292650381625</v>
      </c>
      <c r="CC129" s="333">
        <f>CC114/CC111</f>
        <v>0.34484540766074367</v>
      </c>
      <c r="CD129" s="334">
        <f t="shared" ref="CD129" si="1003">CD114/CD111</f>
        <v>0.36928443971302138</v>
      </c>
      <c r="CE129" s="334">
        <f>CE114/CE111</f>
        <v>0.36603848917990894</v>
      </c>
      <c r="CF129" s="569">
        <v>0.36499999999999999</v>
      </c>
      <c r="CG129" s="571">
        <f t="shared" ref="CF129:CG129" si="1004">CF129</f>
        <v>0.36499999999999999</v>
      </c>
      <c r="CH129" s="333">
        <f>CH114/CH111</f>
        <v>0.36618200738295692</v>
      </c>
      <c r="CI129" s="569">
        <v>0.36499999999999999</v>
      </c>
      <c r="CJ129" s="841">
        <f>CI129</f>
        <v>0.36499999999999999</v>
      </c>
      <c r="CK129" s="841">
        <f t="shared" ref="CK129:CL129" si="1005">CJ129</f>
        <v>0.36499999999999999</v>
      </c>
      <c r="CL129" s="842">
        <f t="shared" si="1005"/>
        <v>0.36499999999999999</v>
      </c>
      <c r="CM129" s="333">
        <f t="shared" ref="CM129" si="1006">CM114/CM111</f>
        <v>0.36499999999999999</v>
      </c>
      <c r="CN129" s="569">
        <v>0.35</v>
      </c>
      <c r="CO129" s="841">
        <f>CN129</f>
        <v>0.35</v>
      </c>
      <c r="CP129" s="841">
        <f>CO129</f>
        <v>0.35</v>
      </c>
      <c r="CQ129" s="842">
        <f>CP129</f>
        <v>0.35</v>
      </c>
      <c r="CR129" s="333">
        <f t="shared" ref="CR129:DB129" si="1007">CR114/CR111</f>
        <v>0.35000000000000003</v>
      </c>
      <c r="CS129" s="840">
        <f t="shared" ref="CS129" si="1008">CQ129</f>
        <v>0.35</v>
      </c>
      <c r="CT129" s="841">
        <f t="shared" ref="CT129" si="1009">CS129</f>
        <v>0.35</v>
      </c>
      <c r="CU129" s="841">
        <f t="shared" ref="CU129" si="1010">CT129</f>
        <v>0.35</v>
      </c>
      <c r="CV129" s="842">
        <f t="shared" ref="CV129" si="1011">CU129</f>
        <v>0.35</v>
      </c>
      <c r="CW129" s="333">
        <f t="shared" si="1007"/>
        <v>0.35</v>
      </c>
      <c r="CX129" s="569">
        <f t="shared" ref="CX129" si="1012">CV129</f>
        <v>0.35</v>
      </c>
      <c r="CY129" s="572">
        <f t="shared" ref="CY129" si="1013">CX129</f>
        <v>0.35</v>
      </c>
      <c r="CZ129" s="572">
        <f t="shared" ref="CZ129" si="1014">CY129</f>
        <v>0.35</v>
      </c>
      <c r="DA129" s="571">
        <f t="shared" ref="DA129" si="1015">CZ129</f>
        <v>0.35</v>
      </c>
      <c r="DB129" s="333">
        <f t="shared" si="1007"/>
        <v>0.35000000000000003</v>
      </c>
    </row>
    <row r="130" spans="1:106" s="7" customFormat="1" ht="11.5" customHeight="1" x14ac:dyDescent="0.35">
      <c r="A130" s="335" t="s">
        <v>225</v>
      </c>
      <c r="B130" s="101"/>
      <c r="C130" s="101"/>
      <c r="D130" s="101"/>
      <c r="E130" s="477"/>
      <c r="F130" s="337"/>
      <c r="G130" s="101"/>
      <c r="H130" s="101"/>
      <c r="I130" s="101"/>
      <c r="J130" s="477"/>
      <c r="K130" s="337"/>
      <c r="L130" s="101"/>
      <c r="M130" s="101"/>
      <c r="N130" s="101"/>
      <c r="O130" s="477"/>
      <c r="P130" s="337"/>
      <c r="Q130" s="101"/>
      <c r="R130" s="101"/>
      <c r="S130" s="101"/>
      <c r="T130" s="477"/>
      <c r="U130" s="337"/>
      <c r="V130" s="101"/>
      <c r="W130" s="101"/>
      <c r="X130" s="101"/>
      <c r="Y130" s="477"/>
      <c r="Z130" s="337"/>
      <c r="AA130" s="101"/>
      <c r="AB130" s="101"/>
      <c r="AC130" s="101"/>
      <c r="AD130" s="477"/>
      <c r="AE130" s="337"/>
      <c r="AF130" s="101"/>
      <c r="AG130" s="101"/>
      <c r="AH130" s="101"/>
      <c r="AI130" s="477"/>
      <c r="AJ130" s="337"/>
      <c r="AK130" s="101"/>
      <c r="AL130" s="101"/>
      <c r="AM130" s="101"/>
      <c r="AN130" s="477"/>
      <c r="AO130" s="337"/>
      <c r="AP130" s="101"/>
      <c r="AQ130" s="101"/>
      <c r="AR130" s="101"/>
      <c r="AS130" s="477"/>
      <c r="AT130" s="337"/>
      <c r="AU130" s="101"/>
      <c r="AV130" s="101"/>
      <c r="AW130" s="101"/>
      <c r="AX130" s="477"/>
      <c r="AY130" s="337"/>
      <c r="AZ130" s="101" t="e">
        <f t="shared" ref="AZ130:BE130" si="1016">AZ127/AZ111</f>
        <v>#DIV/0!</v>
      </c>
      <c r="BA130" s="101" t="e">
        <f t="shared" si="1016"/>
        <v>#DIV/0!</v>
      </c>
      <c r="BB130" s="101" t="e">
        <f t="shared" si="1016"/>
        <v>#DIV/0!</v>
      </c>
      <c r="BC130" s="477" t="e">
        <f>BC127/BC111</f>
        <v>#DIV/0!</v>
      </c>
      <c r="BD130" s="337" t="e">
        <f t="shared" si="1016"/>
        <v>#DIV/0!</v>
      </c>
      <c r="BE130" s="336">
        <f t="shared" si="1016"/>
        <v>0.20151569285774637</v>
      </c>
      <c r="BF130" s="336">
        <f t="shared" ref="BF130:BK130" si="1017">BF127/BF111</f>
        <v>0.17448461813055505</v>
      </c>
      <c r="BG130" s="336">
        <f t="shared" si="1017"/>
        <v>0.14283768928444771</v>
      </c>
      <c r="BH130" s="337">
        <f t="shared" si="1017"/>
        <v>-7.5897982489531749E-3</v>
      </c>
      <c r="BI130" s="337">
        <f t="shared" si="1017"/>
        <v>0.12475324375720158</v>
      </c>
      <c r="BJ130" s="336">
        <f t="shared" si="1017"/>
        <v>0.21677738218594889</v>
      </c>
      <c r="BK130" s="336">
        <f t="shared" si="1017"/>
        <v>0.14919477953977525</v>
      </c>
      <c r="BL130" s="336">
        <f t="shared" ref="BL130:BY130" si="1018">BL127/BL111</f>
        <v>0.17194958383566306</v>
      </c>
      <c r="BM130" s="337">
        <f t="shared" si="1018"/>
        <v>0.11999994552305435</v>
      </c>
      <c r="BN130" s="337">
        <f t="shared" si="1018"/>
        <v>0.16326408783361473</v>
      </c>
      <c r="BO130" s="336">
        <f t="shared" si="1018"/>
        <v>0.17095345475758361</v>
      </c>
      <c r="BP130" s="336">
        <f>BP127/BP111</f>
        <v>0.16017050519399809</v>
      </c>
      <c r="BQ130" s="336">
        <f>BQ127/BQ111</f>
        <v>0.14051297418030195</v>
      </c>
      <c r="BR130" s="337">
        <f>BR127/BR111</f>
        <v>7.3430246368297487E-3</v>
      </c>
      <c r="BS130" s="337">
        <f t="shared" si="1018"/>
        <v>0.12478627616305277</v>
      </c>
      <c r="BT130" s="336">
        <f>BT127/BT111</f>
        <v>8.368644305079731E-2</v>
      </c>
      <c r="BU130" s="336">
        <f>BU127/BU111</f>
        <v>0.1068342776578402</v>
      </c>
      <c r="BV130" s="336">
        <f t="shared" si="1018"/>
        <v>7.9602269704625903E-2</v>
      </c>
      <c r="BW130" s="337">
        <f t="shared" si="1018"/>
        <v>9.4732834233549459E-2</v>
      </c>
      <c r="BX130" s="337">
        <f t="shared" si="1018"/>
        <v>9.1408015262363904E-2</v>
      </c>
      <c r="BY130" s="336">
        <f t="shared" si="1018"/>
        <v>9.8119844814777452E-2</v>
      </c>
      <c r="BZ130" s="336">
        <f>BZ127/BZ111</f>
        <v>0.12539352759209987</v>
      </c>
      <c r="CA130" s="336">
        <f>CA127/CA111</f>
        <v>8.2783848885655945E-2</v>
      </c>
      <c r="CB130" s="337">
        <f t="shared" ref="CB130" si="1019">CB127/CB111</f>
        <v>0.1486394150194815</v>
      </c>
      <c r="CC130" s="337">
        <f t="shared" ref="CC130:CD130" si="1020">CC127/CC111</f>
        <v>0.11819400966043112</v>
      </c>
      <c r="CD130" s="336">
        <f t="shared" si="1020"/>
        <v>0.22509609361279562</v>
      </c>
      <c r="CE130" s="336">
        <f>CE127/CE111</f>
        <v>0.18171431765551382</v>
      </c>
      <c r="CF130" s="336">
        <f t="shared" ref="CF130:CJ130" si="1021">CF127/CF111</f>
        <v>0.18734780577333071</v>
      </c>
      <c r="CG130" s="337">
        <f t="shared" si="1021"/>
        <v>0.19472362959729589</v>
      </c>
      <c r="CH130" s="337">
        <f t="shared" si="1021"/>
        <v>0.19636286072686421</v>
      </c>
      <c r="CI130" s="336">
        <f t="shared" si="1021"/>
        <v>0.19242740858397861</v>
      </c>
      <c r="CJ130" s="336">
        <f t="shared" si="1021"/>
        <v>0.19828552206923439</v>
      </c>
      <c r="CK130" s="336">
        <f t="shared" ref="CK130:DB130" si="1022">CK127/CK111</f>
        <v>0.20262233874437169</v>
      </c>
      <c r="CL130" s="337">
        <f t="shared" si="1022"/>
        <v>0.20521127276473602</v>
      </c>
      <c r="CM130" s="337">
        <f t="shared" si="1022"/>
        <v>0.19998426526697388</v>
      </c>
      <c r="CN130" s="336">
        <f t="shared" si="1022"/>
        <v>0.19316267375635879</v>
      </c>
      <c r="CO130" s="336">
        <f t="shared" si="1022"/>
        <v>0.19458804646533834</v>
      </c>
      <c r="CP130" s="336">
        <f t="shared" si="1022"/>
        <v>0.19708056830590823</v>
      </c>
      <c r="CQ130" s="337">
        <f t="shared" si="1022"/>
        <v>0.19892351903175268</v>
      </c>
      <c r="CR130" s="337">
        <f t="shared" si="1022"/>
        <v>0.19602977504115612</v>
      </c>
      <c r="CS130" s="336">
        <f t="shared" si="1022"/>
        <v>0.19051175326599643</v>
      </c>
      <c r="CT130" s="336">
        <f t="shared" si="1022"/>
        <v>0.19184513667681577</v>
      </c>
      <c r="CU130" s="336">
        <f t="shared" si="1022"/>
        <v>0.19292982439743595</v>
      </c>
      <c r="CV130" s="337">
        <f t="shared" si="1022"/>
        <v>0.19368806343738729</v>
      </c>
      <c r="CW130" s="337">
        <f t="shared" si="1022"/>
        <v>0.19226813178712654</v>
      </c>
      <c r="CX130" s="336">
        <f t="shared" si="1022"/>
        <v>0.18315028809469763</v>
      </c>
      <c r="CY130" s="336">
        <f t="shared" si="1022"/>
        <v>0.18387762812811148</v>
      </c>
      <c r="CZ130" s="336">
        <f t="shared" si="1022"/>
        <v>0.18455031493298052</v>
      </c>
      <c r="DA130" s="337">
        <f t="shared" si="1022"/>
        <v>0.18518268918034539</v>
      </c>
      <c r="DB130" s="337">
        <f t="shared" si="1022"/>
        <v>0.1841988856125997</v>
      </c>
    </row>
    <row r="131" spans="1:106" ht="11.5" customHeight="1" x14ac:dyDescent="0.2">
      <c r="A131" s="338" t="s">
        <v>137</v>
      </c>
      <c r="B131" s="204"/>
      <c r="C131" s="204"/>
      <c r="D131" s="204"/>
      <c r="E131" s="481"/>
      <c r="F131" s="226"/>
      <c r="G131" s="204"/>
      <c r="H131" s="204"/>
      <c r="I131" s="204"/>
      <c r="J131" s="481"/>
      <c r="K131" s="226"/>
      <c r="L131" s="204"/>
      <c r="M131" s="204"/>
      <c r="N131" s="204"/>
      <c r="O131" s="481"/>
      <c r="P131" s="226"/>
      <c r="Q131" s="204"/>
      <c r="R131" s="204"/>
      <c r="S131" s="204"/>
      <c r="T131" s="481"/>
      <c r="U131" s="226"/>
      <c r="V131" s="204"/>
      <c r="W131" s="204"/>
      <c r="X131" s="204"/>
      <c r="Y131" s="481"/>
      <c r="Z131" s="226"/>
      <c r="AA131" s="204"/>
      <c r="AB131" s="204"/>
      <c r="AC131" s="204"/>
      <c r="AD131" s="481"/>
      <c r="AE131" s="226"/>
      <c r="AF131" s="204"/>
      <c r="AG131" s="204"/>
      <c r="AH131" s="204"/>
      <c r="AI131" s="481"/>
      <c r="AJ131" s="226"/>
      <c r="AK131" s="204"/>
      <c r="AL131" s="204"/>
      <c r="AM131" s="204"/>
      <c r="AN131" s="481"/>
      <c r="AO131" s="226"/>
      <c r="AP131" s="204"/>
      <c r="AQ131" s="204"/>
      <c r="AR131" s="204"/>
      <c r="AS131" s="481"/>
      <c r="AT131" s="226"/>
      <c r="AU131" s="204"/>
      <c r="AV131" s="204"/>
      <c r="AW131" s="204"/>
      <c r="AX131" s="481"/>
      <c r="AY131" s="226"/>
      <c r="AZ131" s="204"/>
      <c r="BA131" s="204"/>
      <c r="BB131" s="204"/>
      <c r="BC131" s="481"/>
      <c r="BD131" s="226" t="e">
        <f>AVERAGE(AZ131:BC131)</f>
        <v>#DIV/0!</v>
      </c>
      <c r="BE131" s="489">
        <v>496308</v>
      </c>
      <c r="BF131" s="490">
        <v>528717</v>
      </c>
      <c r="BG131" s="490">
        <v>563510</v>
      </c>
      <c r="BH131" s="491">
        <v>699707</v>
      </c>
      <c r="BI131" s="226">
        <f>AVERAGE(BE131:BH131)</f>
        <v>572060.5</v>
      </c>
      <c r="BJ131" s="489">
        <v>687290</v>
      </c>
      <c r="BK131" s="490">
        <v>747048</v>
      </c>
      <c r="BL131" s="490">
        <v>642102</v>
      </c>
      <c r="BM131" s="491">
        <v>651898</v>
      </c>
      <c r="BN131" s="226">
        <f>AVERAGE(BJ131:BM131)</f>
        <v>682084.5</v>
      </c>
      <c r="BO131" s="489">
        <v>615817</v>
      </c>
      <c r="BP131" s="490">
        <v>601467</v>
      </c>
      <c r="BQ131" s="490">
        <v>671123</v>
      </c>
      <c r="BR131" s="491">
        <v>514128</v>
      </c>
      <c r="BS131" s="226">
        <f>AVERAGE(BO131:BR131)</f>
        <v>600633.75</v>
      </c>
      <c r="BT131" s="489">
        <v>532250</v>
      </c>
      <c r="BU131" s="490">
        <v>545458</v>
      </c>
      <c r="BV131" s="490">
        <v>671123</v>
      </c>
      <c r="BW131" s="491">
        <v>799963</v>
      </c>
      <c r="BX131" s="226">
        <f>AVERAGE(BT131:BW131)</f>
        <v>637198.5</v>
      </c>
      <c r="BY131" s="489">
        <v>777861</v>
      </c>
      <c r="BZ131" s="490">
        <v>744313</v>
      </c>
      <c r="CA131" s="490">
        <v>682312</v>
      </c>
      <c r="CB131" s="491">
        <v>799230</v>
      </c>
      <c r="CC131" s="39">
        <f>AVERAGE(BY131:CB131)</f>
        <v>750929</v>
      </c>
      <c r="CD131" s="489">
        <v>912251</v>
      </c>
      <c r="CE131" s="490">
        <v>914858</v>
      </c>
      <c r="CF131" s="575">
        <f>CE131+CF127</f>
        <v>1017217.5592222264</v>
      </c>
      <c r="CG131" s="481">
        <f>CF131+CG127</f>
        <v>1134711.0712108375</v>
      </c>
      <c r="CH131" s="39">
        <f>AVERAGE(CD131:CG131)</f>
        <v>994759.40760826599</v>
      </c>
      <c r="CI131" s="575">
        <f t="shared" ref="CI131" si="1023">CG131+CI127</f>
        <v>1262138.3860018565</v>
      </c>
      <c r="CJ131" s="575">
        <f t="shared" ref="CJ131:CL131" si="1024">CI131+CJ127</f>
        <v>1404907.4897505608</v>
      </c>
      <c r="CK131" s="575">
        <f t="shared" si="1024"/>
        <v>1560878.9515276183</v>
      </c>
      <c r="CL131" s="481">
        <f t="shared" si="1024"/>
        <v>1725638.783074321</v>
      </c>
      <c r="CM131" s="39">
        <f t="shared" ref="CM131" si="1025">AVERAGE(CI131:CL131)</f>
        <v>1488390.9025885891</v>
      </c>
      <c r="CN131" s="576">
        <f ca="1">CL131+CN127-IS!CN$55*'Business lines'!CL131/'BS &amp; FCF'!CL$65</f>
        <v>1673669.3771452177</v>
      </c>
      <c r="CO131" s="576">
        <f ca="1">CN131+CO127-IS!CO$55*'Business lines'!CN131/'BS &amp; FCF'!CN$65</f>
        <v>1842153.3744547742</v>
      </c>
      <c r="CP131" s="576">
        <f ca="1">CO131+CP127-IS!CP$55*'Business lines'!CO131/'BS &amp; FCF'!CO$65</f>
        <v>2020773.6977624577</v>
      </c>
      <c r="CQ131" s="580">
        <f ca="1">CP131+CQ127-IS!CQ$55*'Business lines'!CP131/'BS &amp; FCF'!CP$65</f>
        <v>2207520.0588252028</v>
      </c>
      <c r="CR131" s="39">
        <f t="shared" ref="CR131" ca="1" si="1026">AVERAGE(CN131:CQ131)</f>
        <v>1936029.1270469129</v>
      </c>
      <c r="CS131" s="653">
        <f ca="1">CQ131+CS127-IS!CS$55*'Business lines'!CQ131/'BS &amp; FCF'!CQ$65-300000</f>
        <v>1802308.5610920419</v>
      </c>
      <c r="CT131" s="576">
        <f ca="1">CS131+CT127-IS!CT$55*'Business lines'!CS131/'BS &amp; FCF'!CS$65</f>
        <v>1992300.8316671213</v>
      </c>
      <c r="CU131" s="576">
        <f ca="1">CT131+CU127-IS!CU$55*'Business lines'!CT131/'BS &amp; FCF'!CT$65</f>
        <v>2186973.9803611441</v>
      </c>
      <c r="CV131" s="580">
        <f ca="1">CU131+CV127-IS!CV$55*'Business lines'!CU131/'BS &amp; FCF'!CU$65</f>
        <v>2385025.5918103177</v>
      </c>
      <c r="CW131" s="39">
        <f t="shared" ref="CW131" ca="1" si="1027">AVERAGE(CS131:CV131)</f>
        <v>2091652.2412326562</v>
      </c>
      <c r="CX131" s="653">
        <f ca="1">CV131+CX127-IS!CX$55*'Business lines'!CV131/'BS &amp; FCF'!CV$65-750000</f>
        <v>1503228.1247073598</v>
      </c>
      <c r="CY131" s="576">
        <f ca="1">CX131+CY127-IS!CY$55*'Business lines'!CX131/'BS &amp; FCF'!CX$65</f>
        <v>1695574.300262477</v>
      </c>
      <c r="CZ131" s="576">
        <f ca="1">CY131+CZ127-IS!CZ$55*'Business lines'!CY131/'BS &amp; FCF'!CY$65</f>
        <v>1890596.4771216547</v>
      </c>
      <c r="DA131" s="580">
        <f ca="1">CZ131+DA127-IS!DA$55*'Business lines'!CZ131/'BS &amp; FCF'!CZ$65</f>
        <v>2088184.6350667542</v>
      </c>
      <c r="DB131" s="39">
        <f t="shared" ref="DB131" ca="1" si="1028">AVERAGE(CX131:DA131)</f>
        <v>1794395.8842895615</v>
      </c>
    </row>
    <row r="132" spans="1:106" ht="11.5" customHeight="1" x14ac:dyDescent="0.2">
      <c r="A132" s="335" t="s">
        <v>362</v>
      </c>
      <c r="B132" s="336"/>
      <c r="C132" s="336"/>
      <c r="D132" s="336"/>
      <c r="E132" s="337"/>
      <c r="F132" s="337"/>
      <c r="G132" s="336"/>
      <c r="H132" s="336"/>
      <c r="I132" s="336"/>
      <c r="J132" s="337"/>
      <c r="K132" s="337"/>
      <c r="L132" s="336"/>
      <c r="M132" s="336"/>
      <c r="N132" s="336"/>
      <c r="O132" s="337"/>
      <c r="P132" s="337"/>
      <c r="Q132" s="336"/>
      <c r="R132" s="336"/>
      <c r="S132" s="336"/>
      <c r="T132" s="337"/>
      <c r="U132" s="337"/>
      <c r="V132" s="336"/>
      <c r="W132" s="336"/>
      <c r="X132" s="336"/>
      <c r="Y132" s="337"/>
      <c r="Z132" s="337"/>
      <c r="AA132" s="336"/>
      <c r="AB132" s="336"/>
      <c r="AC132" s="336"/>
      <c r="AD132" s="337"/>
      <c r="AE132" s="337"/>
      <c r="AF132" s="336"/>
      <c r="AG132" s="336"/>
      <c r="AH132" s="336"/>
      <c r="AI132" s="337"/>
      <c r="AJ132" s="337"/>
      <c r="AK132" s="336"/>
      <c r="AL132" s="336"/>
      <c r="AM132" s="336"/>
      <c r="AN132" s="337"/>
      <c r="AO132" s="337"/>
      <c r="AP132" s="336"/>
      <c r="AQ132" s="336"/>
      <c r="AR132" s="336"/>
      <c r="AS132" s="337"/>
      <c r="AT132" s="337"/>
      <c r="AU132" s="336"/>
      <c r="AV132" s="336"/>
      <c r="AW132" s="336"/>
      <c r="AX132" s="337"/>
      <c r="AY132" s="337"/>
      <c r="AZ132" s="336"/>
      <c r="BA132" s="336"/>
      <c r="BB132" s="336"/>
      <c r="BC132" s="337"/>
      <c r="BD132" s="337" t="e">
        <f>BD127/BD131</f>
        <v>#DIV/0!</v>
      </c>
      <c r="BE132" s="336" t="e">
        <f t="shared" ref="BE132" si="1029">BE128/AVERAGE(BD131:BE131)*4</f>
        <v>#DIV/0!</v>
      </c>
      <c r="BF132" s="336">
        <f t="shared" ref="BF132" si="1030">BF128/AVERAGE(BE131:BF131)*4</f>
        <v>0.22507660359503431</v>
      </c>
      <c r="BG132" s="336">
        <f t="shared" ref="BG132" si="1031">BG128/AVERAGE(BF131:BG131)*4</f>
        <v>0.21535342231971927</v>
      </c>
      <c r="BH132" s="337">
        <f t="shared" ref="BH132" si="1032">BH128/AVERAGE(BG131:BH131)*4</f>
        <v>-1.0606732493308745E-2</v>
      </c>
      <c r="BI132" s="337">
        <f>BI127/AVERAGE(BE131:BH131)</f>
        <v>0.17809498960337236</v>
      </c>
      <c r="BJ132" s="336">
        <f t="shared" ref="BJ132" si="1033">BJ128/AVERAGE(BI131:BJ131)*4</f>
        <v>0.35483483525833359</v>
      </c>
      <c r="BK132" s="336">
        <f t="shared" ref="BK132" si="1034">BK128/AVERAGE(BJ131:BK131)*4</f>
        <v>0.28105084519827273</v>
      </c>
      <c r="BL132" s="336">
        <f t="shared" ref="BL132" si="1035">BL128/AVERAGE(BK131:BL131)*4</f>
        <v>0.27351811049922614</v>
      </c>
      <c r="BM132" s="337">
        <f t="shared" ref="BM132" si="1036">BM128/AVERAGE(BL131:BM131)*4</f>
        <v>0.19610402225656878</v>
      </c>
      <c r="BN132" s="337">
        <f t="shared" ref="BN132" si="1037">BN127/AVERAGE(BJ131:BM131)</f>
        <v>0.27190539119419954</v>
      </c>
      <c r="BO132" s="336">
        <f t="shared" ref="BO132" si="1038">BO128/AVERAGE(BN131:BO131)*4</f>
        <v>0.26010922030677985</v>
      </c>
      <c r="BP132" s="336">
        <f t="shared" ref="BP132" si="1039">BP128/AVERAGE(BO131:BP131)*4</f>
        <v>0.33196533397300881</v>
      </c>
      <c r="BQ132" s="336">
        <f t="shared" ref="BQ132" si="1040">BQ128/AVERAGE(BP131:BQ131)*4</f>
        <v>0.2938389420001728</v>
      </c>
      <c r="BR132" s="337">
        <f t="shared" ref="BR132" si="1041">BR128/AVERAGE(BQ131:BR131)*4</f>
        <v>1.1726377619592866E-2</v>
      </c>
      <c r="BS132" s="337">
        <f t="shared" ref="BS132" si="1042">BS127/AVERAGE(BO131:BR131)</f>
        <v>0.2350699233934157</v>
      </c>
      <c r="BT132" s="336">
        <f t="shared" ref="BT132" si="1043">BT128/AVERAGE(BS131:BT131)*4</f>
        <v>0.1038427068973317</v>
      </c>
      <c r="BU132" s="336">
        <f t="shared" ref="BU132" si="1044">BU128/AVERAGE(BT131:BU131)*4</f>
        <v>0.17999811451710476</v>
      </c>
      <c r="BV132" s="336">
        <f t="shared" ref="BV132" si="1045">BV128/AVERAGE(BU131:BV131)*4</f>
        <v>0.13735983317181508</v>
      </c>
      <c r="BW132" s="337">
        <f t="shared" ref="BW132" si="1046">BW128/AVERAGE(BV131:BW131)*4</f>
        <v>0.14774264128677733</v>
      </c>
      <c r="BX132" s="337">
        <f t="shared" ref="BX132" si="1047">BX127/AVERAGE(BT131:BW131)</f>
        <v>0.13655058384475166</v>
      </c>
      <c r="BY132" s="336">
        <f t="shared" ref="BY132" si="1048">BY128/AVERAGE(BX131:BY131)*4</f>
        <v>0.12096288304484724</v>
      </c>
      <c r="BZ132" s="336">
        <f t="shared" ref="BZ132:CB132" si="1049">BZ128/AVERAGE(BY131:BZ131)*4</f>
        <v>0.24371738211268887</v>
      </c>
      <c r="CA132" s="336">
        <f t="shared" si="1049"/>
        <v>0.15699107922544475</v>
      </c>
      <c r="CB132" s="337">
        <f t="shared" si="1049"/>
        <v>0.36090292303559385</v>
      </c>
      <c r="CC132" s="337">
        <f t="shared" ref="CC132" si="1050">CC127/AVERAGE(BY131:CB131)</f>
        <v>0.21653348319215265</v>
      </c>
      <c r="CD132" s="336">
        <f t="shared" ref="CD132" si="1051">CD128/AVERAGE(CC131:CD131)*4</f>
        <v>0.49937394725766293</v>
      </c>
      <c r="CE132" s="336">
        <f>CE128/AVERAGE(CD131:CE131)*4</f>
        <v>0.3985502167632034</v>
      </c>
      <c r="CF132" s="336">
        <f t="shared" ref="CF132" si="1052">CF128/AVERAGE(CE131:CF131)*4</f>
        <v>0.42383253070467725</v>
      </c>
      <c r="CG132" s="337">
        <f t="shared" ref="CG132" si="1053">CG128/AVERAGE(CF131:CG131)*4</f>
        <v>0.43679334092029293</v>
      </c>
      <c r="CH132" s="337">
        <f t="shared" ref="CH132" si="1054">CH127/AVERAGE(CD131:CG131)</f>
        <v>0.41688070425783164</v>
      </c>
      <c r="CI132" s="336">
        <f t="shared" ref="CI132" si="1055">CI128/AVERAGE(CH131:CI131)*4</f>
        <v>0.45169015682251834</v>
      </c>
      <c r="CJ132" s="336">
        <f t="shared" ref="CJ132" si="1056">CJ128/AVERAGE(CI131:CJ131)*4</f>
        <v>0.42824641314706069</v>
      </c>
      <c r="CK132" s="336">
        <f t="shared" ref="CK132" si="1057">CK128/AVERAGE(CJ131:CK131)*4</f>
        <v>0.42072203070653391</v>
      </c>
      <c r="CL132" s="337">
        <f t="shared" ref="CL132" si="1058">CL128/AVERAGE(CK131:CL131)*4</f>
        <v>0.40105630299702782</v>
      </c>
      <c r="CM132" s="337">
        <f t="shared" ref="CM132" si="1059">CM127/AVERAGE(CI131:CL131)</f>
        <v>0.39702453894050943</v>
      </c>
      <c r="CN132" s="336">
        <f t="shared" ref="CN132" ca="1" si="1060">CN128/AVERAGE(CM131:CN131)*4</f>
        <v>0.41260255774298349</v>
      </c>
      <c r="CO132" s="336">
        <f t="shared" ref="CO132" ca="1" si="1061">CO128/AVERAGE(CN131:CO131)*4</f>
        <v>0.38337313161280917</v>
      </c>
      <c r="CP132" s="336">
        <f t="shared" ref="CP132" ca="1" si="1062">CP128/AVERAGE(CO131:CP131)*4</f>
        <v>0.36991704988136759</v>
      </c>
      <c r="CQ132" s="337">
        <f t="shared" ref="CQ132" ca="1" si="1063">CQ128/AVERAGE(CP131:CQ131)*4</f>
        <v>0.35332712779814868</v>
      </c>
      <c r="CR132" s="337">
        <f t="shared" ref="CR132" ca="1" si="1064">CR127/AVERAGE(CN131:CQ131)</f>
        <v>0.35998164585338654</v>
      </c>
      <c r="CS132" s="336">
        <f t="shared" ref="CS132" ca="1" si="1065">CS128/AVERAGE(CR131:CS131)*4</f>
        <v>0.39476482430790472</v>
      </c>
      <c r="CT132" s="336">
        <f t="shared" ref="CT132" ca="1" si="1066">CT128/AVERAGE(CS131:CT131)*4</f>
        <v>0.40055194284317264</v>
      </c>
      <c r="CU132" s="336">
        <f t="shared" ref="CU132" ca="1" si="1067">CU128/AVERAGE(CT131:CU131)*4</f>
        <v>0.37264483902085371</v>
      </c>
      <c r="CV132" s="337">
        <f t="shared" ref="CV132" ca="1" si="1068">CV128/AVERAGE(CU131:CV131)*4</f>
        <v>0.34654703408926057</v>
      </c>
      <c r="CW132" s="337">
        <f t="shared" ref="CW132" ca="1" si="1069">CW127/AVERAGE(CS131:CV131)</f>
        <v>0.36678542597926289</v>
      </c>
      <c r="CX132" s="336">
        <f t="shared" ref="CX132" ca="1" si="1070">CX128/AVERAGE(CW131:CX131)*4</f>
        <v>0.42173977038326982</v>
      </c>
      <c r="CY132" s="336">
        <f t="shared" ref="CY132" ca="1" si="1071">CY128/AVERAGE(CX131:CY131)*4</f>
        <v>0.48104546639995993</v>
      </c>
      <c r="CZ132" s="336">
        <f t="shared" ref="CZ132" ca="1" si="1072">CZ128/AVERAGE(CY131:CZ131)*4</f>
        <v>0.4350538531830504</v>
      </c>
      <c r="DA132" s="337">
        <f t="shared" ref="DA132" ca="1" si="1073">DA128/AVERAGE(CZ131:DA131)*4</f>
        <v>0.39728379596418056</v>
      </c>
      <c r="DB132" s="337">
        <f t="shared" ref="DB132" ca="1" si="1074">DB127/AVERAGE(CX131:DA131)</f>
        <v>0.4316045972078682</v>
      </c>
    </row>
    <row r="133" spans="1:106" ht="11.5" customHeight="1" x14ac:dyDescent="0.2">
      <c r="BT133" s="544"/>
      <c r="BU133" s="544"/>
      <c r="BV133" s="544"/>
      <c r="BW133" s="544"/>
      <c r="BX133" s="544"/>
      <c r="BY133" s="544"/>
      <c r="BZ133" s="544"/>
      <c r="CA133" s="544"/>
      <c r="CB133" s="544"/>
      <c r="CC133" s="544"/>
      <c r="CD133" s="544"/>
      <c r="CE133" s="544"/>
      <c r="CF133" s="544"/>
      <c r="CG133" s="544"/>
      <c r="CH133" s="544"/>
      <c r="CI133" s="544"/>
      <c r="CJ133" s="544"/>
      <c r="CK133" s="544"/>
      <c r="CL133" s="544"/>
      <c r="CM133" s="654"/>
      <c r="CN133" s="544"/>
      <c r="CO133" s="544"/>
      <c r="CP133" s="544"/>
      <c r="CQ133" s="544"/>
      <c r="CR133" s="655">
        <f ca="1">CR92/CR131</f>
        <v>3.7050968442662371</v>
      </c>
      <c r="CW133" s="655">
        <f ca="1">CW92/CW131</f>
        <v>3.549460279290876</v>
      </c>
      <c r="DB133" s="655">
        <f ca="1">DB92/DB131</f>
        <v>4.2822684195909284</v>
      </c>
    </row>
    <row r="134" spans="1:106" ht="11.5" customHeight="1" x14ac:dyDescent="0.2">
      <c r="BY134" s="492"/>
      <c r="BZ134" s="492"/>
      <c r="CA134" s="544"/>
    </row>
    <row r="135" spans="1:106" ht="11.5" customHeight="1" x14ac:dyDescent="0.2">
      <c r="BT135" s="492"/>
      <c r="BU135" s="492"/>
      <c r="BV135" s="492"/>
      <c r="BW135" s="492"/>
      <c r="BX135" s="492"/>
      <c r="BY135" s="492"/>
      <c r="BZ135" s="492"/>
      <c r="CA135" s="492"/>
      <c r="CB135" s="492"/>
      <c r="CC135" s="492"/>
    </row>
    <row r="136" spans="1:106" ht="11.5" customHeight="1" x14ac:dyDescent="0.2">
      <c r="BT136" s="492"/>
      <c r="BU136" s="492"/>
      <c r="BV136" s="492"/>
      <c r="BW136" s="492"/>
      <c r="BX136" s="492"/>
      <c r="BY136" s="492"/>
      <c r="BZ136" s="492"/>
      <c r="CA136" s="492"/>
      <c r="CB136" s="492"/>
      <c r="CC136" s="492"/>
    </row>
  </sheetData>
  <pageMargins left="0.7" right="0.7" top="0.75" bottom="0.75" header="0.3" footer="0.3"/>
  <pageSetup paperSize="9" orientation="portrait" r:id="rId1"/>
  <headerFooter>
    <oddFooter>&amp;L_x000D_&amp;1#&amp;"Calibri"&amp;9&amp;K000000 Corporativo | Interno</oddFooter>
  </headerFooter>
  <ignoredErrors>
    <ignoredError sqref="CD62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778D-BBEB-4656-848F-81A10589A2F3}">
  <sheetPr>
    <tabColor theme="5" tint="0.79998168889431442"/>
  </sheetPr>
  <dimension ref="A1:DB75"/>
  <sheetViews>
    <sheetView showGridLines="0" zoomScaleNormal="100" workbookViewId="0">
      <pane xSplit="5" ySplit="3" topLeftCell="BN4" activePane="bottomRight" state="frozen"/>
      <selection pane="topRight" activeCell="F1" sqref="F1"/>
      <selection pane="bottomLeft" activeCell="A4" sqref="A4"/>
      <selection pane="bottomRight" activeCell="CI19" sqref="CI19"/>
    </sheetView>
  </sheetViews>
  <sheetFormatPr defaultColWidth="11.1796875" defaultRowHeight="11.5" customHeight="1" outlineLevelCol="2" x14ac:dyDescent="0.35"/>
  <cols>
    <col min="1" max="1" width="30.7265625" customWidth="1"/>
    <col min="2" max="5" width="11.1796875" hidden="1" customWidth="1" outlineLevel="2"/>
    <col min="6" max="6" width="11.1796875" collapsed="1"/>
    <col min="7" max="10" width="11.1796875" hidden="1" customWidth="1" outlineLevel="1"/>
    <col min="11" max="11" width="11.1796875" collapsed="1"/>
    <col min="12" max="15" width="0" hidden="1" customWidth="1" outlineLevel="1"/>
    <col min="16" max="16" width="11.1796875" collapsed="1"/>
    <col min="17" max="20" width="0" hidden="1" customWidth="1" outlineLevel="1"/>
    <col min="21" max="21" width="11.1796875" collapsed="1"/>
    <col min="22" max="25" width="0" hidden="1" customWidth="1" outlineLevel="1"/>
    <col min="26" max="26" width="11.1796875" collapsed="1"/>
    <col min="27" max="30" width="0" hidden="1" customWidth="1" outlineLevel="1"/>
    <col min="31" max="31" width="11.1796875" collapsed="1"/>
    <col min="32" max="35" width="0" hidden="1" customWidth="1" outlineLevel="1"/>
    <col min="36" max="36" width="11.1796875" collapsed="1"/>
    <col min="37" max="40" width="0" hidden="1" customWidth="1" outlineLevel="1"/>
    <col min="41" max="41" width="11.1796875" collapsed="1"/>
    <col min="42" max="45" width="11.1796875" hidden="1" customWidth="1" outlineLevel="1"/>
    <col min="46" max="46" width="11.1796875" collapsed="1"/>
    <col min="47" max="50" width="0" hidden="1" customWidth="1" outlineLevel="1"/>
    <col min="51" max="51" width="11.1796875" collapsed="1"/>
    <col min="52" max="55" width="11.1796875" hidden="1" customWidth="1" outlineLevel="1"/>
    <col min="56" max="56" width="11.1796875" collapsed="1"/>
    <col min="57" max="60" width="0" hidden="1" customWidth="1" outlineLevel="1"/>
    <col min="61" max="61" width="11.1796875" collapsed="1"/>
    <col min="62" max="65" width="0" hidden="1" customWidth="1" outlineLevel="1"/>
    <col min="66" max="66" width="11.1796875" collapsed="1"/>
    <col min="67" max="70" width="11.1796875" hidden="1" customWidth="1" outlineLevel="1"/>
    <col min="71" max="71" width="11.1796875" collapsed="1"/>
    <col min="72" max="75" width="11.1796875" hidden="1" customWidth="1" outlineLevel="1"/>
    <col min="76" max="76" width="11.1796875" collapsed="1"/>
    <col min="77" max="80" width="11.1796875" customWidth="1" outlineLevel="1"/>
    <col min="82" max="85" width="11.1796875" customWidth="1" outlineLevel="1"/>
    <col min="87" max="90" width="11.1796875" customWidth="1" outlineLevel="1"/>
    <col min="92" max="95" width="11.1796875" customWidth="1" outlineLevel="1"/>
    <col min="97" max="100" width="0" hidden="1" customWidth="1" outlineLevel="1"/>
    <col min="101" max="101" width="11.1796875" collapsed="1"/>
    <col min="102" max="105" width="0" hidden="1" customWidth="1" outlineLevel="1"/>
    <col min="106" max="106" width="11.1796875" collapsed="1"/>
  </cols>
  <sheetData>
    <row r="1" spans="1:106" s="7" customFormat="1" ht="45.75" customHeight="1" x14ac:dyDescent="0.35">
      <c r="F1" s="8"/>
      <c r="K1" s="8"/>
      <c r="P1" s="8"/>
      <c r="U1" s="8"/>
      <c r="Z1" s="8"/>
      <c r="AE1" s="8"/>
      <c r="AJ1" s="8"/>
      <c r="AO1" s="8"/>
      <c r="AT1" s="8"/>
      <c r="AY1" s="8"/>
      <c r="BD1" s="8"/>
      <c r="BI1" s="8"/>
      <c r="BN1" s="8"/>
      <c r="BS1" s="8"/>
      <c r="BX1" s="8"/>
      <c r="CC1" s="8"/>
      <c r="CH1" s="8"/>
      <c r="CM1" s="8"/>
      <c r="CR1" s="8"/>
      <c r="CW1" s="8"/>
      <c r="DB1" s="8"/>
    </row>
    <row r="2" spans="1:106" s="54" customFormat="1" ht="11.5" customHeight="1" x14ac:dyDescent="0.35">
      <c r="A2" s="11" t="str">
        <f ca="1">Valuation!$A$2</f>
        <v>CYRE3 | TP R$35/sh</v>
      </c>
      <c r="B2" s="46"/>
      <c r="C2" s="70"/>
      <c r="D2" s="46"/>
      <c r="E2" s="70"/>
      <c r="F2" s="156"/>
      <c r="G2" s="46"/>
      <c r="H2" s="70"/>
      <c r="I2" s="46"/>
      <c r="J2" s="70"/>
      <c r="K2" s="156"/>
      <c r="L2" s="46"/>
      <c r="M2" s="70"/>
      <c r="N2" s="46"/>
      <c r="O2" s="70"/>
      <c r="P2" s="156"/>
      <c r="Q2" s="46"/>
      <c r="R2" s="70"/>
      <c r="S2" s="46"/>
      <c r="T2" s="70"/>
      <c r="U2" s="156"/>
      <c r="V2" s="46"/>
      <c r="W2" s="70"/>
      <c r="X2" s="46"/>
      <c r="Y2" s="70"/>
      <c r="Z2" s="156"/>
      <c r="AA2" s="46"/>
      <c r="AB2" s="70"/>
      <c r="AC2" s="46"/>
      <c r="AD2" s="70"/>
      <c r="AE2" s="156"/>
      <c r="AF2" s="46"/>
      <c r="AG2" s="70"/>
      <c r="AH2" s="46"/>
      <c r="AI2" s="70"/>
      <c r="AJ2" s="156"/>
      <c r="AK2" s="46"/>
      <c r="AL2" s="70"/>
      <c r="AM2" s="46"/>
      <c r="AN2" s="70"/>
      <c r="AO2" s="156"/>
      <c r="AP2" s="46"/>
      <c r="AQ2" s="70"/>
      <c r="AR2" s="46"/>
      <c r="AS2" s="70"/>
      <c r="AT2" s="156"/>
      <c r="AU2" s="46"/>
      <c r="AV2" s="70"/>
      <c r="AW2" s="46"/>
      <c r="AX2" s="70"/>
      <c r="AY2" s="156"/>
      <c r="AZ2" s="46"/>
      <c r="BA2" s="70"/>
      <c r="BB2" s="46"/>
      <c r="BC2" s="70"/>
      <c r="BD2" s="156"/>
      <c r="BE2" s="46"/>
      <c r="BF2" s="70"/>
      <c r="BG2" s="46"/>
      <c r="BH2" s="70"/>
      <c r="BI2" s="156"/>
      <c r="BJ2" s="46"/>
      <c r="BK2" s="70"/>
      <c r="BL2" s="46"/>
      <c r="BM2" s="70"/>
      <c r="BN2" s="156"/>
      <c r="BO2" s="46"/>
      <c r="BP2" s="70"/>
      <c r="BQ2" s="46"/>
      <c r="BR2" s="70"/>
      <c r="BS2" s="156"/>
      <c r="BT2" s="46"/>
      <c r="BU2" s="70"/>
      <c r="BV2" s="46"/>
      <c r="BW2" s="70"/>
      <c r="BX2" s="156"/>
      <c r="BY2" s="46"/>
      <c r="BZ2" s="818">
        <f>BZ10/$BY$10</f>
        <v>1.1998311986151344</v>
      </c>
      <c r="CA2" s="818">
        <f t="shared" ref="CA2:CB2" si="0">CA10/$BY$10</f>
        <v>1.2517828442160994</v>
      </c>
      <c r="CB2" s="818">
        <f t="shared" si="0"/>
        <v>1.72099135279647</v>
      </c>
      <c r="CC2" s="156"/>
      <c r="CD2" s="46"/>
      <c r="CE2" s="818">
        <f>CE10/$CD$10</f>
        <v>0.50146735300165968</v>
      </c>
      <c r="CF2" s="818">
        <f t="shared" ref="CF2:CG2" si="1">CF10/$CD$10</f>
        <v>0.90166649883948302</v>
      </c>
      <c r="CG2" s="818">
        <f t="shared" si="1"/>
        <v>1.0336750939874528</v>
      </c>
      <c r="CH2" s="156"/>
      <c r="CI2" s="46"/>
      <c r="CJ2" s="70"/>
      <c r="CK2" s="46"/>
      <c r="CL2" s="70"/>
      <c r="CM2" s="156"/>
      <c r="CN2" s="46"/>
      <c r="CO2" s="70"/>
      <c r="CP2" s="46"/>
      <c r="CQ2" s="70"/>
      <c r="CR2" s="156"/>
      <c r="CS2" s="46"/>
      <c r="CT2" s="70"/>
      <c r="CU2" s="46"/>
      <c r="CV2" s="70"/>
      <c r="CW2" s="156"/>
      <c r="CX2" s="46"/>
      <c r="CY2" s="70"/>
      <c r="CZ2" s="46"/>
      <c r="DA2" s="70"/>
      <c r="DB2" s="156"/>
    </row>
    <row r="3" spans="1:106" s="85" customFormat="1" ht="11.5" customHeight="1" thickBot="1" x14ac:dyDescent="0.4">
      <c r="A3" s="124" t="s">
        <v>136</v>
      </c>
      <c r="B3" s="129" t="str">
        <f>Macro!B$3</f>
        <v>1Q10</v>
      </c>
      <c r="C3" s="129" t="str">
        <f>Macro!C$3</f>
        <v>2Q10</v>
      </c>
      <c r="D3" s="129" t="str">
        <f>Macro!D$3</f>
        <v>3Q10</v>
      </c>
      <c r="E3" s="130" t="str">
        <f>Macro!E$3</f>
        <v>4Q10</v>
      </c>
      <c r="F3" s="131" t="str">
        <f>Macro!F$3</f>
        <v>2010</v>
      </c>
      <c r="G3" s="129" t="str">
        <f>Macro!G$3</f>
        <v>1Q11</v>
      </c>
      <c r="H3" s="129" t="str">
        <f>Macro!H$3</f>
        <v>2Q11</v>
      </c>
      <c r="I3" s="129" t="str">
        <f>Macro!I$3</f>
        <v>3Q11</v>
      </c>
      <c r="J3" s="130" t="str">
        <f>Macro!J$3</f>
        <v>4Q11</v>
      </c>
      <c r="K3" s="131" t="str">
        <f>Macro!K$3</f>
        <v>2011</v>
      </c>
      <c r="L3" s="129" t="str">
        <f>Macro!L$3</f>
        <v>1Q12</v>
      </c>
      <c r="M3" s="129" t="str">
        <f>Macro!M$3</f>
        <v>2Q12</v>
      </c>
      <c r="N3" s="129" t="str">
        <f>Macro!N$3</f>
        <v>3Q12</v>
      </c>
      <c r="O3" s="130" t="str">
        <f>Macro!O$3</f>
        <v>4Q12</v>
      </c>
      <c r="P3" s="131" t="str">
        <f>Macro!P$3</f>
        <v>2012</v>
      </c>
      <c r="Q3" s="129" t="str">
        <f>Macro!Q$3</f>
        <v>1Q13</v>
      </c>
      <c r="R3" s="129" t="str">
        <f>Macro!R$3</f>
        <v>2Q13</v>
      </c>
      <c r="S3" s="129" t="str">
        <f>Macro!S$3</f>
        <v>3Q13</v>
      </c>
      <c r="T3" s="130" t="str">
        <f>Macro!T$3</f>
        <v>4Q13</v>
      </c>
      <c r="U3" s="131" t="str">
        <f>Macro!U$3</f>
        <v>2013</v>
      </c>
      <c r="V3" s="129" t="str">
        <f>Macro!V$3</f>
        <v>1Q14</v>
      </c>
      <c r="W3" s="129" t="str">
        <f>Macro!W$3</f>
        <v>2Q14</v>
      </c>
      <c r="X3" s="129" t="str">
        <f>Macro!X$3</f>
        <v>3Q14</v>
      </c>
      <c r="Y3" s="130" t="str">
        <f>Macro!Y$3</f>
        <v>4Q14</v>
      </c>
      <c r="Z3" s="131" t="str">
        <f>Macro!Z$3</f>
        <v>2014</v>
      </c>
      <c r="AA3" s="129" t="str">
        <f>Macro!AA$3</f>
        <v>1Q15</v>
      </c>
      <c r="AB3" s="129" t="str">
        <f>Macro!AB$3</f>
        <v>2Q15</v>
      </c>
      <c r="AC3" s="129" t="str">
        <f>Macro!AC$3</f>
        <v>3Q15</v>
      </c>
      <c r="AD3" s="130" t="str">
        <f>Macro!AD$3</f>
        <v>4Q15</v>
      </c>
      <c r="AE3" s="131" t="str">
        <f>Macro!AE$3</f>
        <v>2015</v>
      </c>
      <c r="AF3" s="129" t="str">
        <f>Macro!AF$3</f>
        <v>1Q16</v>
      </c>
      <c r="AG3" s="129" t="str">
        <f>Macro!AG$3</f>
        <v>2Q16</v>
      </c>
      <c r="AH3" s="129" t="str">
        <f>Macro!AH$3</f>
        <v>3Q16</v>
      </c>
      <c r="AI3" s="130" t="str">
        <f>Macro!AI$3</f>
        <v>4Q16</v>
      </c>
      <c r="AJ3" s="131" t="str">
        <f>Macro!AJ$3</f>
        <v>2016</v>
      </c>
      <c r="AK3" s="129" t="str">
        <f>Macro!AK$3</f>
        <v>1Q17</v>
      </c>
      <c r="AL3" s="129" t="str">
        <f>Macro!AL$3</f>
        <v>2Q17</v>
      </c>
      <c r="AM3" s="129" t="str">
        <f>Macro!AM$3</f>
        <v>3Q17</v>
      </c>
      <c r="AN3" s="130" t="str">
        <f>Macro!AN$3</f>
        <v>4Q17</v>
      </c>
      <c r="AO3" s="131" t="str">
        <f>Macro!AO$3</f>
        <v>2017</v>
      </c>
      <c r="AP3" s="129" t="str">
        <f>Macro!AP$3</f>
        <v>1Q18</v>
      </c>
      <c r="AQ3" s="129" t="str">
        <f>Macro!AQ$3</f>
        <v>2Q18</v>
      </c>
      <c r="AR3" s="129" t="str">
        <f>Macro!AR$3</f>
        <v>3Q18</v>
      </c>
      <c r="AS3" s="130" t="str">
        <f>Macro!AS$3</f>
        <v>4Q18</v>
      </c>
      <c r="AT3" s="131" t="str">
        <f>Macro!AT$3</f>
        <v>2018</v>
      </c>
      <c r="AU3" s="129" t="str">
        <f>Macro!AU$3</f>
        <v>1Q19</v>
      </c>
      <c r="AV3" s="129" t="str">
        <f>Macro!AV$3</f>
        <v>2Q19</v>
      </c>
      <c r="AW3" s="129" t="str">
        <f>Macro!AW$3</f>
        <v>3Q19</v>
      </c>
      <c r="AX3" s="130" t="str">
        <f>Macro!AX$3</f>
        <v>4Q19</v>
      </c>
      <c r="AY3" s="131" t="str">
        <f>Macro!AY$3</f>
        <v>2019</v>
      </c>
      <c r="AZ3" s="129" t="str">
        <f>Macro!AZ$3</f>
        <v>1Q20</v>
      </c>
      <c r="BA3" s="129" t="str">
        <f>Macro!BA$3</f>
        <v>2Q20</v>
      </c>
      <c r="BB3" s="129" t="str">
        <f>Macro!BB$3</f>
        <v>3Q20</v>
      </c>
      <c r="BC3" s="130" t="str">
        <f>Macro!BC$3</f>
        <v>4Q20</v>
      </c>
      <c r="BD3" s="131" t="str">
        <f>Macro!BD$3</f>
        <v>2020</v>
      </c>
      <c r="BE3" s="129" t="str">
        <f>Macro!BE$3</f>
        <v>1Q21</v>
      </c>
      <c r="BF3" s="129" t="str">
        <f>Macro!BF$3</f>
        <v>2Q21</v>
      </c>
      <c r="BG3" s="129" t="str">
        <f>Macro!BG$3</f>
        <v>3Q21</v>
      </c>
      <c r="BH3" s="130" t="str">
        <f>Macro!BH$3</f>
        <v>4Q21</v>
      </c>
      <c r="BI3" s="131" t="str">
        <f>Macro!BI$3</f>
        <v>2021</v>
      </c>
      <c r="BJ3" s="129" t="str">
        <f>Macro!BJ$3</f>
        <v>1Q22</v>
      </c>
      <c r="BK3" s="129" t="str">
        <f>Macro!BK$3</f>
        <v>2Q22</v>
      </c>
      <c r="BL3" s="129" t="str">
        <f>Macro!BL$3</f>
        <v>3Q22</v>
      </c>
      <c r="BM3" s="130" t="str">
        <f>Macro!BM$3</f>
        <v>4Q22</v>
      </c>
      <c r="BN3" s="131" t="str">
        <f>Macro!BN$3</f>
        <v>2022</v>
      </c>
      <c r="BO3" s="129" t="str">
        <f>Macro!BO$3</f>
        <v>1Q23</v>
      </c>
      <c r="BP3" s="129" t="str">
        <f>Macro!BP$3</f>
        <v>2Q23</v>
      </c>
      <c r="BQ3" s="129" t="str">
        <f>Macro!BQ$3</f>
        <v>3Q23</v>
      </c>
      <c r="BR3" s="130" t="str">
        <f>Macro!BR$3</f>
        <v>4Q23</v>
      </c>
      <c r="BS3" s="131" t="str">
        <f>Macro!BS$3</f>
        <v>2023</v>
      </c>
      <c r="BT3" s="129" t="str">
        <f>Macro!BT$3</f>
        <v>1Q24</v>
      </c>
      <c r="BU3" s="129" t="str">
        <f>Macro!BU$3</f>
        <v>2Q24</v>
      </c>
      <c r="BV3" s="129" t="str">
        <f>Macro!BV$3</f>
        <v>3Q24</v>
      </c>
      <c r="BW3" s="130" t="str">
        <f>Macro!BW$3</f>
        <v>4Q24</v>
      </c>
      <c r="BX3" s="131" t="str">
        <f>Macro!BX$3</f>
        <v>2024</v>
      </c>
      <c r="BY3" s="129" t="str">
        <f>Macro!BY$3</f>
        <v>1Q25</v>
      </c>
      <c r="BZ3" s="130" t="str">
        <f>Macro!BZ$3</f>
        <v>2Q25</v>
      </c>
      <c r="CA3" s="125" t="str">
        <f>Macro!CA$3</f>
        <v>3Q25</v>
      </c>
      <c r="CB3" s="125" t="str">
        <f>Macro!CB$3</f>
        <v>4Q25</v>
      </c>
      <c r="CC3" s="126" t="str">
        <f>Macro!CC$3</f>
        <v>2025</v>
      </c>
      <c r="CD3" s="125" t="str">
        <f>Macro!CD$3</f>
        <v>1Q26</v>
      </c>
      <c r="CE3" s="125" t="str">
        <f>Macro!CE$3</f>
        <v>2Q26</v>
      </c>
      <c r="CF3" s="125" t="str">
        <f>Macro!CF$3</f>
        <v>3Q26E</v>
      </c>
      <c r="CG3" s="125" t="str">
        <f>Macro!CG$3</f>
        <v>4Q26E</v>
      </c>
      <c r="CH3" s="126" t="str">
        <f>Macro!CH$3</f>
        <v>2026E</v>
      </c>
      <c r="CI3" s="125" t="str">
        <f>Macro!CI$3</f>
        <v>1Q27E</v>
      </c>
      <c r="CJ3" s="125" t="str">
        <f>Macro!CJ$3</f>
        <v>2Q27E</v>
      </c>
      <c r="CK3" s="125" t="str">
        <f>Macro!CK$3</f>
        <v>3Q27E</v>
      </c>
      <c r="CL3" s="125" t="str">
        <f>Macro!CL$3</f>
        <v>4Q27E</v>
      </c>
      <c r="CM3" s="126" t="str">
        <f>Macro!CM$3</f>
        <v>2027E</v>
      </c>
      <c r="CN3" s="125" t="str">
        <f>Macro!CN$3</f>
        <v>1Q28E</v>
      </c>
      <c r="CO3" s="125" t="str">
        <f>Macro!CO$3</f>
        <v>2Q28E</v>
      </c>
      <c r="CP3" s="125" t="str">
        <f>Macro!CP$3</f>
        <v>3Q28E</v>
      </c>
      <c r="CQ3" s="125" t="str">
        <f>Macro!CQ$3</f>
        <v>4Q28E</v>
      </c>
      <c r="CR3" s="126" t="str">
        <f>Macro!CR$3</f>
        <v>2028E</v>
      </c>
      <c r="CS3" s="125" t="str">
        <f>Macro!CS$3</f>
        <v>1Q29E</v>
      </c>
      <c r="CT3" s="125" t="str">
        <f>Macro!CT$3</f>
        <v>2Q29E</v>
      </c>
      <c r="CU3" s="125" t="str">
        <f>Macro!CU$3</f>
        <v>3Q29E</v>
      </c>
      <c r="CV3" s="125" t="str">
        <f>Macro!CV$3</f>
        <v>4Q29E</v>
      </c>
      <c r="CW3" s="126" t="str">
        <f>Macro!CW$3</f>
        <v>2029E</v>
      </c>
      <c r="CX3" s="125" t="str">
        <f>Macro!CX$3</f>
        <v>1Q30E</v>
      </c>
      <c r="CY3" s="125" t="str">
        <f>Macro!CY$3</f>
        <v>2Q30E</v>
      </c>
      <c r="CZ3" s="125" t="str">
        <f>Macro!CZ$3</f>
        <v>3Q30E</v>
      </c>
      <c r="DA3" s="125" t="str">
        <f>Macro!DA$3</f>
        <v>4Q30E</v>
      </c>
      <c r="DB3" s="126" t="str">
        <f>Macro!DB$3</f>
        <v>2030E</v>
      </c>
    </row>
    <row r="4" spans="1:106" s="54" customFormat="1" ht="11.5" customHeight="1" thickTop="1" x14ac:dyDescent="0.35">
      <c r="A4" s="557" t="s">
        <v>370</v>
      </c>
      <c r="B4" s="558"/>
      <c r="C4" s="558"/>
      <c r="D4" s="558"/>
      <c r="E4" s="558"/>
      <c r="F4" s="137"/>
      <c r="G4" s="558"/>
      <c r="H4" s="558"/>
      <c r="I4" s="558"/>
      <c r="J4" s="558"/>
      <c r="K4" s="137"/>
      <c r="L4" s="558"/>
      <c r="M4" s="558"/>
      <c r="N4" s="558"/>
      <c r="O4" s="558"/>
      <c r="P4" s="137"/>
      <c r="Q4" s="558"/>
      <c r="R4" s="558"/>
      <c r="S4" s="558"/>
      <c r="T4" s="558"/>
      <c r="U4" s="137"/>
      <c r="V4" s="558"/>
      <c r="W4" s="558"/>
      <c r="X4" s="558"/>
      <c r="Y4" s="558"/>
      <c r="Z4" s="137"/>
      <c r="AA4" s="558"/>
      <c r="AB4" s="558"/>
      <c r="AC4" s="558"/>
      <c r="AD4" s="558"/>
      <c r="AE4" s="137"/>
      <c r="AF4" s="558"/>
      <c r="AG4" s="558"/>
      <c r="AH4" s="558"/>
      <c r="AI4" s="558"/>
      <c r="AJ4" s="137"/>
      <c r="AK4" s="558"/>
      <c r="AL4" s="558"/>
      <c r="AM4" s="558"/>
      <c r="AN4" s="558"/>
      <c r="AO4" s="137"/>
      <c r="AP4" s="558"/>
      <c r="AQ4" s="558"/>
      <c r="AR4" s="558"/>
      <c r="AS4" s="558"/>
      <c r="AT4" s="137"/>
      <c r="AU4" s="558"/>
      <c r="AV4" s="558"/>
      <c r="AW4" s="558"/>
      <c r="AX4" s="558"/>
      <c r="AY4" s="137"/>
      <c r="AZ4" s="558"/>
      <c r="BA4" s="558"/>
      <c r="BB4" s="558"/>
      <c r="BC4" s="558"/>
      <c r="BD4" s="137"/>
      <c r="BE4" s="558"/>
      <c r="BF4" s="558"/>
      <c r="BG4" s="558"/>
      <c r="BH4" s="558"/>
      <c r="BI4" s="137"/>
      <c r="BJ4" s="558"/>
      <c r="BK4" s="558"/>
      <c r="BL4" s="558"/>
      <c r="BM4" s="558"/>
      <c r="BN4" s="137"/>
      <c r="BO4" s="558"/>
      <c r="BP4" s="558"/>
      <c r="BQ4" s="558"/>
      <c r="BR4" s="558"/>
      <c r="BS4" s="137"/>
      <c r="BT4" s="558"/>
      <c r="BU4" s="558"/>
      <c r="BV4" s="558"/>
      <c r="BW4" s="558"/>
      <c r="BX4" s="137"/>
      <c r="BY4" s="558"/>
      <c r="BZ4" s="558"/>
      <c r="CA4" s="559"/>
      <c r="CB4" s="559"/>
      <c r="CC4" s="137"/>
      <c r="CD4" s="558"/>
      <c r="CE4" s="558"/>
      <c r="CF4" s="559"/>
      <c r="CG4" s="559"/>
      <c r="CH4" s="137"/>
      <c r="CI4" s="559"/>
      <c r="CJ4" s="559"/>
      <c r="CK4" s="559"/>
      <c r="CL4" s="559"/>
      <c r="CM4" s="137"/>
      <c r="CN4" s="559"/>
      <c r="CO4" s="559"/>
      <c r="CP4" s="559"/>
      <c r="CQ4" s="559"/>
      <c r="CR4" s="137"/>
      <c r="CS4" s="559"/>
      <c r="CT4" s="559"/>
      <c r="CU4" s="559"/>
      <c r="CV4" s="559"/>
      <c r="CW4" s="137"/>
      <c r="CX4" s="559"/>
      <c r="CY4" s="559"/>
      <c r="CZ4" s="559"/>
      <c r="DA4" s="559"/>
      <c r="DB4" s="137"/>
    </row>
    <row r="5" spans="1:106" s="54" customFormat="1" ht="11.5" customHeight="1" x14ac:dyDescent="0.35">
      <c r="A5" s="190" t="s">
        <v>373</v>
      </c>
      <c r="B5" s="395"/>
      <c r="C5" s="395"/>
      <c r="D5" s="395"/>
      <c r="E5" s="395"/>
      <c r="F5" s="29">
        <f>IS!F45-'Joint-Ventures'!F72</f>
        <v>550618.93999999994</v>
      </c>
      <c r="G5" s="395"/>
      <c r="H5" s="395"/>
      <c r="I5" s="395"/>
      <c r="J5" s="395"/>
      <c r="K5" s="29">
        <f>IS!K45-'Joint-Ventures'!K72</f>
        <v>422894.17</v>
      </c>
      <c r="L5" s="395"/>
      <c r="M5" s="395"/>
      <c r="N5" s="395"/>
      <c r="O5" s="395"/>
      <c r="P5" s="29">
        <f>IS!P45-'Joint-Ventures'!P72</f>
        <v>583942.85</v>
      </c>
      <c r="Q5" s="395"/>
      <c r="R5" s="395"/>
      <c r="S5" s="395"/>
      <c r="T5" s="395"/>
      <c r="U5" s="29">
        <f>IS!U45-'Joint-Ventures'!U72</f>
        <v>637848.92999999993</v>
      </c>
      <c r="V5" s="395"/>
      <c r="W5" s="395"/>
      <c r="X5" s="395"/>
      <c r="Y5" s="395"/>
      <c r="Z5" s="29">
        <f>IS!Z45-'Joint-Ventures'!Z72</f>
        <v>509022.16</v>
      </c>
      <c r="AA5" s="395"/>
      <c r="AB5" s="395"/>
      <c r="AC5" s="395"/>
      <c r="AD5" s="395"/>
      <c r="AE5" s="29">
        <f>IS!AE45-'Joint-Ventures'!AE72</f>
        <v>311386.5</v>
      </c>
      <c r="AF5" s="395"/>
      <c r="AG5" s="395"/>
      <c r="AH5" s="395"/>
      <c r="AI5" s="395"/>
      <c r="AJ5" s="29">
        <f>IS!AJ45-'Joint-Ventures'!AJ72</f>
        <v>92212</v>
      </c>
      <c r="AK5" s="395"/>
      <c r="AL5" s="395"/>
      <c r="AM5" s="395"/>
      <c r="AN5" s="395"/>
      <c r="AO5" s="29">
        <f>IS!AO45-'Joint-Ventures'!AO72</f>
        <v>-167524</v>
      </c>
      <c r="AP5" s="395"/>
      <c r="AQ5" s="395"/>
      <c r="AR5" s="395"/>
      <c r="AS5" s="395"/>
      <c r="AT5" s="29">
        <f>IS!AT45-'Joint-Ventures'!AT72</f>
        <v>-195237.46100000001</v>
      </c>
      <c r="AU5" s="395"/>
      <c r="AV5" s="395"/>
      <c r="AW5" s="395"/>
      <c r="AX5" s="395"/>
      <c r="AY5" s="29">
        <f>IS!AY45-'Joint-Ventures'!AY72</f>
        <v>268531.26400000002</v>
      </c>
      <c r="AZ5" s="395"/>
      <c r="BA5" s="395"/>
      <c r="BB5" s="395"/>
      <c r="BC5" s="395"/>
      <c r="BD5" s="29">
        <f>IS!BD74-'Joint-Ventures'!BD72</f>
        <v>501122.04700000002</v>
      </c>
      <c r="BE5" s="395"/>
      <c r="BF5" s="395"/>
      <c r="BG5" s="395"/>
      <c r="BH5" s="395"/>
      <c r="BI5" s="29">
        <f>IS!BI45-'Joint-Ventures'!BI72</f>
        <v>733432.66210000007</v>
      </c>
      <c r="BJ5" s="395"/>
      <c r="BK5" s="395"/>
      <c r="BL5" s="395"/>
      <c r="BM5" s="395"/>
      <c r="BN5" s="29">
        <f>IS!BN45-'Joint-Ventures'!BN72</f>
        <v>662264.21990000003</v>
      </c>
      <c r="BO5" s="395"/>
      <c r="BP5" s="395"/>
      <c r="BQ5" s="395"/>
      <c r="BR5" s="395"/>
      <c r="BS5" s="29">
        <f>IS!BS45-'Joint-Ventures'!BS72</f>
        <v>694822.81150000007</v>
      </c>
      <c r="BT5" s="395"/>
      <c r="BU5" s="395"/>
      <c r="BV5" s="395"/>
      <c r="BW5" s="395"/>
      <c r="BX5" s="29">
        <f>IS!BX45-'Joint-Ventures'!BX72</f>
        <v>1393272.8125</v>
      </c>
      <c r="BY5" s="90">
        <f>IS!BY45-'Joint-Ventures'!BY72</f>
        <v>237389.84969999999</v>
      </c>
      <c r="BZ5" s="90">
        <f>IS!BZ45-'Joint-Ventures'!BZ72</f>
        <v>279464.15049999999</v>
      </c>
      <c r="CA5" s="90">
        <f>IS!CA45-'Joint-Ventures'!CA72</f>
        <v>504990.89399999997</v>
      </c>
      <c r="CB5" s="90">
        <f>IS!CB45-'Joint-Ventures'!CB72</f>
        <v>562064.21959999995</v>
      </c>
      <c r="CC5" s="29"/>
      <c r="CD5" s="90">
        <f>IS!CD45-'Joint-Ventures'!CD72</f>
        <v>210638.0968</v>
      </c>
      <c r="CE5" s="90">
        <f>IS!CE45-'Joint-Ventures'!CE72</f>
        <v>367043.96519999998</v>
      </c>
      <c r="CF5" s="90"/>
      <c r="CG5" s="90"/>
      <c r="CH5" s="29"/>
      <c r="CI5" s="90"/>
      <c r="CJ5" s="90"/>
      <c r="CK5" s="90"/>
      <c r="CL5" s="90"/>
      <c r="CM5" s="29"/>
      <c r="CN5" s="90"/>
      <c r="CO5" s="90"/>
      <c r="CP5" s="90"/>
      <c r="CQ5" s="90"/>
      <c r="CR5" s="29"/>
      <c r="CS5" s="90"/>
      <c r="CT5" s="90"/>
      <c r="CU5" s="90"/>
      <c r="CV5" s="90"/>
      <c r="CW5" s="29"/>
      <c r="CX5" s="90"/>
      <c r="CY5" s="90"/>
      <c r="CZ5" s="90"/>
      <c r="DA5" s="90"/>
      <c r="DB5" s="29"/>
    </row>
    <row r="6" spans="1:106" s="54" customFormat="1" ht="11.5" customHeight="1" x14ac:dyDescent="0.35">
      <c r="A6" s="190" t="s">
        <v>390</v>
      </c>
      <c r="B6" s="90"/>
      <c r="C6" s="90"/>
      <c r="D6" s="90"/>
      <c r="E6" s="90"/>
      <c r="F6" s="29">
        <f>'BS &amp; FCF'!F43-'Joint-Ventures'!F73</f>
        <v>4088529.98</v>
      </c>
      <c r="G6" s="90"/>
      <c r="H6" s="70"/>
      <c r="I6" s="70"/>
      <c r="J6" s="70"/>
      <c r="K6" s="29">
        <f>'BS &amp; FCF'!K43-'Joint-Ventures'!K73</f>
        <v>4238357.1500000004</v>
      </c>
      <c r="L6" s="90"/>
      <c r="M6" s="70"/>
      <c r="N6" s="70"/>
      <c r="O6" s="70"/>
      <c r="P6" s="29">
        <f>'BS &amp; FCF'!P43-'Joint-Ventures'!P73</f>
        <v>4730894.0599999996</v>
      </c>
      <c r="Q6" s="90"/>
      <c r="R6" s="70"/>
      <c r="S6" s="70"/>
      <c r="T6" s="70"/>
      <c r="U6" s="29">
        <f>'BS &amp; FCF'!U43-'Joint-Ventures'!U73</f>
        <v>5110278.43</v>
      </c>
      <c r="V6" s="90"/>
      <c r="W6" s="70"/>
      <c r="X6" s="70"/>
      <c r="Y6" s="70"/>
      <c r="Z6" s="29">
        <f>'BS &amp; FCF'!Z43-'Joint-Ventures'!Z73</f>
        <v>5184091.21</v>
      </c>
      <c r="AA6" s="90"/>
      <c r="AB6" s="70"/>
      <c r="AC6" s="70"/>
      <c r="AD6" s="70"/>
      <c r="AE6" s="29">
        <f>'BS &amp; FCF'!AE43-'Joint-Ventures'!AE73</f>
        <v>5372793</v>
      </c>
      <c r="AF6" s="90"/>
      <c r="AG6" s="70"/>
      <c r="AH6" s="70"/>
      <c r="AI6" s="70"/>
      <c r="AJ6" s="29">
        <f>'BS &amp; FCF'!AJ43-'Joint-Ventures'!AJ73</f>
        <v>5584216</v>
      </c>
      <c r="AK6" s="90"/>
      <c r="AL6" s="70"/>
      <c r="AM6" s="70"/>
      <c r="AN6" s="70"/>
      <c r="AO6" s="29">
        <f>'BS &amp; FCF'!AO43-'Joint-Ventures'!AO73</f>
        <v>5500326.5</v>
      </c>
      <c r="AP6" s="90"/>
      <c r="AQ6" s="70"/>
      <c r="AR6" s="70"/>
      <c r="AS6" s="70"/>
      <c r="AT6" s="29">
        <f>'BS &amp; FCF'!AT43-'Joint-Ventures'!AT73</f>
        <v>4716715.9450000003</v>
      </c>
      <c r="AU6" s="90"/>
      <c r="AV6" s="70"/>
      <c r="AW6" s="70"/>
      <c r="AX6" s="70"/>
      <c r="AY6" s="29">
        <f>'BS &amp; FCF'!AY43-'Joint-Ventures'!AY73</f>
        <v>4421200.7089999998</v>
      </c>
      <c r="AZ6" s="90"/>
      <c r="BA6" s="70"/>
      <c r="BB6" s="70"/>
      <c r="BC6" s="70"/>
      <c r="BD6" s="29">
        <f>'BS &amp; FCF'!BD43-'Joint-Ventures'!BD73</f>
        <v>4875090.9971000003</v>
      </c>
      <c r="BE6" s="90"/>
      <c r="BF6" s="70"/>
      <c r="BG6" s="70"/>
      <c r="BH6" s="70"/>
      <c r="BI6" s="29">
        <f>'BS &amp; FCF'!BI43-'Joint-Ventures'!BI73</f>
        <v>5532439.7051999997</v>
      </c>
      <c r="BJ6" s="90"/>
      <c r="BK6" s="70"/>
      <c r="BL6" s="70"/>
      <c r="BM6" s="70"/>
      <c r="BN6" s="29">
        <f>'BS &amp; FCF'!BN43-'Joint-Ventures'!BN73</f>
        <v>6453892.892</v>
      </c>
      <c r="BO6" s="90"/>
      <c r="BP6" s="70"/>
      <c r="BQ6" s="70"/>
      <c r="BR6" s="70"/>
      <c r="BS6" s="29">
        <f>'BS &amp; FCF'!BS43-'Joint-Ventures'!BS73</f>
        <v>6912296.3866999997</v>
      </c>
      <c r="BT6" s="90"/>
      <c r="BU6" s="70"/>
      <c r="BV6" s="70"/>
      <c r="BW6" s="70"/>
      <c r="BX6" s="29">
        <f>'BS &amp; FCF'!BX43-'Joint-Ventures'!BX73</f>
        <v>7932367.1820999999</v>
      </c>
      <c r="BY6" s="90">
        <f>'BS &amp; FCF'!BY43-'Joint-Ventures'!BY73</f>
        <v>8061813.0429999996</v>
      </c>
      <c r="BZ6" s="70">
        <f>'BS &amp; FCF'!BZ43-'Joint-Ventures'!BZ73</f>
        <v>8708351.0111999996</v>
      </c>
      <c r="CA6" s="70">
        <f>'BS &amp; FCF'!CA43-'Joint-Ventures'!CA73</f>
        <v>9353758.4032000005</v>
      </c>
      <c r="CB6" s="70">
        <f>'BS &amp; FCF'!CB43-'Joint-Ventures'!CB73</f>
        <v>9128906.8516499996</v>
      </c>
      <c r="CC6" s="29"/>
      <c r="CD6" s="90">
        <f>'BS &amp; FCF'!CD43-'Joint-Ventures'!CD73</f>
        <v>9601287.2652000003</v>
      </c>
      <c r="CE6" s="70">
        <f>'BS &amp; FCF'!CE43-'Joint-Ventures'!CE73</f>
        <v>10086270.5436</v>
      </c>
      <c r="CF6" s="70"/>
      <c r="CG6" s="70"/>
      <c r="CH6" s="29"/>
      <c r="CI6" s="70"/>
      <c r="CJ6" s="70"/>
      <c r="CK6" s="70"/>
      <c r="CL6" s="70"/>
      <c r="CM6" s="29"/>
      <c r="CN6" s="70"/>
      <c r="CO6" s="70"/>
      <c r="CP6" s="70"/>
      <c r="CQ6" s="70"/>
      <c r="CR6" s="29"/>
      <c r="CS6" s="70"/>
      <c r="CT6" s="70"/>
      <c r="CU6" s="70"/>
      <c r="CV6" s="70"/>
      <c r="CW6" s="29"/>
      <c r="CX6" s="70"/>
      <c r="CY6" s="70"/>
      <c r="CZ6" s="70"/>
      <c r="DA6" s="70"/>
      <c r="DB6" s="29"/>
    </row>
    <row r="7" spans="1:106" s="91" customFormat="1" ht="11.5" customHeight="1" collapsed="1" x14ac:dyDescent="0.35">
      <c r="A7" s="522" t="s">
        <v>361</v>
      </c>
      <c r="B7" s="547"/>
      <c r="C7" s="547"/>
      <c r="D7" s="547"/>
      <c r="E7" s="547"/>
      <c r="F7" s="556">
        <f>F5/AVERAGE(F6)</f>
        <v>0.13467406199623855</v>
      </c>
      <c r="G7" s="548"/>
      <c r="H7" s="548"/>
      <c r="I7" s="548"/>
      <c r="J7" s="548"/>
      <c r="K7" s="25">
        <f>K5/AVERAGE(K6,F6)</f>
        <v>0.10157317215851344</v>
      </c>
      <c r="L7" s="548"/>
      <c r="M7" s="548"/>
      <c r="N7" s="548"/>
      <c r="O7" s="548"/>
      <c r="P7" s="25">
        <f>P5/AVERAGE(P6,K6)</f>
        <v>0.13020994424795465</v>
      </c>
      <c r="Q7" s="548"/>
      <c r="R7" s="548"/>
      <c r="S7" s="548"/>
      <c r="T7" s="548"/>
      <c r="U7" s="25">
        <f>U5/AVERAGE(U6,P6)</f>
        <v>0.12962864549892672</v>
      </c>
      <c r="V7" s="548"/>
      <c r="W7" s="548"/>
      <c r="X7" s="548"/>
      <c r="Y7" s="548"/>
      <c r="Z7" s="25">
        <f>Z5/AVERAGE(Z6,U6)</f>
        <v>9.8893313102364946E-2</v>
      </c>
      <c r="AA7" s="548"/>
      <c r="AB7" s="548"/>
      <c r="AC7" s="548"/>
      <c r="AD7" s="548"/>
      <c r="AE7" s="25">
        <f>AE5/AVERAGE(AE6,Z6)</f>
        <v>5.8992121881007158E-2</v>
      </c>
      <c r="AF7" s="548"/>
      <c r="AG7" s="548"/>
      <c r="AH7" s="548"/>
      <c r="AI7" s="548"/>
      <c r="AJ7" s="25">
        <f>AJ5/AVERAGE(AJ6,AE6)</f>
        <v>1.6831600667663957E-2</v>
      </c>
      <c r="AK7" s="548"/>
      <c r="AL7" s="548"/>
      <c r="AM7" s="548"/>
      <c r="AN7" s="548"/>
      <c r="AO7" s="25">
        <f>AO5/AVERAGE(AO6,AJ6)</f>
        <v>-3.0226597083280612E-2</v>
      </c>
      <c r="AP7" s="548"/>
      <c r="AQ7" s="548"/>
      <c r="AR7" s="548"/>
      <c r="AS7" s="548"/>
      <c r="AT7" s="25">
        <f>AT5/AVERAGE(AT6,AO6)</f>
        <v>-3.8217999396791193E-2</v>
      </c>
      <c r="AU7" s="548"/>
      <c r="AV7" s="548"/>
      <c r="AW7" s="548"/>
      <c r="AX7" s="548"/>
      <c r="AY7" s="25">
        <f>AY5/AVERAGE(AY6,AT6)</f>
        <v>5.8772972914445241E-2</v>
      </c>
      <c r="AZ7" s="548"/>
      <c r="BA7" s="548"/>
      <c r="BB7" s="548"/>
      <c r="BC7" s="548"/>
      <c r="BD7" s="25">
        <f>BD5/AVERAGE(BD6,AY6)</f>
        <v>0.10781117091478012</v>
      </c>
      <c r="BE7" s="548"/>
      <c r="BF7" s="548"/>
      <c r="BG7" s="548"/>
      <c r="BH7" s="548"/>
      <c r="BI7" s="25">
        <f>BI5/AVERAGE(BI6,BD6)</f>
        <v>0.14094268526883441</v>
      </c>
      <c r="BJ7" s="548"/>
      <c r="BK7" s="548"/>
      <c r="BL7" s="548"/>
      <c r="BM7" s="548"/>
      <c r="BN7" s="25">
        <f>BN5/AVERAGE(BN6,BI6)</f>
        <v>0.11050322766026109</v>
      </c>
      <c r="BO7" s="548"/>
      <c r="BP7" s="548"/>
      <c r="BQ7" s="548"/>
      <c r="BR7" s="548"/>
      <c r="BS7" s="25">
        <f>BS5/AVERAGE(BS6,BN6)</f>
        <v>0.1039672261124195</v>
      </c>
      <c r="BT7" s="548"/>
      <c r="BU7" s="548"/>
      <c r="BV7" s="548"/>
      <c r="BW7" s="548"/>
      <c r="BX7" s="25">
        <f>BX5/AVERAGE(BX6,BS6)</f>
        <v>0.18771362598318936</v>
      </c>
      <c r="BY7" s="164">
        <f>BY5/BY6</f>
        <v>2.9446211222440028E-2</v>
      </c>
      <c r="BZ7" s="164">
        <f t="shared" ref="BZ7:CA7" si="2">BZ5/BZ6</f>
        <v>3.20915119453241E-2</v>
      </c>
      <c r="CA7" s="164">
        <f t="shared" si="2"/>
        <v>5.3988019813216284E-2</v>
      </c>
      <c r="CB7" s="164">
        <f t="shared" ref="CB7" si="3">CB5/CB6</f>
        <v>6.1569717900934649E-2</v>
      </c>
      <c r="CC7" s="25"/>
      <c r="CD7" s="164">
        <f>CD5/CD6</f>
        <v>2.1938526676882248E-2</v>
      </c>
      <c r="CE7" s="164">
        <f t="shared" ref="CE7" si="4">CE5/CE6</f>
        <v>3.6390454094343015E-2</v>
      </c>
      <c r="CF7" s="399"/>
      <c r="CG7" s="399"/>
      <c r="CH7" s="25"/>
      <c r="CI7" s="399"/>
      <c r="CJ7" s="399"/>
      <c r="CK7" s="399"/>
      <c r="CL7" s="399"/>
      <c r="CM7" s="25"/>
      <c r="CN7" s="399"/>
      <c r="CO7" s="399"/>
      <c r="CP7" s="399"/>
      <c r="CQ7" s="399"/>
      <c r="CR7" s="25"/>
      <c r="CS7" s="399"/>
      <c r="CT7" s="399"/>
      <c r="CU7" s="399"/>
      <c r="CV7" s="399"/>
      <c r="CW7" s="25"/>
      <c r="CX7" s="399"/>
      <c r="CY7" s="399"/>
      <c r="CZ7" s="399"/>
      <c r="DA7" s="399"/>
      <c r="DB7" s="25"/>
    </row>
    <row r="8" spans="1:106" s="91" customFormat="1" ht="11.5" customHeight="1" x14ac:dyDescent="0.35">
      <c r="A8" s="549" t="s">
        <v>399</v>
      </c>
      <c r="B8" s="547"/>
      <c r="C8" s="547"/>
      <c r="D8" s="547"/>
      <c r="E8" s="547"/>
      <c r="F8" s="25"/>
      <c r="G8" s="548"/>
      <c r="H8" s="548"/>
      <c r="I8" s="548"/>
      <c r="J8" s="548"/>
      <c r="K8" s="25"/>
      <c r="L8" s="548"/>
      <c r="M8" s="548"/>
      <c r="N8" s="548"/>
      <c r="O8" s="548"/>
      <c r="P8" s="25"/>
      <c r="Q8" s="548"/>
      <c r="R8" s="548"/>
      <c r="S8" s="548"/>
      <c r="T8" s="548"/>
      <c r="U8" s="25"/>
      <c r="V8" s="548"/>
      <c r="W8" s="548"/>
      <c r="X8" s="548"/>
      <c r="Y8" s="548"/>
      <c r="Z8" s="25"/>
      <c r="AA8" s="548"/>
      <c r="AB8" s="548"/>
      <c r="AC8" s="548"/>
      <c r="AD8" s="548"/>
      <c r="AE8" s="25"/>
      <c r="AF8" s="548"/>
      <c r="AG8" s="548"/>
      <c r="AH8" s="548"/>
      <c r="AI8" s="548"/>
      <c r="AJ8" s="25"/>
      <c r="AK8" s="548"/>
      <c r="AL8" s="548"/>
      <c r="AM8" s="548"/>
      <c r="AN8" s="548"/>
      <c r="AO8" s="25"/>
      <c r="AP8" s="548"/>
      <c r="AQ8" s="548"/>
      <c r="AR8" s="548"/>
      <c r="AS8" s="548"/>
      <c r="AT8" s="25"/>
      <c r="AU8" s="548"/>
      <c r="AV8" s="548"/>
      <c r="AW8" s="548"/>
      <c r="AX8" s="548"/>
      <c r="AY8" s="581"/>
      <c r="AZ8" s="399"/>
      <c r="BA8" s="399"/>
      <c r="BB8" s="399"/>
      <c r="BC8" s="399"/>
      <c r="BD8" s="581">
        <f>IS!BD34</f>
        <v>155712</v>
      </c>
      <c r="BE8" s="399"/>
      <c r="BF8" s="399"/>
      <c r="BG8" s="399"/>
      <c r="BH8" s="399"/>
      <c r="BI8" s="581">
        <f>IS!BI34</f>
        <v>297167</v>
      </c>
      <c r="BJ8" s="399"/>
      <c r="BK8" s="399"/>
      <c r="BL8" s="399"/>
      <c r="BM8" s="399"/>
      <c r="BN8" s="581">
        <f>IS!BN34</f>
        <v>217085</v>
      </c>
      <c r="BO8" s="399"/>
      <c r="BP8" s="399"/>
      <c r="BQ8" s="399"/>
      <c r="BR8" s="399"/>
      <c r="BS8" s="581">
        <f>IS!BS34</f>
        <v>262059</v>
      </c>
      <c r="BT8" s="582"/>
      <c r="BU8" s="582"/>
      <c r="BV8" s="582"/>
      <c r="BW8" s="582"/>
      <c r="BX8" s="581">
        <f>IS!BX34</f>
        <v>500880</v>
      </c>
      <c r="BY8" s="582">
        <f>IS!BY34</f>
        <v>112558</v>
      </c>
      <c r="BZ8" s="582">
        <f>IS!BZ34</f>
        <v>139609</v>
      </c>
      <c r="CA8" s="582">
        <f>IS!CA34</f>
        <v>131891</v>
      </c>
      <c r="CB8" s="582">
        <f>IS!CB34</f>
        <v>164048</v>
      </c>
      <c r="CC8" s="552">
        <f>SUM(BY8:CB8)</f>
        <v>548106</v>
      </c>
      <c r="CD8" s="582">
        <f>IS!CD34</f>
        <v>128141</v>
      </c>
      <c r="CE8" s="582">
        <f>IS!CE34</f>
        <v>106557</v>
      </c>
      <c r="CF8" s="550">
        <f t="shared" ref="CF8:CG8" si="5">CF9+CF10</f>
        <v>154463.81171802973</v>
      </c>
      <c r="CG8" s="550">
        <f t="shared" si="5"/>
        <v>188103.31338163698</v>
      </c>
      <c r="CH8" s="552">
        <f>SUM(CD8:CG8)</f>
        <v>577265.12509966665</v>
      </c>
      <c r="CI8" s="550">
        <f t="shared" ref="CI8" si="6">CI9+CI10</f>
        <v>173748.47330537115</v>
      </c>
      <c r="CJ8" s="550">
        <f t="shared" ref="CJ8" si="7">CJ9+CJ10</f>
        <v>163141.6190489954</v>
      </c>
      <c r="CK8" s="550">
        <f t="shared" ref="CK8" si="8">CK9+CK10</f>
        <v>194877.06425683227</v>
      </c>
      <c r="CL8" s="550">
        <f t="shared" ref="CL8" si="9">CL9+CL10</f>
        <v>207115.09806536284</v>
      </c>
      <c r="CM8" s="552">
        <f t="shared" ref="CM8:CM9" si="10">SUM(CI8:CL8)</f>
        <v>738882.25467656157</v>
      </c>
      <c r="CN8" s="550">
        <f t="shared" ref="CN8" si="11">CN9+CN10</f>
        <v>204977.08595358167</v>
      </c>
      <c r="CO8" s="550">
        <f t="shared" ref="CO8" si="12">CO9+CO10</f>
        <v>185908.0462986177</v>
      </c>
      <c r="CP8" s="550">
        <f t="shared" ref="CP8" si="13">CP9+CP10</f>
        <v>217881.71626190571</v>
      </c>
      <c r="CQ8" s="550">
        <f t="shared" ref="CQ8" si="14">CQ9+CQ10</f>
        <v>229813.33127642304</v>
      </c>
      <c r="CR8" s="552">
        <f t="shared" ref="CR8:CR10" si="15">SUM(CN8:CQ8)</f>
        <v>838580.17979052814</v>
      </c>
      <c r="CS8" s="550">
        <f t="shared" ref="CS8" si="16">CS9+CS10</f>
        <v>228042.67649778494</v>
      </c>
      <c r="CT8" s="550">
        <f t="shared" ref="CT8" si="17">CT9+CT10</f>
        <v>200901.72858721323</v>
      </c>
      <c r="CU8" s="550">
        <f t="shared" ref="CU8" si="18">CU9+CU10</f>
        <v>232629.3067947104</v>
      </c>
      <c r="CV8" s="550">
        <f t="shared" ref="CV8" si="19">CV9+CV10</f>
        <v>241939.13208085339</v>
      </c>
      <c r="CW8" s="552">
        <f t="shared" ref="CW8:CW10" si="20">SUM(CS8:CV8)</f>
        <v>903512.84396056202</v>
      </c>
      <c r="CX8" s="550">
        <f t="shared" ref="CX8" si="21">CX9+CX10</f>
        <v>240504.27652857837</v>
      </c>
      <c r="CY8" s="550">
        <f t="shared" ref="CY8" si="22">CY9+CY10</f>
        <v>210186.1660594196</v>
      </c>
      <c r="CZ8" s="550">
        <f t="shared" ref="CZ8" si="23">CZ9+CZ10</f>
        <v>245975.78034542644</v>
      </c>
      <c r="DA8" s="550">
        <f t="shared" ref="DA8" si="24">DA9+DA10</f>
        <v>256061.66570271234</v>
      </c>
      <c r="DB8" s="552">
        <f t="shared" ref="DB8:DB10" si="25">SUM(CX8:DA8)</f>
        <v>952727.88863613678</v>
      </c>
    </row>
    <row r="9" spans="1:106" s="91" customFormat="1" ht="11.5" customHeight="1" x14ac:dyDescent="0.35">
      <c r="A9" s="522" t="s">
        <v>400</v>
      </c>
      <c r="B9" s="547"/>
      <c r="C9" s="547"/>
      <c r="D9" s="547"/>
      <c r="E9" s="547"/>
      <c r="F9" s="25"/>
      <c r="G9" s="548"/>
      <c r="H9" s="548"/>
      <c r="I9" s="548"/>
      <c r="J9" s="548"/>
      <c r="K9" s="25"/>
      <c r="L9" s="548"/>
      <c r="M9" s="548"/>
      <c r="N9" s="548"/>
      <c r="O9" s="548"/>
      <c r="P9" s="25"/>
      <c r="Q9" s="548"/>
      <c r="R9" s="548"/>
      <c r="S9" s="548"/>
      <c r="T9" s="548"/>
      <c r="U9" s="25"/>
      <c r="V9" s="548"/>
      <c r="W9" s="548"/>
      <c r="X9" s="548"/>
      <c r="Y9" s="548"/>
      <c r="Z9" s="25"/>
      <c r="AA9" s="548"/>
      <c r="AB9" s="548"/>
      <c r="AC9" s="548"/>
      <c r="AD9" s="548"/>
      <c r="AE9" s="25"/>
      <c r="AF9" s="548"/>
      <c r="AG9" s="548"/>
      <c r="AH9" s="548"/>
      <c r="AI9" s="548"/>
      <c r="AJ9" s="25"/>
      <c r="AK9" s="548"/>
      <c r="AL9" s="548"/>
      <c r="AM9" s="548"/>
      <c r="AN9" s="548"/>
      <c r="AO9" s="25"/>
      <c r="AP9" s="548"/>
      <c r="AQ9" s="548"/>
      <c r="AR9" s="548"/>
      <c r="AS9" s="548"/>
      <c r="AT9" s="25"/>
      <c r="AU9" s="548"/>
      <c r="AV9" s="548"/>
      <c r="AW9" s="548"/>
      <c r="AX9" s="548"/>
      <c r="AY9" s="552"/>
      <c r="AZ9" s="548"/>
      <c r="BA9" s="548"/>
      <c r="BB9" s="548"/>
      <c r="BC9" s="548"/>
      <c r="BD9" s="552">
        <f>BD12*BD15+BD22*BD25+BD32*BD35</f>
        <v>113502.565</v>
      </c>
      <c r="BE9" s="548"/>
      <c r="BF9" s="548"/>
      <c r="BG9" s="548"/>
      <c r="BH9" s="548"/>
      <c r="BI9" s="552">
        <f>BI12*BI15+BI22*BI25+BI32*BI35</f>
        <v>180185.6643</v>
      </c>
      <c r="BJ9" s="548"/>
      <c r="BK9" s="548"/>
      <c r="BL9" s="548"/>
      <c r="BM9" s="548"/>
      <c r="BN9" s="552">
        <f>BN12*BN15+BN22*BN25+BN32*BN35</f>
        <v>152742.03450000001</v>
      </c>
      <c r="BO9" s="548"/>
      <c r="BP9" s="548"/>
      <c r="BQ9" s="548"/>
      <c r="BR9" s="548"/>
      <c r="BS9" s="552">
        <f>BS12*BS15+BS22*BS25+BS32*BS35</f>
        <v>255082.1685</v>
      </c>
      <c r="BT9" s="550"/>
      <c r="BU9" s="550"/>
      <c r="BV9" s="550"/>
      <c r="BW9" s="550"/>
      <c r="BX9" s="552">
        <f>BX12*BX15+BX22*BX25+BX32*BX35</f>
        <v>323967.1875</v>
      </c>
      <c r="BY9" s="550">
        <f>BY12*BY15+BY22*BY25+BY32*BY35</f>
        <v>84186.550300000003</v>
      </c>
      <c r="BZ9" s="550">
        <f>BZ12*BZ15+BZ22*BZ25+BZ32*BZ35</f>
        <v>105568.04950000001</v>
      </c>
      <c r="CA9" s="550">
        <f>CA12*CA15+CA22*CA25+CA32*CA35</f>
        <v>96376.106</v>
      </c>
      <c r="CB9" s="550">
        <f>CB12*CB15+CB22*CB25+CB32*CB35</f>
        <v>115220.9804</v>
      </c>
      <c r="CC9" s="552">
        <f t="shared" ref="CC9:CC10" si="26">SUM(BY9:CB9)</f>
        <v>401351.6862</v>
      </c>
      <c r="CD9" s="550">
        <f>CD12*CD15+CD22*CD25+CD32*CD35</f>
        <v>79197.903200000001</v>
      </c>
      <c r="CE9" s="550">
        <f>CE12*CE15+CE22*CE25+CE32*CE35</f>
        <v>82013.6348</v>
      </c>
      <c r="CF9" s="550">
        <f t="shared" ref="CF9:CG9" si="27">CF12*CF15+CF22*CF25+CF32*CF35</f>
        <v>110333.46098401181</v>
      </c>
      <c r="CG9" s="550">
        <f t="shared" si="27"/>
        <v>137512.05319685998</v>
      </c>
      <c r="CH9" s="552">
        <f t="shared" ref="CH9:CH10" si="28">SUM(CD9:CG9)</f>
        <v>409057.05218087183</v>
      </c>
      <c r="CI9" s="550">
        <f t="shared" ref="CI9:CL9" si="29">CI12*CI15+CI22*CI25+CI32*CI35</f>
        <v>122882.07413030614</v>
      </c>
      <c r="CJ9" s="550">
        <f t="shared" si="29"/>
        <v>137602.32099633734</v>
      </c>
      <c r="CK9" s="550">
        <f t="shared" si="29"/>
        <v>149080.51161240495</v>
      </c>
      <c r="CL9" s="550">
        <f t="shared" si="29"/>
        <v>154530.42806500744</v>
      </c>
      <c r="CM9" s="552">
        <f t="shared" si="10"/>
        <v>564095.33480405586</v>
      </c>
      <c r="CN9" s="550">
        <f t="shared" ref="CN9:CQ9" si="30">CN12*CN15+CN22*CN25+CN32*CN35</f>
        <v>152076.03081151404</v>
      </c>
      <c r="CO9" s="550">
        <f t="shared" si="30"/>
        <v>159347.17632385332</v>
      </c>
      <c r="CP9" s="550">
        <f t="shared" si="30"/>
        <v>170253.30151170128</v>
      </c>
      <c r="CQ9" s="550">
        <f t="shared" si="30"/>
        <v>175125.27447605343</v>
      </c>
      <c r="CR9" s="552">
        <f t="shared" si="15"/>
        <v>656801.78312312206</v>
      </c>
      <c r="CS9" s="550">
        <f t="shared" ref="CS9:CV9" si="31">CS12*CS15+CS22*CS25+CS32*CS35</f>
        <v>173290.08442574495</v>
      </c>
      <c r="CT9" s="550">
        <f t="shared" si="31"/>
        <v>173411.2281633321</v>
      </c>
      <c r="CU9" s="550">
        <f t="shared" si="31"/>
        <v>183333.89752824884</v>
      </c>
      <c r="CV9" s="550">
        <f t="shared" si="31"/>
        <v>185336.99329247084</v>
      </c>
      <c r="CW9" s="552">
        <f t="shared" si="20"/>
        <v>715372.2034097967</v>
      </c>
      <c r="CX9" s="550">
        <f t="shared" ref="CX9:DA9" si="32">CX12*CX15+CX22*CX25+CX32*CX35</f>
        <v>183835.34373401699</v>
      </c>
      <c r="CY9" s="550">
        <f t="shared" si="32"/>
        <v>181733.49812070263</v>
      </c>
      <c r="CZ9" s="550">
        <f t="shared" si="32"/>
        <v>194955.03175463871</v>
      </c>
      <c r="DA9" s="550">
        <f t="shared" si="32"/>
        <v>197478.45205673642</v>
      </c>
      <c r="DB9" s="552">
        <f t="shared" si="25"/>
        <v>758002.32566609478</v>
      </c>
    </row>
    <row r="10" spans="1:106" s="91" customFormat="1" ht="11.5" customHeight="1" x14ac:dyDescent="0.35">
      <c r="A10" s="515" t="s">
        <v>401</v>
      </c>
      <c r="B10" s="516"/>
      <c r="C10" s="516"/>
      <c r="D10" s="516"/>
      <c r="E10" s="516"/>
      <c r="F10" s="442"/>
      <c r="G10" s="517"/>
      <c r="H10" s="517"/>
      <c r="I10" s="517"/>
      <c r="J10" s="517"/>
      <c r="K10" s="442"/>
      <c r="L10" s="517"/>
      <c r="M10" s="517"/>
      <c r="N10" s="517"/>
      <c r="O10" s="517"/>
      <c r="P10" s="442"/>
      <c r="Q10" s="517"/>
      <c r="R10" s="517"/>
      <c r="S10" s="517"/>
      <c r="T10" s="517"/>
      <c r="U10" s="442"/>
      <c r="V10" s="517"/>
      <c r="W10" s="517"/>
      <c r="X10" s="517"/>
      <c r="Y10" s="517"/>
      <c r="Z10" s="442"/>
      <c r="AA10" s="517"/>
      <c r="AB10" s="517"/>
      <c r="AC10" s="517"/>
      <c r="AD10" s="517"/>
      <c r="AE10" s="442"/>
      <c r="AF10" s="517"/>
      <c r="AG10" s="517"/>
      <c r="AH10" s="517"/>
      <c r="AI10" s="517"/>
      <c r="AJ10" s="442"/>
      <c r="AK10" s="517"/>
      <c r="AL10" s="517"/>
      <c r="AM10" s="517"/>
      <c r="AN10" s="517"/>
      <c r="AO10" s="442"/>
      <c r="AP10" s="517"/>
      <c r="AQ10" s="517"/>
      <c r="AR10" s="517"/>
      <c r="AS10" s="517"/>
      <c r="AT10" s="442"/>
      <c r="AU10" s="517"/>
      <c r="AV10" s="517"/>
      <c r="AW10" s="517"/>
      <c r="AX10" s="517"/>
      <c r="AY10" s="553"/>
      <c r="AZ10" s="517"/>
      <c r="BA10" s="517"/>
      <c r="BB10" s="517"/>
      <c r="BC10" s="517"/>
      <c r="BD10" s="553">
        <f>BD8-BD9</f>
        <v>42209.434999999998</v>
      </c>
      <c r="BE10" s="517"/>
      <c r="BF10" s="517"/>
      <c r="BG10" s="517"/>
      <c r="BH10" s="517"/>
      <c r="BI10" s="553">
        <f>BI8-BI9</f>
        <v>116981.3357</v>
      </c>
      <c r="BJ10" s="517"/>
      <c r="BK10" s="517"/>
      <c r="BL10" s="517"/>
      <c r="BM10" s="517"/>
      <c r="BN10" s="553">
        <f>BN8-BN9</f>
        <v>64342.965499999991</v>
      </c>
      <c r="BO10" s="517"/>
      <c r="BP10" s="517"/>
      <c r="BQ10" s="517"/>
      <c r="BR10" s="517"/>
      <c r="BS10" s="553">
        <f>BS8-BS9</f>
        <v>6976.8315000000002</v>
      </c>
      <c r="BT10" s="551"/>
      <c r="BU10" s="551"/>
      <c r="BV10" s="551"/>
      <c r="BW10" s="551"/>
      <c r="BX10" s="553">
        <f>BX8-BX9</f>
        <v>176912.8125</v>
      </c>
      <c r="BY10" s="551">
        <f>BY8-BY9</f>
        <v>28371.449699999997</v>
      </c>
      <c r="BZ10" s="551">
        <f>BZ8-BZ9</f>
        <v>34040.950499999992</v>
      </c>
      <c r="CA10" s="551">
        <f>CA8-CA9</f>
        <v>35514.894</v>
      </c>
      <c r="CB10" s="551">
        <f>CB8-CB9</f>
        <v>48827.0196</v>
      </c>
      <c r="CC10" s="553">
        <f t="shared" si="26"/>
        <v>146754.3138</v>
      </c>
      <c r="CD10" s="551">
        <f>CD8-CD9</f>
        <v>48943.096799999999</v>
      </c>
      <c r="CE10" s="551">
        <f>CE8-CE9</f>
        <v>24543.3652</v>
      </c>
      <c r="CF10" s="760">
        <f>CA10*(1+Macro!CF11)*1.2</f>
        <v>44130.350734017906</v>
      </c>
      <c r="CG10" s="760">
        <f>CB10*(1+Macro!CG11)</f>
        <v>50591.260184776998</v>
      </c>
      <c r="CH10" s="553">
        <f t="shared" si="28"/>
        <v>168208.0729187949</v>
      </c>
      <c r="CI10" s="583">
        <f>CD10*(1+Macro!CI11)</f>
        <v>50866.399175065024</v>
      </c>
      <c r="CJ10" s="583">
        <f>CE10*(1+Macro!CJ11)</f>
        <v>25539.298052658061</v>
      </c>
      <c r="CK10" s="583">
        <f>CF10*(1+Macro!CK11)</f>
        <v>45796.55264442732</v>
      </c>
      <c r="CL10" s="583">
        <f>CG10*(1+Macro!CL11)</f>
        <v>52584.670000355385</v>
      </c>
      <c r="CM10" s="553">
        <f t="shared" ref="CM10" si="33">SUM(CI10:CL10)</f>
        <v>174786.91987250576</v>
      </c>
      <c r="CN10" s="583">
        <f>CI10*(1+Macro!CN11)</f>
        <v>52901.055142067627</v>
      </c>
      <c r="CO10" s="583">
        <f>CJ10*(1+Macro!CO11)</f>
        <v>26560.869974764384</v>
      </c>
      <c r="CP10" s="583">
        <f>CK10*(1+Macro!CP11)</f>
        <v>47628.414750204414</v>
      </c>
      <c r="CQ10" s="583">
        <f>CL10*(1+Macro!CQ11)</f>
        <v>54688.056800369603</v>
      </c>
      <c r="CR10" s="553">
        <f t="shared" si="15"/>
        <v>181778.39666740605</v>
      </c>
      <c r="CS10" s="583">
        <f>CN10*(1+Macro!CS11)</f>
        <v>54752.592072039988</v>
      </c>
      <c r="CT10" s="583">
        <f>CO10*(1+Macro!CT11)</f>
        <v>27490.500423881134</v>
      </c>
      <c r="CU10" s="583">
        <f>CP10*(1+Macro!CU11)</f>
        <v>49295.409266461567</v>
      </c>
      <c r="CV10" s="583">
        <f>CQ10*(1+Macro!CV11)</f>
        <v>56602.138788382537</v>
      </c>
      <c r="CW10" s="553">
        <f t="shared" si="20"/>
        <v>188140.64055076521</v>
      </c>
      <c r="CX10" s="583">
        <f>CS10*(1+Macro!CX11)</f>
        <v>56668.932794561384</v>
      </c>
      <c r="CY10" s="583">
        <f>CT10*(1+Macro!CY11)</f>
        <v>28452.667938716972</v>
      </c>
      <c r="CZ10" s="583">
        <f>CU10*(1+Macro!CZ11)</f>
        <v>51020.74859078772</v>
      </c>
      <c r="DA10" s="583">
        <f>CV10*(1+Macro!DA11)</f>
        <v>58583.21364597592</v>
      </c>
      <c r="DB10" s="553">
        <f t="shared" si="25"/>
        <v>194725.562970042</v>
      </c>
    </row>
    <row r="11" spans="1:106" s="54" customFormat="1" ht="11.5" customHeight="1" x14ac:dyDescent="0.35">
      <c r="A11" s="217" t="s">
        <v>368</v>
      </c>
      <c r="B11" s="395"/>
      <c r="C11" s="395"/>
      <c r="D11" s="395"/>
      <c r="E11" s="395"/>
      <c r="F11" s="29"/>
      <c r="G11" s="395"/>
      <c r="H11" s="395"/>
      <c r="I11" s="395"/>
      <c r="J11" s="395"/>
      <c r="K11" s="29"/>
      <c r="L11" s="395"/>
      <c r="M11" s="395"/>
      <c r="N11" s="395"/>
      <c r="O11" s="395"/>
      <c r="P11" s="29"/>
      <c r="Q11" s="395"/>
      <c r="R11" s="395"/>
      <c r="S11" s="395"/>
      <c r="T11" s="395"/>
      <c r="U11" s="29"/>
      <c r="V11" s="395"/>
      <c r="W11" s="395"/>
      <c r="X11" s="395"/>
      <c r="Y11" s="395"/>
      <c r="Z11" s="29"/>
      <c r="AA11" s="395"/>
      <c r="AB11" s="395"/>
      <c r="AC11" s="395"/>
      <c r="AD11" s="395"/>
      <c r="AE11" s="29"/>
      <c r="AF11" s="395"/>
      <c r="AG11" s="395"/>
      <c r="AH11" s="395"/>
      <c r="AI11" s="395"/>
      <c r="AJ11" s="29"/>
      <c r="AK11" s="395"/>
      <c r="AL11" s="395"/>
      <c r="AM11" s="395"/>
      <c r="AN11" s="395"/>
      <c r="AO11" s="29"/>
      <c r="AP11" s="395"/>
      <c r="AQ11" s="395"/>
      <c r="AR11" s="395"/>
      <c r="AS11" s="395"/>
      <c r="AT11" s="29"/>
      <c r="AU11" s="395"/>
      <c r="AV11" s="395"/>
      <c r="AW11" s="395"/>
      <c r="AX11" s="395"/>
      <c r="AY11" s="29"/>
      <c r="AZ11" s="395"/>
      <c r="BA11" s="395"/>
      <c r="BB11" s="395"/>
      <c r="BC11" s="395"/>
      <c r="BD11" s="29"/>
      <c r="BE11" s="395"/>
      <c r="BF11" s="395"/>
      <c r="BG11" s="395"/>
      <c r="BH11" s="395"/>
      <c r="BI11" s="29"/>
      <c r="BJ11" s="395"/>
      <c r="BK11" s="395"/>
      <c r="BL11" s="395"/>
      <c r="BM11" s="395"/>
      <c r="BN11" s="29"/>
      <c r="BO11" s="395"/>
      <c r="BP11" s="395"/>
      <c r="BQ11" s="395"/>
      <c r="BR11" s="395"/>
      <c r="BS11" s="29"/>
      <c r="BT11" s="395"/>
      <c r="BU11" s="395"/>
      <c r="BV11" s="395"/>
      <c r="BW11" s="395"/>
      <c r="BX11" s="29"/>
      <c r="BY11" s="395"/>
      <c r="BZ11" s="395"/>
      <c r="CA11" s="422"/>
      <c r="CB11" s="422"/>
      <c r="CC11" s="29"/>
      <c r="CD11" s="395"/>
      <c r="CE11" s="395"/>
      <c r="CF11" s="422"/>
      <c r="CG11" s="422"/>
      <c r="CH11" s="29"/>
      <c r="CI11" s="422"/>
      <c r="CJ11" s="422"/>
      <c r="CK11" s="422"/>
      <c r="CL11" s="422"/>
      <c r="CM11" s="29"/>
      <c r="CN11" s="422"/>
      <c r="CO11" s="422"/>
      <c r="CP11" s="422"/>
      <c r="CQ11" s="422"/>
      <c r="CR11" s="29"/>
      <c r="CS11" s="422"/>
      <c r="CT11" s="422"/>
      <c r="CU11" s="422"/>
      <c r="CV11" s="422"/>
      <c r="CW11" s="29"/>
      <c r="CX11" s="422"/>
      <c r="CY11" s="422"/>
      <c r="CZ11" s="422"/>
      <c r="DA11" s="422"/>
      <c r="DB11" s="29"/>
    </row>
    <row r="12" spans="1:106" s="54" customFormat="1" ht="11.5" customHeight="1" x14ac:dyDescent="0.35">
      <c r="A12" s="190" t="s">
        <v>373</v>
      </c>
      <c r="B12" s="395"/>
      <c r="C12" s="395"/>
      <c r="D12" s="395"/>
      <c r="E12" s="395"/>
      <c r="F12" s="518">
        <v>54029</v>
      </c>
      <c r="G12" s="395"/>
      <c r="H12" s="395"/>
      <c r="I12" s="395"/>
      <c r="J12" s="395"/>
      <c r="K12" s="518">
        <v>87153</v>
      </c>
      <c r="L12" s="395"/>
      <c r="M12" s="395"/>
      <c r="N12" s="395"/>
      <c r="O12" s="395"/>
      <c r="P12" s="519">
        <v>51156</v>
      </c>
      <c r="Q12" s="520"/>
      <c r="R12" s="520"/>
      <c r="S12" s="520"/>
      <c r="T12" s="520"/>
      <c r="U12" s="519">
        <v>39156</v>
      </c>
      <c r="V12" s="395"/>
      <c r="W12" s="395"/>
      <c r="X12" s="395"/>
      <c r="Y12" s="395"/>
      <c r="Z12" s="519">
        <v>135031</v>
      </c>
      <c r="AA12" s="395"/>
      <c r="AB12" s="395"/>
      <c r="AC12" s="395"/>
      <c r="AD12" s="395"/>
      <c r="AE12" s="518">
        <v>131467</v>
      </c>
      <c r="AF12" s="395"/>
      <c r="AG12" s="395"/>
      <c r="AH12" s="395"/>
      <c r="AI12" s="395"/>
      <c r="AJ12" s="518">
        <v>92863</v>
      </c>
      <c r="AK12" s="395"/>
      <c r="AL12" s="395"/>
      <c r="AM12" s="395"/>
      <c r="AN12" s="395"/>
      <c r="AO12" s="518">
        <v>120130</v>
      </c>
      <c r="AP12" s="395"/>
      <c r="AQ12" s="395"/>
      <c r="AR12" s="395"/>
      <c r="AS12" s="395"/>
      <c r="AT12" s="518">
        <v>133244</v>
      </c>
      <c r="AU12" s="395"/>
      <c r="AV12" s="395"/>
      <c r="AW12" s="395"/>
      <c r="AX12" s="395"/>
      <c r="AY12" s="518">
        <v>160212</v>
      </c>
      <c r="AZ12" s="395"/>
      <c r="BA12" s="395"/>
      <c r="BB12" s="395"/>
      <c r="BC12" s="395"/>
      <c r="BD12" s="518">
        <v>160814</v>
      </c>
      <c r="BE12" s="395"/>
      <c r="BF12" s="395"/>
      <c r="BG12" s="395"/>
      <c r="BH12" s="395"/>
      <c r="BI12" s="518">
        <v>299753</v>
      </c>
      <c r="BJ12" s="395"/>
      <c r="BK12" s="395"/>
      <c r="BL12" s="395"/>
      <c r="BM12" s="395"/>
      <c r="BN12" s="518">
        <v>329884</v>
      </c>
      <c r="BO12" s="395"/>
      <c r="BP12" s="395"/>
      <c r="BQ12" s="395"/>
      <c r="BR12" s="395"/>
      <c r="BS12" s="518">
        <v>481765</v>
      </c>
      <c r="BT12" s="395"/>
      <c r="BU12" s="395"/>
      <c r="BV12" s="395"/>
      <c r="BW12" s="395"/>
      <c r="BX12" s="518">
        <v>649843</v>
      </c>
      <c r="BY12" s="395">
        <v>213475</v>
      </c>
      <c r="BZ12" s="395">
        <f>450206-BY12</f>
        <v>236731</v>
      </c>
      <c r="CA12" s="395">
        <f>705459-BZ12-BY12</f>
        <v>255253</v>
      </c>
      <c r="CB12" s="90">
        <f>CC12-SUM(BY12:CA12)</f>
        <v>270077</v>
      </c>
      <c r="CC12" s="518">
        <v>975536</v>
      </c>
      <c r="CD12" s="395">
        <v>302867</v>
      </c>
      <c r="CE12" s="395">
        <f>573318-CD12</f>
        <v>270451</v>
      </c>
      <c r="CF12" s="546">
        <f>[1]IS!CF45</f>
        <v>295898.58430732467</v>
      </c>
      <c r="CG12" s="546">
        <f>[1]IS!CG45</f>
        <v>336418.86768100265</v>
      </c>
      <c r="CH12" s="423">
        <f>[1]IS!CH45</f>
        <v>1204576.0361562467</v>
      </c>
      <c r="CI12" s="546">
        <f>[1]IS!CI45</f>
        <v>319682.22547405446</v>
      </c>
      <c r="CJ12" s="546">
        <f>[1]IS!CJ45</f>
        <v>371730.69240052823</v>
      </c>
      <c r="CK12" s="546">
        <f>[1]IS!CK45</f>
        <v>409335.25218070956</v>
      </c>
      <c r="CL12" s="546">
        <f>[1]IS!CL45</f>
        <v>400997.63358849526</v>
      </c>
      <c r="CM12" s="423">
        <f>[1]IS!CM45</f>
        <v>1501745.8036437875</v>
      </c>
      <c r="CN12" s="546">
        <f>[1]IS!CN45</f>
        <v>426898.78625433135</v>
      </c>
      <c r="CO12" s="546">
        <f>[1]IS!CO45</f>
        <v>438990.05987903185</v>
      </c>
      <c r="CP12" s="546">
        <f>[1]IS!CP45</f>
        <v>482889.85869584634</v>
      </c>
      <c r="CQ12" s="546">
        <f>[1]IS!CQ45</f>
        <v>482994.13021968066</v>
      </c>
      <c r="CR12" s="423">
        <f>[1]IS!CR45</f>
        <v>1831772.8350488902</v>
      </c>
      <c r="CS12" s="546">
        <f>[1]IS!CS45</f>
        <v>454436.75995854218</v>
      </c>
      <c r="CT12" s="546">
        <f>[1]IS!CT45</f>
        <v>462284.73291807587</v>
      </c>
      <c r="CU12" s="546">
        <f>[1]IS!CU45</f>
        <v>504031.41401927063</v>
      </c>
      <c r="CV12" s="546">
        <f>[1]IS!CV45</f>
        <v>502952.81758489821</v>
      </c>
      <c r="CW12" s="423">
        <f>[1]IS!CW45</f>
        <v>1923705.7244807868</v>
      </c>
      <c r="CX12" s="546">
        <f>[1]IS!CX45</f>
        <v>482420.104693359</v>
      </c>
      <c r="CY12" s="546">
        <f>[1]IS!CY45</f>
        <v>489342.54905761516</v>
      </c>
      <c r="CZ12" s="546">
        <f>[1]IS!CZ45</f>
        <v>531398.31235893315</v>
      </c>
      <c r="DA12" s="546">
        <f>[1]IS!DA45</f>
        <v>529420.99707731861</v>
      </c>
      <c r="DB12" s="423">
        <f>[1]IS!DB45</f>
        <v>2032581.9631872259</v>
      </c>
    </row>
    <row r="13" spans="1:106" s="54" customFormat="1" ht="11.5" customHeight="1" x14ac:dyDescent="0.35">
      <c r="A13" s="190" t="s">
        <v>390</v>
      </c>
      <c r="B13" s="90"/>
      <c r="C13" s="90"/>
      <c r="D13" s="90"/>
      <c r="E13" s="90"/>
      <c r="F13" s="518">
        <v>136693</v>
      </c>
      <c r="G13" s="395"/>
      <c r="H13" s="397"/>
      <c r="I13" s="397"/>
      <c r="J13" s="397"/>
      <c r="K13" s="518">
        <v>210116</v>
      </c>
      <c r="L13" s="395"/>
      <c r="M13" s="397"/>
      <c r="N13" s="397"/>
      <c r="O13" s="397"/>
      <c r="P13" s="519">
        <v>240319</v>
      </c>
      <c r="Q13" s="520"/>
      <c r="R13" s="521"/>
      <c r="S13" s="521"/>
      <c r="T13" s="521"/>
      <c r="U13" s="519">
        <v>228319</v>
      </c>
      <c r="V13" s="395"/>
      <c r="W13" s="397"/>
      <c r="X13" s="397"/>
      <c r="Y13" s="397"/>
      <c r="Z13" s="519">
        <v>386017</v>
      </c>
      <c r="AA13" s="395"/>
      <c r="AB13" s="397"/>
      <c r="AC13" s="397"/>
      <c r="AD13" s="397"/>
      <c r="AE13" s="518">
        <v>383546</v>
      </c>
      <c r="AF13" s="395"/>
      <c r="AG13" s="397"/>
      <c r="AH13" s="397"/>
      <c r="AI13" s="397"/>
      <c r="AJ13" s="518">
        <v>229039</v>
      </c>
      <c r="AK13" s="395"/>
      <c r="AL13" s="397"/>
      <c r="AM13" s="397"/>
      <c r="AN13" s="397"/>
      <c r="AO13" s="518">
        <v>252726</v>
      </c>
      <c r="AP13" s="395"/>
      <c r="AQ13" s="397"/>
      <c r="AR13" s="397"/>
      <c r="AS13" s="397"/>
      <c r="AT13" s="518">
        <v>241650</v>
      </c>
      <c r="AU13" s="395"/>
      <c r="AV13" s="397"/>
      <c r="AW13" s="397"/>
      <c r="AX13" s="397"/>
      <c r="AY13" s="518">
        <v>213698</v>
      </c>
      <c r="AZ13" s="395"/>
      <c r="BA13" s="397"/>
      <c r="BB13" s="397"/>
      <c r="BC13" s="397"/>
      <c r="BD13" s="518">
        <v>489464</v>
      </c>
      <c r="BE13" s="395"/>
      <c r="BF13" s="397"/>
      <c r="BG13" s="397"/>
      <c r="BH13" s="397"/>
      <c r="BI13" s="518">
        <v>591098</v>
      </c>
      <c r="BJ13" s="395"/>
      <c r="BK13" s="397"/>
      <c r="BL13" s="397"/>
      <c r="BM13" s="397"/>
      <c r="BN13" s="518">
        <v>662289</v>
      </c>
      <c r="BO13" s="395"/>
      <c r="BP13" s="397"/>
      <c r="BQ13" s="397"/>
      <c r="BR13" s="397"/>
      <c r="BS13" s="518">
        <v>865120</v>
      </c>
      <c r="BT13" s="395"/>
      <c r="BU13" s="397"/>
      <c r="BV13" s="397"/>
      <c r="BW13" s="397"/>
      <c r="BX13" s="518">
        <v>1095470</v>
      </c>
      <c r="BY13" s="395">
        <v>1133837</v>
      </c>
      <c r="BZ13" s="397">
        <v>1329968</v>
      </c>
      <c r="CA13" s="397">
        <v>1385221</v>
      </c>
      <c r="CB13" s="90">
        <f>CC13</f>
        <v>1381706</v>
      </c>
      <c r="CC13" s="518">
        <v>1381706</v>
      </c>
      <c r="CD13" s="395">
        <v>1544573</v>
      </c>
      <c r="CE13" s="397">
        <v>1665024</v>
      </c>
      <c r="CF13" s="422">
        <f>'[1]BS &amp; FCF'!CF43</f>
        <v>1761289.0595577005</v>
      </c>
      <c r="CG13" s="422">
        <f>'[1]BS &amp; FCF'!CG43</f>
        <v>1890578.9182235759</v>
      </c>
      <c r="CH13" s="423">
        <f>'[1]BS &amp; FCF'!CH43</f>
        <v>1890578.9182235759</v>
      </c>
      <c r="CI13" s="422">
        <f>'[1]BS &amp; FCF'!CI43</f>
        <v>1957946.9929368785</v>
      </c>
      <c r="CJ13" s="422">
        <f>'[1]BS &amp; FCF'!CJ43</f>
        <v>2089916.0162318656</v>
      </c>
      <c r="CK13" s="422">
        <f>'[1]BS &amp; FCF'!CK43</f>
        <v>2220453.249112179</v>
      </c>
      <c r="CL13" s="422">
        <f>'[1]BS &amp; FCF'!CL43</f>
        <v>2314449.4435651423</v>
      </c>
      <c r="CM13" s="423">
        <f>'[1]BS &amp; FCF'!CM43</f>
        <v>2314449.4435651423</v>
      </c>
      <c r="CN13" s="422">
        <f>'[1]BS &amp; FCF'!CN43</f>
        <v>2380450.3595898277</v>
      </c>
      <c r="CO13" s="422">
        <f>'[1]BS &amp; FCF'!CO43</f>
        <v>2435231.5118399616</v>
      </c>
      <c r="CP13" s="422">
        <f>'[1]BS &amp; FCF'!CP43</f>
        <v>2523030.3166446788</v>
      </c>
      <c r="CQ13" s="422">
        <f>'[1]BS &amp; FCF'!CQ43</f>
        <v>2571423.5740380981</v>
      </c>
      <c r="CR13" s="423">
        <f>'[1]BS &amp; FCF'!CR43</f>
        <v>2571423.5740380981</v>
      </c>
      <c r="CS13" s="422">
        <f>'[1]BS &amp; FCF'!CS43</f>
        <v>2591165.6167989275</v>
      </c>
      <c r="CT13" s="422">
        <f>'[1]BS &amp; FCF'!CT43</f>
        <v>2644457.2657543151</v>
      </c>
      <c r="CU13" s="422">
        <f>'[1]BS &amp; FCF'!CU43</f>
        <v>2732432.4201473175</v>
      </c>
      <c r="CV13" s="422">
        <f>'[1]BS &amp; FCF'!CV43</f>
        <v>2781756.965114872</v>
      </c>
      <c r="CW13" s="423">
        <f>'[1]BS &amp; FCF'!CW43</f>
        <v>2781756.965114872</v>
      </c>
      <c r="CX13" s="422">
        <f>'[1]BS &amp; FCF'!CX43</f>
        <v>2811519.5339818229</v>
      </c>
      <c r="CY13" s="422">
        <f>'[1]BS &amp; FCF'!CY43</f>
        <v>2866683.9888154147</v>
      </c>
      <c r="CZ13" s="422">
        <f>'[1]BS &amp; FCF'!CZ43</f>
        <v>2957674.007022494</v>
      </c>
      <c r="DA13" s="422">
        <f>'[1]BS &amp; FCF'!DA43</f>
        <v>3008836.5229767724</v>
      </c>
      <c r="DB13" s="423">
        <f>'[1]BS &amp; FCF'!DB43</f>
        <v>3008836.5229767724</v>
      </c>
    </row>
    <row r="14" spans="1:106" s="91" customFormat="1" ht="11.5" customHeight="1" x14ac:dyDescent="0.35">
      <c r="A14" s="522" t="s">
        <v>361</v>
      </c>
      <c r="B14" s="92"/>
      <c r="C14" s="92"/>
      <c r="D14" s="92"/>
      <c r="E14" s="92"/>
      <c r="F14" s="25">
        <f>F12/F13</f>
        <v>0.39525798687569957</v>
      </c>
      <c r="G14" s="24" t="e">
        <f t="shared" ref="G14:BR14" si="34">G12/G13</f>
        <v>#DIV/0!</v>
      </c>
      <c r="H14" s="164" t="e">
        <f t="shared" si="34"/>
        <v>#DIV/0!</v>
      </c>
      <c r="I14" s="164" t="e">
        <f t="shared" si="34"/>
        <v>#DIV/0!</v>
      </c>
      <c r="J14" s="164" t="e">
        <f t="shared" si="34"/>
        <v>#DIV/0!</v>
      </c>
      <c r="K14" s="25">
        <f t="shared" si="34"/>
        <v>0.41478516628909745</v>
      </c>
      <c r="L14" s="24" t="e">
        <f t="shared" si="34"/>
        <v>#DIV/0!</v>
      </c>
      <c r="M14" s="164" t="e">
        <f t="shared" si="34"/>
        <v>#DIV/0!</v>
      </c>
      <c r="N14" s="164" t="e">
        <f t="shared" si="34"/>
        <v>#DIV/0!</v>
      </c>
      <c r="O14" s="164" t="e">
        <f t="shared" si="34"/>
        <v>#DIV/0!</v>
      </c>
      <c r="P14" s="25">
        <f t="shared" si="34"/>
        <v>0.21286706419384235</v>
      </c>
      <c r="Q14" s="24" t="e">
        <f t="shared" si="34"/>
        <v>#DIV/0!</v>
      </c>
      <c r="R14" s="164" t="e">
        <f t="shared" si="34"/>
        <v>#DIV/0!</v>
      </c>
      <c r="S14" s="164" t="e">
        <f t="shared" si="34"/>
        <v>#DIV/0!</v>
      </c>
      <c r="T14" s="164" t="e">
        <f t="shared" si="34"/>
        <v>#DIV/0!</v>
      </c>
      <c r="U14" s="25">
        <f t="shared" si="34"/>
        <v>0.17149689688549793</v>
      </c>
      <c r="V14" s="24" t="e">
        <f t="shared" si="34"/>
        <v>#DIV/0!</v>
      </c>
      <c r="W14" s="164" t="e">
        <f t="shared" si="34"/>
        <v>#DIV/0!</v>
      </c>
      <c r="X14" s="164" t="e">
        <f t="shared" si="34"/>
        <v>#DIV/0!</v>
      </c>
      <c r="Y14" s="164" t="e">
        <f t="shared" si="34"/>
        <v>#DIV/0!</v>
      </c>
      <c r="Z14" s="25">
        <f t="shared" si="34"/>
        <v>0.34980583756673927</v>
      </c>
      <c r="AA14" s="24" t="e">
        <f t="shared" si="34"/>
        <v>#DIV/0!</v>
      </c>
      <c r="AB14" s="164" t="e">
        <f t="shared" si="34"/>
        <v>#DIV/0!</v>
      </c>
      <c r="AC14" s="164" t="e">
        <f t="shared" si="34"/>
        <v>#DIV/0!</v>
      </c>
      <c r="AD14" s="164" t="e">
        <f t="shared" si="34"/>
        <v>#DIV/0!</v>
      </c>
      <c r="AE14" s="25">
        <f t="shared" si="34"/>
        <v>0.34276723000630954</v>
      </c>
      <c r="AF14" s="24" t="e">
        <f t="shared" si="34"/>
        <v>#DIV/0!</v>
      </c>
      <c r="AG14" s="164" t="e">
        <f t="shared" si="34"/>
        <v>#DIV/0!</v>
      </c>
      <c r="AH14" s="164" t="e">
        <f t="shared" si="34"/>
        <v>#DIV/0!</v>
      </c>
      <c r="AI14" s="164" t="e">
        <f t="shared" si="34"/>
        <v>#DIV/0!</v>
      </c>
      <c r="AJ14" s="25">
        <f t="shared" si="34"/>
        <v>0.40544623404747665</v>
      </c>
      <c r="AK14" s="24" t="e">
        <f t="shared" si="34"/>
        <v>#DIV/0!</v>
      </c>
      <c r="AL14" s="164" t="e">
        <f t="shared" si="34"/>
        <v>#DIV/0!</v>
      </c>
      <c r="AM14" s="164" t="e">
        <f t="shared" si="34"/>
        <v>#DIV/0!</v>
      </c>
      <c r="AN14" s="164" t="e">
        <f t="shared" si="34"/>
        <v>#DIV/0!</v>
      </c>
      <c r="AO14" s="25">
        <f t="shared" si="34"/>
        <v>0.47533692615718209</v>
      </c>
      <c r="AP14" s="24" t="e">
        <f t="shared" si="34"/>
        <v>#DIV/0!</v>
      </c>
      <c r="AQ14" s="164" t="e">
        <f t="shared" si="34"/>
        <v>#DIV/0!</v>
      </c>
      <c r="AR14" s="164" t="e">
        <f t="shared" si="34"/>
        <v>#DIV/0!</v>
      </c>
      <c r="AS14" s="164" t="e">
        <f t="shared" si="34"/>
        <v>#DIV/0!</v>
      </c>
      <c r="AT14" s="25">
        <f t="shared" si="34"/>
        <v>0.55139250982826404</v>
      </c>
      <c r="AU14" s="24" t="e">
        <f t="shared" si="34"/>
        <v>#DIV/0!</v>
      </c>
      <c r="AV14" s="164" t="e">
        <f t="shared" si="34"/>
        <v>#DIV/0!</v>
      </c>
      <c r="AW14" s="164" t="e">
        <f t="shared" si="34"/>
        <v>#DIV/0!</v>
      </c>
      <c r="AX14" s="164" t="e">
        <f t="shared" si="34"/>
        <v>#DIV/0!</v>
      </c>
      <c r="AY14" s="25">
        <f t="shared" si="34"/>
        <v>0.74971221068985205</v>
      </c>
      <c r="AZ14" s="24" t="e">
        <f t="shared" si="34"/>
        <v>#DIV/0!</v>
      </c>
      <c r="BA14" s="164" t="e">
        <f t="shared" si="34"/>
        <v>#DIV/0!</v>
      </c>
      <c r="BB14" s="164" t="e">
        <f t="shared" si="34"/>
        <v>#DIV/0!</v>
      </c>
      <c r="BC14" s="164" t="e">
        <f t="shared" si="34"/>
        <v>#DIV/0!</v>
      </c>
      <c r="BD14" s="25">
        <f t="shared" si="34"/>
        <v>0.32855123155124788</v>
      </c>
      <c r="BE14" s="24" t="e">
        <f t="shared" si="34"/>
        <v>#DIV/0!</v>
      </c>
      <c r="BF14" s="164" t="e">
        <f t="shared" si="34"/>
        <v>#DIV/0!</v>
      </c>
      <c r="BG14" s="164" t="e">
        <f t="shared" si="34"/>
        <v>#DIV/0!</v>
      </c>
      <c r="BH14" s="164" t="e">
        <f t="shared" si="34"/>
        <v>#DIV/0!</v>
      </c>
      <c r="BI14" s="25">
        <f t="shared" si="34"/>
        <v>0.50711218782672252</v>
      </c>
      <c r="BJ14" s="24" t="e">
        <f t="shared" si="34"/>
        <v>#DIV/0!</v>
      </c>
      <c r="BK14" s="164" t="e">
        <f t="shared" si="34"/>
        <v>#DIV/0!</v>
      </c>
      <c r="BL14" s="164" t="e">
        <f t="shared" si="34"/>
        <v>#DIV/0!</v>
      </c>
      <c r="BM14" s="164" t="e">
        <f t="shared" si="34"/>
        <v>#DIV/0!</v>
      </c>
      <c r="BN14" s="25">
        <f t="shared" si="34"/>
        <v>0.49809675232413642</v>
      </c>
      <c r="BO14" s="24" t="e">
        <f t="shared" si="34"/>
        <v>#DIV/0!</v>
      </c>
      <c r="BP14" s="164" t="e">
        <f t="shared" si="34"/>
        <v>#DIV/0!</v>
      </c>
      <c r="BQ14" s="164" t="e">
        <f t="shared" si="34"/>
        <v>#DIV/0!</v>
      </c>
      <c r="BR14" s="164" t="e">
        <f t="shared" si="34"/>
        <v>#DIV/0!</v>
      </c>
      <c r="BS14" s="25">
        <f t="shared" ref="BS14:DB14" si="35">BS12/BS13</f>
        <v>0.55687650268170885</v>
      </c>
      <c r="BT14" s="24" t="e">
        <f t="shared" si="35"/>
        <v>#DIV/0!</v>
      </c>
      <c r="BU14" s="164" t="e">
        <f t="shared" si="35"/>
        <v>#DIV/0!</v>
      </c>
      <c r="BV14" s="164" t="e">
        <f t="shared" si="35"/>
        <v>#DIV/0!</v>
      </c>
      <c r="BW14" s="164" t="e">
        <f t="shared" si="35"/>
        <v>#DIV/0!</v>
      </c>
      <c r="BX14" s="25">
        <f t="shared" si="35"/>
        <v>0.59320930742055922</v>
      </c>
      <c r="BY14" s="24">
        <f t="shared" si="35"/>
        <v>0.18827662177191254</v>
      </c>
      <c r="BZ14" s="164">
        <f t="shared" si="35"/>
        <v>0.17799751572970177</v>
      </c>
      <c r="CA14" s="164">
        <f t="shared" ref="CA14" si="36">CA12/CA13</f>
        <v>0.18426879176680111</v>
      </c>
      <c r="CB14" s="164">
        <f t="shared" si="35"/>
        <v>0.19546632930594496</v>
      </c>
      <c r="CC14" s="25">
        <f t="shared" si="35"/>
        <v>0.70603731908235179</v>
      </c>
      <c r="CD14" s="24">
        <f t="shared" ref="CD14:CE14" si="37">CD12/CD13</f>
        <v>0.19608461367640118</v>
      </c>
      <c r="CE14" s="164">
        <f t="shared" si="37"/>
        <v>0.1624306916897294</v>
      </c>
      <c r="CF14" s="164">
        <f t="shared" si="35"/>
        <v>0.16800114819405707</v>
      </c>
      <c r="CG14" s="164">
        <f t="shared" si="35"/>
        <v>0.17794489531127758</v>
      </c>
      <c r="CH14" s="25">
        <f t="shared" si="35"/>
        <v>0.63714665626764178</v>
      </c>
      <c r="CI14" s="164">
        <f t="shared" si="35"/>
        <v>0.16327419824299635</v>
      </c>
      <c r="CJ14" s="164">
        <f t="shared" si="35"/>
        <v>0.17786872272061988</v>
      </c>
      <c r="CK14" s="164">
        <f t="shared" si="35"/>
        <v>0.1843476111664937</v>
      </c>
      <c r="CL14" s="164">
        <f t="shared" si="35"/>
        <v>0.17325832487004109</v>
      </c>
      <c r="CM14" s="25">
        <f t="shared" si="35"/>
        <v>0.64885660294679903</v>
      </c>
      <c r="CN14" s="164">
        <f t="shared" si="35"/>
        <v>0.17933530289112593</v>
      </c>
      <c r="CO14" s="164">
        <f t="shared" si="35"/>
        <v>0.18026625302140117</v>
      </c>
      <c r="CP14" s="164">
        <f t="shared" si="35"/>
        <v>0.19139280868334183</v>
      </c>
      <c r="CQ14" s="164">
        <f t="shared" si="35"/>
        <v>0.18783141567812531</v>
      </c>
      <c r="CR14" s="25">
        <f t="shared" si="35"/>
        <v>0.71235748693565903</v>
      </c>
      <c r="CS14" s="164">
        <f t="shared" si="35"/>
        <v>0.17537927989332613</v>
      </c>
      <c r="CT14" s="164">
        <f t="shared" si="35"/>
        <v>0.17481270690385387</v>
      </c>
      <c r="CU14" s="164">
        <f t="shared" si="35"/>
        <v>0.18446253612819308</v>
      </c>
      <c r="CV14" s="164">
        <f t="shared" si="35"/>
        <v>0.1808040112390368</v>
      </c>
      <c r="CW14" s="25">
        <f t="shared" si="35"/>
        <v>0.69154341971831745</v>
      </c>
      <c r="CX14" s="164">
        <f t="shared" si="35"/>
        <v>0.17158696529137399</v>
      </c>
      <c r="CY14" s="164">
        <f t="shared" si="35"/>
        <v>0.17069985773347263</v>
      </c>
      <c r="CZ14" s="164">
        <f t="shared" si="35"/>
        <v>0.17966764122659165</v>
      </c>
      <c r="DA14" s="164">
        <f t="shared" si="35"/>
        <v>0.17595538775019237</v>
      </c>
      <c r="DB14" s="25">
        <f t="shared" si="35"/>
        <v>0.67553752012299573</v>
      </c>
    </row>
    <row r="15" spans="1:106" s="91" customFormat="1" ht="11.5" customHeight="1" collapsed="1" x14ac:dyDescent="0.35">
      <c r="A15" s="515" t="s">
        <v>372</v>
      </c>
      <c r="B15" s="516"/>
      <c r="C15" s="516"/>
      <c r="D15" s="516"/>
      <c r="E15" s="516"/>
      <c r="F15" s="442">
        <v>0.5</v>
      </c>
      <c r="G15" s="441"/>
      <c r="H15" s="441"/>
      <c r="I15" s="441"/>
      <c r="J15" s="441"/>
      <c r="K15" s="442">
        <v>0.5</v>
      </c>
      <c r="L15" s="441"/>
      <c r="M15" s="441"/>
      <c r="N15" s="441"/>
      <c r="O15" s="441"/>
      <c r="P15" s="442">
        <v>0.5</v>
      </c>
      <c r="Q15" s="441"/>
      <c r="R15" s="441"/>
      <c r="S15" s="441"/>
      <c r="T15" s="441"/>
      <c r="U15" s="442">
        <v>0.5</v>
      </c>
      <c r="V15" s="441"/>
      <c r="W15" s="441"/>
      <c r="X15" s="441"/>
      <c r="Y15" s="441"/>
      <c r="Z15" s="442">
        <v>0.5</v>
      </c>
      <c r="AA15" s="441"/>
      <c r="AB15" s="441"/>
      <c r="AC15" s="441"/>
      <c r="AD15" s="441"/>
      <c r="AE15" s="442">
        <v>0.5</v>
      </c>
      <c r="AF15" s="441"/>
      <c r="AG15" s="441"/>
      <c r="AH15" s="441"/>
      <c r="AI15" s="441"/>
      <c r="AJ15" s="442">
        <v>0.5</v>
      </c>
      <c r="AK15" s="441"/>
      <c r="AL15" s="441"/>
      <c r="AM15" s="441"/>
      <c r="AN15" s="441"/>
      <c r="AO15" s="442">
        <v>0.5</v>
      </c>
      <c r="AP15" s="441"/>
      <c r="AQ15" s="441"/>
      <c r="AR15" s="441"/>
      <c r="AS15" s="441"/>
      <c r="AT15" s="442">
        <v>0.5</v>
      </c>
      <c r="AU15" s="441"/>
      <c r="AV15" s="441"/>
      <c r="AW15" s="441"/>
      <c r="AX15" s="441"/>
      <c r="AY15" s="442">
        <v>0.46750000000000003</v>
      </c>
      <c r="AZ15" s="441"/>
      <c r="BA15" s="441"/>
      <c r="BB15" s="441"/>
      <c r="BC15" s="441"/>
      <c r="BD15" s="442">
        <v>0.30969999999999998</v>
      </c>
      <c r="BE15" s="441"/>
      <c r="BF15" s="441"/>
      <c r="BG15" s="441"/>
      <c r="BH15" s="441"/>
      <c r="BI15" s="442">
        <v>0.30969999999999998</v>
      </c>
      <c r="BJ15" s="441"/>
      <c r="BK15" s="441"/>
      <c r="BL15" s="441"/>
      <c r="BM15" s="441"/>
      <c r="BN15" s="442">
        <v>0.23769999999999999</v>
      </c>
      <c r="BO15" s="441"/>
      <c r="BP15" s="441"/>
      <c r="BQ15" s="441"/>
      <c r="BR15" s="441"/>
      <c r="BS15" s="442">
        <v>0.21920000000000001</v>
      </c>
      <c r="BT15" s="441"/>
      <c r="BU15" s="441"/>
      <c r="BV15" s="441"/>
      <c r="BW15" s="441"/>
      <c r="BX15" s="442">
        <v>0.18659999999999999</v>
      </c>
      <c r="BY15" s="517">
        <v>0.18659999999999999</v>
      </c>
      <c r="BZ15" s="517">
        <v>0.18529999999999999</v>
      </c>
      <c r="CA15" s="517">
        <v>0.15920000000000001</v>
      </c>
      <c r="CB15" s="517">
        <v>0.15079999999999999</v>
      </c>
      <c r="CC15" s="649">
        <f>AVERAGE(BY15:CB15)</f>
        <v>0.17047499999999999</v>
      </c>
      <c r="CD15" s="517">
        <v>0.15079999999999999</v>
      </c>
      <c r="CE15" s="517">
        <v>0.15079999999999999</v>
      </c>
      <c r="CF15" s="441">
        <f t="shared" ref="CF15:CG15" si="38">CE15</f>
        <v>0.15079999999999999</v>
      </c>
      <c r="CG15" s="441">
        <f t="shared" si="38"/>
        <v>0.15079999999999999</v>
      </c>
      <c r="CH15" s="442">
        <f>AVERAGE(CD15:CG15)</f>
        <v>0.15079999999999999</v>
      </c>
      <c r="CI15" s="441">
        <f t="shared" ref="CI15" si="39">CG15</f>
        <v>0.15079999999999999</v>
      </c>
      <c r="CJ15" s="441">
        <f t="shared" ref="CJ15:DA15" si="40">CI15</f>
        <v>0.15079999999999999</v>
      </c>
      <c r="CK15" s="441">
        <f t="shared" si="40"/>
        <v>0.15079999999999999</v>
      </c>
      <c r="CL15" s="441">
        <f t="shared" si="40"/>
        <v>0.15079999999999999</v>
      </c>
      <c r="CM15" s="442">
        <f t="shared" ref="CM15" si="41">AVERAGE(CI15:CL15)</f>
        <v>0.15079999999999999</v>
      </c>
      <c r="CN15" s="441">
        <f t="shared" ref="CN15" si="42">CL15</f>
        <v>0.15079999999999999</v>
      </c>
      <c r="CO15" s="441">
        <f t="shared" ref="CO15" si="43">CN15</f>
        <v>0.15079999999999999</v>
      </c>
      <c r="CP15" s="441">
        <f t="shared" si="40"/>
        <v>0.15079999999999999</v>
      </c>
      <c r="CQ15" s="441">
        <f t="shared" si="40"/>
        <v>0.15079999999999999</v>
      </c>
      <c r="CR15" s="442">
        <f t="shared" ref="CR15" si="44">AVERAGE(CN15:CQ15)</f>
        <v>0.15079999999999999</v>
      </c>
      <c r="CS15" s="441">
        <f t="shared" ref="CS15" si="45">CQ15</f>
        <v>0.15079999999999999</v>
      </c>
      <c r="CT15" s="441">
        <f t="shared" ref="CT15" si="46">CS15</f>
        <v>0.15079999999999999</v>
      </c>
      <c r="CU15" s="441">
        <f t="shared" si="40"/>
        <v>0.15079999999999999</v>
      </c>
      <c r="CV15" s="441">
        <f t="shared" si="40"/>
        <v>0.15079999999999999</v>
      </c>
      <c r="CW15" s="442">
        <f t="shared" ref="CW15" si="47">AVERAGE(CS15:CV15)</f>
        <v>0.15079999999999999</v>
      </c>
      <c r="CX15" s="441">
        <f t="shared" ref="CX15" si="48">CV15</f>
        <v>0.15079999999999999</v>
      </c>
      <c r="CY15" s="441">
        <f t="shared" ref="CY15" si="49">CX15</f>
        <v>0.15079999999999999</v>
      </c>
      <c r="CZ15" s="441">
        <f t="shared" si="40"/>
        <v>0.15079999999999999</v>
      </c>
      <c r="DA15" s="441">
        <f t="shared" si="40"/>
        <v>0.15079999999999999</v>
      </c>
      <c r="DB15" s="442">
        <f t="shared" ref="DB15" si="50">AVERAGE(CX15:DA15)</f>
        <v>0.15079999999999999</v>
      </c>
    </row>
    <row r="16" spans="1:106" s="54" customFormat="1" ht="11.5" customHeight="1" x14ac:dyDescent="0.35">
      <c r="A16" s="217" t="s">
        <v>391</v>
      </c>
      <c r="B16" s="395"/>
      <c r="C16" s="395"/>
      <c r="D16" s="395"/>
      <c r="E16" s="395"/>
      <c r="F16" s="29"/>
      <c r="G16" s="395"/>
      <c r="H16" s="395"/>
      <c r="I16" s="395"/>
      <c r="J16" s="395"/>
      <c r="K16" s="29"/>
      <c r="L16" s="395"/>
      <c r="M16" s="395"/>
      <c r="N16" s="395"/>
      <c r="O16" s="395"/>
      <c r="P16" s="29"/>
      <c r="Q16" s="395"/>
      <c r="R16" s="395"/>
      <c r="S16" s="395"/>
      <c r="T16" s="395"/>
      <c r="U16" s="29"/>
      <c r="V16" s="395"/>
      <c r="W16" s="395"/>
      <c r="X16" s="395"/>
      <c r="Y16" s="395"/>
      <c r="Z16" s="29"/>
      <c r="AA16" s="395"/>
      <c r="AB16" s="395"/>
      <c r="AC16" s="395"/>
      <c r="AD16" s="395"/>
      <c r="AE16" s="29"/>
      <c r="AF16" s="395"/>
      <c r="AG16" s="395"/>
      <c r="AH16" s="395"/>
      <c r="AI16" s="395"/>
      <c r="AJ16" s="29"/>
      <c r="AK16" s="395"/>
      <c r="AL16" s="395"/>
      <c r="AM16" s="395"/>
      <c r="AN16" s="395"/>
      <c r="AO16" s="29"/>
      <c r="AP16" s="395"/>
      <c r="AQ16" s="395"/>
      <c r="AR16" s="395"/>
      <c r="AS16" s="395"/>
      <c r="AT16" s="29"/>
      <c r="AU16" s="395"/>
      <c r="AV16" s="395"/>
      <c r="AW16" s="395"/>
      <c r="AX16" s="395"/>
      <c r="AY16" s="29"/>
      <c r="AZ16" s="395"/>
      <c r="BA16" s="395"/>
      <c r="BB16" s="395"/>
      <c r="BC16" s="395"/>
      <c r="BD16" s="29"/>
      <c r="BE16" s="395"/>
      <c r="BF16" s="395"/>
      <c r="BG16" s="395"/>
      <c r="BH16" s="395"/>
      <c r="BI16" s="29"/>
      <c r="BJ16" s="395"/>
      <c r="BK16" s="395"/>
      <c r="BL16" s="395"/>
      <c r="BM16" s="395"/>
      <c r="BN16" s="29"/>
      <c r="BO16" s="395"/>
      <c r="BP16" s="395"/>
      <c r="BQ16" s="395"/>
      <c r="BR16" s="395"/>
      <c r="BS16" s="29"/>
      <c r="BT16" s="395"/>
      <c r="BU16" s="395"/>
      <c r="BV16" s="395"/>
      <c r="BW16" s="395"/>
      <c r="BX16" s="29"/>
      <c r="BY16" s="395"/>
      <c r="BZ16" s="395"/>
      <c r="CA16" s="422"/>
      <c r="CB16" s="70"/>
      <c r="CC16" s="29"/>
      <c r="CD16" s="395"/>
      <c r="CE16" s="395"/>
      <c r="CF16" s="422"/>
      <c r="CG16" s="422"/>
      <c r="CH16" s="29"/>
      <c r="CI16" s="422"/>
      <c r="CJ16" s="422"/>
      <c r="CK16" s="422"/>
      <c r="CL16" s="422"/>
      <c r="CM16" s="29"/>
      <c r="CN16" s="422"/>
      <c r="CO16" s="422"/>
      <c r="CP16" s="422"/>
      <c r="CQ16" s="422"/>
      <c r="CR16" s="29"/>
      <c r="CS16" s="422"/>
      <c r="CT16" s="422"/>
      <c r="CU16" s="422"/>
      <c r="CV16" s="422"/>
      <c r="CW16" s="29"/>
      <c r="CX16" s="422"/>
      <c r="CY16" s="422"/>
      <c r="CZ16" s="422"/>
      <c r="DA16" s="422"/>
      <c r="DB16" s="29"/>
    </row>
    <row r="17" spans="1:106" s="54" customFormat="1" ht="11.5" customHeight="1" x14ac:dyDescent="0.35">
      <c r="A17" s="190" t="s">
        <v>373</v>
      </c>
      <c r="B17" s="395"/>
      <c r="C17" s="395"/>
      <c r="D17" s="395"/>
      <c r="E17" s="395"/>
      <c r="F17" s="518">
        <v>29064</v>
      </c>
      <c r="G17" s="395"/>
      <c r="H17" s="395"/>
      <c r="I17" s="395"/>
      <c r="J17" s="395"/>
      <c r="K17" s="518">
        <v>40127</v>
      </c>
      <c r="L17" s="395"/>
      <c r="M17" s="395"/>
      <c r="N17" s="395"/>
      <c r="O17" s="395"/>
      <c r="P17" s="518">
        <v>64085</v>
      </c>
      <c r="Q17" s="395"/>
      <c r="R17" s="395"/>
      <c r="S17" s="395"/>
      <c r="T17" s="395"/>
      <c r="U17" s="518">
        <v>70133</v>
      </c>
      <c r="V17" s="395"/>
      <c r="W17" s="395"/>
      <c r="X17" s="395"/>
      <c r="Y17" s="395"/>
      <c r="Z17" s="518">
        <v>107546</v>
      </c>
      <c r="AA17" s="395"/>
      <c r="AB17" s="395"/>
      <c r="AC17" s="395"/>
      <c r="AD17" s="395"/>
      <c r="AE17" s="518">
        <v>70680</v>
      </c>
      <c r="AF17" s="395"/>
      <c r="AG17" s="395"/>
      <c r="AH17" s="395"/>
      <c r="AI17" s="395"/>
      <c r="AJ17" s="518">
        <v>8324</v>
      </c>
      <c r="AK17" s="395"/>
      <c r="AL17" s="395"/>
      <c r="AM17" s="395"/>
      <c r="AN17" s="395"/>
      <c r="AO17" s="518">
        <v>-1796</v>
      </c>
      <c r="AP17" s="395"/>
      <c r="AQ17" s="395"/>
      <c r="AR17" s="395"/>
      <c r="AS17" s="395"/>
      <c r="AT17" s="518">
        <v>-41</v>
      </c>
      <c r="AU17" s="395"/>
      <c r="AV17" s="395"/>
      <c r="AW17" s="395"/>
      <c r="AX17" s="395"/>
      <c r="AY17" s="518">
        <v>7609</v>
      </c>
      <c r="AZ17" s="395"/>
      <c r="BA17" s="395"/>
      <c r="BB17" s="395"/>
      <c r="BC17" s="395"/>
      <c r="BD17" s="518">
        <v>-13458</v>
      </c>
      <c r="BE17" s="395"/>
      <c r="BF17" s="395"/>
      <c r="BG17" s="395"/>
      <c r="BH17" s="395"/>
      <c r="BI17" s="518">
        <v>-4368</v>
      </c>
      <c r="BJ17" s="395"/>
      <c r="BK17" s="395"/>
      <c r="BL17" s="395"/>
      <c r="BM17" s="395"/>
      <c r="BN17" s="518">
        <v>-11228</v>
      </c>
      <c r="BO17" s="395"/>
      <c r="BP17" s="395"/>
      <c r="BQ17" s="395"/>
      <c r="BR17" s="395"/>
      <c r="BS17" s="518">
        <v>-9475</v>
      </c>
      <c r="BT17" s="395"/>
      <c r="BU17" s="395"/>
      <c r="BV17" s="395"/>
      <c r="BW17" s="395"/>
      <c r="BX17" s="518"/>
      <c r="BY17" s="395"/>
      <c r="BZ17" s="395"/>
      <c r="CA17" s="395"/>
      <c r="CB17" s="90"/>
      <c r="CC17" s="518"/>
      <c r="CD17" s="395"/>
      <c r="CE17" s="395"/>
      <c r="CF17" s="395"/>
      <c r="CG17" s="395"/>
      <c r="CH17" s="518"/>
      <c r="CI17" s="395"/>
      <c r="CJ17" s="395"/>
      <c r="CK17" s="395"/>
      <c r="CL17" s="395"/>
      <c r="CM17" s="518"/>
      <c r="CN17" s="395"/>
      <c r="CO17" s="395"/>
      <c r="CP17" s="395"/>
      <c r="CQ17" s="395"/>
      <c r="CR17" s="518"/>
      <c r="CS17" s="395"/>
      <c r="CT17" s="395"/>
      <c r="CU17" s="395"/>
      <c r="CV17" s="395"/>
      <c r="CW17" s="518"/>
      <c r="CX17" s="395"/>
      <c r="CY17" s="395"/>
      <c r="CZ17" s="395"/>
      <c r="DA17" s="395"/>
      <c r="DB17" s="518"/>
    </row>
    <row r="18" spans="1:106" s="54" customFormat="1" ht="11.5" customHeight="1" x14ac:dyDescent="0.35">
      <c r="A18" s="190" t="s">
        <v>390</v>
      </c>
      <c r="B18" s="90"/>
      <c r="C18" s="90"/>
      <c r="D18" s="90"/>
      <c r="E18" s="90"/>
      <c r="F18" s="518">
        <v>214688</v>
      </c>
      <c r="G18" s="395"/>
      <c r="H18" s="397"/>
      <c r="I18" s="397"/>
      <c r="J18" s="397"/>
      <c r="K18" s="518">
        <v>254815</v>
      </c>
      <c r="L18" s="395"/>
      <c r="M18" s="397"/>
      <c r="N18" s="397"/>
      <c r="O18" s="397"/>
      <c r="P18" s="518">
        <v>267336</v>
      </c>
      <c r="Q18" s="395"/>
      <c r="R18" s="397"/>
      <c r="S18" s="397"/>
      <c r="T18" s="397"/>
      <c r="U18" s="518">
        <v>300233</v>
      </c>
      <c r="V18" s="395"/>
      <c r="W18" s="397"/>
      <c r="X18" s="397"/>
      <c r="Y18" s="397"/>
      <c r="Z18" s="518">
        <v>356951</v>
      </c>
      <c r="AA18" s="395"/>
      <c r="AB18" s="397"/>
      <c r="AC18" s="397"/>
      <c r="AD18" s="397"/>
      <c r="AE18" s="518">
        <v>322477</v>
      </c>
      <c r="AF18" s="395"/>
      <c r="AG18" s="397"/>
      <c r="AH18" s="397"/>
      <c r="AI18" s="397"/>
      <c r="AJ18" s="518">
        <v>310431</v>
      </c>
      <c r="AK18" s="395"/>
      <c r="AL18" s="397"/>
      <c r="AM18" s="397"/>
      <c r="AN18" s="397"/>
      <c r="AO18" s="518">
        <v>273635</v>
      </c>
      <c r="AP18" s="395"/>
      <c r="AQ18" s="397"/>
      <c r="AR18" s="397"/>
      <c r="AS18" s="397"/>
      <c r="AT18" s="518">
        <v>243145</v>
      </c>
      <c r="AU18" s="395"/>
      <c r="AV18" s="397"/>
      <c r="AW18" s="397"/>
      <c r="AX18" s="397"/>
      <c r="AY18" s="518">
        <v>169984</v>
      </c>
      <c r="AZ18" s="395"/>
      <c r="BA18" s="397"/>
      <c r="BB18" s="397"/>
      <c r="BC18" s="397"/>
      <c r="BD18" s="518">
        <v>134676</v>
      </c>
      <c r="BE18" s="395"/>
      <c r="BF18" s="397"/>
      <c r="BG18" s="397"/>
      <c r="BH18" s="397"/>
      <c r="BI18" s="518">
        <v>108308</v>
      </c>
      <c r="BJ18" s="395"/>
      <c r="BK18" s="397"/>
      <c r="BL18" s="397"/>
      <c r="BM18" s="397"/>
      <c r="BN18" s="518">
        <v>85986</v>
      </c>
      <c r="BO18" s="395"/>
      <c r="BP18" s="397"/>
      <c r="BQ18" s="397"/>
      <c r="BR18" s="397"/>
      <c r="BS18" s="518">
        <v>76511</v>
      </c>
      <c r="BT18" s="395"/>
      <c r="BU18" s="397"/>
      <c r="BV18" s="397"/>
      <c r="BW18" s="397"/>
      <c r="BX18" s="518"/>
      <c r="BY18" s="395"/>
      <c r="BZ18" s="397"/>
      <c r="CA18" s="397"/>
      <c r="CB18" s="70"/>
      <c r="CC18" s="518"/>
      <c r="CD18" s="395"/>
      <c r="CE18" s="397"/>
      <c r="CF18" s="397"/>
      <c r="CG18" s="397"/>
      <c r="CH18" s="518"/>
      <c r="CI18" s="397"/>
      <c r="CJ18" s="397"/>
      <c r="CK18" s="397"/>
      <c r="CL18" s="397"/>
      <c r="CM18" s="518"/>
      <c r="CN18" s="397"/>
      <c r="CO18" s="397"/>
      <c r="CP18" s="397"/>
      <c r="CQ18" s="397"/>
      <c r="CR18" s="518"/>
      <c r="CS18" s="397"/>
      <c r="CT18" s="397"/>
      <c r="CU18" s="397"/>
      <c r="CV18" s="397"/>
      <c r="CW18" s="518"/>
      <c r="CX18" s="397"/>
      <c r="CY18" s="397"/>
      <c r="CZ18" s="397"/>
      <c r="DA18" s="397"/>
      <c r="DB18" s="518"/>
    </row>
    <row r="19" spans="1:106" s="91" customFormat="1" ht="11.5" customHeight="1" x14ac:dyDescent="0.35">
      <c r="A19" s="522" t="s">
        <v>361</v>
      </c>
      <c r="B19" s="92"/>
      <c r="C19" s="92"/>
      <c r="D19" s="92"/>
      <c r="E19" s="92"/>
      <c r="F19" s="25">
        <f>F17/F18</f>
        <v>0.13537785064838276</v>
      </c>
      <c r="G19" s="24" t="e">
        <f t="shared" ref="G19:BR19" si="51">G17/G18</f>
        <v>#DIV/0!</v>
      </c>
      <c r="H19" s="164" t="e">
        <f t="shared" si="51"/>
        <v>#DIV/0!</v>
      </c>
      <c r="I19" s="164" t="e">
        <f t="shared" si="51"/>
        <v>#DIV/0!</v>
      </c>
      <c r="J19" s="164" t="e">
        <f t="shared" si="51"/>
        <v>#DIV/0!</v>
      </c>
      <c r="K19" s="25">
        <f t="shared" si="51"/>
        <v>0.15747503090477405</v>
      </c>
      <c r="L19" s="24" t="e">
        <f t="shared" si="51"/>
        <v>#DIV/0!</v>
      </c>
      <c r="M19" s="164" t="e">
        <f t="shared" si="51"/>
        <v>#DIV/0!</v>
      </c>
      <c r="N19" s="164" t="e">
        <f t="shared" si="51"/>
        <v>#DIV/0!</v>
      </c>
      <c r="O19" s="164" t="e">
        <f t="shared" si="51"/>
        <v>#DIV/0!</v>
      </c>
      <c r="P19" s="25">
        <f t="shared" si="51"/>
        <v>0.23971706017895084</v>
      </c>
      <c r="Q19" s="24" t="e">
        <f t="shared" si="51"/>
        <v>#DIV/0!</v>
      </c>
      <c r="R19" s="164" t="e">
        <f t="shared" si="51"/>
        <v>#DIV/0!</v>
      </c>
      <c r="S19" s="164" t="e">
        <f t="shared" si="51"/>
        <v>#DIV/0!</v>
      </c>
      <c r="T19" s="164" t="e">
        <f t="shared" si="51"/>
        <v>#DIV/0!</v>
      </c>
      <c r="U19" s="25">
        <f t="shared" si="51"/>
        <v>0.2335952410294671</v>
      </c>
      <c r="V19" s="24" t="e">
        <f t="shared" si="51"/>
        <v>#DIV/0!</v>
      </c>
      <c r="W19" s="164" t="e">
        <f t="shared" si="51"/>
        <v>#DIV/0!</v>
      </c>
      <c r="X19" s="164" t="e">
        <f t="shared" si="51"/>
        <v>#DIV/0!</v>
      </c>
      <c r="Y19" s="164" t="e">
        <f t="shared" si="51"/>
        <v>#DIV/0!</v>
      </c>
      <c r="Z19" s="25">
        <f t="shared" si="51"/>
        <v>0.3012906533389737</v>
      </c>
      <c r="AA19" s="24" t="e">
        <f t="shared" si="51"/>
        <v>#DIV/0!</v>
      </c>
      <c r="AB19" s="164" t="e">
        <f t="shared" si="51"/>
        <v>#DIV/0!</v>
      </c>
      <c r="AC19" s="164" t="e">
        <f t="shared" si="51"/>
        <v>#DIV/0!</v>
      </c>
      <c r="AD19" s="164" t="e">
        <f t="shared" si="51"/>
        <v>#DIV/0!</v>
      </c>
      <c r="AE19" s="25">
        <f t="shared" si="51"/>
        <v>0.21917842202699728</v>
      </c>
      <c r="AF19" s="24" t="e">
        <f t="shared" si="51"/>
        <v>#DIV/0!</v>
      </c>
      <c r="AG19" s="164" t="e">
        <f t="shared" si="51"/>
        <v>#DIV/0!</v>
      </c>
      <c r="AH19" s="164" t="e">
        <f t="shared" si="51"/>
        <v>#DIV/0!</v>
      </c>
      <c r="AI19" s="164" t="e">
        <f t="shared" si="51"/>
        <v>#DIV/0!</v>
      </c>
      <c r="AJ19" s="25">
        <f t="shared" si="51"/>
        <v>2.6814332331500396E-2</v>
      </c>
      <c r="AK19" s="24" t="e">
        <f t="shared" si="51"/>
        <v>#DIV/0!</v>
      </c>
      <c r="AL19" s="164" t="e">
        <f t="shared" si="51"/>
        <v>#DIV/0!</v>
      </c>
      <c r="AM19" s="164" t="e">
        <f t="shared" si="51"/>
        <v>#DIV/0!</v>
      </c>
      <c r="AN19" s="164" t="e">
        <f t="shared" si="51"/>
        <v>#DIV/0!</v>
      </c>
      <c r="AO19" s="25">
        <f t="shared" si="51"/>
        <v>-6.5634878579129132E-3</v>
      </c>
      <c r="AP19" s="24" t="e">
        <f t="shared" si="51"/>
        <v>#DIV/0!</v>
      </c>
      <c r="AQ19" s="164" t="e">
        <f t="shared" si="51"/>
        <v>#DIV/0!</v>
      </c>
      <c r="AR19" s="164" t="e">
        <f t="shared" si="51"/>
        <v>#DIV/0!</v>
      </c>
      <c r="AS19" s="164" t="e">
        <f t="shared" si="51"/>
        <v>#DIV/0!</v>
      </c>
      <c r="AT19" s="25">
        <f t="shared" si="51"/>
        <v>-1.6862366077854778E-4</v>
      </c>
      <c r="AU19" s="24" t="e">
        <f t="shared" si="51"/>
        <v>#DIV/0!</v>
      </c>
      <c r="AV19" s="164" t="e">
        <f t="shared" si="51"/>
        <v>#DIV/0!</v>
      </c>
      <c r="AW19" s="164" t="e">
        <f t="shared" si="51"/>
        <v>#DIV/0!</v>
      </c>
      <c r="AX19" s="164" t="e">
        <f t="shared" si="51"/>
        <v>#DIV/0!</v>
      </c>
      <c r="AY19" s="25">
        <f t="shared" si="51"/>
        <v>4.4763036521084335E-2</v>
      </c>
      <c r="AZ19" s="24" t="e">
        <f t="shared" si="51"/>
        <v>#DIV/0!</v>
      </c>
      <c r="BA19" s="164" t="e">
        <f t="shared" si="51"/>
        <v>#DIV/0!</v>
      </c>
      <c r="BB19" s="164" t="e">
        <f t="shared" si="51"/>
        <v>#DIV/0!</v>
      </c>
      <c r="BC19" s="164" t="e">
        <f t="shared" si="51"/>
        <v>#DIV/0!</v>
      </c>
      <c r="BD19" s="25">
        <f t="shared" si="51"/>
        <v>-9.9928717811636814E-2</v>
      </c>
      <c r="BE19" s="24" t="e">
        <f t="shared" si="51"/>
        <v>#DIV/0!</v>
      </c>
      <c r="BF19" s="164" t="e">
        <f t="shared" si="51"/>
        <v>#DIV/0!</v>
      </c>
      <c r="BG19" s="164" t="e">
        <f t="shared" si="51"/>
        <v>#DIV/0!</v>
      </c>
      <c r="BH19" s="164" t="e">
        <f t="shared" si="51"/>
        <v>#DIV/0!</v>
      </c>
      <c r="BI19" s="25">
        <f t="shared" si="51"/>
        <v>-4.0329430882298629E-2</v>
      </c>
      <c r="BJ19" s="24" t="e">
        <f t="shared" si="51"/>
        <v>#DIV/0!</v>
      </c>
      <c r="BK19" s="164" t="e">
        <f t="shared" si="51"/>
        <v>#DIV/0!</v>
      </c>
      <c r="BL19" s="164" t="e">
        <f t="shared" si="51"/>
        <v>#DIV/0!</v>
      </c>
      <c r="BM19" s="164" t="e">
        <f t="shared" si="51"/>
        <v>#DIV/0!</v>
      </c>
      <c r="BN19" s="25">
        <f t="shared" si="51"/>
        <v>-0.13057939664596563</v>
      </c>
      <c r="BO19" s="24" t="e">
        <f t="shared" si="51"/>
        <v>#DIV/0!</v>
      </c>
      <c r="BP19" s="164" t="e">
        <f t="shared" si="51"/>
        <v>#DIV/0!</v>
      </c>
      <c r="BQ19" s="164" t="e">
        <f t="shared" si="51"/>
        <v>#DIV/0!</v>
      </c>
      <c r="BR19" s="164" t="e">
        <f t="shared" si="51"/>
        <v>#DIV/0!</v>
      </c>
      <c r="BS19" s="25">
        <f t="shared" ref="BS19:DB19" si="52">BS17/BS18</f>
        <v>-0.12383840232123486</v>
      </c>
      <c r="BT19" s="24" t="e">
        <f t="shared" si="52"/>
        <v>#DIV/0!</v>
      </c>
      <c r="BU19" s="164" t="e">
        <f t="shared" si="52"/>
        <v>#DIV/0!</v>
      </c>
      <c r="BV19" s="164" t="e">
        <f t="shared" si="52"/>
        <v>#DIV/0!</v>
      </c>
      <c r="BW19" s="164" t="e">
        <f t="shared" si="52"/>
        <v>#DIV/0!</v>
      </c>
      <c r="BX19" s="25" t="e">
        <f t="shared" si="52"/>
        <v>#DIV/0!</v>
      </c>
      <c r="BY19" s="24" t="e">
        <f t="shared" si="52"/>
        <v>#DIV/0!</v>
      </c>
      <c r="BZ19" s="164" t="e">
        <f t="shared" si="52"/>
        <v>#DIV/0!</v>
      </c>
      <c r="CA19" s="164" t="e">
        <f t="shared" si="52"/>
        <v>#DIV/0!</v>
      </c>
      <c r="CB19" s="164" t="e">
        <f t="shared" si="52"/>
        <v>#DIV/0!</v>
      </c>
      <c r="CC19" s="25" t="e">
        <f t="shared" si="52"/>
        <v>#DIV/0!</v>
      </c>
      <c r="CD19" s="24" t="e">
        <f t="shared" ref="CD19:CE19" si="53">CD17/CD18</f>
        <v>#DIV/0!</v>
      </c>
      <c r="CE19" s="164" t="e">
        <f t="shared" si="53"/>
        <v>#DIV/0!</v>
      </c>
      <c r="CF19" s="164" t="e">
        <f t="shared" si="52"/>
        <v>#DIV/0!</v>
      </c>
      <c r="CG19" s="164" t="e">
        <f t="shared" si="52"/>
        <v>#DIV/0!</v>
      </c>
      <c r="CH19" s="25" t="e">
        <f t="shared" si="52"/>
        <v>#DIV/0!</v>
      </c>
      <c r="CI19" s="164" t="e">
        <f t="shared" si="52"/>
        <v>#DIV/0!</v>
      </c>
      <c r="CJ19" s="164" t="e">
        <f t="shared" si="52"/>
        <v>#DIV/0!</v>
      </c>
      <c r="CK19" s="164" t="e">
        <f t="shared" si="52"/>
        <v>#DIV/0!</v>
      </c>
      <c r="CL19" s="164" t="e">
        <f t="shared" si="52"/>
        <v>#DIV/0!</v>
      </c>
      <c r="CM19" s="25" t="e">
        <f t="shared" si="52"/>
        <v>#DIV/0!</v>
      </c>
      <c r="CN19" s="164" t="e">
        <f t="shared" si="52"/>
        <v>#DIV/0!</v>
      </c>
      <c r="CO19" s="164" t="e">
        <f t="shared" si="52"/>
        <v>#DIV/0!</v>
      </c>
      <c r="CP19" s="164" t="e">
        <f t="shared" si="52"/>
        <v>#DIV/0!</v>
      </c>
      <c r="CQ19" s="164" t="e">
        <f t="shared" si="52"/>
        <v>#DIV/0!</v>
      </c>
      <c r="CR19" s="25" t="e">
        <f t="shared" si="52"/>
        <v>#DIV/0!</v>
      </c>
      <c r="CS19" s="164" t="e">
        <f t="shared" si="52"/>
        <v>#DIV/0!</v>
      </c>
      <c r="CT19" s="164" t="e">
        <f t="shared" si="52"/>
        <v>#DIV/0!</v>
      </c>
      <c r="CU19" s="164" t="e">
        <f t="shared" si="52"/>
        <v>#DIV/0!</v>
      </c>
      <c r="CV19" s="164" t="e">
        <f t="shared" si="52"/>
        <v>#DIV/0!</v>
      </c>
      <c r="CW19" s="25" t="e">
        <f t="shared" si="52"/>
        <v>#DIV/0!</v>
      </c>
      <c r="CX19" s="164" t="e">
        <f t="shared" si="52"/>
        <v>#DIV/0!</v>
      </c>
      <c r="CY19" s="164" t="e">
        <f t="shared" si="52"/>
        <v>#DIV/0!</v>
      </c>
      <c r="CZ19" s="164" t="e">
        <f t="shared" si="52"/>
        <v>#DIV/0!</v>
      </c>
      <c r="DA19" s="164" t="e">
        <f t="shared" si="52"/>
        <v>#DIV/0!</v>
      </c>
      <c r="DB19" s="25" t="e">
        <f t="shared" si="52"/>
        <v>#DIV/0!</v>
      </c>
    </row>
    <row r="20" spans="1:106" s="91" customFormat="1" ht="11.5" customHeight="1" collapsed="1" x14ac:dyDescent="0.35">
      <c r="A20" s="515" t="s">
        <v>372</v>
      </c>
      <c r="B20" s="516"/>
      <c r="C20" s="516"/>
      <c r="D20" s="516"/>
      <c r="E20" s="516"/>
      <c r="F20" s="442">
        <v>0.79</v>
      </c>
      <c r="G20" s="441"/>
      <c r="H20" s="441"/>
      <c r="I20" s="441"/>
      <c r="J20" s="441"/>
      <c r="K20" s="442">
        <v>0.79</v>
      </c>
      <c r="L20" s="441"/>
      <c r="M20" s="441"/>
      <c r="N20" s="441"/>
      <c r="O20" s="441"/>
      <c r="P20" s="442">
        <v>0.79</v>
      </c>
      <c r="Q20" s="441"/>
      <c r="R20" s="441"/>
      <c r="S20" s="441"/>
      <c r="T20" s="441"/>
      <c r="U20" s="442">
        <v>0.79</v>
      </c>
      <c r="V20" s="441"/>
      <c r="W20" s="441"/>
      <c r="X20" s="441"/>
      <c r="Y20" s="441"/>
      <c r="Z20" s="442">
        <v>0.79</v>
      </c>
      <c r="AA20" s="441"/>
      <c r="AB20" s="441"/>
      <c r="AC20" s="441"/>
      <c r="AD20" s="441"/>
      <c r="AE20" s="442">
        <v>1</v>
      </c>
      <c r="AF20" s="441"/>
      <c r="AG20" s="441"/>
      <c r="AH20" s="441"/>
      <c r="AI20" s="441"/>
      <c r="AJ20" s="442">
        <v>1</v>
      </c>
      <c r="AK20" s="441"/>
      <c r="AL20" s="441"/>
      <c r="AM20" s="441"/>
      <c r="AN20" s="441"/>
      <c r="AO20" s="442">
        <v>1</v>
      </c>
      <c r="AP20" s="441"/>
      <c r="AQ20" s="441"/>
      <c r="AR20" s="441"/>
      <c r="AS20" s="441"/>
      <c r="AT20" s="442">
        <v>0.97899999999999998</v>
      </c>
      <c r="AU20" s="441"/>
      <c r="AV20" s="441"/>
      <c r="AW20" s="441"/>
      <c r="AX20" s="441"/>
      <c r="AY20" s="442">
        <v>0.86399999999999999</v>
      </c>
      <c r="AZ20" s="441"/>
      <c r="BA20" s="441"/>
      <c r="BB20" s="441"/>
      <c r="BC20" s="441"/>
      <c r="BD20" s="442">
        <v>0.86399999999999999</v>
      </c>
      <c r="BE20" s="441"/>
      <c r="BF20" s="441"/>
      <c r="BG20" s="441"/>
      <c r="BH20" s="441"/>
      <c r="BI20" s="442">
        <v>0.82479999999999998</v>
      </c>
      <c r="BJ20" s="441"/>
      <c r="BK20" s="441"/>
      <c r="BL20" s="441"/>
      <c r="BM20" s="441"/>
      <c r="BN20" s="442">
        <v>0.82479999999999998</v>
      </c>
      <c r="BO20" s="441"/>
      <c r="BP20" s="441"/>
      <c r="BQ20" s="441"/>
      <c r="BR20" s="441"/>
      <c r="BS20" s="442">
        <v>0.82479999999999998</v>
      </c>
      <c r="BT20" s="441"/>
      <c r="BU20" s="441"/>
      <c r="BV20" s="441"/>
      <c r="BW20" s="441"/>
      <c r="BX20" s="442"/>
      <c r="BY20" s="441"/>
      <c r="BZ20" s="441"/>
      <c r="CA20" s="441"/>
      <c r="CB20" s="441"/>
      <c r="CC20" s="442"/>
      <c r="CD20" s="441"/>
      <c r="CE20" s="441"/>
      <c r="CF20" s="441"/>
      <c r="CG20" s="441"/>
      <c r="CH20" s="442"/>
      <c r="CI20" s="441"/>
      <c r="CJ20" s="441"/>
      <c r="CK20" s="441"/>
      <c r="CL20" s="441"/>
      <c r="CM20" s="442"/>
      <c r="CN20" s="441"/>
      <c r="CO20" s="441"/>
      <c r="CP20" s="441"/>
      <c r="CQ20" s="441"/>
      <c r="CR20" s="442"/>
      <c r="CS20" s="441"/>
      <c r="CT20" s="441"/>
      <c r="CU20" s="441"/>
      <c r="CV20" s="441"/>
      <c r="CW20" s="442"/>
      <c r="CX20" s="441"/>
      <c r="CY20" s="441"/>
      <c r="CZ20" s="441"/>
      <c r="DA20" s="441"/>
      <c r="DB20" s="442"/>
    </row>
    <row r="21" spans="1:106" s="54" customFormat="1" ht="11.5" customHeight="1" x14ac:dyDescent="0.35">
      <c r="A21" s="217" t="s">
        <v>391</v>
      </c>
      <c r="B21" s="395"/>
      <c r="C21" s="395"/>
      <c r="D21" s="395"/>
      <c r="E21" s="395"/>
      <c r="F21" s="29"/>
      <c r="G21" s="395"/>
      <c r="H21" s="395"/>
      <c r="I21" s="395"/>
      <c r="J21" s="395"/>
      <c r="K21" s="29"/>
      <c r="L21" s="395"/>
      <c r="M21" s="395"/>
      <c r="N21" s="395"/>
      <c r="O21" s="395"/>
      <c r="P21" s="29"/>
      <c r="Q21" s="395"/>
      <c r="R21" s="395"/>
      <c r="S21" s="395"/>
      <c r="T21" s="395"/>
      <c r="U21" s="29"/>
      <c r="V21" s="395"/>
      <c r="W21" s="395"/>
      <c r="X21" s="395"/>
      <c r="Y21" s="395"/>
      <c r="Z21" s="29"/>
      <c r="AA21" s="395"/>
      <c r="AB21" s="395"/>
      <c r="AC21" s="395"/>
      <c r="AD21" s="395"/>
      <c r="AE21" s="29"/>
      <c r="AF21" s="395"/>
      <c r="AG21" s="395"/>
      <c r="AH21" s="395"/>
      <c r="AI21" s="395"/>
      <c r="AJ21" s="29"/>
      <c r="AK21" s="395"/>
      <c r="AL21" s="395"/>
      <c r="AM21" s="395"/>
      <c r="AN21" s="395"/>
      <c r="AO21" s="29"/>
      <c r="AP21" s="395"/>
      <c r="AQ21" s="395"/>
      <c r="AR21" s="395"/>
      <c r="AS21" s="395"/>
      <c r="AT21" s="29"/>
      <c r="AU21" s="395"/>
      <c r="AV21" s="395"/>
      <c r="AW21" s="395"/>
      <c r="AX21" s="395"/>
      <c r="AY21" s="29"/>
      <c r="AZ21" s="395"/>
      <c r="BA21" s="395"/>
      <c r="BB21" s="395"/>
      <c r="BC21" s="395"/>
      <c r="BD21" s="29"/>
      <c r="BE21" s="395"/>
      <c r="BF21" s="395"/>
      <c r="BG21" s="395"/>
      <c r="BH21" s="395"/>
      <c r="BI21" s="29"/>
      <c r="BJ21" s="395"/>
      <c r="BK21" s="395"/>
      <c r="BL21" s="395"/>
      <c r="BM21" s="395"/>
      <c r="BN21" s="29"/>
      <c r="BO21" s="395"/>
      <c r="BP21" s="395"/>
      <c r="BQ21" s="395"/>
      <c r="BR21" s="395"/>
      <c r="BS21" s="29"/>
      <c r="BT21" s="395"/>
      <c r="BU21" s="395"/>
      <c r="BV21" s="395"/>
      <c r="BW21" s="395"/>
      <c r="BX21" s="29"/>
      <c r="BY21" s="395"/>
      <c r="BZ21" s="395"/>
      <c r="CA21" s="422"/>
      <c r="CB21" s="70"/>
      <c r="CC21" s="29"/>
      <c r="CD21" s="395"/>
      <c r="CE21" s="395"/>
      <c r="CF21" s="422"/>
      <c r="CG21" s="422"/>
      <c r="CH21" s="29"/>
      <c r="CI21" s="422"/>
      <c r="CJ21" s="422"/>
      <c r="CK21" s="422"/>
      <c r="CL21" s="422"/>
      <c r="CM21" s="29"/>
      <c r="CN21" s="422"/>
      <c r="CO21" s="422"/>
      <c r="CP21" s="422"/>
      <c r="CQ21" s="422"/>
      <c r="CR21" s="29"/>
      <c r="CS21" s="422"/>
      <c r="CT21" s="422"/>
      <c r="CU21" s="422"/>
      <c r="CV21" s="422"/>
      <c r="CW21" s="29"/>
      <c r="CX21" s="422"/>
      <c r="CY21" s="422"/>
      <c r="CZ21" s="422"/>
      <c r="DA21" s="422"/>
      <c r="DB21" s="29"/>
    </row>
    <row r="22" spans="1:106" s="54" customFormat="1" ht="11.5" customHeight="1" x14ac:dyDescent="0.35">
      <c r="A22" s="190" t="s">
        <v>373</v>
      </c>
      <c r="B22" s="395"/>
      <c r="C22" s="395"/>
      <c r="D22" s="395"/>
      <c r="E22" s="395"/>
      <c r="F22" s="518"/>
      <c r="G22" s="395"/>
      <c r="H22" s="395"/>
      <c r="I22" s="395"/>
      <c r="J22" s="395"/>
      <c r="K22" s="518"/>
      <c r="L22" s="395"/>
      <c r="M22" s="395"/>
      <c r="N22" s="395"/>
      <c r="O22" s="395"/>
      <c r="P22" s="518"/>
      <c r="Q22" s="395"/>
      <c r="R22" s="395"/>
      <c r="S22" s="395"/>
      <c r="T22" s="395"/>
      <c r="U22" s="518"/>
      <c r="V22" s="395"/>
      <c r="W22" s="395"/>
      <c r="X22" s="395"/>
      <c r="Y22" s="395"/>
      <c r="Z22" s="518"/>
      <c r="AA22" s="395"/>
      <c r="AB22" s="395"/>
      <c r="AC22" s="395"/>
      <c r="AD22" s="395"/>
      <c r="AE22" s="518"/>
      <c r="AF22" s="395"/>
      <c r="AG22" s="395"/>
      <c r="AH22" s="395"/>
      <c r="AI22" s="395"/>
      <c r="AJ22" s="518">
        <v>8769</v>
      </c>
      <c r="AK22" s="395"/>
      <c r="AL22" s="395"/>
      <c r="AM22" s="395"/>
      <c r="AN22" s="395"/>
      <c r="AO22" s="518">
        <v>31907</v>
      </c>
      <c r="AP22" s="395"/>
      <c r="AQ22" s="395"/>
      <c r="AR22" s="395"/>
      <c r="AS22" s="395"/>
      <c r="AT22" s="518">
        <v>43079</v>
      </c>
      <c r="AU22" s="395"/>
      <c r="AV22" s="395"/>
      <c r="AW22" s="395"/>
      <c r="AX22" s="395"/>
      <c r="AY22" s="518">
        <v>95816</v>
      </c>
      <c r="AZ22" s="395"/>
      <c r="BA22" s="395"/>
      <c r="BB22" s="395"/>
      <c r="BC22" s="395"/>
      <c r="BD22" s="518">
        <v>132204</v>
      </c>
      <c r="BE22" s="395"/>
      <c r="BF22" s="395"/>
      <c r="BG22" s="395"/>
      <c r="BH22" s="395"/>
      <c r="BI22" s="518">
        <v>135086</v>
      </c>
      <c r="BJ22" s="395"/>
      <c r="BK22" s="395"/>
      <c r="BL22" s="395"/>
      <c r="BM22" s="395"/>
      <c r="BN22" s="518">
        <v>133680</v>
      </c>
      <c r="BO22" s="395"/>
      <c r="BP22" s="395"/>
      <c r="BQ22" s="395"/>
      <c r="BR22" s="395"/>
      <c r="BS22" s="518">
        <v>268554</v>
      </c>
      <c r="BT22" s="395"/>
      <c r="BU22" s="395"/>
      <c r="BV22" s="395"/>
      <c r="BW22" s="395"/>
      <c r="BX22" s="518">
        <v>343824</v>
      </c>
      <c r="BY22" s="395">
        <v>66937</v>
      </c>
      <c r="BZ22" s="395">
        <f>150476-BY22</f>
        <v>83539</v>
      </c>
      <c r="CA22" s="395">
        <f>228622-BZ22-BY22</f>
        <v>78146</v>
      </c>
      <c r="CB22" s="90">
        <f>CC22-SUM(BY22:CA22)</f>
        <v>133387</v>
      </c>
      <c r="CC22" s="518">
        <v>362009</v>
      </c>
      <c r="CD22" s="395">
        <v>40804</v>
      </c>
      <c r="CE22" s="395">
        <f>93776-CD22</f>
        <v>52972</v>
      </c>
      <c r="CF22" s="546">
        <f>[2]IS!CF45</f>
        <v>86614.726424213251</v>
      </c>
      <c r="CG22" s="546">
        <f>[2]IS!CG45</f>
        <v>142116.51343584561</v>
      </c>
      <c r="CH22" s="423">
        <f>[2]IS!CH45</f>
        <v>323439.12548095011</v>
      </c>
      <c r="CI22" s="546">
        <f>[2]IS!CI45</f>
        <v>107323.24003022733</v>
      </c>
      <c r="CJ22" s="546">
        <f>[2]IS!CJ45</f>
        <v>115981.16066193517</v>
      </c>
      <c r="CK22" s="546">
        <f>[2]IS!CK45</f>
        <v>125163.6374707542</v>
      </c>
      <c r="CL22" s="546">
        <f>[2]IS!CL45</f>
        <v>140995.96681658854</v>
      </c>
      <c r="CM22" s="423">
        <f>[2]IS!CM45</f>
        <v>489464.00497950526</v>
      </c>
      <c r="CN22" s="546">
        <f>[2]IS!CN45</f>
        <v>116829.73113306964</v>
      </c>
      <c r="CO22" s="546">
        <f>[2]IS!CO45</f>
        <v>126572.30505683571</v>
      </c>
      <c r="CP22" s="546">
        <f>[2]IS!CP45</f>
        <v>131963.99726591483</v>
      </c>
      <c r="CQ22" s="546">
        <f>[2]IS!CQ45</f>
        <v>138497.6054265803</v>
      </c>
      <c r="CR22" s="423">
        <f>[2]IS!CR45</f>
        <v>513863.63888240047</v>
      </c>
      <c r="CS22" s="546">
        <f>[2]IS!CS45</f>
        <v>150478.3195007357</v>
      </c>
      <c r="CT22" s="546">
        <f>[2]IS!CT45</f>
        <v>139147.89960116334</v>
      </c>
      <c r="CU22" s="546">
        <f>[2]IS!CU45</f>
        <v>142957.54991079727</v>
      </c>
      <c r="CV22" s="546">
        <f>[2]IS!CV45</f>
        <v>148958.92905297957</v>
      </c>
      <c r="CW22" s="423">
        <f>[2]IS!CW45</f>
        <v>581542.69806567591</v>
      </c>
      <c r="CX22" s="546">
        <f>[2]IS!CX45</f>
        <v>161023.28994962366</v>
      </c>
      <c r="CY22" s="546">
        <f>[2]IS!CY45</f>
        <v>149313.44694749822</v>
      </c>
      <c r="CZ22" s="546">
        <f>[2]IS!CZ45</f>
        <v>152730.04995606933</v>
      </c>
      <c r="DA22" s="546">
        <f>[2]IS!DA45</f>
        <v>158921.28843552034</v>
      </c>
      <c r="DB22" s="423">
        <f>[2]IS!DB45</f>
        <v>621988.07528871158</v>
      </c>
    </row>
    <row r="23" spans="1:106" s="54" customFormat="1" ht="11.5" customHeight="1" x14ac:dyDescent="0.35">
      <c r="A23" s="190" t="s">
        <v>390</v>
      </c>
      <c r="B23" s="90"/>
      <c r="C23" s="90"/>
      <c r="D23" s="90"/>
      <c r="E23" s="90"/>
      <c r="F23" s="518"/>
      <c r="G23" s="395"/>
      <c r="H23" s="397"/>
      <c r="I23" s="397"/>
      <c r="J23" s="397"/>
      <c r="K23" s="518"/>
      <c r="L23" s="395"/>
      <c r="M23" s="397"/>
      <c r="N23" s="397"/>
      <c r="O23" s="397"/>
      <c r="P23" s="518"/>
      <c r="Q23" s="395"/>
      <c r="R23" s="397"/>
      <c r="S23" s="397"/>
      <c r="T23" s="397"/>
      <c r="U23" s="518"/>
      <c r="V23" s="395"/>
      <c r="W23" s="397"/>
      <c r="X23" s="397"/>
      <c r="Y23" s="397"/>
      <c r="Z23" s="518"/>
      <c r="AA23" s="395"/>
      <c r="AB23" s="397"/>
      <c r="AC23" s="397"/>
      <c r="AD23" s="397"/>
      <c r="AE23" s="518"/>
      <c r="AF23" s="395"/>
      <c r="AG23" s="397"/>
      <c r="AH23" s="397"/>
      <c r="AI23" s="397"/>
      <c r="AJ23" s="518">
        <v>8779</v>
      </c>
      <c r="AK23" s="395"/>
      <c r="AL23" s="397"/>
      <c r="AM23" s="397"/>
      <c r="AN23" s="397"/>
      <c r="AO23" s="518">
        <v>40686</v>
      </c>
      <c r="AP23" s="395"/>
      <c r="AQ23" s="397"/>
      <c r="AR23" s="397"/>
      <c r="AS23" s="397"/>
      <c r="AT23" s="518">
        <v>66602</v>
      </c>
      <c r="AU23" s="395"/>
      <c r="AV23" s="397"/>
      <c r="AW23" s="397"/>
      <c r="AX23" s="397"/>
      <c r="AY23" s="518">
        <v>87969</v>
      </c>
      <c r="AZ23" s="395"/>
      <c r="BA23" s="397"/>
      <c r="BB23" s="397"/>
      <c r="BC23" s="397"/>
      <c r="BD23" s="518">
        <v>230145</v>
      </c>
      <c r="BE23" s="395"/>
      <c r="BF23" s="397"/>
      <c r="BG23" s="397"/>
      <c r="BH23" s="397"/>
      <c r="BI23" s="518">
        <v>317239</v>
      </c>
      <c r="BJ23" s="395"/>
      <c r="BK23" s="397"/>
      <c r="BL23" s="397"/>
      <c r="BM23" s="397"/>
      <c r="BN23" s="518">
        <v>410238</v>
      </c>
      <c r="BO23" s="395"/>
      <c r="BP23" s="397"/>
      <c r="BQ23" s="397"/>
      <c r="BR23" s="397"/>
      <c r="BS23" s="518">
        <v>617149</v>
      </c>
      <c r="BT23" s="395"/>
      <c r="BU23" s="397"/>
      <c r="BV23" s="397"/>
      <c r="BW23" s="397"/>
      <c r="BX23" s="518">
        <v>847235</v>
      </c>
      <c r="BY23" s="395">
        <v>801581</v>
      </c>
      <c r="BZ23" s="397">
        <v>911158</v>
      </c>
      <c r="CA23" s="397">
        <v>989580</v>
      </c>
      <c r="CB23" s="90">
        <f>CC23</f>
        <v>1023195</v>
      </c>
      <c r="CC23" s="518">
        <v>1023195</v>
      </c>
      <c r="CD23" s="395">
        <v>1064266</v>
      </c>
      <c r="CE23" s="397">
        <v>1117625</v>
      </c>
      <c r="CF23" s="422">
        <f>'[2]BS &amp; FCF'!CF43</f>
        <v>1204784.6120451046</v>
      </c>
      <c r="CG23" s="422">
        <f>'[2]BS &amp; FCF'!CG43</f>
        <v>1346901.1254809501</v>
      </c>
      <c r="CH23" s="423">
        <f>'[2]BS &amp; FCF'!CH43</f>
        <v>1346901.1254809501</v>
      </c>
      <c r="CI23" s="422">
        <f>'[2]BS &amp; FCF'!CI43</f>
        <v>1341020.6715928449</v>
      </c>
      <c r="CJ23" s="422">
        <f>'[2]BS &amp; FCF'!CJ43</f>
        <v>1457001.83225478</v>
      </c>
      <c r="CK23" s="422">
        <f>'[2]BS &amp; FCF'!CK43</f>
        <v>1582165.4697255341</v>
      </c>
      <c r="CL23" s="422">
        <f>'[2]BS &amp; FCF'!CL43</f>
        <v>1723161.4365421226</v>
      </c>
      <c r="CM23" s="423">
        <f>'[2]BS &amp; FCF'!CM43</f>
        <v>1723161.4365421226</v>
      </c>
      <c r="CN23" s="422">
        <f>'[2]BS &amp; FCF'!CN43</f>
        <v>1595259.1651854396</v>
      </c>
      <c r="CO23" s="422">
        <f>'[2]BS &amp; FCF'!CO43</f>
        <v>1721831.4702422754</v>
      </c>
      <c r="CP23" s="422">
        <f>'[2]BS &amp; FCF'!CP43</f>
        <v>1853795.4675081903</v>
      </c>
      <c r="CQ23" s="422">
        <f>'[2]BS &amp; FCF'!CQ43</f>
        <v>1992293.0729347705</v>
      </c>
      <c r="CR23" s="423">
        <f>'[2]BS &amp; FCF'!CR43</f>
        <v>1992293.0729347705</v>
      </c>
      <c r="CS23" s="422">
        <f>'[2]BS &amp; FCF'!CS43</f>
        <v>1783066.8452178258</v>
      </c>
      <c r="CT23" s="422">
        <f>'[2]BS &amp; FCF'!CT43</f>
        <v>1922214.7448189892</v>
      </c>
      <c r="CU23" s="422">
        <f>'[2]BS &amp; FCF'!CU43</f>
        <v>2065172.2947297865</v>
      </c>
      <c r="CV23" s="422">
        <f>'[2]BS &amp; FCF'!CV43</f>
        <v>2214131.2237827661</v>
      </c>
      <c r="CW23" s="423">
        <f>'[2]BS &amp; FCF'!CW43</f>
        <v>2214131.2237827661</v>
      </c>
      <c r="CX23" s="422">
        <f>'[2]BS &amp; FCF'!CX43</f>
        <v>1968074.625086417</v>
      </c>
      <c r="CY23" s="422">
        <f>'[2]BS &amp; FCF'!CY43</f>
        <v>2117388.0720339152</v>
      </c>
      <c r="CZ23" s="422">
        <f>'[2]BS &amp; FCF'!CZ43</f>
        <v>2270118.1219899845</v>
      </c>
      <c r="DA23" s="422">
        <f>'[2]BS &amp; FCF'!DA43</f>
        <v>2429039.4104255047</v>
      </c>
      <c r="DB23" s="423">
        <f>'[2]BS &amp; FCF'!DB43</f>
        <v>2429039.4104255047</v>
      </c>
    </row>
    <row r="24" spans="1:106" s="91" customFormat="1" ht="11.5" customHeight="1" x14ac:dyDescent="0.35">
      <c r="A24" s="522" t="s">
        <v>361</v>
      </c>
      <c r="B24" s="92"/>
      <c r="C24" s="92"/>
      <c r="D24" s="92"/>
      <c r="E24" s="92"/>
      <c r="F24" s="25" t="e">
        <f>F22/F23</f>
        <v>#DIV/0!</v>
      </c>
      <c r="G24" s="24" t="e">
        <f t="shared" ref="G24:BR24" si="54">G22/G23</f>
        <v>#DIV/0!</v>
      </c>
      <c r="H24" s="164" t="e">
        <f t="shared" si="54"/>
        <v>#DIV/0!</v>
      </c>
      <c r="I24" s="164" t="e">
        <f t="shared" si="54"/>
        <v>#DIV/0!</v>
      </c>
      <c r="J24" s="164" t="e">
        <f t="shared" si="54"/>
        <v>#DIV/0!</v>
      </c>
      <c r="K24" s="25" t="e">
        <f t="shared" si="54"/>
        <v>#DIV/0!</v>
      </c>
      <c r="L24" s="24" t="e">
        <f t="shared" si="54"/>
        <v>#DIV/0!</v>
      </c>
      <c r="M24" s="164" t="e">
        <f t="shared" si="54"/>
        <v>#DIV/0!</v>
      </c>
      <c r="N24" s="164" t="e">
        <f t="shared" si="54"/>
        <v>#DIV/0!</v>
      </c>
      <c r="O24" s="164" t="e">
        <f t="shared" si="54"/>
        <v>#DIV/0!</v>
      </c>
      <c r="P24" s="25" t="e">
        <f t="shared" si="54"/>
        <v>#DIV/0!</v>
      </c>
      <c r="Q24" s="24" t="e">
        <f t="shared" si="54"/>
        <v>#DIV/0!</v>
      </c>
      <c r="R24" s="164" t="e">
        <f t="shared" si="54"/>
        <v>#DIV/0!</v>
      </c>
      <c r="S24" s="164" t="e">
        <f t="shared" si="54"/>
        <v>#DIV/0!</v>
      </c>
      <c r="T24" s="164" t="e">
        <f t="shared" si="54"/>
        <v>#DIV/0!</v>
      </c>
      <c r="U24" s="25" t="e">
        <f t="shared" si="54"/>
        <v>#DIV/0!</v>
      </c>
      <c r="V24" s="24" t="e">
        <f t="shared" si="54"/>
        <v>#DIV/0!</v>
      </c>
      <c r="W24" s="164" t="e">
        <f t="shared" si="54"/>
        <v>#DIV/0!</v>
      </c>
      <c r="X24" s="164" t="e">
        <f t="shared" si="54"/>
        <v>#DIV/0!</v>
      </c>
      <c r="Y24" s="164" t="e">
        <f t="shared" si="54"/>
        <v>#DIV/0!</v>
      </c>
      <c r="Z24" s="25" t="e">
        <f t="shared" si="54"/>
        <v>#DIV/0!</v>
      </c>
      <c r="AA24" s="24" t="e">
        <f t="shared" si="54"/>
        <v>#DIV/0!</v>
      </c>
      <c r="AB24" s="164" t="e">
        <f t="shared" si="54"/>
        <v>#DIV/0!</v>
      </c>
      <c r="AC24" s="164" t="e">
        <f t="shared" si="54"/>
        <v>#DIV/0!</v>
      </c>
      <c r="AD24" s="164" t="e">
        <f t="shared" si="54"/>
        <v>#DIV/0!</v>
      </c>
      <c r="AE24" s="25" t="e">
        <f t="shared" si="54"/>
        <v>#DIV/0!</v>
      </c>
      <c r="AF24" s="24" t="e">
        <f t="shared" si="54"/>
        <v>#DIV/0!</v>
      </c>
      <c r="AG24" s="164" t="e">
        <f t="shared" si="54"/>
        <v>#DIV/0!</v>
      </c>
      <c r="AH24" s="164" t="e">
        <f t="shared" si="54"/>
        <v>#DIV/0!</v>
      </c>
      <c r="AI24" s="164" t="e">
        <f t="shared" si="54"/>
        <v>#DIV/0!</v>
      </c>
      <c r="AJ24" s="25">
        <f t="shared" si="54"/>
        <v>0.99886091810001143</v>
      </c>
      <c r="AK24" s="24" t="e">
        <f t="shared" si="54"/>
        <v>#DIV/0!</v>
      </c>
      <c r="AL24" s="164" t="e">
        <f t="shared" si="54"/>
        <v>#DIV/0!</v>
      </c>
      <c r="AM24" s="164" t="e">
        <f t="shared" si="54"/>
        <v>#DIV/0!</v>
      </c>
      <c r="AN24" s="164" t="e">
        <f t="shared" si="54"/>
        <v>#DIV/0!</v>
      </c>
      <c r="AO24" s="25">
        <f t="shared" si="54"/>
        <v>0.7842255321240722</v>
      </c>
      <c r="AP24" s="24" t="e">
        <f t="shared" si="54"/>
        <v>#DIV/0!</v>
      </c>
      <c r="AQ24" s="164" t="e">
        <f t="shared" si="54"/>
        <v>#DIV/0!</v>
      </c>
      <c r="AR24" s="164" t="e">
        <f t="shared" si="54"/>
        <v>#DIV/0!</v>
      </c>
      <c r="AS24" s="164" t="e">
        <f t="shared" si="54"/>
        <v>#DIV/0!</v>
      </c>
      <c r="AT24" s="25">
        <f t="shared" si="54"/>
        <v>0.64681240803579476</v>
      </c>
      <c r="AU24" s="24" t="e">
        <f t="shared" si="54"/>
        <v>#DIV/0!</v>
      </c>
      <c r="AV24" s="164" t="e">
        <f t="shared" si="54"/>
        <v>#DIV/0!</v>
      </c>
      <c r="AW24" s="164" t="e">
        <f t="shared" si="54"/>
        <v>#DIV/0!</v>
      </c>
      <c r="AX24" s="164" t="e">
        <f t="shared" si="54"/>
        <v>#DIV/0!</v>
      </c>
      <c r="AY24" s="25">
        <f t="shared" si="54"/>
        <v>1.0892018779342723</v>
      </c>
      <c r="AZ24" s="24" t="e">
        <f t="shared" si="54"/>
        <v>#DIV/0!</v>
      </c>
      <c r="BA24" s="164" t="e">
        <f t="shared" si="54"/>
        <v>#DIV/0!</v>
      </c>
      <c r="BB24" s="164" t="e">
        <f t="shared" si="54"/>
        <v>#DIV/0!</v>
      </c>
      <c r="BC24" s="164" t="e">
        <f t="shared" si="54"/>
        <v>#DIV/0!</v>
      </c>
      <c r="BD24" s="25">
        <f t="shared" si="54"/>
        <v>0.57443785439614159</v>
      </c>
      <c r="BE24" s="24" t="e">
        <f t="shared" si="54"/>
        <v>#DIV/0!</v>
      </c>
      <c r="BF24" s="164" t="e">
        <f t="shared" si="54"/>
        <v>#DIV/0!</v>
      </c>
      <c r="BG24" s="164" t="e">
        <f t="shared" si="54"/>
        <v>#DIV/0!</v>
      </c>
      <c r="BH24" s="164" t="e">
        <f t="shared" si="54"/>
        <v>#DIV/0!</v>
      </c>
      <c r="BI24" s="25">
        <f t="shared" si="54"/>
        <v>0.42581775885058271</v>
      </c>
      <c r="BJ24" s="24" t="e">
        <f t="shared" si="54"/>
        <v>#DIV/0!</v>
      </c>
      <c r="BK24" s="164" t="e">
        <f t="shared" si="54"/>
        <v>#DIV/0!</v>
      </c>
      <c r="BL24" s="164" t="e">
        <f t="shared" si="54"/>
        <v>#DIV/0!</v>
      </c>
      <c r="BM24" s="164" t="e">
        <f t="shared" si="54"/>
        <v>#DIV/0!</v>
      </c>
      <c r="BN24" s="25">
        <f t="shared" si="54"/>
        <v>0.32585962295057991</v>
      </c>
      <c r="BO24" s="24" t="e">
        <f t="shared" si="54"/>
        <v>#DIV/0!</v>
      </c>
      <c r="BP24" s="164" t="e">
        <f t="shared" si="54"/>
        <v>#DIV/0!</v>
      </c>
      <c r="BQ24" s="164" t="e">
        <f t="shared" si="54"/>
        <v>#DIV/0!</v>
      </c>
      <c r="BR24" s="164" t="e">
        <f t="shared" si="54"/>
        <v>#DIV/0!</v>
      </c>
      <c r="BS24" s="25">
        <f t="shared" ref="BS24:DB24" si="55">BS22/BS23</f>
        <v>0.43515261306426811</v>
      </c>
      <c r="BT24" s="24" t="e">
        <f t="shared" si="55"/>
        <v>#DIV/0!</v>
      </c>
      <c r="BU24" s="164" t="e">
        <f t="shared" si="55"/>
        <v>#DIV/0!</v>
      </c>
      <c r="BV24" s="164" t="e">
        <f t="shared" si="55"/>
        <v>#DIV/0!</v>
      </c>
      <c r="BW24" s="164" t="e">
        <f t="shared" si="55"/>
        <v>#DIV/0!</v>
      </c>
      <c r="BX24" s="25">
        <f t="shared" si="55"/>
        <v>0.40581892863255176</v>
      </c>
      <c r="BY24" s="24">
        <f t="shared" si="55"/>
        <v>8.350622083108257E-2</v>
      </c>
      <c r="BZ24" s="164">
        <f t="shared" si="55"/>
        <v>9.1684427947732447E-2</v>
      </c>
      <c r="CA24" s="164">
        <f t="shared" ref="CA24:CB24" si="56">CA22/CA23</f>
        <v>7.8968855474039493E-2</v>
      </c>
      <c r="CB24" s="164">
        <f t="shared" si="56"/>
        <v>0.13036322499621283</v>
      </c>
      <c r="CC24" s="25">
        <f t="shared" si="55"/>
        <v>0.35380254985608806</v>
      </c>
      <c r="CD24" s="24">
        <f t="shared" ref="CD24:CE24" si="57">CD22/CD23</f>
        <v>3.8340039050387777E-2</v>
      </c>
      <c r="CE24" s="164">
        <f t="shared" si="57"/>
        <v>4.7396935465831562E-2</v>
      </c>
      <c r="CF24" s="164">
        <f t="shared" si="55"/>
        <v>7.1892291417289936E-2</v>
      </c>
      <c r="CG24" s="164">
        <f t="shared" si="55"/>
        <v>0.10551369417342998</v>
      </c>
      <c r="CH24" s="25">
        <f t="shared" si="55"/>
        <v>0.24013576005102585</v>
      </c>
      <c r="CI24" s="164">
        <f t="shared" si="55"/>
        <v>8.0031010933448429E-2</v>
      </c>
      <c r="CJ24" s="164">
        <f t="shared" si="55"/>
        <v>7.9602618263320074E-2</v>
      </c>
      <c r="CK24" s="164">
        <f t="shared" si="55"/>
        <v>7.910906909911701E-2</v>
      </c>
      <c r="CL24" s="164">
        <f t="shared" si="55"/>
        <v>8.1824003152905916E-2</v>
      </c>
      <c r="CM24" s="25">
        <f t="shared" si="55"/>
        <v>0.28404999937888309</v>
      </c>
      <c r="CN24" s="164">
        <f t="shared" si="55"/>
        <v>7.3235580576958392E-2</v>
      </c>
      <c r="CO24" s="164">
        <f t="shared" si="55"/>
        <v>7.3510275102026096E-2</v>
      </c>
      <c r="CP24" s="164">
        <f t="shared" si="55"/>
        <v>7.1185845244996965E-2</v>
      </c>
      <c r="CQ24" s="164">
        <f t="shared" si="55"/>
        <v>6.9516682715040912E-2</v>
      </c>
      <c r="CR24" s="25">
        <f t="shared" si="55"/>
        <v>0.25792572682363829</v>
      </c>
      <c r="CS24" s="164">
        <f t="shared" si="55"/>
        <v>8.4392977136172775E-2</v>
      </c>
      <c r="CT24" s="164">
        <f t="shared" si="55"/>
        <v>7.2389362310435607E-2</v>
      </c>
      <c r="CU24" s="164">
        <f t="shared" si="55"/>
        <v>6.9223062054249704E-2</v>
      </c>
      <c r="CV24" s="164">
        <f t="shared" si="55"/>
        <v>6.7276468283794133E-2</v>
      </c>
      <c r="CW24" s="25">
        <f t="shared" si="55"/>
        <v>0.26265051132431549</v>
      </c>
      <c r="CX24" s="164">
        <f t="shared" si="55"/>
        <v>8.1817674948455391E-2</v>
      </c>
      <c r="CY24" s="164">
        <f t="shared" si="55"/>
        <v>7.0517751998135647E-2</v>
      </c>
      <c r="CZ24" s="164">
        <f t="shared" si="55"/>
        <v>6.7278459423153816E-2</v>
      </c>
      <c r="DA24" s="164">
        <f t="shared" si="55"/>
        <v>6.5425570187715262E-2</v>
      </c>
      <c r="DB24" s="25">
        <f t="shared" si="55"/>
        <v>0.25606339387459975</v>
      </c>
    </row>
    <row r="25" spans="1:106" s="91" customFormat="1" ht="11.5" customHeight="1" collapsed="1" x14ac:dyDescent="0.35">
      <c r="A25" s="515" t="s">
        <v>372</v>
      </c>
      <c r="B25" s="516"/>
      <c r="C25" s="516"/>
      <c r="D25" s="516"/>
      <c r="E25" s="516"/>
      <c r="F25" s="442"/>
      <c r="G25" s="441"/>
      <c r="H25" s="441"/>
      <c r="I25" s="441"/>
      <c r="J25" s="441"/>
      <c r="K25" s="442"/>
      <c r="L25" s="441"/>
      <c r="M25" s="441"/>
      <c r="N25" s="441"/>
      <c r="O25" s="441"/>
      <c r="P25" s="442"/>
      <c r="Q25" s="441"/>
      <c r="R25" s="441"/>
      <c r="S25" s="441"/>
      <c r="T25" s="441"/>
      <c r="U25" s="442"/>
      <c r="V25" s="441"/>
      <c r="W25" s="441"/>
      <c r="X25" s="441"/>
      <c r="Y25" s="441"/>
      <c r="Z25" s="442"/>
      <c r="AA25" s="441"/>
      <c r="AB25" s="441"/>
      <c r="AC25" s="441"/>
      <c r="AD25" s="441"/>
      <c r="AE25" s="442"/>
      <c r="AF25" s="441"/>
      <c r="AG25" s="441"/>
      <c r="AH25" s="441"/>
      <c r="AI25" s="441"/>
      <c r="AJ25" s="649">
        <v>0.5</v>
      </c>
      <c r="AK25" s="517"/>
      <c r="AL25" s="517"/>
      <c r="AM25" s="517"/>
      <c r="AN25" s="517"/>
      <c r="AO25" s="649">
        <v>0.5</v>
      </c>
      <c r="AP25" s="517"/>
      <c r="AQ25" s="517"/>
      <c r="AR25" s="517"/>
      <c r="AS25" s="517"/>
      <c r="AT25" s="649">
        <v>0.5</v>
      </c>
      <c r="AU25" s="517"/>
      <c r="AV25" s="517"/>
      <c r="AW25" s="517"/>
      <c r="AX25" s="517"/>
      <c r="AY25" s="649">
        <v>0.5</v>
      </c>
      <c r="AZ25" s="517"/>
      <c r="BA25" s="517"/>
      <c r="BB25" s="517"/>
      <c r="BC25" s="517"/>
      <c r="BD25" s="649">
        <v>0.33500000000000002</v>
      </c>
      <c r="BE25" s="517"/>
      <c r="BF25" s="517"/>
      <c r="BG25" s="517"/>
      <c r="BH25" s="517"/>
      <c r="BI25" s="649">
        <v>0.33889999999999998</v>
      </c>
      <c r="BJ25" s="517"/>
      <c r="BK25" s="517"/>
      <c r="BL25" s="517"/>
      <c r="BM25" s="517"/>
      <c r="BN25" s="649">
        <v>0.34520000000000001</v>
      </c>
      <c r="BO25" s="517"/>
      <c r="BP25" s="517"/>
      <c r="BQ25" s="517"/>
      <c r="BR25" s="517"/>
      <c r="BS25" s="649">
        <v>0.34520000000000001</v>
      </c>
      <c r="BT25" s="517"/>
      <c r="BU25" s="517"/>
      <c r="BV25" s="517"/>
      <c r="BW25" s="517"/>
      <c r="BX25" s="649">
        <v>0.34520000000000001</v>
      </c>
      <c r="BY25" s="517">
        <v>0.34420000000000001</v>
      </c>
      <c r="BZ25" s="517">
        <v>0.33600000000000002</v>
      </c>
      <c r="CA25" s="517">
        <v>0.33600000000000002</v>
      </c>
      <c r="CB25" s="441">
        <f>CC25</f>
        <v>0.33600000000000002</v>
      </c>
      <c r="CC25" s="649">
        <v>0.33600000000000002</v>
      </c>
      <c r="CD25" s="517">
        <v>0.33600000000000002</v>
      </c>
      <c r="CE25" s="517">
        <v>0.33600000000000002</v>
      </c>
      <c r="CF25" s="441">
        <f t="shared" ref="CF25:CG25" si="58">CE25</f>
        <v>0.33600000000000002</v>
      </c>
      <c r="CG25" s="441">
        <f t="shared" si="58"/>
        <v>0.33600000000000002</v>
      </c>
      <c r="CH25" s="442">
        <f>AVERAGE(CD25:CG25)</f>
        <v>0.33600000000000002</v>
      </c>
      <c r="CI25" s="441">
        <f t="shared" ref="CI25" si="59">CG25</f>
        <v>0.33600000000000002</v>
      </c>
      <c r="CJ25" s="441">
        <f t="shared" ref="CJ25:DA25" si="60">CI25</f>
        <v>0.33600000000000002</v>
      </c>
      <c r="CK25" s="441">
        <f t="shared" si="60"/>
        <v>0.33600000000000002</v>
      </c>
      <c r="CL25" s="441">
        <f t="shared" si="60"/>
        <v>0.33600000000000002</v>
      </c>
      <c r="CM25" s="442">
        <f t="shared" ref="CM25" si="61">AVERAGE(CI25:CL25)</f>
        <v>0.33600000000000002</v>
      </c>
      <c r="CN25" s="441">
        <f t="shared" ref="CN25" si="62">CL25</f>
        <v>0.33600000000000002</v>
      </c>
      <c r="CO25" s="441">
        <f t="shared" ref="CO25" si="63">CN25</f>
        <v>0.33600000000000002</v>
      </c>
      <c r="CP25" s="441">
        <f t="shared" si="60"/>
        <v>0.33600000000000002</v>
      </c>
      <c r="CQ25" s="441">
        <f t="shared" si="60"/>
        <v>0.33600000000000002</v>
      </c>
      <c r="CR25" s="442">
        <f t="shared" ref="CR25" si="64">AVERAGE(CN25:CQ25)</f>
        <v>0.33600000000000002</v>
      </c>
      <c r="CS25" s="441">
        <f t="shared" ref="CS25" si="65">CQ25</f>
        <v>0.33600000000000002</v>
      </c>
      <c r="CT25" s="441">
        <f t="shared" ref="CT25" si="66">CS25</f>
        <v>0.33600000000000002</v>
      </c>
      <c r="CU25" s="441">
        <f t="shared" si="60"/>
        <v>0.33600000000000002</v>
      </c>
      <c r="CV25" s="441">
        <f t="shared" si="60"/>
        <v>0.33600000000000002</v>
      </c>
      <c r="CW25" s="442">
        <f t="shared" ref="CW25" si="67">AVERAGE(CS25:CV25)</f>
        <v>0.33600000000000002</v>
      </c>
      <c r="CX25" s="441">
        <f t="shared" ref="CX25" si="68">CV25</f>
        <v>0.33600000000000002</v>
      </c>
      <c r="CY25" s="441">
        <f t="shared" ref="CY25" si="69">CX25</f>
        <v>0.33600000000000002</v>
      </c>
      <c r="CZ25" s="441">
        <f t="shared" si="60"/>
        <v>0.33600000000000002</v>
      </c>
      <c r="DA25" s="441">
        <f t="shared" si="60"/>
        <v>0.33600000000000002</v>
      </c>
      <c r="DB25" s="442">
        <f t="shared" ref="DB25" si="70">AVERAGE(CX25:DA25)</f>
        <v>0.33600000000000002</v>
      </c>
    </row>
    <row r="26" spans="1:106" s="54" customFormat="1" ht="11.5" customHeight="1" x14ac:dyDescent="0.35">
      <c r="A26" s="217" t="s">
        <v>392</v>
      </c>
      <c r="B26" s="395"/>
      <c r="C26" s="395"/>
      <c r="D26" s="422"/>
      <c r="E26" s="70"/>
      <c r="F26" s="29"/>
      <c r="G26" s="395"/>
      <c r="H26" s="395"/>
      <c r="I26" s="422"/>
      <c r="J26" s="70"/>
      <c r="K26" s="29"/>
      <c r="L26" s="395"/>
      <c r="M26" s="395"/>
      <c r="N26" s="422"/>
      <c r="O26" s="70"/>
      <c r="P26" s="29"/>
      <c r="Q26" s="395"/>
      <c r="R26" s="395"/>
      <c r="S26" s="422"/>
      <c r="T26" s="70"/>
      <c r="U26" s="29"/>
      <c r="V26" s="395"/>
      <c r="W26" s="395"/>
      <c r="X26" s="422"/>
      <c r="Y26" s="70"/>
      <c r="Z26" s="29"/>
      <c r="AA26" s="395"/>
      <c r="AB26" s="395"/>
      <c r="AC26" s="422"/>
      <c r="AD26" s="70"/>
      <c r="AE26" s="29"/>
      <c r="AF26" s="395"/>
      <c r="AG26" s="395"/>
      <c r="AH26" s="422"/>
      <c r="AI26" s="70"/>
      <c r="AJ26" s="29"/>
      <c r="AK26" s="395"/>
      <c r="AL26" s="395"/>
      <c r="AM26" s="422"/>
      <c r="AN26" s="70"/>
      <c r="AO26" s="29"/>
      <c r="AP26" s="395"/>
      <c r="AQ26" s="395"/>
      <c r="AR26" s="422"/>
      <c r="AS26" s="70"/>
      <c r="AT26" s="29"/>
      <c r="AU26" s="395"/>
      <c r="AV26" s="395"/>
      <c r="AW26" s="422"/>
      <c r="AX26" s="70"/>
      <c r="AY26" s="29"/>
      <c r="AZ26" s="395"/>
      <c r="BA26" s="395"/>
      <c r="BB26" s="422"/>
      <c r="BC26" s="70"/>
      <c r="BD26" s="29"/>
      <c r="BE26" s="395"/>
      <c r="BF26" s="395"/>
      <c r="BG26" s="422"/>
      <c r="BH26" s="70"/>
      <c r="BI26" s="29"/>
      <c r="BJ26" s="395"/>
      <c r="BK26" s="395"/>
      <c r="BL26" s="422"/>
      <c r="BM26" s="70"/>
      <c r="BN26" s="29"/>
      <c r="BO26" s="395"/>
      <c r="BP26" s="395"/>
      <c r="BQ26" s="422"/>
      <c r="BR26" s="70"/>
      <c r="BS26" s="29"/>
      <c r="BT26" s="395"/>
      <c r="BU26" s="395"/>
      <c r="BV26" s="422"/>
      <c r="BW26" s="70"/>
      <c r="BX26" s="29"/>
      <c r="BY26" s="395"/>
      <c r="BZ26" s="395"/>
      <c r="CA26" s="422"/>
      <c r="CB26" s="70"/>
      <c r="CC26" s="29"/>
      <c r="CD26" s="395"/>
      <c r="CE26" s="395"/>
      <c r="CF26" s="422"/>
      <c r="CG26" s="422"/>
      <c r="CH26" s="29"/>
      <c r="CI26" s="422"/>
      <c r="CJ26" s="422"/>
      <c r="CK26" s="422"/>
      <c r="CL26" s="422"/>
      <c r="CM26" s="29"/>
      <c r="CN26" s="422"/>
      <c r="CO26" s="422"/>
      <c r="CP26" s="422"/>
      <c r="CQ26" s="422"/>
      <c r="CR26" s="29"/>
      <c r="CS26" s="422"/>
      <c r="CT26" s="422"/>
      <c r="CU26" s="422"/>
      <c r="CV26" s="422"/>
      <c r="CW26" s="29"/>
      <c r="CX26" s="422"/>
      <c r="CY26" s="422"/>
      <c r="CZ26" s="422"/>
      <c r="DA26" s="422"/>
      <c r="DB26" s="29"/>
    </row>
    <row r="27" spans="1:106" s="54" customFormat="1" ht="11.5" customHeight="1" x14ac:dyDescent="0.35">
      <c r="A27" s="190" t="s">
        <v>373</v>
      </c>
      <c r="B27" s="395"/>
      <c r="C27" s="395"/>
      <c r="D27" s="395"/>
      <c r="E27" s="90"/>
      <c r="F27" s="518">
        <v>110309</v>
      </c>
      <c r="G27" s="395"/>
      <c r="H27" s="395"/>
      <c r="I27" s="395"/>
      <c r="J27" s="90"/>
      <c r="K27" s="518">
        <v>130840</v>
      </c>
      <c r="L27" s="395"/>
      <c r="M27" s="395"/>
      <c r="N27" s="395"/>
      <c r="O27" s="90"/>
      <c r="P27" s="518">
        <v>113486</v>
      </c>
      <c r="Q27" s="395"/>
      <c r="R27" s="395"/>
      <c r="S27" s="395"/>
      <c r="T27" s="90"/>
      <c r="U27" s="518">
        <v>168949</v>
      </c>
      <c r="V27" s="395"/>
      <c r="W27" s="395"/>
      <c r="X27" s="395"/>
      <c r="Y27" s="90"/>
      <c r="Z27" s="518">
        <v>150396</v>
      </c>
      <c r="AA27" s="395"/>
      <c r="AB27" s="395"/>
      <c r="AC27" s="395"/>
      <c r="AD27" s="90"/>
      <c r="AE27" s="518">
        <v>126871</v>
      </c>
      <c r="AF27" s="395"/>
      <c r="AG27" s="395"/>
      <c r="AH27" s="395"/>
      <c r="AI27" s="90"/>
      <c r="AJ27" s="518">
        <v>65279</v>
      </c>
      <c r="AK27" s="395"/>
      <c r="AL27" s="395"/>
      <c r="AM27" s="395"/>
      <c r="AN27" s="90"/>
      <c r="AO27" s="518">
        <v>47238</v>
      </c>
      <c r="AP27" s="395"/>
      <c r="AQ27" s="395"/>
      <c r="AR27" s="395"/>
      <c r="AS27" s="90"/>
      <c r="AT27" s="518">
        <v>5612</v>
      </c>
      <c r="AU27" s="395"/>
      <c r="AV27" s="395"/>
      <c r="AW27" s="395"/>
      <c r="AX27" s="90"/>
      <c r="AY27" s="518">
        <v>18956</v>
      </c>
      <c r="AZ27" s="395"/>
      <c r="BA27" s="395"/>
      <c r="BB27" s="395"/>
      <c r="BC27" s="90"/>
      <c r="BD27" s="518">
        <v>-5800</v>
      </c>
      <c r="BE27" s="395"/>
      <c r="BF27" s="395"/>
      <c r="BG27" s="395"/>
      <c r="BH27" s="90"/>
      <c r="BI27" s="518">
        <v>-2750</v>
      </c>
      <c r="BJ27" s="395"/>
      <c r="BK27" s="395"/>
      <c r="BL27" s="395"/>
      <c r="BM27" s="90"/>
      <c r="BN27" s="518">
        <v>-2492</v>
      </c>
      <c r="BO27" s="395"/>
      <c r="BP27" s="395"/>
      <c r="BQ27" s="395"/>
      <c r="BR27" s="90"/>
      <c r="BS27" s="518">
        <v>4575</v>
      </c>
      <c r="BT27" s="395"/>
      <c r="BU27" s="395"/>
      <c r="BV27" s="395"/>
      <c r="BW27" s="90"/>
      <c r="BX27" s="518"/>
      <c r="BY27" s="395"/>
      <c r="BZ27" s="395"/>
      <c r="CA27" s="395"/>
      <c r="CB27" s="90"/>
      <c r="CC27" s="518"/>
      <c r="CD27" s="395"/>
      <c r="CE27" s="395"/>
      <c r="CF27" s="395"/>
      <c r="CG27" s="395"/>
      <c r="CH27" s="518"/>
      <c r="CI27" s="395"/>
      <c r="CJ27" s="395"/>
      <c r="CK27" s="395"/>
      <c r="CL27" s="395"/>
      <c r="CM27" s="518"/>
      <c r="CN27" s="395"/>
      <c r="CO27" s="395"/>
      <c r="CP27" s="395"/>
      <c r="CQ27" s="395"/>
      <c r="CR27" s="518"/>
      <c r="CS27" s="395"/>
      <c r="CT27" s="395"/>
      <c r="CU27" s="395"/>
      <c r="CV27" s="395"/>
      <c r="CW27" s="518"/>
      <c r="CX27" s="395"/>
      <c r="CY27" s="395"/>
      <c r="CZ27" s="395"/>
      <c r="DA27" s="395"/>
      <c r="DB27" s="518"/>
    </row>
    <row r="28" spans="1:106" s="54" customFormat="1" ht="11.5" customHeight="1" x14ac:dyDescent="0.35">
      <c r="A28" s="190" t="s">
        <v>390</v>
      </c>
      <c r="B28" s="395"/>
      <c r="C28" s="397"/>
      <c r="D28" s="397"/>
      <c r="E28" s="70"/>
      <c r="F28" s="518">
        <v>278854</v>
      </c>
      <c r="G28" s="395"/>
      <c r="H28" s="397"/>
      <c r="I28" s="397"/>
      <c r="J28" s="70"/>
      <c r="K28" s="518">
        <v>400395</v>
      </c>
      <c r="L28" s="395"/>
      <c r="M28" s="397"/>
      <c r="N28" s="397"/>
      <c r="O28" s="70"/>
      <c r="P28" s="518">
        <v>470866</v>
      </c>
      <c r="Q28" s="395"/>
      <c r="R28" s="397"/>
      <c r="S28" s="397"/>
      <c r="T28" s="70"/>
      <c r="U28" s="518">
        <v>576464</v>
      </c>
      <c r="V28" s="395"/>
      <c r="W28" s="397"/>
      <c r="X28" s="397"/>
      <c r="Y28" s="70"/>
      <c r="Z28" s="518">
        <v>673010</v>
      </c>
      <c r="AA28" s="395"/>
      <c r="AB28" s="397"/>
      <c r="AC28" s="397"/>
      <c r="AD28" s="70"/>
      <c r="AE28" s="518">
        <v>723507</v>
      </c>
      <c r="AF28" s="395"/>
      <c r="AG28" s="397"/>
      <c r="AH28" s="397"/>
      <c r="AI28" s="70"/>
      <c r="AJ28" s="518">
        <v>566235</v>
      </c>
      <c r="AK28" s="395"/>
      <c r="AL28" s="397"/>
      <c r="AM28" s="397"/>
      <c r="AN28" s="70"/>
      <c r="AO28" s="518">
        <v>155908</v>
      </c>
      <c r="AP28" s="395"/>
      <c r="AQ28" s="397"/>
      <c r="AR28" s="397"/>
      <c r="AS28" s="70"/>
      <c r="AT28" s="518">
        <v>34808</v>
      </c>
      <c r="AU28" s="395"/>
      <c r="AV28" s="397"/>
      <c r="AW28" s="397"/>
      <c r="AX28" s="70"/>
      <c r="AY28" s="518">
        <v>30617</v>
      </c>
      <c r="AZ28" s="395"/>
      <c r="BA28" s="397"/>
      <c r="BB28" s="397"/>
      <c r="BC28" s="70"/>
      <c r="BD28" s="518">
        <v>24849</v>
      </c>
      <c r="BE28" s="395"/>
      <c r="BF28" s="397"/>
      <c r="BG28" s="397"/>
      <c r="BH28" s="70"/>
      <c r="BI28" s="518">
        <v>15003</v>
      </c>
      <c r="BJ28" s="395"/>
      <c r="BK28" s="397"/>
      <c r="BL28" s="397"/>
      <c r="BM28" s="70"/>
      <c r="BN28" s="518">
        <v>12511</v>
      </c>
      <c r="BO28" s="395"/>
      <c r="BP28" s="397"/>
      <c r="BQ28" s="397"/>
      <c r="BR28" s="70"/>
      <c r="BS28" s="518">
        <v>12787</v>
      </c>
      <c r="BT28" s="395"/>
      <c r="BU28" s="397"/>
      <c r="BV28" s="397"/>
      <c r="BW28" s="70"/>
      <c r="BX28" s="518"/>
      <c r="BY28" s="395"/>
      <c r="BZ28" s="397"/>
      <c r="CA28" s="397"/>
      <c r="CB28" s="70"/>
      <c r="CC28" s="518"/>
      <c r="CD28" s="395"/>
      <c r="CE28" s="397"/>
      <c r="CF28" s="397"/>
      <c r="CG28" s="397"/>
      <c r="CH28" s="518"/>
      <c r="CI28" s="397"/>
      <c r="CJ28" s="397"/>
      <c r="CK28" s="397"/>
      <c r="CL28" s="397"/>
      <c r="CM28" s="518"/>
      <c r="CN28" s="397"/>
      <c r="CO28" s="397"/>
      <c r="CP28" s="397"/>
      <c r="CQ28" s="397"/>
      <c r="CR28" s="518"/>
      <c r="CS28" s="397"/>
      <c r="CT28" s="397"/>
      <c r="CU28" s="397"/>
      <c r="CV28" s="397"/>
      <c r="CW28" s="518"/>
      <c r="CX28" s="397"/>
      <c r="CY28" s="397"/>
      <c r="CZ28" s="397"/>
      <c r="DA28" s="397"/>
      <c r="DB28" s="518"/>
    </row>
    <row r="29" spans="1:106" s="91" customFormat="1" ht="11.5" customHeight="1" x14ac:dyDescent="0.35">
      <c r="A29" s="522" t="s">
        <v>361</v>
      </c>
      <c r="B29" s="24"/>
      <c r="C29" s="164"/>
      <c r="D29" s="164"/>
      <c r="E29" s="164"/>
      <c r="F29" s="25">
        <f>F27/F28</f>
        <v>0.39557976575555664</v>
      </c>
      <c r="G29" s="24" t="e">
        <f t="shared" ref="G29:BR29" si="71">G27/G28</f>
        <v>#DIV/0!</v>
      </c>
      <c r="H29" s="164" t="e">
        <f t="shared" si="71"/>
        <v>#DIV/0!</v>
      </c>
      <c r="I29" s="164" t="e">
        <f t="shared" si="71"/>
        <v>#DIV/0!</v>
      </c>
      <c r="J29" s="164" t="e">
        <f t="shared" si="71"/>
        <v>#DIV/0!</v>
      </c>
      <c r="K29" s="25">
        <f t="shared" si="71"/>
        <v>0.32677730740893368</v>
      </c>
      <c r="L29" s="24" t="e">
        <f t="shared" si="71"/>
        <v>#DIV/0!</v>
      </c>
      <c r="M29" s="164" t="e">
        <f t="shared" si="71"/>
        <v>#DIV/0!</v>
      </c>
      <c r="N29" s="164" t="e">
        <f t="shared" si="71"/>
        <v>#DIV/0!</v>
      </c>
      <c r="O29" s="164" t="e">
        <f t="shared" si="71"/>
        <v>#DIV/0!</v>
      </c>
      <c r="P29" s="25">
        <f t="shared" si="71"/>
        <v>0.24101549060666941</v>
      </c>
      <c r="Q29" s="24" t="e">
        <f t="shared" si="71"/>
        <v>#DIV/0!</v>
      </c>
      <c r="R29" s="164" t="e">
        <f t="shared" si="71"/>
        <v>#DIV/0!</v>
      </c>
      <c r="S29" s="164" t="e">
        <f t="shared" si="71"/>
        <v>#DIV/0!</v>
      </c>
      <c r="T29" s="164" t="e">
        <f t="shared" si="71"/>
        <v>#DIV/0!</v>
      </c>
      <c r="U29" s="25">
        <f t="shared" si="71"/>
        <v>0.29307814538288601</v>
      </c>
      <c r="V29" s="24" t="e">
        <f t="shared" si="71"/>
        <v>#DIV/0!</v>
      </c>
      <c r="W29" s="164" t="e">
        <f t="shared" si="71"/>
        <v>#DIV/0!</v>
      </c>
      <c r="X29" s="164" t="e">
        <f t="shared" si="71"/>
        <v>#DIV/0!</v>
      </c>
      <c r="Y29" s="164" t="e">
        <f t="shared" si="71"/>
        <v>#DIV/0!</v>
      </c>
      <c r="Z29" s="25">
        <f t="shared" si="71"/>
        <v>0.2234677047889333</v>
      </c>
      <c r="AA29" s="24" t="e">
        <f t="shared" si="71"/>
        <v>#DIV/0!</v>
      </c>
      <c r="AB29" s="164" t="e">
        <f t="shared" si="71"/>
        <v>#DIV/0!</v>
      </c>
      <c r="AC29" s="164" t="e">
        <f t="shared" si="71"/>
        <v>#DIV/0!</v>
      </c>
      <c r="AD29" s="164" t="e">
        <f t="shared" si="71"/>
        <v>#DIV/0!</v>
      </c>
      <c r="AE29" s="25">
        <f t="shared" si="71"/>
        <v>0.17535559434808509</v>
      </c>
      <c r="AF29" s="24" t="e">
        <f t="shared" si="71"/>
        <v>#DIV/0!</v>
      </c>
      <c r="AG29" s="164" t="e">
        <f t="shared" si="71"/>
        <v>#DIV/0!</v>
      </c>
      <c r="AH29" s="164" t="e">
        <f t="shared" si="71"/>
        <v>#DIV/0!</v>
      </c>
      <c r="AI29" s="164" t="e">
        <f t="shared" si="71"/>
        <v>#DIV/0!</v>
      </c>
      <c r="AJ29" s="25">
        <f t="shared" si="71"/>
        <v>0.11528605614276757</v>
      </c>
      <c r="AK29" s="24" t="e">
        <f t="shared" si="71"/>
        <v>#DIV/0!</v>
      </c>
      <c r="AL29" s="164" t="e">
        <f t="shared" si="71"/>
        <v>#DIV/0!</v>
      </c>
      <c r="AM29" s="164" t="e">
        <f t="shared" si="71"/>
        <v>#DIV/0!</v>
      </c>
      <c r="AN29" s="164" t="e">
        <f t="shared" si="71"/>
        <v>#DIV/0!</v>
      </c>
      <c r="AO29" s="25">
        <f t="shared" si="71"/>
        <v>0.30298637658106065</v>
      </c>
      <c r="AP29" s="24" t="e">
        <f t="shared" si="71"/>
        <v>#DIV/0!</v>
      </c>
      <c r="AQ29" s="164" t="e">
        <f t="shared" si="71"/>
        <v>#DIV/0!</v>
      </c>
      <c r="AR29" s="164" t="e">
        <f t="shared" si="71"/>
        <v>#DIV/0!</v>
      </c>
      <c r="AS29" s="164" t="e">
        <f t="shared" si="71"/>
        <v>#DIV/0!</v>
      </c>
      <c r="AT29" s="25">
        <f t="shared" si="71"/>
        <v>0.16122730406803035</v>
      </c>
      <c r="AU29" s="24" t="e">
        <f t="shared" si="71"/>
        <v>#DIV/0!</v>
      </c>
      <c r="AV29" s="164" t="e">
        <f t="shared" si="71"/>
        <v>#DIV/0!</v>
      </c>
      <c r="AW29" s="164" t="e">
        <f t="shared" si="71"/>
        <v>#DIV/0!</v>
      </c>
      <c r="AX29" s="164" t="e">
        <f t="shared" si="71"/>
        <v>#DIV/0!</v>
      </c>
      <c r="AY29" s="25">
        <f t="shared" si="71"/>
        <v>0.61913316131560903</v>
      </c>
      <c r="AZ29" s="24" t="e">
        <f t="shared" si="71"/>
        <v>#DIV/0!</v>
      </c>
      <c r="BA29" s="164" t="e">
        <f t="shared" si="71"/>
        <v>#DIV/0!</v>
      </c>
      <c r="BB29" s="164" t="e">
        <f t="shared" si="71"/>
        <v>#DIV/0!</v>
      </c>
      <c r="BC29" s="164" t="e">
        <f t="shared" si="71"/>
        <v>#DIV/0!</v>
      </c>
      <c r="BD29" s="25">
        <f t="shared" si="71"/>
        <v>-0.23340979516278321</v>
      </c>
      <c r="BE29" s="24" t="e">
        <f t="shared" si="71"/>
        <v>#DIV/0!</v>
      </c>
      <c r="BF29" s="164" t="e">
        <f t="shared" si="71"/>
        <v>#DIV/0!</v>
      </c>
      <c r="BG29" s="164" t="e">
        <f t="shared" si="71"/>
        <v>#DIV/0!</v>
      </c>
      <c r="BH29" s="164" t="e">
        <f t="shared" si="71"/>
        <v>#DIV/0!</v>
      </c>
      <c r="BI29" s="25">
        <f t="shared" si="71"/>
        <v>-0.18329667399853364</v>
      </c>
      <c r="BJ29" s="24" t="e">
        <f t="shared" si="71"/>
        <v>#DIV/0!</v>
      </c>
      <c r="BK29" s="164" t="e">
        <f t="shared" si="71"/>
        <v>#DIV/0!</v>
      </c>
      <c r="BL29" s="164" t="e">
        <f t="shared" si="71"/>
        <v>#DIV/0!</v>
      </c>
      <c r="BM29" s="164" t="e">
        <f t="shared" si="71"/>
        <v>#DIV/0!</v>
      </c>
      <c r="BN29" s="25">
        <f t="shared" si="71"/>
        <v>-0.19918471744864519</v>
      </c>
      <c r="BO29" s="24" t="e">
        <f t="shared" si="71"/>
        <v>#DIV/0!</v>
      </c>
      <c r="BP29" s="164" t="e">
        <f t="shared" si="71"/>
        <v>#DIV/0!</v>
      </c>
      <c r="BQ29" s="164" t="e">
        <f t="shared" si="71"/>
        <v>#DIV/0!</v>
      </c>
      <c r="BR29" s="164" t="e">
        <f t="shared" si="71"/>
        <v>#DIV/0!</v>
      </c>
      <c r="BS29" s="25">
        <f t="shared" ref="BS29:DB29" si="72">BS27/BS28</f>
        <v>0.35778525064518651</v>
      </c>
      <c r="BT29" s="24" t="e">
        <f t="shared" si="72"/>
        <v>#DIV/0!</v>
      </c>
      <c r="BU29" s="164" t="e">
        <f t="shared" si="72"/>
        <v>#DIV/0!</v>
      </c>
      <c r="BV29" s="164" t="e">
        <f t="shared" si="72"/>
        <v>#DIV/0!</v>
      </c>
      <c r="BW29" s="164" t="e">
        <f t="shared" si="72"/>
        <v>#DIV/0!</v>
      </c>
      <c r="BX29" s="25" t="e">
        <f t="shared" si="72"/>
        <v>#DIV/0!</v>
      </c>
      <c r="BY29" s="24" t="e">
        <f t="shared" si="72"/>
        <v>#DIV/0!</v>
      </c>
      <c r="BZ29" s="164" t="e">
        <f t="shared" si="72"/>
        <v>#DIV/0!</v>
      </c>
      <c r="CA29" s="164" t="e">
        <f t="shared" si="72"/>
        <v>#DIV/0!</v>
      </c>
      <c r="CB29" s="164" t="e">
        <f t="shared" si="72"/>
        <v>#DIV/0!</v>
      </c>
      <c r="CC29" s="25" t="e">
        <f t="shared" si="72"/>
        <v>#DIV/0!</v>
      </c>
      <c r="CD29" s="24" t="e">
        <f t="shared" ref="CD29:CE29" si="73">CD27/CD28</f>
        <v>#DIV/0!</v>
      </c>
      <c r="CE29" s="164" t="e">
        <f t="shared" si="73"/>
        <v>#DIV/0!</v>
      </c>
      <c r="CF29" s="164" t="e">
        <f t="shared" si="72"/>
        <v>#DIV/0!</v>
      </c>
      <c r="CG29" s="164" t="e">
        <f t="shared" si="72"/>
        <v>#DIV/0!</v>
      </c>
      <c r="CH29" s="25" t="e">
        <f t="shared" si="72"/>
        <v>#DIV/0!</v>
      </c>
      <c r="CI29" s="164" t="e">
        <f t="shared" si="72"/>
        <v>#DIV/0!</v>
      </c>
      <c r="CJ29" s="164" t="e">
        <f t="shared" si="72"/>
        <v>#DIV/0!</v>
      </c>
      <c r="CK29" s="164" t="e">
        <f t="shared" si="72"/>
        <v>#DIV/0!</v>
      </c>
      <c r="CL29" s="164" t="e">
        <f t="shared" si="72"/>
        <v>#DIV/0!</v>
      </c>
      <c r="CM29" s="25" t="e">
        <f t="shared" si="72"/>
        <v>#DIV/0!</v>
      </c>
      <c r="CN29" s="164" t="e">
        <f t="shared" si="72"/>
        <v>#DIV/0!</v>
      </c>
      <c r="CO29" s="164" t="e">
        <f t="shared" si="72"/>
        <v>#DIV/0!</v>
      </c>
      <c r="CP29" s="164" t="e">
        <f t="shared" si="72"/>
        <v>#DIV/0!</v>
      </c>
      <c r="CQ29" s="164" t="e">
        <f t="shared" si="72"/>
        <v>#DIV/0!</v>
      </c>
      <c r="CR29" s="25" t="e">
        <f t="shared" si="72"/>
        <v>#DIV/0!</v>
      </c>
      <c r="CS29" s="164" t="e">
        <f t="shared" si="72"/>
        <v>#DIV/0!</v>
      </c>
      <c r="CT29" s="164" t="e">
        <f t="shared" si="72"/>
        <v>#DIV/0!</v>
      </c>
      <c r="CU29" s="164" t="e">
        <f t="shared" si="72"/>
        <v>#DIV/0!</v>
      </c>
      <c r="CV29" s="164" t="e">
        <f t="shared" si="72"/>
        <v>#DIV/0!</v>
      </c>
      <c r="CW29" s="25" t="e">
        <f t="shared" si="72"/>
        <v>#DIV/0!</v>
      </c>
      <c r="CX29" s="164" t="e">
        <f t="shared" si="72"/>
        <v>#DIV/0!</v>
      </c>
      <c r="CY29" s="164" t="e">
        <f t="shared" si="72"/>
        <v>#DIV/0!</v>
      </c>
      <c r="CZ29" s="164" t="e">
        <f t="shared" si="72"/>
        <v>#DIV/0!</v>
      </c>
      <c r="DA29" s="164" t="e">
        <f t="shared" si="72"/>
        <v>#DIV/0!</v>
      </c>
      <c r="DB29" s="25" t="e">
        <f t="shared" si="72"/>
        <v>#DIV/0!</v>
      </c>
    </row>
    <row r="30" spans="1:106" s="91" customFormat="1" ht="11.5" customHeight="1" collapsed="1" x14ac:dyDescent="0.35">
      <c r="A30" s="515" t="s">
        <v>372</v>
      </c>
      <c r="B30" s="515"/>
      <c r="C30" s="515"/>
      <c r="D30" s="441"/>
      <c r="E30" s="441"/>
      <c r="F30" s="442"/>
      <c r="G30" s="515"/>
      <c r="H30" s="515"/>
      <c r="I30" s="441"/>
      <c r="J30" s="441"/>
      <c r="K30" s="442"/>
      <c r="L30" s="515"/>
      <c r="M30" s="515"/>
      <c r="N30" s="441"/>
      <c r="O30" s="441"/>
      <c r="P30" s="442"/>
      <c r="Q30" s="515"/>
      <c r="R30" s="515"/>
      <c r="S30" s="441"/>
      <c r="T30" s="441"/>
      <c r="U30" s="442"/>
      <c r="V30" s="515"/>
      <c r="W30" s="515"/>
      <c r="X30" s="441"/>
      <c r="Y30" s="441"/>
      <c r="Z30" s="442"/>
      <c r="AA30" s="515"/>
      <c r="AB30" s="515"/>
      <c r="AC30" s="441"/>
      <c r="AD30" s="441"/>
      <c r="AE30" s="442"/>
      <c r="AF30" s="515"/>
      <c r="AG30" s="515"/>
      <c r="AH30" s="441"/>
      <c r="AI30" s="441"/>
      <c r="AJ30" s="442"/>
      <c r="AK30" s="515" t="s">
        <v>372</v>
      </c>
      <c r="AL30" s="515" t="s">
        <v>372</v>
      </c>
      <c r="AM30" s="441" t="s">
        <v>372</v>
      </c>
      <c r="AN30" s="441" t="s">
        <v>372</v>
      </c>
      <c r="AO30" s="442"/>
      <c r="AP30" s="515"/>
      <c r="AQ30" s="515"/>
      <c r="AR30" s="441"/>
      <c r="AS30" s="441"/>
      <c r="AT30" s="442"/>
      <c r="AU30" s="515"/>
      <c r="AV30" s="515"/>
      <c r="AW30" s="441"/>
      <c r="AX30" s="441"/>
      <c r="AY30" s="442"/>
      <c r="AZ30" s="515"/>
      <c r="BA30" s="515"/>
      <c r="BB30" s="441"/>
      <c r="BC30" s="441"/>
      <c r="BD30" s="442"/>
      <c r="BE30" s="515"/>
      <c r="BF30" s="515"/>
      <c r="BG30" s="441"/>
      <c r="BH30" s="441"/>
      <c r="BI30" s="442"/>
      <c r="BJ30" s="515"/>
      <c r="BK30" s="515"/>
      <c r="BL30" s="441"/>
      <c r="BM30" s="441"/>
      <c r="BN30" s="442"/>
      <c r="BO30" s="515"/>
      <c r="BP30" s="515"/>
      <c r="BQ30" s="441"/>
      <c r="BR30" s="441"/>
      <c r="BS30" s="442"/>
      <c r="BT30" s="515"/>
      <c r="BU30" s="515"/>
      <c r="BV30" s="441"/>
      <c r="BW30" s="441"/>
      <c r="BX30" s="442"/>
      <c r="BY30" s="515"/>
      <c r="BZ30" s="515"/>
      <c r="CA30" s="441"/>
      <c r="CB30" s="441"/>
      <c r="CC30" s="442"/>
      <c r="CD30" s="441"/>
      <c r="CE30" s="515"/>
      <c r="CF30" s="441"/>
      <c r="CG30" s="441"/>
      <c r="CH30" s="442"/>
      <c r="CI30" s="441"/>
      <c r="CJ30" s="441"/>
      <c r="CK30" s="441"/>
      <c r="CL30" s="441"/>
      <c r="CM30" s="442"/>
      <c r="CN30" s="441"/>
      <c r="CO30" s="441"/>
      <c r="CP30" s="441"/>
      <c r="CQ30" s="441"/>
      <c r="CR30" s="442"/>
      <c r="CS30" s="441"/>
      <c r="CT30" s="441"/>
      <c r="CU30" s="441"/>
      <c r="CV30" s="441"/>
      <c r="CW30" s="442"/>
      <c r="CX30" s="441"/>
      <c r="CY30" s="441"/>
      <c r="CZ30" s="441"/>
      <c r="DA30" s="441"/>
      <c r="DB30" s="442"/>
    </row>
    <row r="31" spans="1:106" s="54" customFormat="1" ht="11.5" customHeight="1" x14ac:dyDescent="0.35">
      <c r="A31" s="217" t="s">
        <v>369</v>
      </c>
      <c r="B31" s="395"/>
      <c r="C31" s="395"/>
      <c r="D31" s="395"/>
      <c r="E31" s="395"/>
      <c r="F31" s="29"/>
      <c r="G31" s="395"/>
      <c r="H31" s="395"/>
      <c r="I31" s="395"/>
      <c r="J31" s="395"/>
      <c r="K31" s="29"/>
      <c r="L31" s="395"/>
      <c r="M31" s="395"/>
      <c r="N31" s="395"/>
      <c r="O31" s="395"/>
      <c r="P31" s="29"/>
      <c r="Q31" s="395"/>
      <c r="R31" s="395"/>
      <c r="S31" s="395"/>
      <c r="T31" s="395"/>
      <c r="U31" s="29"/>
      <c r="V31" s="395"/>
      <c r="W31" s="395"/>
      <c r="X31" s="395"/>
      <c r="Y31" s="395"/>
      <c r="Z31" s="29"/>
      <c r="AA31" s="395"/>
      <c r="AB31" s="395"/>
      <c r="AC31" s="395"/>
      <c r="AD31" s="395"/>
      <c r="AE31" s="29"/>
      <c r="AF31" s="395"/>
      <c r="AG31" s="395"/>
      <c r="AH31" s="395"/>
      <c r="AI31" s="395"/>
      <c r="AJ31" s="29"/>
      <c r="AK31" s="395"/>
      <c r="AL31" s="395"/>
      <c r="AM31" s="395"/>
      <c r="AN31" s="395"/>
      <c r="AO31" s="29"/>
      <c r="AP31" s="395"/>
      <c r="AQ31" s="395"/>
      <c r="AR31" s="395"/>
      <c r="AS31" s="395"/>
      <c r="AT31" s="29"/>
      <c r="AU31" s="395"/>
      <c r="AV31" s="395"/>
      <c r="AW31" s="395"/>
      <c r="AX31" s="395"/>
      <c r="AY31" s="29"/>
      <c r="AZ31" s="395"/>
      <c r="BA31" s="395"/>
      <c r="BB31" s="395"/>
      <c r="BC31" s="395"/>
      <c r="BD31" s="29"/>
      <c r="BE31" s="395"/>
      <c r="BF31" s="395"/>
      <c r="BG31" s="395"/>
      <c r="BH31" s="395"/>
      <c r="BI31" s="29"/>
      <c r="BJ31" s="395"/>
      <c r="BK31" s="395"/>
      <c r="BL31" s="395"/>
      <c r="BM31" s="395"/>
      <c r="BN31" s="29"/>
      <c r="BO31" s="395"/>
      <c r="BP31" s="395"/>
      <c r="BQ31" s="395"/>
      <c r="BR31" s="395"/>
      <c r="BS31" s="29"/>
      <c r="BT31" s="395"/>
      <c r="BU31" s="395"/>
      <c r="BV31" s="395"/>
      <c r="BW31" s="395"/>
      <c r="BX31" s="29"/>
      <c r="BY31" s="395"/>
      <c r="BZ31" s="395"/>
      <c r="CA31" s="422"/>
      <c r="CB31" s="70"/>
      <c r="CC31" s="29"/>
      <c r="CD31" s="395"/>
      <c r="CE31" s="395"/>
      <c r="CF31" s="422"/>
      <c r="CG31" s="422"/>
      <c r="CH31" s="29"/>
      <c r="CI31" s="422"/>
      <c r="CJ31" s="422"/>
      <c r="CK31" s="422"/>
      <c r="CL31" s="422"/>
      <c r="CM31" s="29"/>
      <c r="CN31" s="422"/>
      <c r="CO31" s="422"/>
      <c r="CP31" s="422"/>
      <c r="CQ31" s="422"/>
      <c r="CR31" s="29"/>
      <c r="CS31" s="422"/>
      <c r="CT31" s="422"/>
      <c r="CU31" s="422"/>
      <c r="CV31" s="422"/>
      <c r="CW31" s="29"/>
      <c r="CX31" s="422"/>
      <c r="CY31" s="422"/>
      <c r="CZ31" s="422"/>
      <c r="DA31" s="422"/>
      <c r="DB31" s="29"/>
    </row>
    <row r="32" spans="1:106" s="54" customFormat="1" ht="11.5" customHeight="1" x14ac:dyDescent="0.35">
      <c r="A32" s="190" t="s">
        <v>373</v>
      </c>
      <c r="B32" s="395"/>
      <c r="C32" s="395"/>
      <c r="D32" s="395"/>
      <c r="E32" s="395"/>
      <c r="F32" s="518"/>
      <c r="G32" s="395"/>
      <c r="H32" s="395"/>
      <c r="I32" s="395"/>
      <c r="J32" s="395"/>
      <c r="K32" s="518"/>
      <c r="L32" s="395"/>
      <c r="M32" s="395"/>
      <c r="N32" s="395"/>
      <c r="O32" s="395"/>
      <c r="P32" s="518"/>
      <c r="Q32" s="395"/>
      <c r="R32" s="395"/>
      <c r="S32" s="395"/>
      <c r="T32" s="395"/>
      <c r="U32" s="518"/>
      <c r="V32" s="395"/>
      <c r="W32" s="395"/>
      <c r="X32" s="395"/>
      <c r="Y32" s="395"/>
      <c r="Z32" s="518"/>
      <c r="AA32" s="395"/>
      <c r="AB32" s="395"/>
      <c r="AC32" s="395"/>
      <c r="AD32" s="395"/>
      <c r="AE32" s="518"/>
      <c r="AF32" s="395"/>
      <c r="AG32" s="395"/>
      <c r="AH32" s="395"/>
      <c r="AI32" s="395"/>
      <c r="AJ32" s="518"/>
      <c r="AK32" s="395"/>
      <c r="AL32" s="395"/>
      <c r="AM32" s="395"/>
      <c r="AN32" s="395"/>
      <c r="AO32" s="518">
        <v>-3405</v>
      </c>
      <c r="AP32" s="395"/>
      <c r="AQ32" s="395"/>
      <c r="AR32" s="395"/>
      <c r="AS32" s="395"/>
      <c r="AT32" s="518">
        <v>33919</v>
      </c>
      <c r="AU32" s="395"/>
      <c r="AV32" s="395"/>
      <c r="AW32" s="395"/>
      <c r="AX32" s="395"/>
      <c r="AY32" s="518">
        <v>33407</v>
      </c>
      <c r="AZ32" s="395"/>
      <c r="BA32" s="395"/>
      <c r="BB32" s="395"/>
      <c r="BC32" s="395"/>
      <c r="BD32" s="518">
        <v>86924</v>
      </c>
      <c r="BE32" s="395"/>
      <c r="BF32" s="395"/>
      <c r="BG32" s="395"/>
      <c r="BH32" s="395"/>
      <c r="BI32" s="518">
        <v>177732</v>
      </c>
      <c r="BJ32" s="395"/>
      <c r="BK32" s="395"/>
      <c r="BL32" s="395"/>
      <c r="BM32" s="395"/>
      <c r="BN32" s="518">
        <v>114889</v>
      </c>
      <c r="BO32" s="395"/>
      <c r="BP32" s="395"/>
      <c r="BQ32" s="395"/>
      <c r="BR32" s="395"/>
      <c r="BS32" s="518">
        <v>231449</v>
      </c>
      <c r="BT32" s="395"/>
      <c r="BU32" s="395"/>
      <c r="BV32" s="395"/>
      <c r="BW32" s="395"/>
      <c r="BX32" s="518">
        <v>342513</v>
      </c>
      <c r="BY32" s="395">
        <v>86883</v>
      </c>
      <c r="BZ32" s="395">
        <f>205475-BY32</f>
        <v>118592</v>
      </c>
      <c r="CA32" s="395">
        <f>309434-BZ32-BY32</f>
        <v>103959</v>
      </c>
      <c r="CB32" s="90">
        <f>CC32-SUM(BY32:CA32)</f>
        <v>104638</v>
      </c>
      <c r="CC32" s="518">
        <v>414072</v>
      </c>
      <c r="CD32" s="395">
        <v>69871</v>
      </c>
      <c r="CE32" s="395">
        <f>152491-CD32</f>
        <v>82620</v>
      </c>
      <c r="CF32" s="546">
        <f>[3]IS!CF45</f>
        <v>129088.17486576726</v>
      </c>
      <c r="CG32" s="546">
        <f>[3]IS!CG45</f>
        <v>137619.67361114474</v>
      </c>
      <c r="CH32" s="423">
        <f>[3]IS!CH45</f>
        <v>419198.84847691201</v>
      </c>
      <c r="CI32" s="546">
        <f>[3]IS!CI45</f>
        <v>136154.39308414084</v>
      </c>
      <c r="CJ32" s="546">
        <f>[3]IS!CJ45</f>
        <v>150125.74964713483</v>
      </c>
      <c r="CK32" s="546">
        <f>[3]IS!CK45</f>
        <v>159724.16570303438</v>
      </c>
      <c r="CL32" s="546">
        <f>[3]IS!CL45</f>
        <v>164616.85496998802</v>
      </c>
      <c r="CM32" s="423">
        <f>[3]IS!CM45</f>
        <v>610621.16340429801</v>
      </c>
      <c r="CN32" s="546">
        <f>[3]IS!CN45</f>
        <v>170821.24183233239</v>
      </c>
      <c r="CO32" s="546">
        <f>[3]IS!CO45</f>
        <v>178487.94356487485</v>
      </c>
      <c r="CP32" s="546">
        <f>[3]IS!CP45</f>
        <v>187213.00331107291</v>
      </c>
      <c r="CQ32" s="546">
        <f>[3]IS!CQ45</f>
        <v>196595.78355287237</v>
      </c>
      <c r="CR32" s="423">
        <f>[3]IS!CR45</f>
        <v>733117.97226115258</v>
      </c>
      <c r="CS32" s="546">
        <f>[3]IS!CS45</f>
        <v>191115.32324312272</v>
      </c>
      <c r="CT32" s="546">
        <f>[3]IS!CT45</f>
        <v>200793.35745167622</v>
      </c>
      <c r="CU32" s="546">
        <f>[3]IS!CU45</f>
        <v>209069.89959137852</v>
      </c>
      <c r="CV32" s="546">
        <f>[3]IS!CV45</f>
        <v>209596.291392338</v>
      </c>
      <c r="CW32" s="423">
        <f>[3]IS!CW45</f>
        <v>810574.87167851545</v>
      </c>
      <c r="CX32" s="546">
        <f>[3]IS!CX45</f>
        <v>200925.8340027676</v>
      </c>
      <c r="CY32" s="546">
        <f>[3]IS!CY45</f>
        <v>203707.06469835993</v>
      </c>
      <c r="CZ32" s="546">
        <f>[3]IS!CZ45</f>
        <v>223917.02914552999</v>
      </c>
      <c r="DA32" s="546">
        <f>[3]IS!DA45</f>
        <v>226531.07469373048</v>
      </c>
      <c r="DB32" s="423">
        <f>[3]IS!DB45</f>
        <v>855081.00254038791</v>
      </c>
    </row>
    <row r="33" spans="1:106" s="54" customFormat="1" ht="11.5" customHeight="1" x14ac:dyDescent="0.35">
      <c r="A33" s="190" t="s">
        <v>390</v>
      </c>
      <c r="B33" s="90"/>
      <c r="C33" s="90"/>
      <c r="D33" s="90"/>
      <c r="E33" s="90"/>
      <c r="F33" s="518"/>
      <c r="G33" s="395"/>
      <c r="H33" s="397"/>
      <c r="I33" s="397"/>
      <c r="J33" s="397"/>
      <c r="K33" s="518"/>
      <c r="L33" s="395"/>
      <c r="M33" s="397"/>
      <c r="N33" s="397"/>
      <c r="O33" s="397"/>
      <c r="P33" s="518"/>
      <c r="Q33" s="395"/>
      <c r="R33" s="397"/>
      <c r="S33" s="397"/>
      <c r="T33" s="397"/>
      <c r="U33" s="518"/>
      <c r="V33" s="395"/>
      <c r="W33" s="397"/>
      <c r="X33" s="397"/>
      <c r="Y33" s="397"/>
      <c r="Z33" s="518"/>
      <c r="AA33" s="395"/>
      <c r="AB33" s="397"/>
      <c r="AC33" s="397"/>
      <c r="AD33" s="397"/>
      <c r="AE33" s="518"/>
      <c r="AF33" s="395"/>
      <c r="AG33" s="397"/>
      <c r="AH33" s="397"/>
      <c r="AI33" s="397"/>
      <c r="AJ33" s="518"/>
      <c r="AK33" s="395"/>
      <c r="AL33" s="397"/>
      <c r="AM33" s="397"/>
      <c r="AN33" s="397"/>
      <c r="AO33" s="518">
        <v>7847</v>
      </c>
      <c r="AP33" s="395"/>
      <c r="AQ33" s="397"/>
      <c r="AR33" s="397"/>
      <c r="AS33" s="397"/>
      <c r="AT33" s="518">
        <v>61942</v>
      </c>
      <c r="AU33" s="395"/>
      <c r="AV33" s="397"/>
      <c r="AW33" s="397"/>
      <c r="AX33" s="397"/>
      <c r="AY33" s="518">
        <v>86924</v>
      </c>
      <c r="AZ33" s="395"/>
      <c r="BA33" s="397"/>
      <c r="BB33" s="397"/>
      <c r="BC33" s="397"/>
      <c r="BD33" s="518">
        <v>1212007</v>
      </c>
      <c r="BE33" s="395"/>
      <c r="BF33" s="397"/>
      <c r="BG33" s="397"/>
      <c r="BH33" s="397"/>
      <c r="BI33" s="518">
        <v>1178133</v>
      </c>
      <c r="BJ33" s="395"/>
      <c r="BK33" s="397"/>
      <c r="BL33" s="397"/>
      <c r="BM33" s="397"/>
      <c r="BN33" s="518">
        <v>1171691</v>
      </c>
      <c r="BO33" s="395"/>
      <c r="BP33" s="397"/>
      <c r="BQ33" s="397"/>
      <c r="BR33" s="397"/>
      <c r="BS33" s="518">
        <v>1272989</v>
      </c>
      <c r="BT33" s="395"/>
      <c r="BU33" s="397"/>
      <c r="BV33" s="397"/>
      <c r="BW33" s="397"/>
      <c r="BX33" s="518">
        <v>1485863</v>
      </c>
      <c r="BY33" s="395">
        <v>1493342</v>
      </c>
      <c r="BZ33" s="397">
        <v>1563364</v>
      </c>
      <c r="CA33" s="397">
        <v>1542626</v>
      </c>
      <c r="CB33" s="90">
        <f>CC33</f>
        <v>1497305</v>
      </c>
      <c r="CC33" s="518">
        <v>1497305</v>
      </c>
      <c r="CD33" s="395">
        <v>1367564</v>
      </c>
      <c r="CE33" s="397">
        <v>1450077</v>
      </c>
      <c r="CF33" s="422">
        <f>'[3]BS &amp; FCF'!CF43</f>
        <v>1579165.1748657674</v>
      </c>
      <c r="CG33" s="422">
        <f>'[3]BS &amp; FCF'!CG43</f>
        <v>1716784.8484769119</v>
      </c>
      <c r="CH33" s="423">
        <f>'[3]BS &amp; FCF'!CH43</f>
        <v>1716784.8484769119</v>
      </c>
      <c r="CI33" s="422">
        <f>'[3]BS &amp; FCF'!CI43</f>
        <v>1748139.5294418249</v>
      </c>
      <c r="CJ33" s="422">
        <f>'[3]BS &amp; FCF'!CJ43</f>
        <v>1864226.6808179244</v>
      </c>
      <c r="CK33" s="422">
        <f>'[3]BS &amp; FCF'!CK43</f>
        <v>1986419.4091091752</v>
      </c>
      <c r="CL33" s="422">
        <f>'[3]BS &amp; FCF'!CL43</f>
        <v>2111105.2226534043</v>
      </c>
      <c r="CM33" s="423">
        <f>'[3]BS &amp; FCF'!CM43</f>
        <v>2111105.2226534043</v>
      </c>
      <c r="CN33" s="422">
        <f>'[3]BS &amp; FCF'!CN43</f>
        <v>2007146.9409538028</v>
      </c>
      <c r="CO33" s="422">
        <f>'[3]BS &amp; FCF'!CO43</f>
        <v>2185634.8845186774</v>
      </c>
      <c r="CP33" s="422">
        <f>'[3]BS &amp; FCF'!CP43</f>
        <v>2372847.8878297508</v>
      </c>
      <c r="CQ33" s="422">
        <f>'[3]BS &amp; FCF'!CQ43</f>
        <v>2569443.6713826228</v>
      </c>
      <c r="CR33" s="423">
        <f>'[3]BS &amp; FCF'!CR43</f>
        <v>2569443.6713826228</v>
      </c>
      <c r="CS33" s="422">
        <f>'[3]BS &amp; FCF'!CS43</f>
        <v>2320688.2112690541</v>
      </c>
      <c r="CT33" s="422">
        <f>'[3]BS &amp; FCF'!CT43</f>
        <v>2521481.56872073</v>
      </c>
      <c r="CU33" s="422">
        <f>'[3]BS &amp; FCF'!CU43</f>
        <v>2730551.4683121089</v>
      </c>
      <c r="CV33" s="422">
        <f>'[3]BS &amp; FCF'!CV43</f>
        <v>2940147.7597044469</v>
      </c>
      <c r="CW33" s="423">
        <f>'[3]BS &amp; FCF'!CW43</f>
        <v>2940147.7597044469</v>
      </c>
      <c r="CX33" s="422">
        <f>'[3]BS &amp; FCF'!CX43</f>
        <v>2654728.6707001054</v>
      </c>
      <c r="CY33" s="422">
        <f>'[3]BS &amp; FCF'!CY43</f>
        <v>2858435.7353984653</v>
      </c>
      <c r="CZ33" s="422">
        <f>'[3]BS &amp; FCF'!CZ43</f>
        <v>3082352.7645439953</v>
      </c>
      <c r="DA33" s="422">
        <f>'[3]BS &amp; FCF'!DA43</f>
        <v>3308883.8392377258</v>
      </c>
      <c r="DB33" s="423">
        <f>'[3]BS &amp; FCF'!DB43</f>
        <v>3308883.8392377258</v>
      </c>
    </row>
    <row r="34" spans="1:106" s="91" customFormat="1" ht="11.5" customHeight="1" x14ac:dyDescent="0.35">
      <c r="A34" s="522" t="s">
        <v>361</v>
      </c>
      <c r="B34" s="92"/>
      <c r="C34" s="92"/>
      <c r="D34" s="92"/>
      <c r="E34" s="92"/>
      <c r="F34" s="25" t="e">
        <f>F32/F33</f>
        <v>#DIV/0!</v>
      </c>
      <c r="G34" s="24" t="e">
        <f t="shared" ref="G34:BR34" si="74">G32/G33</f>
        <v>#DIV/0!</v>
      </c>
      <c r="H34" s="164" t="e">
        <f t="shared" si="74"/>
        <v>#DIV/0!</v>
      </c>
      <c r="I34" s="164" t="e">
        <f t="shared" si="74"/>
        <v>#DIV/0!</v>
      </c>
      <c r="J34" s="164" t="e">
        <f t="shared" si="74"/>
        <v>#DIV/0!</v>
      </c>
      <c r="K34" s="25" t="e">
        <f t="shared" si="74"/>
        <v>#DIV/0!</v>
      </c>
      <c r="L34" s="24" t="e">
        <f t="shared" si="74"/>
        <v>#DIV/0!</v>
      </c>
      <c r="M34" s="164" t="e">
        <f t="shared" si="74"/>
        <v>#DIV/0!</v>
      </c>
      <c r="N34" s="164" t="e">
        <f t="shared" si="74"/>
        <v>#DIV/0!</v>
      </c>
      <c r="O34" s="164" t="e">
        <f t="shared" si="74"/>
        <v>#DIV/0!</v>
      </c>
      <c r="P34" s="25" t="e">
        <f t="shared" si="74"/>
        <v>#DIV/0!</v>
      </c>
      <c r="Q34" s="24" t="e">
        <f t="shared" si="74"/>
        <v>#DIV/0!</v>
      </c>
      <c r="R34" s="164" t="e">
        <f t="shared" si="74"/>
        <v>#DIV/0!</v>
      </c>
      <c r="S34" s="164" t="e">
        <f t="shared" si="74"/>
        <v>#DIV/0!</v>
      </c>
      <c r="T34" s="164" t="e">
        <f t="shared" si="74"/>
        <v>#DIV/0!</v>
      </c>
      <c r="U34" s="25" t="e">
        <f t="shared" si="74"/>
        <v>#DIV/0!</v>
      </c>
      <c r="V34" s="24" t="e">
        <f t="shared" si="74"/>
        <v>#DIV/0!</v>
      </c>
      <c r="W34" s="164" t="e">
        <f t="shared" si="74"/>
        <v>#DIV/0!</v>
      </c>
      <c r="X34" s="164" t="e">
        <f t="shared" si="74"/>
        <v>#DIV/0!</v>
      </c>
      <c r="Y34" s="164" t="e">
        <f t="shared" si="74"/>
        <v>#DIV/0!</v>
      </c>
      <c r="Z34" s="25" t="e">
        <f t="shared" si="74"/>
        <v>#DIV/0!</v>
      </c>
      <c r="AA34" s="24" t="e">
        <f t="shared" si="74"/>
        <v>#DIV/0!</v>
      </c>
      <c r="AB34" s="164" t="e">
        <f t="shared" si="74"/>
        <v>#DIV/0!</v>
      </c>
      <c r="AC34" s="164" t="e">
        <f t="shared" si="74"/>
        <v>#DIV/0!</v>
      </c>
      <c r="AD34" s="164" t="e">
        <f t="shared" si="74"/>
        <v>#DIV/0!</v>
      </c>
      <c r="AE34" s="25" t="e">
        <f t="shared" si="74"/>
        <v>#DIV/0!</v>
      </c>
      <c r="AF34" s="24" t="e">
        <f t="shared" si="74"/>
        <v>#DIV/0!</v>
      </c>
      <c r="AG34" s="164" t="e">
        <f t="shared" si="74"/>
        <v>#DIV/0!</v>
      </c>
      <c r="AH34" s="164" t="e">
        <f t="shared" si="74"/>
        <v>#DIV/0!</v>
      </c>
      <c r="AI34" s="164" t="e">
        <f t="shared" si="74"/>
        <v>#DIV/0!</v>
      </c>
      <c r="AJ34" s="25" t="e">
        <f t="shared" si="74"/>
        <v>#DIV/0!</v>
      </c>
      <c r="AK34" s="24" t="e">
        <f t="shared" si="74"/>
        <v>#DIV/0!</v>
      </c>
      <c r="AL34" s="164" t="e">
        <f t="shared" si="74"/>
        <v>#DIV/0!</v>
      </c>
      <c r="AM34" s="164" t="e">
        <f t="shared" si="74"/>
        <v>#DIV/0!</v>
      </c>
      <c r="AN34" s="164" t="e">
        <f t="shared" si="74"/>
        <v>#DIV/0!</v>
      </c>
      <c r="AO34" s="25">
        <f t="shared" si="74"/>
        <v>-0.43392379253217789</v>
      </c>
      <c r="AP34" s="24" t="e">
        <f t="shared" si="74"/>
        <v>#DIV/0!</v>
      </c>
      <c r="AQ34" s="164" t="e">
        <f t="shared" si="74"/>
        <v>#DIV/0!</v>
      </c>
      <c r="AR34" s="164" t="e">
        <f t="shared" si="74"/>
        <v>#DIV/0!</v>
      </c>
      <c r="AS34" s="164" t="e">
        <f t="shared" si="74"/>
        <v>#DIV/0!</v>
      </c>
      <c r="AT34" s="25">
        <f t="shared" si="74"/>
        <v>0.54759290949598016</v>
      </c>
      <c r="AU34" s="24" t="e">
        <f t="shared" si="74"/>
        <v>#DIV/0!</v>
      </c>
      <c r="AV34" s="164" t="e">
        <f t="shared" si="74"/>
        <v>#DIV/0!</v>
      </c>
      <c r="AW34" s="164" t="e">
        <f t="shared" si="74"/>
        <v>#DIV/0!</v>
      </c>
      <c r="AX34" s="164" t="e">
        <f t="shared" si="74"/>
        <v>#DIV/0!</v>
      </c>
      <c r="AY34" s="25">
        <f t="shared" si="74"/>
        <v>0.38432423726473702</v>
      </c>
      <c r="AZ34" s="24" t="e">
        <f t="shared" si="74"/>
        <v>#DIV/0!</v>
      </c>
      <c r="BA34" s="164" t="e">
        <f t="shared" si="74"/>
        <v>#DIV/0!</v>
      </c>
      <c r="BB34" s="164" t="e">
        <f t="shared" si="74"/>
        <v>#DIV/0!</v>
      </c>
      <c r="BC34" s="164" t="e">
        <f t="shared" si="74"/>
        <v>#DIV/0!</v>
      </c>
      <c r="BD34" s="25">
        <f t="shared" si="74"/>
        <v>7.1719057728214436E-2</v>
      </c>
      <c r="BE34" s="24" t="e">
        <f t="shared" si="74"/>
        <v>#DIV/0!</v>
      </c>
      <c r="BF34" s="164" t="e">
        <f t="shared" si="74"/>
        <v>#DIV/0!</v>
      </c>
      <c r="BG34" s="164" t="e">
        <f t="shared" si="74"/>
        <v>#DIV/0!</v>
      </c>
      <c r="BH34" s="164" t="e">
        <f t="shared" si="74"/>
        <v>#DIV/0!</v>
      </c>
      <c r="BI34" s="25">
        <f t="shared" si="74"/>
        <v>0.15085902864956674</v>
      </c>
      <c r="BJ34" s="24" t="e">
        <f t="shared" si="74"/>
        <v>#DIV/0!</v>
      </c>
      <c r="BK34" s="164" t="e">
        <f t="shared" si="74"/>
        <v>#DIV/0!</v>
      </c>
      <c r="BL34" s="164" t="e">
        <f t="shared" si="74"/>
        <v>#DIV/0!</v>
      </c>
      <c r="BM34" s="164" t="e">
        <f t="shared" si="74"/>
        <v>#DIV/0!</v>
      </c>
      <c r="BN34" s="25">
        <f t="shared" si="74"/>
        <v>9.8054009120151983E-2</v>
      </c>
      <c r="BO34" s="24" t="e">
        <f t="shared" si="74"/>
        <v>#DIV/0!</v>
      </c>
      <c r="BP34" s="164" t="e">
        <f t="shared" si="74"/>
        <v>#DIV/0!</v>
      </c>
      <c r="BQ34" s="164" t="e">
        <f t="shared" si="74"/>
        <v>#DIV/0!</v>
      </c>
      <c r="BR34" s="164" t="e">
        <f t="shared" si="74"/>
        <v>#DIV/0!</v>
      </c>
      <c r="BS34" s="25">
        <f t="shared" ref="BS34:DB34" si="75">BS32/BS33</f>
        <v>0.18181539667664057</v>
      </c>
      <c r="BT34" s="24" t="e">
        <f t="shared" si="75"/>
        <v>#DIV/0!</v>
      </c>
      <c r="BU34" s="164" t="e">
        <f t="shared" si="75"/>
        <v>#DIV/0!</v>
      </c>
      <c r="BV34" s="164" t="e">
        <f t="shared" si="75"/>
        <v>#DIV/0!</v>
      </c>
      <c r="BW34" s="164" t="e">
        <f t="shared" si="75"/>
        <v>#DIV/0!</v>
      </c>
      <c r="BX34" s="25">
        <f t="shared" si="75"/>
        <v>0.23051452253673455</v>
      </c>
      <c r="BY34" s="24">
        <f t="shared" si="75"/>
        <v>5.8180242703948594E-2</v>
      </c>
      <c r="BZ34" s="164">
        <f t="shared" si="75"/>
        <v>7.5856934149692593E-2</v>
      </c>
      <c r="CA34" s="164">
        <f t="shared" ref="CA34:CB34" si="76">CA32/CA33</f>
        <v>6.7390929492955512E-2</v>
      </c>
      <c r="CB34" s="164">
        <f t="shared" si="76"/>
        <v>6.9884225324833613E-2</v>
      </c>
      <c r="CC34" s="25">
        <f t="shared" si="75"/>
        <v>0.27654485892987735</v>
      </c>
      <c r="CD34" s="24">
        <f t="shared" ref="CD34:CE34" si="77">CD32/CD33</f>
        <v>5.1091575970119131E-2</v>
      </c>
      <c r="CE34" s="164">
        <f t="shared" si="77"/>
        <v>5.6976284707639664E-2</v>
      </c>
      <c r="CF34" s="164">
        <f t="shared" si="75"/>
        <v>8.1744567902303222E-2</v>
      </c>
      <c r="CG34" s="164">
        <f t="shared" si="75"/>
        <v>8.0161281556764344E-2</v>
      </c>
      <c r="CH34" s="25">
        <f t="shared" si="75"/>
        <v>0.24417669392225511</v>
      </c>
      <c r="CI34" s="164">
        <f t="shared" si="75"/>
        <v>7.7885312236841003E-2</v>
      </c>
      <c r="CJ34" s="164">
        <f t="shared" si="75"/>
        <v>8.0529772045354248E-2</v>
      </c>
      <c r="CK34" s="164">
        <f t="shared" si="75"/>
        <v>8.040807745362491E-2</v>
      </c>
      <c r="CL34" s="164">
        <f t="shared" si="75"/>
        <v>7.7976622483593938E-2</v>
      </c>
      <c r="CM34" s="25">
        <f t="shared" si="75"/>
        <v>0.28924241049284172</v>
      </c>
      <c r="CN34" s="164">
        <f t="shared" si="75"/>
        <v>8.5106495367577611E-2</v>
      </c>
      <c r="CO34" s="164">
        <f t="shared" si="75"/>
        <v>8.1664117291109964E-2</v>
      </c>
      <c r="CP34" s="164">
        <f t="shared" si="75"/>
        <v>7.8898021348642489E-2</v>
      </c>
      <c r="CQ34" s="164">
        <f t="shared" si="75"/>
        <v>7.6512976619208695E-2</v>
      </c>
      <c r="CR34" s="25">
        <f t="shared" si="75"/>
        <v>0.28532167504830347</v>
      </c>
      <c r="CS34" s="164">
        <f t="shared" si="75"/>
        <v>8.2352865117805929E-2</v>
      </c>
      <c r="CT34" s="164">
        <f t="shared" si="75"/>
        <v>7.9633085540874463E-2</v>
      </c>
      <c r="CU34" s="164">
        <f t="shared" si="75"/>
        <v>7.6566914052938598E-2</v>
      </c>
      <c r="CV34" s="164">
        <f t="shared" si="75"/>
        <v>7.1287672771047153E-2</v>
      </c>
      <c r="CW34" s="25">
        <f t="shared" si="75"/>
        <v>0.2756918828324455</v>
      </c>
      <c r="CX34" s="164">
        <f t="shared" si="75"/>
        <v>7.5686015004229945E-2</v>
      </c>
      <c r="CY34" s="164">
        <f t="shared" si="75"/>
        <v>7.1265224603681079E-2</v>
      </c>
      <c r="CZ34" s="164">
        <f t="shared" si="75"/>
        <v>7.2644841862756868E-2</v>
      </c>
      <c r="DA34" s="164">
        <f t="shared" si="75"/>
        <v>6.8461476951066649E-2</v>
      </c>
      <c r="DB34" s="25">
        <f t="shared" si="75"/>
        <v>0.2584197705584535</v>
      </c>
    </row>
    <row r="35" spans="1:106" s="91" customFormat="1" ht="11.5" customHeight="1" collapsed="1" x14ac:dyDescent="0.35">
      <c r="A35" s="515" t="s">
        <v>372</v>
      </c>
      <c r="B35" s="516"/>
      <c r="C35" s="516"/>
      <c r="D35" s="516"/>
      <c r="E35" s="516"/>
      <c r="F35" s="442"/>
      <c r="G35" s="441"/>
      <c r="H35" s="441"/>
      <c r="I35" s="441"/>
      <c r="J35" s="441"/>
      <c r="K35" s="442"/>
      <c r="L35" s="441"/>
      <c r="M35" s="441"/>
      <c r="N35" s="441"/>
      <c r="O35" s="441"/>
      <c r="P35" s="442"/>
      <c r="Q35" s="441"/>
      <c r="R35" s="441"/>
      <c r="S35" s="441"/>
      <c r="T35" s="441"/>
      <c r="U35" s="442"/>
      <c r="V35" s="441"/>
      <c r="W35" s="441"/>
      <c r="X35" s="441"/>
      <c r="Y35" s="441"/>
      <c r="Z35" s="442"/>
      <c r="AA35" s="441"/>
      <c r="AB35" s="441"/>
      <c r="AC35" s="441"/>
      <c r="AD35" s="441"/>
      <c r="AE35" s="442"/>
      <c r="AF35" s="441"/>
      <c r="AG35" s="441"/>
      <c r="AH35" s="441"/>
      <c r="AI35" s="441"/>
      <c r="AJ35" s="442"/>
      <c r="AK35" s="441"/>
      <c r="AL35" s="441"/>
      <c r="AM35" s="441"/>
      <c r="AN35" s="441"/>
      <c r="AO35" s="442">
        <v>0.5</v>
      </c>
      <c r="AP35" s="441"/>
      <c r="AQ35" s="441"/>
      <c r="AR35" s="441"/>
      <c r="AS35" s="441"/>
      <c r="AT35" s="442">
        <v>0.5</v>
      </c>
      <c r="AU35" s="441"/>
      <c r="AV35" s="441"/>
      <c r="AW35" s="441"/>
      <c r="AX35" s="441"/>
      <c r="AY35" s="442">
        <v>0.45</v>
      </c>
      <c r="AZ35" s="441"/>
      <c r="BA35" s="441"/>
      <c r="BB35" s="441"/>
      <c r="BC35" s="441"/>
      <c r="BD35" s="442">
        <v>0.2233</v>
      </c>
      <c r="BE35" s="441"/>
      <c r="BF35" s="441"/>
      <c r="BG35" s="441"/>
      <c r="BH35" s="441"/>
      <c r="BI35" s="442">
        <v>0.2339</v>
      </c>
      <c r="BJ35" s="441"/>
      <c r="BK35" s="441"/>
      <c r="BL35" s="441"/>
      <c r="BM35" s="441"/>
      <c r="BN35" s="442">
        <v>0.24529999999999999</v>
      </c>
      <c r="BO35" s="441"/>
      <c r="BP35" s="441"/>
      <c r="BQ35" s="441"/>
      <c r="BR35" s="441"/>
      <c r="BS35" s="442">
        <v>0.24529999999999999</v>
      </c>
      <c r="BT35" s="441"/>
      <c r="BU35" s="441"/>
      <c r="BV35" s="441"/>
      <c r="BW35" s="441"/>
      <c r="BX35" s="442">
        <v>0.24529999999999999</v>
      </c>
      <c r="BY35" s="441">
        <v>0.24529999999999999</v>
      </c>
      <c r="BZ35" s="517">
        <f>24.53%+3.83%</f>
        <v>0.28360000000000002</v>
      </c>
      <c r="CA35" s="517">
        <v>0.28360000000000002</v>
      </c>
      <c r="CB35" s="441">
        <f>CC35</f>
        <v>0.28360000000000002</v>
      </c>
      <c r="CC35" s="649">
        <v>0.28360000000000002</v>
      </c>
      <c r="CD35" s="517">
        <v>0.28360000000000002</v>
      </c>
      <c r="CE35" s="517">
        <f>28.36%</f>
        <v>0.28360000000000002</v>
      </c>
      <c r="CF35" s="441">
        <f t="shared" ref="CF35:CG35" si="78">CE35</f>
        <v>0.28360000000000002</v>
      </c>
      <c r="CG35" s="441">
        <f t="shared" si="78"/>
        <v>0.28360000000000002</v>
      </c>
      <c r="CH35" s="442">
        <f>AVERAGE(CD35:CG35)</f>
        <v>0.28360000000000002</v>
      </c>
      <c r="CI35" s="441">
        <f t="shared" ref="CI35" si="79">CG35</f>
        <v>0.28360000000000002</v>
      </c>
      <c r="CJ35" s="441">
        <f t="shared" ref="CJ35:DA35" si="80">CI35</f>
        <v>0.28360000000000002</v>
      </c>
      <c r="CK35" s="441">
        <f t="shared" si="80"/>
        <v>0.28360000000000002</v>
      </c>
      <c r="CL35" s="441">
        <f t="shared" si="80"/>
        <v>0.28360000000000002</v>
      </c>
      <c r="CM35" s="442">
        <f t="shared" ref="CM35" si="81">AVERAGE(CI35:CL35)</f>
        <v>0.28360000000000002</v>
      </c>
      <c r="CN35" s="441">
        <f t="shared" ref="CN35" si="82">CL35</f>
        <v>0.28360000000000002</v>
      </c>
      <c r="CO35" s="441">
        <f t="shared" ref="CO35" si="83">CN35</f>
        <v>0.28360000000000002</v>
      </c>
      <c r="CP35" s="441">
        <f t="shared" si="80"/>
        <v>0.28360000000000002</v>
      </c>
      <c r="CQ35" s="441">
        <f t="shared" si="80"/>
        <v>0.28360000000000002</v>
      </c>
      <c r="CR35" s="442">
        <f t="shared" ref="CR35" si="84">AVERAGE(CN35:CQ35)</f>
        <v>0.28360000000000002</v>
      </c>
      <c r="CS35" s="441">
        <f t="shared" ref="CS35" si="85">CQ35</f>
        <v>0.28360000000000002</v>
      </c>
      <c r="CT35" s="441">
        <f t="shared" ref="CT35" si="86">CS35</f>
        <v>0.28360000000000002</v>
      </c>
      <c r="CU35" s="441">
        <f t="shared" si="80"/>
        <v>0.28360000000000002</v>
      </c>
      <c r="CV35" s="441">
        <f t="shared" si="80"/>
        <v>0.28360000000000002</v>
      </c>
      <c r="CW35" s="442">
        <f t="shared" ref="CW35" si="87">AVERAGE(CS35:CV35)</f>
        <v>0.28360000000000002</v>
      </c>
      <c r="CX35" s="441">
        <f t="shared" ref="CX35" si="88">CV35</f>
        <v>0.28360000000000002</v>
      </c>
      <c r="CY35" s="441">
        <f t="shared" ref="CY35" si="89">CX35</f>
        <v>0.28360000000000002</v>
      </c>
      <c r="CZ35" s="441">
        <f t="shared" si="80"/>
        <v>0.28360000000000002</v>
      </c>
      <c r="DA35" s="441">
        <f t="shared" si="80"/>
        <v>0.28360000000000002</v>
      </c>
      <c r="DB35" s="442">
        <f t="shared" ref="DB35" si="90">AVERAGE(CX35:DA35)</f>
        <v>0.28360000000000002</v>
      </c>
    </row>
    <row r="36" spans="1:106" s="54" customFormat="1" ht="11.5" customHeight="1" x14ac:dyDescent="0.35">
      <c r="A36" s="217" t="s">
        <v>369</v>
      </c>
      <c r="B36" s="395"/>
      <c r="C36" s="395"/>
      <c r="D36" s="395"/>
      <c r="E36" s="395"/>
      <c r="F36" s="29"/>
      <c r="G36" s="395"/>
      <c r="H36" s="395"/>
      <c r="I36" s="395"/>
      <c r="J36" s="395"/>
      <c r="K36" s="29"/>
      <c r="L36" s="395"/>
      <c r="M36" s="395"/>
      <c r="N36" s="395"/>
      <c r="O36" s="395"/>
      <c r="P36" s="29"/>
      <c r="Q36" s="395"/>
      <c r="R36" s="395"/>
      <c r="S36" s="395"/>
      <c r="T36" s="395"/>
      <c r="U36" s="29"/>
      <c r="V36" s="395"/>
      <c r="W36" s="395"/>
      <c r="X36" s="395"/>
      <c r="Y36" s="395"/>
      <c r="Z36" s="29"/>
      <c r="AA36" s="395"/>
      <c r="AB36" s="395"/>
      <c r="AC36" s="395"/>
      <c r="AD36" s="395"/>
      <c r="AE36" s="29"/>
      <c r="AF36" s="395"/>
      <c r="AG36" s="395"/>
      <c r="AH36" s="395"/>
      <c r="AI36" s="395"/>
      <c r="AJ36" s="29"/>
      <c r="AK36" s="395"/>
      <c r="AL36" s="395"/>
      <c r="AM36" s="395"/>
      <c r="AN36" s="395"/>
      <c r="AO36" s="29"/>
      <c r="AP36" s="395"/>
      <c r="AQ36" s="395"/>
      <c r="AR36" s="395"/>
      <c r="AS36" s="395"/>
      <c r="AT36" s="29"/>
      <c r="AU36" s="395"/>
      <c r="AV36" s="395"/>
      <c r="AW36" s="395"/>
      <c r="AX36" s="395"/>
      <c r="AY36" s="29"/>
      <c r="AZ36" s="395"/>
      <c r="BA36" s="395"/>
      <c r="BB36" s="395"/>
      <c r="BC36" s="395"/>
      <c r="BD36" s="29"/>
      <c r="BE36" s="395"/>
      <c r="BF36" s="395"/>
      <c r="BG36" s="395"/>
      <c r="BH36" s="395"/>
      <c r="BI36" s="29"/>
      <c r="BJ36" s="395"/>
      <c r="BK36" s="395"/>
      <c r="BL36" s="395"/>
      <c r="BM36" s="395"/>
      <c r="BN36" s="29"/>
      <c r="BO36" s="395"/>
      <c r="BP36" s="395"/>
      <c r="BQ36" s="395"/>
      <c r="BR36" s="395"/>
      <c r="BS36" s="29"/>
      <c r="BT36" s="395"/>
      <c r="BU36" s="395"/>
      <c r="BV36" s="395"/>
      <c r="BW36" s="395"/>
      <c r="BX36" s="29"/>
      <c r="BY36" s="395"/>
      <c r="BZ36" s="395"/>
      <c r="CA36" s="395"/>
      <c r="CB36" s="70"/>
      <c r="CC36" s="29"/>
      <c r="CD36" s="395"/>
      <c r="CE36" s="395"/>
      <c r="CF36" s="422"/>
      <c r="CG36" s="422"/>
      <c r="CH36" s="29"/>
      <c r="CI36" s="422"/>
      <c r="CJ36" s="422"/>
      <c r="CK36" s="422"/>
      <c r="CL36" s="422"/>
      <c r="CM36" s="29"/>
      <c r="CN36" s="422"/>
      <c r="CO36" s="422"/>
      <c r="CP36" s="422"/>
      <c r="CQ36" s="422"/>
      <c r="CR36" s="29"/>
      <c r="CS36" s="422"/>
      <c r="CT36" s="422"/>
      <c r="CU36" s="422"/>
      <c r="CV36" s="422"/>
      <c r="CW36" s="29"/>
      <c r="CX36" s="422"/>
      <c r="CY36" s="422"/>
      <c r="CZ36" s="422"/>
      <c r="DA36" s="422"/>
      <c r="DB36" s="29"/>
    </row>
    <row r="37" spans="1:106" s="54" customFormat="1" ht="11.5" customHeight="1" x14ac:dyDescent="0.35">
      <c r="A37" s="190" t="s">
        <v>373</v>
      </c>
      <c r="B37" s="395"/>
      <c r="C37" s="395"/>
      <c r="D37" s="395"/>
      <c r="E37" s="395"/>
      <c r="F37" s="518"/>
      <c r="G37" s="395"/>
      <c r="H37" s="395"/>
      <c r="I37" s="395"/>
      <c r="J37" s="395"/>
      <c r="K37" s="518"/>
      <c r="L37" s="395"/>
      <c r="M37" s="395"/>
      <c r="N37" s="395"/>
      <c r="O37" s="395"/>
      <c r="P37" s="518"/>
      <c r="Q37" s="395"/>
      <c r="R37" s="395"/>
      <c r="S37" s="395"/>
      <c r="T37" s="395"/>
      <c r="U37" s="518"/>
      <c r="V37" s="395"/>
      <c r="W37" s="395"/>
      <c r="X37" s="395"/>
      <c r="Y37" s="395"/>
      <c r="Z37" s="518"/>
      <c r="AA37" s="395"/>
      <c r="AB37" s="395"/>
      <c r="AC37" s="395"/>
      <c r="AD37" s="395"/>
      <c r="AE37" s="518"/>
      <c r="AF37" s="395"/>
      <c r="AG37" s="395"/>
      <c r="AH37" s="395"/>
      <c r="AI37" s="395"/>
      <c r="AJ37" s="518"/>
      <c r="AK37" s="395"/>
      <c r="AL37" s="395"/>
      <c r="AM37" s="395"/>
      <c r="AN37" s="395"/>
      <c r="AO37" s="518"/>
      <c r="AP37" s="395"/>
      <c r="AQ37" s="395"/>
      <c r="AR37" s="395"/>
      <c r="AS37" s="395"/>
      <c r="AT37" s="518"/>
      <c r="AU37" s="395"/>
      <c r="AV37" s="395"/>
      <c r="AW37" s="395"/>
      <c r="AX37" s="395"/>
      <c r="AY37" s="518"/>
      <c r="AZ37" s="395"/>
      <c r="BA37" s="395"/>
      <c r="BB37" s="395"/>
      <c r="BC37" s="395"/>
      <c r="BD37" s="518"/>
      <c r="BE37" s="395"/>
      <c r="BF37" s="395"/>
      <c r="BG37" s="395"/>
      <c r="BH37" s="395"/>
      <c r="BI37" s="518"/>
      <c r="BJ37" s="395"/>
      <c r="BK37" s="395"/>
      <c r="BL37" s="395"/>
      <c r="BM37" s="395"/>
      <c r="BN37" s="518"/>
      <c r="BO37" s="395"/>
      <c r="BP37" s="395"/>
      <c r="BQ37" s="395"/>
      <c r="BR37" s="395"/>
      <c r="BS37" s="518"/>
      <c r="BT37" s="395"/>
      <c r="BU37" s="395"/>
      <c r="BV37" s="395"/>
      <c r="BW37" s="395"/>
      <c r="BX37" s="518">
        <v>59390</v>
      </c>
      <c r="BY37" s="395">
        <v>15139</v>
      </c>
      <c r="BZ37" s="395">
        <f>22076-BY37</f>
        <v>6937</v>
      </c>
      <c r="CA37" s="395">
        <f>41446-BZ37-BY37</f>
        <v>19370</v>
      </c>
      <c r="CB37" s="90">
        <f>CC37-SUM(BY37:CA37)</f>
        <v>12292</v>
      </c>
      <c r="CC37" s="518">
        <v>53738</v>
      </c>
      <c r="CD37" s="395">
        <v>17350</v>
      </c>
      <c r="CE37" s="395">
        <f>23721-CD37</f>
        <v>6371</v>
      </c>
      <c r="CF37" s="395"/>
      <c r="CG37" s="395"/>
      <c r="CH37" s="518"/>
      <c r="CI37" s="395"/>
      <c r="CJ37" s="395"/>
      <c r="CK37" s="395"/>
      <c r="CL37" s="395"/>
      <c r="CM37" s="518"/>
      <c r="CN37" s="395"/>
      <c r="CO37" s="395"/>
      <c r="CP37" s="395"/>
      <c r="CQ37" s="395"/>
      <c r="CR37" s="518"/>
      <c r="CS37" s="395"/>
      <c r="CT37" s="395"/>
      <c r="CU37" s="395"/>
      <c r="CV37" s="395"/>
      <c r="CW37" s="518"/>
      <c r="CX37" s="395"/>
      <c r="CY37" s="395"/>
      <c r="CZ37" s="395"/>
      <c r="DA37" s="395"/>
      <c r="DB37" s="518"/>
    </row>
    <row r="38" spans="1:106" s="54" customFormat="1" ht="11.5" customHeight="1" x14ac:dyDescent="0.35">
      <c r="A38" s="190" t="s">
        <v>390</v>
      </c>
      <c r="B38" s="90"/>
      <c r="C38" s="90"/>
      <c r="D38" s="90"/>
      <c r="E38" s="90"/>
      <c r="F38" s="518"/>
      <c r="G38" s="395"/>
      <c r="H38" s="397"/>
      <c r="I38" s="397"/>
      <c r="J38" s="397"/>
      <c r="K38" s="518"/>
      <c r="L38" s="395"/>
      <c r="M38" s="397"/>
      <c r="N38" s="397"/>
      <c r="O38" s="397"/>
      <c r="P38" s="518"/>
      <c r="Q38" s="395"/>
      <c r="R38" s="397"/>
      <c r="S38" s="397"/>
      <c r="T38" s="397"/>
      <c r="U38" s="518"/>
      <c r="V38" s="395"/>
      <c r="W38" s="397"/>
      <c r="X38" s="397"/>
      <c r="Y38" s="397"/>
      <c r="Z38" s="518"/>
      <c r="AA38" s="395"/>
      <c r="AB38" s="397"/>
      <c r="AC38" s="397"/>
      <c r="AD38" s="397"/>
      <c r="AE38" s="518"/>
      <c r="AF38" s="395"/>
      <c r="AG38" s="397"/>
      <c r="AH38" s="397"/>
      <c r="AI38" s="397"/>
      <c r="AJ38" s="518"/>
      <c r="AK38" s="395"/>
      <c r="AL38" s="397"/>
      <c r="AM38" s="397"/>
      <c r="AN38" s="397"/>
      <c r="AO38" s="518"/>
      <c r="AP38" s="395"/>
      <c r="AQ38" s="397"/>
      <c r="AR38" s="397"/>
      <c r="AS38" s="397"/>
      <c r="AT38" s="518"/>
      <c r="AU38" s="395"/>
      <c r="AV38" s="397"/>
      <c r="AW38" s="397"/>
      <c r="AX38" s="397"/>
      <c r="AY38" s="518"/>
      <c r="AZ38" s="395"/>
      <c r="BA38" s="397"/>
      <c r="BB38" s="397"/>
      <c r="BC38" s="397"/>
      <c r="BD38" s="518"/>
      <c r="BE38" s="395"/>
      <c r="BF38" s="397"/>
      <c r="BG38" s="397"/>
      <c r="BH38" s="397"/>
      <c r="BI38" s="518"/>
      <c r="BJ38" s="395"/>
      <c r="BK38" s="397"/>
      <c r="BL38" s="397"/>
      <c r="BM38" s="397"/>
      <c r="BN38" s="518"/>
      <c r="BO38" s="395"/>
      <c r="BP38" s="397"/>
      <c r="BQ38" s="397"/>
      <c r="BR38" s="397"/>
      <c r="BS38" s="518"/>
      <c r="BT38" s="395"/>
      <c r="BU38" s="397"/>
      <c r="BV38" s="397"/>
      <c r="BW38" s="397"/>
      <c r="BX38" s="518">
        <v>252331</v>
      </c>
      <c r="BY38" s="395">
        <v>267470</v>
      </c>
      <c r="BZ38" s="397">
        <v>204407</v>
      </c>
      <c r="CA38" s="397">
        <v>223777</v>
      </c>
      <c r="CB38" s="90">
        <f>CC38</f>
        <v>236069</v>
      </c>
      <c r="CC38" s="518">
        <v>236069</v>
      </c>
      <c r="CD38" s="395">
        <v>103419</v>
      </c>
      <c r="CE38" s="397">
        <v>109790</v>
      </c>
      <c r="CF38" s="397"/>
      <c r="CG38" s="397"/>
      <c r="CH38" s="518"/>
      <c r="CI38" s="397"/>
      <c r="CJ38" s="397"/>
      <c r="CK38" s="397"/>
      <c r="CL38" s="397"/>
      <c r="CM38" s="518"/>
      <c r="CN38" s="397"/>
      <c r="CO38" s="397"/>
      <c r="CP38" s="397"/>
      <c r="CQ38" s="397"/>
      <c r="CR38" s="518"/>
      <c r="CS38" s="397"/>
      <c r="CT38" s="397"/>
      <c r="CU38" s="397"/>
      <c r="CV38" s="397"/>
      <c r="CW38" s="518"/>
      <c r="CX38" s="397"/>
      <c r="CY38" s="397"/>
      <c r="CZ38" s="397"/>
      <c r="DA38" s="397"/>
      <c r="DB38" s="518"/>
    </row>
    <row r="39" spans="1:106" s="91" customFormat="1" ht="11.5" customHeight="1" x14ac:dyDescent="0.35">
      <c r="A39" s="522" t="s">
        <v>361</v>
      </c>
      <c r="B39" s="92"/>
      <c r="C39" s="92"/>
      <c r="D39" s="92"/>
      <c r="E39" s="92"/>
      <c r="F39" s="25" t="e">
        <f>F37/F38</f>
        <v>#DIV/0!</v>
      </c>
      <c r="G39" s="24" t="e">
        <f t="shared" ref="G39:BR39" si="91">G37/G38</f>
        <v>#DIV/0!</v>
      </c>
      <c r="H39" s="164" t="e">
        <f t="shared" si="91"/>
        <v>#DIV/0!</v>
      </c>
      <c r="I39" s="164" t="e">
        <f t="shared" si="91"/>
        <v>#DIV/0!</v>
      </c>
      <c r="J39" s="164" t="e">
        <f t="shared" si="91"/>
        <v>#DIV/0!</v>
      </c>
      <c r="K39" s="25" t="e">
        <f t="shared" si="91"/>
        <v>#DIV/0!</v>
      </c>
      <c r="L39" s="24" t="e">
        <f t="shared" si="91"/>
        <v>#DIV/0!</v>
      </c>
      <c r="M39" s="164" t="e">
        <f t="shared" si="91"/>
        <v>#DIV/0!</v>
      </c>
      <c r="N39" s="164" t="e">
        <f t="shared" si="91"/>
        <v>#DIV/0!</v>
      </c>
      <c r="O39" s="164" t="e">
        <f t="shared" si="91"/>
        <v>#DIV/0!</v>
      </c>
      <c r="P39" s="25" t="e">
        <f t="shared" si="91"/>
        <v>#DIV/0!</v>
      </c>
      <c r="Q39" s="24" t="e">
        <f t="shared" si="91"/>
        <v>#DIV/0!</v>
      </c>
      <c r="R39" s="164" t="e">
        <f t="shared" si="91"/>
        <v>#DIV/0!</v>
      </c>
      <c r="S39" s="164" t="e">
        <f t="shared" si="91"/>
        <v>#DIV/0!</v>
      </c>
      <c r="T39" s="164" t="e">
        <f t="shared" si="91"/>
        <v>#DIV/0!</v>
      </c>
      <c r="U39" s="25" t="e">
        <f t="shared" si="91"/>
        <v>#DIV/0!</v>
      </c>
      <c r="V39" s="24" t="e">
        <f t="shared" si="91"/>
        <v>#DIV/0!</v>
      </c>
      <c r="W39" s="164" t="e">
        <f t="shared" si="91"/>
        <v>#DIV/0!</v>
      </c>
      <c r="X39" s="164" t="e">
        <f t="shared" si="91"/>
        <v>#DIV/0!</v>
      </c>
      <c r="Y39" s="164" t="e">
        <f t="shared" si="91"/>
        <v>#DIV/0!</v>
      </c>
      <c r="Z39" s="25" t="e">
        <f t="shared" si="91"/>
        <v>#DIV/0!</v>
      </c>
      <c r="AA39" s="24" t="e">
        <f t="shared" si="91"/>
        <v>#DIV/0!</v>
      </c>
      <c r="AB39" s="164" t="e">
        <f t="shared" si="91"/>
        <v>#DIV/0!</v>
      </c>
      <c r="AC39" s="164" t="e">
        <f t="shared" si="91"/>
        <v>#DIV/0!</v>
      </c>
      <c r="AD39" s="164" t="e">
        <f t="shared" si="91"/>
        <v>#DIV/0!</v>
      </c>
      <c r="AE39" s="25" t="e">
        <f t="shared" si="91"/>
        <v>#DIV/0!</v>
      </c>
      <c r="AF39" s="24" t="e">
        <f t="shared" si="91"/>
        <v>#DIV/0!</v>
      </c>
      <c r="AG39" s="164" t="e">
        <f t="shared" si="91"/>
        <v>#DIV/0!</v>
      </c>
      <c r="AH39" s="164" t="e">
        <f t="shared" si="91"/>
        <v>#DIV/0!</v>
      </c>
      <c r="AI39" s="164" t="e">
        <f t="shared" si="91"/>
        <v>#DIV/0!</v>
      </c>
      <c r="AJ39" s="25" t="e">
        <f t="shared" si="91"/>
        <v>#DIV/0!</v>
      </c>
      <c r="AK39" s="24" t="e">
        <f t="shared" si="91"/>
        <v>#DIV/0!</v>
      </c>
      <c r="AL39" s="164" t="e">
        <f t="shared" si="91"/>
        <v>#DIV/0!</v>
      </c>
      <c r="AM39" s="164" t="e">
        <f t="shared" si="91"/>
        <v>#DIV/0!</v>
      </c>
      <c r="AN39" s="164" t="e">
        <f t="shared" si="91"/>
        <v>#DIV/0!</v>
      </c>
      <c r="AO39" s="25" t="e">
        <f t="shared" si="91"/>
        <v>#DIV/0!</v>
      </c>
      <c r="AP39" s="24" t="e">
        <f t="shared" si="91"/>
        <v>#DIV/0!</v>
      </c>
      <c r="AQ39" s="164" t="e">
        <f t="shared" si="91"/>
        <v>#DIV/0!</v>
      </c>
      <c r="AR39" s="164" t="e">
        <f t="shared" si="91"/>
        <v>#DIV/0!</v>
      </c>
      <c r="AS39" s="164" t="e">
        <f t="shared" si="91"/>
        <v>#DIV/0!</v>
      </c>
      <c r="AT39" s="25" t="e">
        <f t="shared" si="91"/>
        <v>#DIV/0!</v>
      </c>
      <c r="AU39" s="24" t="e">
        <f t="shared" si="91"/>
        <v>#DIV/0!</v>
      </c>
      <c r="AV39" s="164" t="e">
        <f t="shared" si="91"/>
        <v>#DIV/0!</v>
      </c>
      <c r="AW39" s="164" t="e">
        <f t="shared" si="91"/>
        <v>#DIV/0!</v>
      </c>
      <c r="AX39" s="164" t="e">
        <f t="shared" si="91"/>
        <v>#DIV/0!</v>
      </c>
      <c r="AY39" s="25" t="e">
        <f t="shared" si="91"/>
        <v>#DIV/0!</v>
      </c>
      <c r="AZ39" s="24" t="e">
        <f t="shared" si="91"/>
        <v>#DIV/0!</v>
      </c>
      <c r="BA39" s="164" t="e">
        <f t="shared" si="91"/>
        <v>#DIV/0!</v>
      </c>
      <c r="BB39" s="164" t="e">
        <f t="shared" si="91"/>
        <v>#DIV/0!</v>
      </c>
      <c r="BC39" s="164" t="e">
        <f t="shared" si="91"/>
        <v>#DIV/0!</v>
      </c>
      <c r="BD39" s="25" t="e">
        <f t="shared" si="91"/>
        <v>#DIV/0!</v>
      </c>
      <c r="BE39" s="24" t="e">
        <f t="shared" si="91"/>
        <v>#DIV/0!</v>
      </c>
      <c r="BF39" s="164" t="e">
        <f t="shared" si="91"/>
        <v>#DIV/0!</v>
      </c>
      <c r="BG39" s="164" t="e">
        <f t="shared" si="91"/>
        <v>#DIV/0!</v>
      </c>
      <c r="BH39" s="164" t="e">
        <f t="shared" si="91"/>
        <v>#DIV/0!</v>
      </c>
      <c r="BI39" s="25" t="e">
        <f t="shared" si="91"/>
        <v>#DIV/0!</v>
      </c>
      <c r="BJ39" s="24" t="e">
        <f t="shared" si="91"/>
        <v>#DIV/0!</v>
      </c>
      <c r="BK39" s="164" t="e">
        <f t="shared" si="91"/>
        <v>#DIV/0!</v>
      </c>
      <c r="BL39" s="164" t="e">
        <f t="shared" si="91"/>
        <v>#DIV/0!</v>
      </c>
      <c r="BM39" s="164" t="e">
        <f t="shared" si="91"/>
        <v>#DIV/0!</v>
      </c>
      <c r="BN39" s="25" t="e">
        <f t="shared" si="91"/>
        <v>#DIV/0!</v>
      </c>
      <c r="BO39" s="24" t="e">
        <f t="shared" si="91"/>
        <v>#DIV/0!</v>
      </c>
      <c r="BP39" s="164" t="e">
        <f t="shared" si="91"/>
        <v>#DIV/0!</v>
      </c>
      <c r="BQ39" s="164" t="e">
        <f t="shared" si="91"/>
        <v>#DIV/0!</v>
      </c>
      <c r="BR39" s="164" t="e">
        <f t="shared" si="91"/>
        <v>#DIV/0!</v>
      </c>
      <c r="BS39" s="25" t="e">
        <f t="shared" ref="BS39:DB39" si="92">BS37/BS38</f>
        <v>#DIV/0!</v>
      </c>
      <c r="BT39" s="24" t="e">
        <f t="shared" si="92"/>
        <v>#DIV/0!</v>
      </c>
      <c r="BU39" s="164" t="e">
        <f t="shared" si="92"/>
        <v>#DIV/0!</v>
      </c>
      <c r="BV39" s="164" t="e">
        <f t="shared" si="92"/>
        <v>#DIV/0!</v>
      </c>
      <c r="BW39" s="164" t="e">
        <f t="shared" si="92"/>
        <v>#DIV/0!</v>
      </c>
      <c r="BX39" s="25">
        <f t="shared" si="92"/>
        <v>0.23536545252069702</v>
      </c>
      <c r="BY39" s="24">
        <f t="shared" si="92"/>
        <v>5.6600740269936813E-2</v>
      </c>
      <c r="BZ39" s="164">
        <f t="shared" si="92"/>
        <v>3.3937193931714668E-2</v>
      </c>
      <c r="CA39" s="164">
        <f t="shared" ref="CA39:CB39" si="93">CA37/CA38</f>
        <v>8.6559387247125488E-2</v>
      </c>
      <c r="CB39" s="164">
        <f t="shared" si="93"/>
        <v>5.2069522046520295E-2</v>
      </c>
      <c r="CC39" s="25">
        <f t="shared" si="92"/>
        <v>0.22763683499315879</v>
      </c>
      <c r="CD39" s="24">
        <f t="shared" ref="CD39:CE39" si="94">CD37/CD38</f>
        <v>0.16776414391939587</v>
      </c>
      <c r="CE39" s="164">
        <f t="shared" si="94"/>
        <v>5.8028964386556151E-2</v>
      </c>
      <c r="CF39" s="164" t="e">
        <f t="shared" si="92"/>
        <v>#DIV/0!</v>
      </c>
      <c r="CG39" s="164" t="e">
        <f t="shared" si="92"/>
        <v>#DIV/0!</v>
      </c>
      <c r="CH39" s="25" t="e">
        <f t="shared" si="92"/>
        <v>#DIV/0!</v>
      </c>
      <c r="CI39" s="164" t="e">
        <f t="shared" si="92"/>
        <v>#DIV/0!</v>
      </c>
      <c r="CJ39" s="164" t="e">
        <f t="shared" si="92"/>
        <v>#DIV/0!</v>
      </c>
      <c r="CK39" s="164" t="e">
        <f t="shared" si="92"/>
        <v>#DIV/0!</v>
      </c>
      <c r="CL39" s="164" t="e">
        <f t="shared" si="92"/>
        <v>#DIV/0!</v>
      </c>
      <c r="CM39" s="25" t="e">
        <f t="shared" si="92"/>
        <v>#DIV/0!</v>
      </c>
      <c r="CN39" s="164" t="e">
        <f t="shared" si="92"/>
        <v>#DIV/0!</v>
      </c>
      <c r="CO39" s="164" t="e">
        <f t="shared" si="92"/>
        <v>#DIV/0!</v>
      </c>
      <c r="CP39" s="164" t="e">
        <f t="shared" si="92"/>
        <v>#DIV/0!</v>
      </c>
      <c r="CQ39" s="164" t="e">
        <f t="shared" si="92"/>
        <v>#DIV/0!</v>
      </c>
      <c r="CR39" s="25" t="e">
        <f t="shared" si="92"/>
        <v>#DIV/0!</v>
      </c>
      <c r="CS39" s="164" t="e">
        <f t="shared" si="92"/>
        <v>#DIV/0!</v>
      </c>
      <c r="CT39" s="164" t="e">
        <f t="shared" si="92"/>
        <v>#DIV/0!</v>
      </c>
      <c r="CU39" s="164" t="e">
        <f t="shared" si="92"/>
        <v>#DIV/0!</v>
      </c>
      <c r="CV39" s="164" t="e">
        <f t="shared" si="92"/>
        <v>#DIV/0!</v>
      </c>
      <c r="CW39" s="25" t="e">
        <f t="shared" si="92"/>
        <v>#DIV/0!</v>
      </c>
      <c r="CX39" s="164" t="e">
        <f t="shared" si="92"/>
        <v>#DIV/0!</v>
      </c>
      <c r="CY39" s="164" t="e">
        <f t="shared" si="92"/>
        <v>#DIV/0!</v>
      </c>
      <c r="CZ39" s="164" t="e">
        <f t="shared" si="92"/>
        <v>#DIV/0!</v>
      </c>
      <c r="DA39" s="164" t="e">
        <f t="shared" si="92"/>
        <v>#DIV/0!</v>
      </c>
      <c r="DB39" s="25" t="e">
        <f t="shared" si="92"/>
        <v>#DIV/0!</v>
      </c>
    </row>
    <row r="40" spans="1:106" s="91" customFormat="1" ht="11.5" customHeight="1" collapsed="1" x14ac:dyDescent="0.35">
      <c r="A40" s="515" t="s">
        <v>372</v>
      </c>
      <c r="B40" s="516"/>
      <c r="C40" s="516"/>
      <c r="D40" s="516"/>
      <c r="E40" s="516"/>
      <c r="F40" s="442"/>
      <c r="G40" s="441"/>
      <c r="H40" s="441"/>
      <c r="I40" s="441"/>
      <c r="J40" s="441"/>
      <c r="K40" s="442"/>
      <c r="L40" s="441"/>
      <c r="M40" s="441"/>
      <c r="N40" s="441"/>
      <c r="O40" s="441"/>
      <c r="P40" s="442"/>
      <c r="Q40" s="441"/>
      <c r="R40" s="441"/>
      <c r="S40" s="441"/>
      <c r="T40" s="441"/>
      <c r="U40" s="442"/>
      <c r="V40" s="441"/>
      <c r="W40" s="441"/>
      <c r="X40" s="441"/>
      <c r="Y40" s="441"/>
      <c r="Z40" s="442"/>
      <c r="AA40" s="441"/>
      <c r="AB40" s="441"/>
      <c r="AC40" s="441"/>
      <c r="AD40" s="441"/>
      <c r="AE40" s="442"/>
      <c r="AF40" s="441"/>
      <c r="AG40" s="441"/>
      <c r="AH40" s="441"/>
      <c r="AI40" s="441"/>
      <c r="AJ40" s="442"/>
      <c r="AK40" s="441"/>
      <c r="AL40" s="441"/>
      <c r="AM40" s="441"/>
      <c r="AN40" s="441"/>
      <c r="AO40" s="442"/>
      <c r="AP40" s="441"/>
      <c r="AQ40" s="441"/>
      <c r="AR40" s="441"/>
      <c r="AS40" s="441"/>
      <c r="AT40" s="442"/>
      <c r="AU40" s="441"/>
      <c r="AV40" s="441"/>
      <c r="AW40" s="441"/>
      <c r="AX40" s="441"/>
      <c r="AY40" s="442"/>
      <c r="AZ40" s="441"/>
      <c r="BA40" s="441"/>
      <c r="BB40" s="441"/>
      <c r="BC40" s="441"/>
      <c r="BD40" s="442"/>
      <c r="BE40" s="441"/>
      <c r="BF40" s="441"/>
      <c r="BG40" s="441"/>
      <c r="BH40" s="441"/>
      <c r="BI40" s="442"/>
      <c r="BJ40" s="441"/>
      <c r="BK40" s="441"/>
      <c r="BL40" s="441"/>
      <c r="BM40" s="441"/>
      <c r="BN40" s="442"/>
      <c r="BO40" s="441"/>
      <c r="BP40" s="441"/>
      <c r="BQ40" s="441"/>
      <c r="BR40" s="441"/>
      <c r="BS40" s="442"/>
      <c r="BT40" s="441"/>
      <c r="BU40" s="441"/>
      <c r="BV40" s="441"/>
      <c r="BW40" s="441"/>
      <c r="BX40" s="649">
        <v>0.4</v>
      </c>
      <c r="BY40" s="517">
        <v>0.4</v>
      </c>
      <c r="BZ40" s="517">
        <v>0.4</v>
      </c>
      <c r="CA40" s="517">
        <v>0.4</v>
      </c>
      <c r="CB40" s="441">
        <f>CC40</f>
        <v>0.4</v>
      </c>
      <c r="CC40" s="442">
        <v>0.4</v>
      </c>
      <c r="CD40" s="517">
        <v>0.4</v>
      </c>
      <c r="CE40" s="517">
        <v>0.4</v>
      </c>
      <c r="CF40" s="441"/>
      <c r="CG40" s="441"/>
      <c r="CH40" s="442"/>
      <c r="CI40" s="441"/>
      <c r="CJ40" s="441"/>
      <c r="CK40" s="441"/>
      <c r="CL40" s="441"/>
      <c r="CM40" s="442"/>
      <c r="CN40" s="441"/>
      <c r="CO40" s="441"/>
      <c r="CP40" s="441"/>
      <c r="CQ40" s="441"/>
      <c r="CR40" s="442"/>
      <c r="CS40" s="441"/>
      <c r="CT40" s="441"/>
      <c r="CU40" s="441"/>
      <c r="CV40" s="441"/>
      <c r="CW40" s="442"/>
      <c r="CX40" s="441"/>
      <c r="CY40" s="441"/>
      <c r="CZ40" s="441"/>
      <c r="DA40" s="441"/>
      <c r="DB40" s="442"/>
    </row>
    <row r="41" spans="1:106" s="54" customFormat="1" ht="11.5" customHeight="1" x14ac:dyDescent="0.35">
      <c r="A41" s="217" t="s">
        <v>369</v>
      </c>
      <c r="B41" s="395"/>
      <c r="C41" s="395"/>
      <c r="D41" s="395"/>
      <c r="E41" s="395"/>
      <c r="F41" s="29"/>
      <c r="G41" s="395"/>
      <c r="H41" s="395"/>
      <c r="I41" s="395"/>
      <c r="J41" s="395"/>
      <c r="K41" s="29"/>
      <c r="L41" s="395"/>
      <c r="M41" s="395"/>
      <c r="N41" s="395"/>
      <c r="O41" s="395"/>
      <c r="P41" s="29"/>
      <c r="Q41" s="395"/>
      <c r="R41" s="395"/>
      <c r="S41" s="395"/>
      <c r="T41" s="395"/>
      <c r="U41" s="29"/>
      <c r="V41" s="395"/>
      <c r="W41" s="395"/>
      <c r="X41" s="395"/>
      <c r="Y41" s="395"/>
      <c r="Z41" s="29"/>
      <c r="AA41" s="395"/>
      <c r="AB41" s="395"/>
      <c r="AC41" s="395"/>
      <c r="AD41" s="395"/>
      <c r="AE41" s="29"/>
      <c r="AF41" s="395"/>
      <c r="AG41" s="395"/>
      <c r="AH41" s="395"/>
      <c r="AI41" s="395"/>
      <c r="AJ41" s="29"/>
      <c r="AK41" s="395"/>
      <c r="AL41" s="395"/>
      <c r="AM41" s="395"/>
      <c r="AN41" s="395"/>
      <c r="AO41" s="29"/>
      <c r="AP41" s="395"/>
      <c r="AQ41" s="395"/>
      <c r="AR41" s="395"/>
      <c r="AS41" s="395"/>
      <c r="AT41" s="29"/>
      <c r="AU41" s="395"/>
      <c r="AV41" s="395"/>
      <c r="AW41" s="395"/>
      <c r="AX41" s="395"/>
      <c r="AY41" s="29"/>
      <c r="AZ41" s="395"/>
      <c r="BA41" s="395"/>
      <c r="BB41" s="395"/>
      <c r="BC41" s="395"/>
      <c r="BD41" s="29"/>
      <c r="BE41" s="395"/>
      <c r="BF41" s="395"/>
      <c r="BG41" s="395"/>
      <c r="BH41" s="395"/>
      <c r="BI41" s="29"/>
      <c r="BJ41" s="395"/>
      <c r="BK41" s="395"/>
      <c r="BL41" s="395"/>
      <c r="BM41" s="395"/>
      <c r="BN41" s="29"/>
      <c r="BO41" s="395"/>
      <c r="BP41" s="395"/>
      <c r="BQ41" s="395"/>
      <c r="BR41" s="395"/>
      <c r="BS41" s="29"/>
      <c r="BT41" s="395"/>
      <c r="BU41" s="395"/>
      <c r="BV41" s="395"/>
      <c r="BW41" s="395"/>
      <c r="BX41" s="29"/>
      <c r="BY41" s="395"/>
      <c r="BZ41" s="395"/>
      <c r="CA41" s="422"/>
      <c r="CB41" s="422"/>
      <c r="CC41" s="29"/>
      <c r="CD41" s="395"/>
      <c r="CE41" s="395"/>
      <c r="CF41" s="422"/>
      <c r="CG41" s="422"/>
      <c r="CH41" s="29"/>
      <c r="CI41" s="422"/>
      <c r="CJ41" s="422"/>
      <c r="CK41" s="422"/>
      <c r="CL41" s="422"/>
      <c r="CM41" s="29"/>
      <c r="CN41" s="422"/>
      <c r="CO41" s="422"/>
      <c r="CP41" s="422"/>
      <c r="CQ41" s="422"/>
      <c r="CR41" s="29"/>
      <c r="CS41" s="422"/>
      <c r="CT41" s="422"/>
      <c r="CU41" s="422"/>
      <c r="CV41" s="422"/>
      <c r="CW41" s="29"/>
      <c r="CX41" s="422"/>
      <c r="CY41" s="422"/>
      <c r="CZ41" s="422"/>
      <c r="DA41" s="422"/>
      <c r="DB41" s="29"/>
    </row>
    <row r="42" spans="1:106" s="54" customFormat="1" ht="11.5" customHeight="1" x14ac:dyDescent="0.35">
      <c r="A42" s="190" t="s">
        <v>373</v>
      </c>
      <c r="B42" s="395"/>
      <c r="C42" s="395"/>
      <c r="D42" s="395"/>
      <c r="E42" s="395"/>
      <c r="F42" s="518"/>
      <c r="G42" s="395"/>
      <c r="H42" s="395"/>
      <c r="I42" s="395"/>
      <c r="J42" s="395"/>
      <c r="K42" s="518"/>
      <c r="L42" s="395"/>
      <c r="M42" s="395"/>
      <c r="N42" s="395"/>
      <c r="O42" s="395"/>
      <c r="P42" s="518"/>
      <c r="Q42" s="395"/>
      <c r="R42" s="395"/>
      <c r="S42" s="395"/>
      <c r="T42" s="395"/>
      <c r="U42" s="518"/>
      <c r="V42" s="395"/>
      <c r="W42" s="395"/>
      <c r="X42" s="395"/>
      <c r="Y42" s="395"/>
      <c r="Z42" s="518"/>
      <c r="AA42" s="395"/>
      <c r="AB42" s="395"/>
      <c r="AC42" s="395"/>
      <c r="AD42" s="395"/>
      <c r="AE42" s="518"/>
      <c r="AF42" s="395"/>
      <c r="AG42" s="395"/>
      <c r="AH42" s="395"/>
      <c r="AI42" s="395"/>
      <c r="AJ42" s="518"/>
      <c r="AK42" s="395"/>
      <c r="AL42" s="395"/>
      <c r="AM42" s="395"/>
      <c r="AN42" s="395"/>
      <c r="AO42" s="518"/>
      <c r="AP42" s="395"/>
      <c r="AQ42" s="395"/>
      <c r="AR42" s="395"/>
      <c r="AS42" s="395"/>
      <c r="AT42" s="518"/>
      <c r="AU42" s="395"/>
      <c r="AV42" s="395"/>
      <c r="AW42" s="395"/>
      <c r="AX42" s="395"/>
      <c r="AY42" s="518">
        <v>17569</v>
      </c>
      <c r="AZ42" s="395"/>
      <c r="BA42" s="395"/>
      <c r="BB42" s="395"/>
      <c r="BC42" s="395"/>
      <c r="BD42" s="518">
        <v>4657</v>
      </c>
      <c r="BE42" s="395"/>
      <c r="BF42" s="395"/>
      <c r="BG42" s="395"/>
      <c r="BH42" s="395"/>
      <c r="BI42" s="518">
        <v>21697</v>
      </c>
      <c r="BJ42" s="395"/>
      <c r="BK42" s="395"/>
      <c r="BL42" s="395"/>
      <c r="BM42" s="395"/>
      <c r="BN42" s="518">
        <v>15673</v>
      </c>
      <c r="BO42" s="395"/>
      <c r="BP42" s="395"/>
      <c r="BQ42" s="395"/>
      <c r="BR42" s="395"/>
      <c r="BS42" s="518"/>
      <c r="BT42" s="395"/>
      <c r="BU42" s="395"/>
      <c r="BV42" s="395"/>
      <c r="BW42" s="395"/>
      <c r="BX42" s="518"/>
      <c r="BY42" s="395"/>
      <c r="BZ42" s="395"/>
      <c r="CA42" s="395"/>
      <c r="CB42" s="395"/>
      <c r="CC42" s="518"/>
      <c r="CD42" s="395"/>
      <c r="CE42" s="395"/>
      <c r="CF42" s="395"/>
      <c r="CG42" s="395"/>
      <c r="CH42" s="518"/>
      <c r="CI42" s="395"/>
      <c r="CJ42" s="395"/>
      <c r="CK42" s="395"/>
      <c r="CL42" s="395"/>
      <c r="CM42" s="518"/>
      <c r="CN42" s="395"/>
      <c r="CO42" s="395"/>
      <c r="CP42" s="395"/>
      <c r="CQ42" s="395"/>
      <c r="CR42" s="518"/>
      <c r="CS42" s="395"/>
      <c r="CT42" s="395"/>
      <c r="CU42" s="395"/>
      <c r="CV42" s="395"/>
      <c r="CW42" s="518"/>
      <c r="CX42" s="395"/>
      <c r="CY42" s="395"/>
      <c r="CZ42" s="395"/>
      <c r="DA42" s="395"/>
      <c r="DB42" s="518"/>
    </row>
    <row r="43" spans="1:106" s="54" customFormat="1" ht="11.5" customHeight="1" x14ac:dyDescent="0.35">
      <c r="A43" s="190" t="s">
        <v>390</v>
      </c>
      <c r="B43" s="90"/>
      <c r="C43" s="90"/>
      <c r="D43" s="90"/>
      <c r="E43" s="90"/>
      <c r="F43" s="518"/>
      <c r="G43" s="395"/>
      <c r="H43" s="397"/>
      <c r="I43" s="397"/>
      <c r="J43" s="397"/>
      <c r="K43" s="518"/>
      <c r="L43" s="395"/>
      <c r="M43" s="397"/>
      <c r="N43" s="397"/>
      <c r="O43" s="397"/>
      <c r="P43" s="518"/>
      <c r="Q43" s="395"/>
      <c r="R43" s="397"/>
      <c r="S43" s="397"/>
      <c r="T43" s="397"/>
      <c r="U43" s="518"/>
      <c r="V43" s="395"/>
      <c r="W43" s="397"/>
      <c r="X43" s="397"/>
      <c r="Y43" s="397"/>
      <c r="Z43" s="518"/>
      <c r="AA43" s="395"/>
      <c r="AB43" s="397"/>
      <c r="AC43" s="397"/>
      <c r="AD43" s="397"/>
      <c r="AE43" s="518"/>
      <c r="AF43" s="395"/>
      <c r="AG43" s="397"/>
      <c r="AH43" s="397"/>
      <c r="AI43" s="397"/>
      <c r="AJ43" s="518"/>
      <c r="AK43" s="395"/>
      <c r="AL43" s="397"/>
      <c r="AM43" s="397"/>
      <c r="AN43" s="397"/>
      <c r="AO43" s="518"/>
      <c r="AP43" s="395"/>
      <c r="AQ43" s="397"/>
      <c r="AR43" s="397"/>
      <c r="AS43" s="397"/>
      <c r="AT43" s="518"/>
      <c r="AU43" s="395"/>
      <c r="AV43" s="397"/>
      <c r="AW43" s="397"/>
      <c r="AX43" s="397"/>
      <c r="AY43" s="518">
        <v>36905</v>
      </c>
      <c r="AZ43" s="395"/>
      <c r="BA43" s="397"/>
      <c r="BB43" s="397"/>
      <c r="BC43" s="397"/>
      <c r="BD43" s="518">
        <v>32999</v>
      </c>
      <c r="BE43" s="395"/>
      <c r="BF43" s="397"/>
      <c r="BG43" s="397"/>
      <c r="BH43" s="397"/>
      <c r="BI43" s="518">
        <v>50696</v>
      </c>
      <c r="BJ43" s="395"/>
      <c r="BK43" s="397"/>
      <c r="BL43" s="397"/>
      <c r="BM43" s="397"/>
      <c r="BN43" s="518">
        <v>52369</v>
      </c>
      <c r="BO43" s="395"/>
      <c r="BP43" s="397"/>
      <c r="BQ43" s="397"/>
      <c r="BR43" s="397"/>
      <c r="BS43" s="518"/>
      <c r="BT43" s="395"/>
      <c r="BU43" s="397"/>
      <c r="BV43" s="397"/>
      <c r="BW43" s="397"/>
      <c r="BX43" s="518"/>
      <c r="BY43" s="395"/>
      <c r="BZ43" s="397"/>
      <c r="CA43" s="397"/>
      <c r="CB43" s="397"/>
      <c r="CC43" s="518"/>
      <c r="CD43" s="395"/>
      <c r="CE43" s="397"/>
      <c r="CF43" s="397"/>
      <c r="CG43" s="397"/>
      <c r="CH43" s="518"/>
      <c r="CI43" s="397"/>
      <c r="CJ43" s="397"/>
      <c r="CK43" s="397"/>
      <c r="CL43" s="397"/>
      <c r="CM43" s="518"/>
      <c r="CN43" s="397"/>
      <c r="CO43" s="397"/>
      <c r="CP43" s="397"/>
      <c r="CQ43" s="397"/>
      <c r="CR43" s="518"/>
      <c r="CS43" s="397"/>
      <c r="CT43" s="397"/>
      <c r="CU43" s="397"/>
      <c r="CV43" s="397"/>
      <c r="CW43" s="518"/>
      <c r="CX43" s="397"/>
      <c r="CY43" s="397"/>
      <c r="CZ43" s="397"/>
      <c r="DA43" s="397"/>
      <c r="DB43" s="518"/>
    </row>
    <row r="44" spans="1:106" s="91" customFormat="1" ht="11.5" customHeight="1" x14ac:dyDescent="0.35">
      <c r="A44" s="522" t="s">
        <v>361</v>
      </c>
      <c r="B44" s="92"/>
      <c r="C44" s="92"/>
      <c r="D44" s="92"/>
      <c r="E44" s="92"/>
      <c r="F44" s="25" t="e">
        <f>F42/F43</f>
        <v>#DIV/0!</v>
      </c>
      <c r="G44" s="24" t="e">
        <f t="shared" ref="G44:BR44" si="95">G42/G43</f>
        <v>#DIV/0!</v>
      </c>
      <c r="H44" s="164" t="e">
        <f t="shared" si="95"/>
        <v>#DIV/0!</v>
      </c>
      <c r="I44" s="164" t="e">
        <f t="shared" si="95"/>
        <v>#DIV/0!</v>
      </c>
      <c r="J44" s="164" t="e">
        <f t="shared" si="95"/>
        <v>#DIV/0!</v>
      </c>
      <c r="K44" s="25" t="e">
        <f t="shared" si="95"/>
        <v>#DIV/0!</v>
      </c>
      <c r="L44" s="24" t="e">
        <f t="shared" si="95"/>
        <v>#DIV/0!</v>
      </c>
      <c r="M44" s="164" t="e">
        <f t="shared" si="95"/>
        <v>#DIV/0!</v>
      </c>
      <c r="N44" s="164" t="e">
        <f t="shared" si="95"/>
        <v>#DIV/0!</v>
      </c>
      <c r="O44" s="164" t="e">
        <f t="shared" si="95"/>
        <v>#DIV/0!</v>
      </c>
      <c r="P44" s="25" t="e">
        <f t="shared" si="95"/>
        <v>#DIV/0!</v>
      </c>
      <c r="Q44" s="24" t="e">
        <f t="shared" si="95"/>
        <v>#DIV/0!</v>
      </c>
      <c r="R44" s="164" t="e">
        <f t="shared" si="95"/>
        <v>#DIV/0!</v>
      </c>
      <c r="S44" s="164" t="e">
        <f t="shared" si="95"/>
        <v>#DIV/0!</v>
      </c>
      <c r="T44" s="164" t="e">
        <f t="shared" si="95"/>
        <v>#DIV/0!</v>
      </c>
      <c r="U44" s="25" t="e">
        <f t="shared" si="95"/>
        <v>#DIV/0!</v>
      </c>
      <c r="V44" s="24" t="e">
        <f t="shared" si="95"/>
        <v>#DIV/0!</v>
      </c>
      <c r="W44" s="164" t="e">
        <f t="shared" si="95"/>
        <v>#DIV/0!</v>
      </c>
      <c r="X44" s="164" t="e">
        <f t="shared" si="95"/>
        <v>#DIV/0!</v>
      </c>
      <c r="Y44" s="164" t="e">
        <f t="shared" si="95"/>
        <v>#DIV/0!</v>
      </c>
      <c r="Z44" s="25" t="e">
        <f t="shared" si="95"/>
        <v>#DIV/0!</v>
      </c>
      <c r="AA44" s="24" t="e">
        <f t="shared" si="95"/>
        <v>#DIV/0!</v>
      </c>
      <c r="AB44" s="164" t="e">
        <f t="shared" si="95"/>
        <v>#DIV/0!</v>
      </c>
      <c r="AC44" s="164" t="e">
        <f t="shared" si="95"/>
        <v>#DIV/0!</v>
      </c>
      <c r="AD44" s="164" t="e">
        <f t="shared" si="95"/>
        <v>#DIV/0!</v>
      </c>
      <c r="AE44" s="25" t="e">
        <f t="shared" si="95"/>
        <v>#DIV/0!</v>
      </c>
      <c r="AF44" s="24" t="e">
        <f t="shared" si="95"/>
        <v>#DIV/0!</v>
      </c>
      <c r="AG44" s="164" t="e">
        <f t="shared" si="95"/>
        <v>#DIV/0!</v>
      </c>
      <c r="AH44" s="164" t="e">
        <f t="shared" si="95"/>
        <v>#DIV/0!</v>
      </c>
      <c r="AI44" s="164" t="e">
        <f t="shared" si="95"/>
        <v>#DIV/0!</v>
      </c>
      <c r="AJ44" s="25" t="e">
        <f t="shared" si="95"/>
        <v>#DIV/0!</v>
      </c>
      <c r="AK44" s="24" t="e">
        <f t="shared" si="95"/>
        <v>#DIV/0!</v>
      </c>
      <c r="AL44" s="164" t="e">
        <f t="shared" si="95"/>
        <v>#DIV/0!</v>
      </c>
      <c r="AM44" s="164" t="e">
        <f t="shared" si="95"/>
        <v>#DIV/0!</v>
      </c>
      <c r="AN44" s="164" t="e">
        <f t="shared" si="95"/>
        <v>#DIV/0!</v>
      </c>
      <c r="AO44" s="25" t="e">
        <f t="shared" si="95"/>
        <v>#DIV/0!</v>
      </c>
      <c r="AP44" s="24" t="e">
        <f t="shared" si="95"/>
        <v>#DIV/0!</v>
      </c>
      <c r="AQ44" s="164" t="e">
        <f t="shared" si="95"/>
        <v>#DIV/0!</v>
      </c>
      <c r="AR44" s="164" t="e">
        <f t="shared" si="95"/>
        <v>#DIV/0!</v>
      </c>
      <c r="AS44" s="164" t="e">
        <f t="shared" si="95"/>
        <v>#DIV/0!</v>
      </c>
      <c r="AT44" s="25" t="e">
        <f t="shared" si="95"/>
        <v>#DIV/0!</v>
      </c>
      <c r="AU44" s="24" t="e">
        <f t="shared" si="95"/>
        <v>#DIV/0!</v>
      </c>
      <c r="AV44" s="164" t="e">
        <f t="shared" si="95"/>
        <v>#DIV/0!</v>
      </c>
      <c r="AW44" s="164" t="e">
        <f t="shared" si="95"/>
        <v>#DIV/0!</v>
      </c>
      <c r="AX44" s="164" t="e">
        <f t="shared" si="95"/>
        <v>#DIV/0!</v>
      </c>
      <c r="AY44" s="25">
        <f t="shared" si="95"/>
        <v>0.47606015445061645</v>
      </c>
      <c r="AZ44" s="24" t="e">
        <f t="shared" si="95"/>
        <v>#DIV/0!</v>
      </c>
      <c r="BA44" s="164" t="e">
        <f t="shared" si="95"/>
        <v>#DIV/0!</v>
      </c>
      <c r="BB44" s="164" t="e">
        <f t="shared" si="95"/>
        <v>#DIV/0!</v>
      </c>
      <c r="BC44" s="164" t="e">
        <f t="shared" si="95"/>
        <v>#DIV/0!</v>
      </c>
      <c r="BD44" s="25">
        <f t="shared" si="95"/>
        <v>0.14112548865117125</v>
      </c>
      <c r="BE44" s="24" t="e">
        <f t="shared" si="95"/>
        <v>#DIV/0!</v>
      </c>
      <c r="BF44" s="164" t="e">
        <f t="shared" si="95"/>
        <v>#DIV/0!</v>
      </c>
      <c r="BG44" s="164" t="e">
        <f t="shared" si="95"/>
        <v>#DIV/0!</v>
      </c>
      <c r="BH44" s="164" t="e">
        <f t="shared" si="95"/>
        <v>#DIV/0!</v>
      </c>
      <c r="BI44" s="25">
        <f t="shared" si="95"/>
        <v>0.42798248382515386</v>
      </c>
      <c r="BJ44" s="24" t="e">
        <f t="shared" si="95"/>
        <v>#DIV/0!</v>
      </c>
      <c r="BK44" s="164" t="e">
        <f t="shared" si="95"/>
        <v>#DIV/0!</v>
      </c>
      <c r="BL44" s="164" t="e">
        <f t="shared" si="95"/>
        <v>#DIV/0!</v>
      </c>
      <c r="BM44" s="164" t="e">
        <f t="shared" si="95"/>
        <v>#DIV/0!</v>
      </c>
      <c r="BN44" s="25">
        <f t="shared" si="95"/>
        <v>0.29928010846111247</v>
      </c>
      <c r="BO44" s="24" t="e">
        <f t="shared" si="95"/>
        <v>#DIV/0!</v>
      </c>
      <c r="BP44" s="164" t="e">
        <f t="shared" si="95"/>
        <v>#DIV/0!</v>
      </c>
      <c r="BQ44" s="164" t="e">
        <f t="shared" si="95"/>
        <v>#DIV/0!</v>
      </c>
      <c r="BR44" s="164" t="e">
        <f t="shared" si="95"/>
        <v>#DIV/0!</v>
      </c>
      <c r="BS44" s="25" t="e">
        <f t="shared" ref="BS44:DB44" si="96">BS42/BS43</f>
        <v>#DIV/0!</v>
      </c>
      <c r="BT44" s="24" t="e">
        <f t="shared" si="96"/>
        <v>#DIV/0!</v>
      </c>
      <c r="BU44" s="164" t="e">
        <f t="shared" si="96"/>
        <v>#DIV/0!</v>
      </c>
      <c r="BV44" s="164" t="e">
        <f t="shared" si="96"/>
        <v>#DIV/0!</v>
      </c>
      <c r="BW44" s="164" t="e">
        <f t="shared" si="96"/>
        <v>#DIV/0!</v>
      </c>
      <c r="BX44" s="25" t="e">
        <f t="shared" si="96"/>
        <v>#DIV/0!</v>
      </c>
      <c r="BY44" s="24" t="e">
        <f t="shared" si="96"/>
        <v>#DIV/0!</v>
      </c>
      <c r="BZ44" s="164" t="e">
        <f t="shared" si="96"/>
        <v>#DIV/0!</v>
      </c>
      <c r="CA44" s="164" t="e">
        <f t="shared" si="96"/>
        <v>#DIV/0!</v>
      </c>
      <c r="CB44" s="164" t="e">
        <f t="shared" si="96"/>
        <v>#DIV/0!</v>
      </c>
      <c r="CC44" s="25" t="e">
        <f t="shared" si="96"/>
        <v>#DIV/0!</v>
      </c>
      <c r="CD44" s="24" t="e">
        <f t="shared" ref="CD44:CE44" si="97">CD42/CD43</f>
        <v>#DIV/0!</v>
      </c>
      <c r="CE44" s="164" t="e">
        <f t="shared" si="97"/>
        <v>#DIV/0!</v>
      </c>
      <c r="CF44" s="164" t="e">
        <f t="shared" si="96"/>
        <v>#DIV/0!</v>
      </c>
      <c r="CG44" s="164" t="e">
        <f t="shared" si="96"/>
        <v>#DIV/0!</v>
      </c>
      <c r="CH44" s="25" t="e">
        <f t="shared" si="96"/>
        <v>#DIV/0!</v>
      </c>
      <c r="CI44" s="164" t="e">
        <f t="shared" si="96"/>
        <v>#DIV/0!</v>
      </c>
      <c r="CJ44" s="164" t="e">
        <f t="shared" si="96"/>
        <v>#DIV/0!</v>
      </c>
      <c r="CK44" s="164" t="e">
        <f t="shared" si="96"/>
        <v>#DIV/0!</v>
      </c>
      <c r="CL44" s="164" t="e">
        <f t="shared" si="96"/>
        <v>#DIV/0!</v>
      </c>
      <c r="CM44" s="25" t="e">
        <f t="shared" si="96"/>
        <v>#DIV/0!</v>
      </c>
      <c r="CN44" s="164" t="e">
        <f t="shared" si="96"/>
        <v>#DIV/0!</v>
      </c>
      <c r="CO44" s="164" t="e">
        <f t="shared" si="96"/>
        <v>#DIV/0!</v>
      </c>
      <c r="CP44" s="164" t="e">
        <f t="shared" si="96"/>
        <v>#DIV/0!</v>
      </c>
      <c r="CQ44" s="164" t="e">
        <f t="shared" si="96"/>
        <v>#DIV/0!</v>
      </c>
      <c r="CR44" s="25" t="e">
        <f t="shared" si="96"/>
        <v>#DIV/0!</v>
      </c>
      <c r="CS44" s="164" t="e">
        <f t="shared" si="96"/>
        <v>#DIV/0!</v>
      </c>
      <c r="CT44" s="164" t="e">
        <f t="shared" si="96"/>
        <v>#DIV/0!</v>
      </c>
      <c r="CU44" s="164" t="e">
        <f t="shared" si="96"/>
        <v>#DIV/0!</v>
      </c>
      <c r="CV44" s="164" t="e">
        <f t="shared" si="96"/>
        <v>#DIV/0!</v>
      </c>
      <c r="CW44" s="25" t="e">
        <f t="shared" si="96"/>
        <v>#DIV/0!</v>
      </c>
      <c r="CX44" s="164" t="e">
        <f t="shared" si="96"/>
        <v>#DIV/0!</v>
      </c>
      <c r="CY44" s="164" t="e">
        <f t="shared" si="96"/>
        <v>#DIV/0!</v>
      </c>
      <c r="CZ44" s="164" t="e">
        <f t="shared" si="96"/>
        <v>#DIV/0!</v>
      </c>
      <c r="DA44" s="164" t="e">
        <f t="shared" si="96"/>
        <v>#DIV/0!</v>
      </c>
      <c r="DB44" s="25" t="e">
        <f t="shared" si="96"/>
        <v>#DIV/0!</v>
      </c>
    </row>
    <row r="45" spans="1:106" s="91" customFormat="1" ht="11.5" customHeight="1" collapsed="1" x14ac:dyDescent="0.35">
      <c r="A45" s="515" t="s">
        <v>372</v>
      </c>
      <c r="B45" s="516"/>
      <c r="C45" s="516"/>
      <c r="D45" s="516"/>
      <c r="E45" s="516"/>
      <c r="F45" s="442"/>
      <c r="G45" s="441"/>
      <c r="H45" s="441"/>
      <c r="I45" s="441"/>
      <c r="J45" s="441"/>
      <c r="K45" s="442"/>
      <c r="L45" s="441"/>
      <c r="M45" s="441"/>
      <c r="N45" s="441"/>
      <c r="O45" s="441"/>
      <c r="P45" s="442"/>
      <c r="Q45" s="441"/>
      <c r="R45" s="441"/>
      <c r="S45" s="441"/>
      <c r="T45" s="441"/>
      <c r="U45" s="442"/>
      <c r="V45" s="441"/>
      <c r="W45" s="441"/>
      <c r="X45" s="441"/>
      <c r="Y45" s="441"/>
      <c r="Z45" s="442"/>
      <c r="AA45" s="441"/>
      <c r="AB45" s="441"/>
      <c r="AC45" s="441"/>
      <c r="AD45" s="441"/>
      <c r="AE45" s="442"/>
      <c r="AF45" s="441"/>
      <c r="AG45" s="441"/>
      <c r="AH45" s="441"/>
      <c r="AI45" s="441"/>
      <c r="AJ45" s="442"/>
      <c r="AK45" s="441"/>
      <c r="AL45" s="441"/>
      <c r="AM45" s="441"/>
      <c r="AN45" s="441"/>
      <c r="AO45" s="442"/>
      <c r="AP45" s="441"/>
      <c r="AQ45" s="441"/>
      <c r="AR45" s="441"/>
      <c r="AS45" s="441"/>
      <c r="AT45" s="442"/>
      <c r="AU45" s="441"/>
      <c r="AV45" s="441"/>
      <c r="AW45" s="441"/>
      <c r="AX45" s="441"/>
      <c r="AY45" s="442">
        <v>0.2</v>
      </c>
      <c r="AZ45" s="441"/>
      <c r="BA45" s="441"/>
      <c r="BB45" s="441"/>
      <c r="BC45" s="441"/>
      <c r="BD45" s="442">
        <v>0.2</v>
      </c>
      <c r="BE45" s="441"/>
      <c r="BF45" s="441"/>
      <c r="BG45" s="441"/>
      <c r="BH45" s="441"/>
      <c r="BI45" s="442">
        <v>0.2</v>
      </c>
      <c r="BJ45" s="441"/>
      <c r="BK45" s="441"/>
      <c r="BL45" s="441"/>
      <c r="BM45" s="441"/>
      <c r="BN45" s="442">
        <v>0.2</v>
      </c>
      <c r="BO45" s="441"/>
      <c r="BP45" s="441"/>
      <c r="BQ45" s="441"/>
      <c r="BR45" s="441"/>
      <c r="BS45" s="442"/>
      <c r="BT45" s="441"/>
      <c r="BU45" s="441"/>
      <c r="BV45" s="441"/>
      <c r="BW45" s="441"/>
      <c r="BX45" s="442"/>
      <c r="BY45" s="441"/>
      <c r="BZ45" s="441"/>
      <c r="CA45" s="441"/>
      <c r="CB45" s="441"/>
      <c r="CC45" s="442"/>
      <c r="CD45" s="441"/>
      <c r="CE45" s="441"/>
      <c r="CF45" s="441"/>
      <c r="CG45" s="441"/>
      <c r="CH45" s="442"/>
      <c r="CI45" s="441"/>
      <c r="CJ45" s="441"/>
      <c r="CK45" s="441"/>
      <c r="CL45" s="441"/>
      <c r="CM45" s="442"/>
      <c r="CN45" s="441"/>
      <c r="CO45" s="441"/>
      <c r="CP45" s="441"/>
      <c r="CQ45" s="441"/>
      <c r="CR45" s="442"/>
      <c r="CS45" s="441"/>
      <c r="CT45" s="441"/>
      <c r="CU45" s="441"/>
      <c r="CV45" s="441"/>
      <c r="CW45" s="442"/>
      <c r="CX45" s="441"/>
      <c r="CY45" s="441"/>
      <c r="CZ45" s="441"/>
      <c r="DA45" s="441"/>
      <c r="DB45" s="442"/>
    </row>
    <row r="46" spans="1:106" s="54" customFormat="1" ht="11.5" customHeight="1" x14ac:dyDescent="0.35">
      <c r="A46" s="217" t="s">
        <v>369</v>
      </c>
      <c r="B46" s="395"/>
      <c r="C46" s="395"/>
      <c r="D46" s="395"/>
      <c r="E46" s="395"/>
      <c r="F46" s="29"/>
      <c r="G46" s="395"/>
      <c r="H46" s="395"/>
      <c r="I46" s="395"/>
      <c r="J46" s="395"/>
      <c r="K46" s="29"/>
      <c r="L46" s="395"/>
      <c r="M46" s="395"/>
      <c r="N46" s="395"/>
      <c r="O46" s="395"/>
      <c r="P46" s="29"/>
      <c r="Q46" s="395"/>
      <c r="R46" s="395"/>
      <c r="S46" s="395"/>
      <c r="T46" s="395"/>
      <c r="U46" s="29"/>
      <c r="V46" s="395"/>
      <c r="W46" s="395"/>
      <c r="X46" s="395"/>
      <c r="Y46" s="395"/>
      <c r="Z46" s="29"/>
      <c r="AA46" s="395"/>
      <c r="AB46" s="395"/>
      <c r="AC46" s="395"/>
      <c r="AD46" s="395"/>
      <c r="AE46" s="29"/>
      <c r="AF46" s="395"/>
      <c r="AG46" s="395"/>
      <c r="AH46" s="395"/>
      <c r="AI46" s="395"/>
      <c r="AJ46" s="29"/>
      <c r="AK46" s="395"/>
      <c r="AL46" s="395"/>
      <c r="AM46" s="395"/>
      <c r="AN46" s="395"/>
      <c r="AO46" s="29"/>
      <c r="AP46" s="395"/>
      <c r="AQ46" s="395"/>
      <c r="AR46" s="395"/>
      <c r="AS46" s="395"/>
      <c r="AT46" s="29"/>
      <c r="AU46" s="395"/>
      <c r="AV46" s="395"/>
      <c r="AW46" s="395"/>
      <c r="AX46" s="395"/>
      <c r="AY46" s="29"/>
      <c r="AZ46" s="395"/>
      <c r="BA46" s="395"/>
      <c r="BB46" s="395"/>
      <c r="BC46" s="395"/>
      <c r="BD46" s="29"/>
      <c r="BE46" s="395"/>
      <c r="BF46" s="395"/>
      <c r="BG46" s="395"/>
      <c r="BH46" s="395"/>
      <c r="BI46" s="29"/>
      <c r="BJ46" s="395"/>
      <c r="BK46" s="395"/>
      <c r="BL46" s="395"/>
      <c r="BM46" s="395"/>
      <c r="BN46" s="29"/>
      <c r="BO46" s="395"/>
      <c r="BP46" s="395"/>
      <c r="BQ46" s="395"/>
      <c r="BR46" s="395"/>
      <c r="BS46" s="29"/>
      <c r="BT46" s="395"/>
      <c r="BU46" s="395"/>
      <c r="BV46" s="395"/>
      <c r="BW46" s="395"/>
      <c r="BX46" s="29"/>
      <c r="BY46" s="395"/>
      <c r="BZ46" s="395"/>
      <c r="CA46" s="422"/>
      <c r="CB46" s="422"/>
      <c r="CC46" s="29"/>
      <c r="CD46" s="395"/>
      <c r="CE46" s="395"/>
      <c r="CF46" s="422"/>
      <c r="CG46" s="422"/>
      <c r="CH46" s="29"/>
      <c r="CI46" s="422"/>
      <c r="CJ46" s="422"/>
      <c r="CK46" s="422"/>
      <c r="CL46" s="422"/>
      <c r="CM46" s="29"/>
      <c r="CN46" s="422"/>
      <c r="CO46" s="422"/>
      <c r="CP46" s="422"/>
      <c r="CQ46" s="422"/>
      <c r="CR46" s="29"/>
      <c r="CS46" s="422"/>
      <c r="CT46" s="422"/>
      <c r="CU46" s="422"/>
      <c r="CV46" s="422"/>
      <c r="CW46" s="29"/>
      <c r="CX46" s="422"/>
      <c r="CY46" s="422"/>
      <c r="CZ46" s="422"/>
      <c r="DA46" s="422"/>
      <c r="DB46" s="29"/>
    </row>
    <row r="47" spans="1:106" s="54" customFormat="1" ht="11.5" customHeight="1" x14ac:dyDescent="0.35">
      <c r="A47" s="190" t="s">
        <v>373</v>
      </c>
      <c r="B47" s="395"/>
      <c r="C47" s="395"/>
      <c r="D47" s="395"/>
      <c r="E47" s="395"/>
      <c r="F47" s="518"/>
      <c r="G47" s="395"/>
      <c r="H47" s="395"/>
      <c r="I47" s="395"/>
      <c r="J47" s="395"/>
      <c r="K47" s="518"/>
      <c r="L47" s="395"/>
      <c r="M47" s="395"/>
      <c r="N47" s="395"/>
      <c r="O47" s="395"/>
      <c r="P47" s="518"/>
      <c r="Q47" s="395"/>
      <c r="R47" s="395"/>
      <c r="S47" s="395"/>
      <c r="T47" s="395"/>
      <c r="U47" s="518"/>
      <c r="V47" s="395"/>
      <c r="W47" s="395"/>
      <c r="X47" s="395"/>
      <c r="Y47" s="395"/>
      <c r="Z47" s="518"/>
      <c r="AA47" s="395"/>
      <c r="AB47" s="395"/>
      <c r="AC47" s="395"/>
      <c r="AD47" s="395"/>
      <c r="AE47" s="518"/>
      <c r="AF47" s="395"/>
      <c r="AG47" s="395"/>
      <c r="AH47" s="395"/>
      <c r="AI47" s="395"/>
      <c r="AJ47" s="518"/>
      <c r="AK47" s="395"/>
      <c r="AL47" s="395"/>
      <c r="AM47" s="395"/>
      <c r="AN47" s="395"/>
      <c r="AO47" s="518"/>
      <c r="AP47" s="395"/>
      <c r="AQ47" s="395"/>
      <c r="AR47" s="395"/>
      <c r="AS47" s="395"/>
      <c r="AT47" s="518">
        <v>19312</v>
      </c>
      <c r="AU47" s="395"/>
      <c r="AV47" s="395"/>
      <c r="AW47" s="395"/>
      <c r="AX47" s="395"/>
      <c r="AY47" s="518">
        <v>-2055</v>
      </c>
      <c r="AZ47" s="395"/>
      <c r="BA47" s="395"/>
      <c r="BB47" s="395"/>
      <c r="BC47" s="395"/>
      <c r="BD47" s="518">
        <v>11099</v>
      </c>
      <c r="BE47" s="395"/>
      <c r="BF47" s="395"/>
      <c r="BG47" s="395"/>
      <c r="BH47" s="395"/>
      <c r="BI47" s="518"/>
      <c r="BJ47" s="395"/>
      <c r="BK47" s="395"/>
      <c r="BL47" s="395"/>
      <c r="BM47" s="395"/>
      <c r="BN47" s="518"/>
      <c r="BO47" s="395"/>
      <c r="BP47" s="395"/>
      <c r="BQ47" s="395"/>
      <c r="BR47" s="395"/>
      <c r="BS47" s="518"/>
      <c r="BT47" s="395"/>
      <c r="BU47" s="395"/>
      <c r="BV47" s="395"/>
      <c r="BW47" s="395"/>
      <c r="BX47" s="518"/>
      <c r="BY47" s="395"/>
      <c r="BZ47" s="395"/>
      <c r="CA47" s="395"/>
      <c r="CB47" s="395"/>
      <c r="CC47" s="518"/>
      <c r="CD47" s="395"/>
      <c r="CE47" s="395"/>
      <c r="CF47" s="395"/>
      <c r="CG47" s="395"/>
      <c r="CH47" s="518"/>
      <c r="CI47" s="395"/>
      <c r="CJ47" s="395"/>
      <c r="CK47" s="395"/>
      <c r="CL47" s="395"/>
      <c r="CM47" s="518"/>
      <c r="CN47" s="395"/>
      <c r="CO47" s="395"/>
      <c r="CP47" s="395"/>
      <c r="CQ47" s="395"/>
      <c r="CR47" s="518"/>
      <c r="CS47" s="395"/>
      <c r="CT47" s="395"/>
      <c r="CU47" s="395"/>
      <c r="CV47" s="395"/>
      <c r="CW47" s="518"/>
      <c r="CX47" s="395"/>
      <c r="CY47" s="395"/>
      <c r="CZ47" s="395"/>
      <c r="DA47" s="395"/>
      <c r="DB47" s="518"/>
    </row>
    <row r="48" spans="1:106" s="54" customFormat="1" ht="11.5" customHeight="1" x14ac:dyDescent="0.35">
      <c r="A48" s="190" t="s">
        <v>390</v>
      </c>
      <c r="B48" s="90"/>
      <c r="C48" s="90"/>
      <c r="D48" s="90"/>
      <c r="E48" s="90"/>
      <c r="F48" s="518"/>
      <c r="G48" s="395"/>
      <c r="H48" s="397"/>
      <c r="I48" s="397"/>
      <c r="J48" s="397"/>
      <c r="K48" s="518"/>
      <c r="L48" s="395"/>
      <c r="M48" s="397"/>
      <c r="N48" s="397"/>
      <c r="O48" s="397"/>
      <c r="P48" s="518"/>
      <c r="Q48" s="395"/>
      <c r="R48" s="397"/>
      <c r="S48" s="397"/>
      <c r="T48" s="397"/>
      <c r="U48" s="518"/>
      <c r="V48" s="395"/>
      <c r="W48" s="397"/>
      <c r="X48" s="397"/>
      <c r="Y48" s="397"/>
      <c r="Z48" s="518"/>
      <c r="AA48" s="395"/>
      <c r="AB48" s="397"/>
      <c r="AC48" s="397"/>
      <c r="AD48" s="397"/>
      <c r="AE48" s="518"/>
      <c r="AF48" s="395"/>
      <c r="AG48" s="397"/>
      <c r="AH48" s="397"/>
      <c r="AI48" s="397"/>
      <c r="AJ48" s="518"/>
      <c r="AK48" s="395"/>
      <c r="AL48" s="397"/>
      <c r="AM48" s="397"/>
      <c r="AN48" s="397"/>
      <c r="AO48" s="518"/>
      <c r="AP48" s="395"/>
      <c r="AQ48" s="397"/>
      <c r="AR48" s="397"/>
      <c r="AS48" s="397"/>
      <c r="AT48" s="518">
        <v>28987</v>
      </c>
      <c r="AU48" s="395"/>
      <c r="AV48" s="397"/>
      <c r="AW48" s="397"/>
      <c r="AX48" s="397"/>
      <c r="AY48" s="518">
        <v>13080</v>
      </c>
      <c r="AZ48" s="395"/>
      <c r="BA48" s="397"/>
      <c r="BB48" s="397"/>
      <c r="BC48" s="397"/>
      <c r="BD48" s="518">
        <v>24518</v>
      </c>
      <c r="BE48" s="395"/>
      <c r="BF48" s="397"/>
      <c r="BG48" s="397"/>
      <c r="BH48" s="397"/>
      <c r="BI48" s="518"/>
      <c r="BJ48" s="395"/>
      <c r="BK48" s="397"/>
      <c r="BL48" s="397"/>
      <c r="BM48" s="397"/>
      <c r="BN48" s="518"/>
      <c r="BO48" s="395"/>
      <c r="BP48" s="397"/>
      <c r="BQ48" s="397"/>
      <c r="BR48" s="397"/>
      <c r="BS48" s="518"/>
      <c r="BT48" s="395"/>
      <c r="BU48" s="397"/>
      <c r="BV48" s="397"/>
      <c r="BW48" s="397"/>
      <c r="BX48" s="518"/>
      <c r="BY48" s="395"/>
      <c r="BZ48" s="397"/>
      <c r="CA48" s="397"/>
      <c r="CB48" s="397"/>
      <c r="CC48" s="518"/>
      <c r="CD48" s="395"/>
      <c r="CE48" s="397"/>
      <c r="CF48" s="397"/>
      <c r="CG48" s="397"/>
      <c r="CH48" s="518"/>
      <c r="CI48" s="397"/>
      <c r="CJ48" s="397"/>
      <c r="CK48" s="397"/>
      <c r="CL48" s="397"/>
      <c r="CM48" s="518"/>
      <c r="CN48" s="397"/>
      <c r="CO48" s="397"/>
      <c r="CP48" s="397"/>
      <c r="CQ48" s="397"/>
      <c r="CR48" s="518"/>
      <c r="CS48" s="397"/>
      <c r="CT48" s="397"/>
      <c r="CU48" s="397"/>
      <c r="CV48" s="397"/>
      <c r="CW48" s="518"/>
      <c r="CX48" s="397"/>
      <c r="CY48" s="397"/>
      <c r="CZ48" s="397"/>
      <c r="DA48" s="397"/>
      <c r="DB48" s="518"/>
    </row>
    <row r="49" spans="1:106" s="91" customFormat="1" ht="11.5" customHeight="1" x14ac:dyDescent="0.35">
      <c r="A49" s="522" t="s">
        <v>361</v>
      </c>
      <c r="B49" s="92"/>
      <c r="C49" s="92"/>
      <c r="D49" s="92"/>
      <c r="E49" s="92"/>
      <c r="F49" s="25" t="e">
        <f>F47/F48</f>
        <v>#DIV/0!</v>
      </c>
      <c r="G49" s="24" t="e">
        <f t="shared" ref="G49:BR49" si="98">G47/G48</f>
        <v>#DIV/0!</v>
      </c>
      <c r="H49" s="164" t="e">
        <f t="shared" si="98"/>
        <v>#DIV/0!</v>
      </c>
      <c r="I49" s="164" t="e">
        <f t="shared" si="98"/>
        <v>#DIV/0!</v>
      </c>
      <c r="J49" s="164" t="e">
        <f t="shared" si="98"/>
        <v>#DIV/0!</v>
      </c>
      <c r="K49" s="25" t="e">
        <f t="shared" si="98"/>
        <v>#DIV/0!</v>
      </c>
      <c r="L49" s="24" t="e">
        <f t="shared" si="98"/>
        <v>#DIV/0!</v>
      </c>
      <c r="M49" s="164" t="e">
        <f t="shared" si="98"/>
        <v>#DIV/0!</v>
      </c>
      <c r="N49" s="164" t="e">
        <f t="shared" si="98"/>
        <v>#DIV/0!</v>
      </c>
      <c r="O49" s="164" t="e">
        <f t="shared" si="98"/>
        <v>#DIV/0!</v>
      </c>
      <c r="P49" s="25" t="e">
        <f t="shared" si="98"/>
        <v>#DIV/0!</v>
      </c>
      <c r="Q49" s="24" t="e">
        <f t="shared" si="98"/>
        <v>#DIV/0!</v>
      </c>
      <c r="R49" s="164" t="e">
        <f t="shared" si="98"/>
        <v>#DIV/0!</v>
      </c>
      <c r="S49" s="164" t="e">
        <f t="shared" si="98"/>
        <v>#DIV/0!</v>
      </c>
      <c r="T49" s="164" t="e">
        <f t="shared" si="98"/>
        <v>#DIV/0!</v>
      </c>
      <c r="U49" s="25" t="e">
        <f t="shared" si="98"/>
        <v>#DIV/0!</v>
      </c>
      <c r="V49" s="24" t="e">
        <f t="shared" si="98"/>
        <v>#DIV/0!</v>
      </c>
      <c r="W49" s="164" t="e">
        <f t="shared" si="98"/>
        <v>#DIV/0!</v>
      </c>
      <c r="X49" s="164" t="e">
        <f t="shared" si="98"/>
        <v>#DIV/0!</v>
      </c>
      <c r="Y49" s="164" t="e">
        <f t="shared" si="98"/>
        <v>#DIV/0!</v>
      </c>
      <c r="Z49" s="25" t="e">
        <f t="shared" si="98"/>
        <v>#DIV/0!</v>
      </c>
      <c r="AA49" s="24" t="e">
        <f t="shared" si="98"/>
        <v>#DIV/0!</v>
      </c>
      <c r="AB49" s="164" t="e">
        <f t="shared" si="98"/>
        <v>#DIV/0!</v>
      </c>
      <c r="AC49" s="164" t="e">
        <f t="shared" si="98"/>
        <v>#DIV/0!</v>
      </c>
      <c r="AD49" s="164" t="e">
        <f t="shared" si="98"/>
        <v>#DIV/0!</v>
      </c>
      <c r="AE49" s="25" t="e">
        <f t="shared" si="98"/>
        <v>#DIV/0!</v>
      </c>
      <c r="AF49" s="24" t="e">
        <f t="shared" si="98"/>
        <v>#DIV/0!</v>
      </c>
      <c r="AG49" s="164" t="e">
        <f t="shared" si="98"/>
        <v>#DIV/0!</v>
      </c>
      <c r="AH49" s="164" t="e">
        <f t="shared" si="98"/>
        <v>#DIV/0!</v>
      </c>
      <c r="AI49" s="164" t="e">
        <f t="shared" si="98"/>
        <v>#DIV/0!</v>
      </c>
      <c r="AJ49" s="25" t="e">
        <f t="shared" si="98"/>
        <v>#DIV/0!</v>
      </c>
      <c r="AK49" s="24" t="e">
        <f t="shared" si="98"/>
        <v>#DIV/0!</v>
      </c>
      <c r="AL49" s="164" t="e">
        <f t="shared" si="98"/>
        <v>#DIV/0!</v>
      </c>
      <c r="AM49" s="164" t="e">
        <f t="shared" si="98"/>
        <v>#DIV/0!</v>
      </c>
      <c r="AN49" s="164" t="e">
        <f t="shared" si="98"/>
        <v>#DIV/0!</v>
      </c>
      <c r="AO49" s="25" t="e">
        <f t="shared" si="98"/>
        <v>#DIV/0!</v>
      </c>
      <c r="AP49" s="24" t="e">
        <f t="shared" si="98"/>
        <v>#DIV/0!</v>
      </c>
      <c r="AQ49" s="164" t="e">
        <f t="shared" si="98"/>
        <v>#DIV/0!</v>
      </c>
      <c r="AR49" s="164" t="e">
        <f t="shared" si="98"/>
        <v>#DIV/0!</v>
      </c>
      <c r="AS49" s="164" t="e">
        <f t="shared" si="98"/>
        <v>#DIV/0!</v>
      </c>
      <c r="AT49" s="25">
        <f t="shared" si="98"/>
        <v>0.66622968917100767</v>
      </c>
      <c r="AU49" s="24" t="e">
        <f t="shared" si="98"/>
        <v>#DIV/0!</v>
      </c>
      <c r="AV49" s="164" t="e">
        <f t="shared" si="98"/>
        <v>#DIV/0!</v>
      </c>
      <c r="AW49" s="164" t="e">
        <f t="shared" si="98"/>
        <v>#DIV/0!</v>
      </c>
      <c r="AX49" s="164" t="e">
        <f t="shared" si="98"/>
        <v>#DIV/0!</v>
      </c>
      <c r="AY49" s="25">
        <f t="shared" si="98"/>
        <v>-0.15711009174311927</v>
      </c>
      <c r="AZ49" s="24" t="e">
        <f t="shared" si="98"/>
        <v>#DIV/0!</v>
      </c>
      <c r="BA49" s="164" t="e">
        <f t="shared" si="98"/>
        <v>#DIV/0!</v>
      </c>
      <c r="BB49" s="164" t="e">
        <f t="shared" si="98"/>
        <v>#DIV/0!</v>
      </c>
      <c r="BC49" s="164" t="e">
        <f t="shared" si="98"/>
        <v>#DIV/0!</v>
      </c>
      <c r="BD49" s="25">
        <f t="shared" si="98"/>
        <v>0.45268782119259321</v>
      </c>
      <c r="BE49" s="24" t="e">
        <f t="shared" si="98"/>
        <v>#DIV/0!</v>
      </c>
      <c r="BF49" s="164" t="e">
        <f t="shared" si="98"/>
        <v>#DIV/0!</v>
      </c>
      <c r="BG49" s="164" t="e">
        <f t="shared" si="98"/>
        <v>#DIV/0!</v>
      </c>
      <c r="BH49" s="164" t="e">
        <f t="shared" si="98"/>
        <v>#DIV/0!</v>
      </c>
      <c r="BI49" s="25" t="e">
        <f t="shared" si="98"/>
        <v>#DIV/0!</v>
      </c>
      <c r="BJ49" s="24" t="e">
        <f t="shared" si="98"/>
        <v>#DIV/0!</v>
      </c>
      <c r="BK49" s="164" t="e">
        <f t="shared" si="98"/>
        <v>#DIV/0!</v>
      </c>
      <c r="BL49" s="164" t="e">
        <f t="shared" si="98"/>
        <v>#DIV/0!</v>
      </c>
      <c r="BM49" s="164" t="e">
        <f t="shared" si="98"/>
        <v>#DIV/0!</v>
      </c>
      <c r="BN49" s="25" t="e">
        <f t="shared" si="98"/>
        <v>#DIV/0!</v>
      </c>
      <c r="BO49" s="24" t="e">
        <f t="shared" si="98"/>
        <v>#DIV/0!</v>
      </c>
      <c r="BP49" s="164" t="e">
        <f t="shared" si="98"/>
        <v>#DIV/0!</v>
      </c>
      <c r="BQ49" s="164" t="e">
        <f t="shared" si="98"/>
        <v>#DIV/0!</v>
      </c>
      <c r="BR49" s="164" t="e">
        <f t="shared" si="98"/>
        <v>#DIV/0!</v>
      </c>
      <c r="BS49" s="25" t="e">
        <f t="shared" ref="BS49:DB49" si="99">BS47/BS48</f>
        <v>#DIV/0!</v>
      </c>
      <c r="BT49" s="24" t="e">
        <f t="shared" si="99"/>
        <v>#DIV/0!</v>
      </c>
      <c r="BU49" s="164" t="e">
        <f t="shared" si="99"/>
        <v>#DIV/0!</v>
      </c>
      <c r="BV49" s="164" t="e">
        <f t="shared" si="99"/>
        <v>#DIV/0!</v>
      </c>
      <c r="BW49" s="164" t="e">
        <f t="shared" si="99"/>
        <v>#DIV/0!</v>
      </c>
      <c r="BX49" s="25" t="e">
        <f t="shared" si="99"/>
        <v>#DIV/0!</v>
      </c>
      <c r="BY49" s="24" t="e">
        <f t="shared" si="99"/>
        <v>#DIV/0!</v>
      </c>
      <c r="BZ49" s="164" t="e">
        <f t="shared" si="99"/>
        <v>#DIV/0!</v>
      </c>
      <c r="CA49" s="164" t="e">
        <f t="shared" si="99"/>
        <v>#DIV/0!</v>
      </c>
      <c r="CB49" s="164" t="e">
        <f t="shared" si="99"/>
        <v>#DIV/0!</v>
      </c>
      <c r="CC49" s="25" t="e">
        <f t="shared" si="99"/>
        <v>#DIV/0!</v>
      </c>
      <c r="CD49" s="24" t="e">
        <f t="shared" ref="CD49:CE49" si="100">CD47/CD48</f>
        <v>#DIV/0!</v>
      </c>
      <c r="CE49" s="164" t="e">
        <f t="shared" si="100"/>
        <v>#DIV/0!</v>
      </c>
      <c r="CF49" s="164" t="e">
        <f t="shared" si="99"/>
        <v>#DIV/0!</v>
      </c>
      <c r="CG49" s="164" t="e">
        <f t="shared" si="99"/>
        <v>#DIV/0!</v>
      </c>
      <c r="CH49" s="25" t="e">
        <f t="shared" si="99"/>
        <v>#DIV/0!</v>
      </c>
      <c r="CI49" s="164" t="e">
        <f t="shared" si="99"/>
        <v>#DIV/0!</v>
      </c>
      <c r="CJ49" s="164" t="e">
        <f t="shared" si="99"/>
        <v>#DIV/0!</v>
      </c>
      <c r="CK49" s="164" t="e">
        <f t="shared" si="99"/>
        <v>#DIV/0!</v>
      </c>
      <c r="CL49" s="164" t="e">
        <f t="shared" si="99"/>
        <v>#DIV/0!</v>
      </c>
      <c r="CM49" s="25" t="e">
        <f t="shared" si="99"/>
        <v>#DIV/0!</v>
      </c>
      <c r="CN49" s="164" t="e">
        <f t="shared" si="99"/>
        <v>#DIV/0!</v>
      </c>
      <c r="CO49" s="164" t="e">
        <f t="shared" si="99"/>
        <v>#DIV/0!</v>
      </c>
      <c r="CP49" s="164" t="e">
        <f t="shared" si="99"/>
        <v>#DIV/0!</v>
      </c>
      <c r="CQ49" s="164" t="e">
        <f t="shared" si="99"/>
        <v>#DIV/0!</v>
      </c>
      <c r="CR49" s="25" t="e">
        <f t="shared" si="99"/>
        <v>#DIV/0!</v>
      </c>
      <c r="CS49" s="164" t="e">
        <f t="shared" si="99"/>
        <v>#DIV/0!</v>
      </c>
      <c r="CT49" s="164" t="e">
        <f t="shared" si="99"/>
        <v>#DIV/0!</v>
      </c>
      <c r="CU49" s="164" t="e">
        <f t="shared" si="99"/>
        <v>#DIV/0!</v>
      </c>
      <c r="CV49" s="164" t="e">
        <f t="shared" si="99"/>
        <v>#DIV/0!</v>
      </c>
      <c r="CW49" s="25" t="e">
        <f t="shared" si="99"/>
        <v>#DIV/0!</v>
      </c>
      <c r="CX49" s="164" t="e">
        <f t="shared" si="99"/>
        <v>#DIV/0!</v>
      </c>
      <c r="CY49" s="164" t="e">
        <f t="shared" si="99"/>
        <v>#DIV/0!</v>
      </c>
      <c r="CZ49" s="164" t="e">
        <f t="shared" si="99"/>
        <v>#DIV/0!</v>
      </c>
      <c r="DA49" s="164" t="e">
        <f t="shared" si="99"/>
        <v>#DIV/0!</v>
      </c>
      <c r="DB49" s="25" t="e">
        <f t="shared" si="99"/>
        <v>#DIV/0!</v>
      </c>
    </row>
    <row r="50" spans="1:106" s="91" customFormat="1" ht="11.5" customHeight="1" collapsed="1" x14ac:dyDescent="0.35">
      <c r="A50" s="515" t="s">
        <v>372</v>
      </c>
      <c r="B50" s="516"/>
      <c r="C50" s="516"/>
      <c r="D50" s="516"/>
      <c r="E50" s="516"/>
      <c r="F50" s="442"/>
      <c r="G50" s="441"/>
      <c r="H50" s="441"/>
      <c r="I50" s="441"/>
      <c r="J50" s="441"/>
      <c r="K50" s="442"/>
      <c r="L50" s="441"/>
      <c r="M50" s="441"/>
      <c r="N50" s="441"/>
      <c r="O50" s="441"/>
      <c r="P50" s="442"/>
      <c r="Q50" s="441"/>
      <c r="R50" s="441"/>
      <c r="S50" s="441"/>
      <c r="T50" s="441"/>
      <c r="U50" s="442"/>
      <c r="V50" s="441"/>
      <c r="W50" s="441"/>
      <c r="X50" s="441"/>
      <c r="Y50" s="441"/>
      <c r="Z50" s="442"/>
      <c r="AA50" s="441"/>
      <c r="AB50" s="441"/>
      <c r="AC50" s="441"/>
      <c r="AD50" s="441"/>
      <c r="AE50" s="442"/>
      <c r="AF50" s="441"/>
      <c r="AG50" s="441"/>
      <c r="AH50" s="441"/>
      <c r="AI50" s="441"/>
      <c r="AJ50" s="442"/>
      <c r="AK50" s="441"/>
      <c r="AL50" s="441"/>
      <c r="AM50" s="441"/>
      <c r="AN50" s="441"/>
      <c r="AO50" s="442"/>
      <c r="AP50" s="441"/>
      <c r="AQ50" s="441"/>
      <c r="AR50" s="441"/>
      <c r="AS50" s="441"/>
      <c r="AT50" s="442">
        <v>0.3</v>
      </c>
      <c r="AU50" s="441"/>
      <c r="AV50" s="441"/>
      <c r="AW50" s="441"/>
      <c r="AX50" s="441"/>
      <c r="AY50" s="442">
        <v>0.3</v>
      </c>
      <c r="AZ50" s="441"/>
      <c r="BA50" s="441"/>
      <c r="BB50" s="441"/>
      <c r="BC50" s="441"/>
      <c r="BD50" s="442">
        <v>0.3</v>
      </c>
      <c r="BE50" s="441"/>
      <c r="BF50" s="441"/>
      <c r="BG50" s="441"/>
      <c r="BH50" s="441"/>
      <c r="BI50" s="442"/>
      <c r="BJ50" s="441"/>
      <c r="BK50" s="441"/>
      <c r="BL50" s="441"/>
      <c r="BM50" s="441"/>
      <c r="BN50" s="442"/>
      <c r="BO50" s="441"/>
      <c r="BP50" s="441"/>
      <c r="BQ50" s="441"/>
      <c r="BR50" s="441"/>
      <c r="BS50" s="442"/>
      <c r="BT50" s="441"/>
      <c r="BU50" s="441"/>
      <c r="BV50" s="441"/>
      <c r="BW50" s="441"/>
      <c r="BX50" s="442"/>
      <c r="BY50" s="441"/>
      <c r="BZ50" s="441"/>
      <c r="CA50" s="441"/>
      <c r="CB50" s="441"/>
      <c r="CC50" s="442"/>
      <c r="CD50" s="441"/>
      <c r="CE50" s="441"/>
      <c r="CF50" s="441"/>
      <c r="CG50" s="441"/>
      <c r="CH50" s="442"/>
      <c r="CI50" s="441"/>
      <c r="CJ50" s="441"/>
      <c r="CK50" s="441"/>
      <c r="CL50" s="441"/>
      <c r="CM50" s="442"/>
      <c r="CN50" s="441"/>
      <c r="CO50" s="441"/>
      <c r="CP50" s="441"/>
      <c r="CQ50" s="441"/>
      <c r="CR50" s="442"/>
      <c r="CS50" s="441"/>
      <c r="CT50" s="441"/>
      <c r="CU50" s="441"/>
      <c r="CV50" s="441"/>
      <c r="CW50" s="442"/>
      <c r="CX50" s="441"/>
      <c r="CY50" s="441"/>
      <c r="CZ50" s="441"/>
      <c r="DA50" s="441"/>
      <c r="DB50" s="442"/>
    </row>
    <row r="51" spans="1:106" s="54" customFormat="1" ht="11.5" customHeight="1" x14ac:dyDescent="0.35">
      <c r="A51" s="217" t="s">
        <v>393</v>
      </c>
      <c r="B51" s="395"/>
      <c r="C51" s="395"/>
      <c r="D51" s="395"/>
      <c r="E51" s="395"/>
      <c r="F51" s="29"/>
      <c r="G51" s="395"/>
      <c r="H51" s="395"/>
      <c r="I51" s="395"/>
      <c r="J51" s="395"/>
      <c r="K51" s="29"/>
      <c r="L51" s="395"/>
      <c r="M51" s="395"/>
      <c r="N51" s="395"/>
      <c r="O51" s="395"/>
      <c r="P51" s="29"/>
      <c r="Q51" s="395"/>
      <c r="R51" s="395"/>
      <c r="S51" s="395"/>
      <c r="T51" s="395"/>
      <c r="U51" s="29"/>
      <c r="V51" s="395"/>
      <c r="W51" s="395"/>
      <c r="X51" s="395"/>
      <c r="Y51" s="395"/>
      <c r="Z51" s="29"/>
      <c r="AA51" s="395"/>
      <c r="AB51" s="395"/>
      <c r="AC51" s="395"/>
      <c r="AD51" s="395"/>
      <c r="AE51" s="29"/>
      <c r="AF51" s="395"/>
      <c r="AG51" s="395"/>
      <c r="AH51" s="395"/>
      <c r="AI51" s="395"/>
      <c r="AJ51" s="29"/>
      <c r="AK51" s="395"/>
      <c r="AL51" s="395"/>
      <c r="AM51" s="395"/>
      <c r="AN51" s="395"/>
      <c r="AO51" s="29"/>
      <c r="AP51" s="395"/>
      <c r="AQ51" s="395"/>
      <c r="AR51" s="395"/>
      <c r="AS51" s="395"/>
      <c r="AT51" s="29"/>
      <c r="AU51" s="395"/>
      <c r="AV51" s="395"/>
      <c r="AW51" s="395"/>
      <c r="AX51" s="395"/>
      <c r="AY51" s="29"/>
      <c r="AZ51" s="395"/>
      <c r="BA51" s="395"/>
      <c r="BB51" s="395"/>
      <c r="BC51" s="395"/>
      <c r="BD51" s="29"/>
      <c r="BE51" s="395"/>
      <c r="BF51" s="395"/>
      <c r="BG51" s="395"/>
      <c r="BH51" s="395"/>
      <c r="BI51" s="29"/>
      <c r="BJ51" s="395"/>
      <c r="BK51" s="395"/>
      <c r="BL51" s="395"/>
      <c r="BM51" s="395"/>
      <c r="BN51" s="29"/>
      <c r="BO51" s="395"/>
      <c r="BP51" s="395"/>
      <c r="BQ51" s="395"/>
      <c r="BR51" s="395"/>
      <c r="BS51" s="29"/>
      <c r="BT51" s="395"/>
      <c r="BU51" s="395"/>
      <c r="BV51" s="395"/>
      <c r="BW51" s="395"/>
      <c r="BX51" s="29"/>
      <c r="BY51" s="395"/>
      <c r="BZ51" s="395"/>
      <c r="CA51" s="422"/>
      <c r="CB51" s="422"/>
      <c r="CC51" s="29"/>
      <c r="CD51" s="395"/>
      <c r="CE51" s="395"/>
      <c r="CF51" s="422"/>
      <c r="CG51" s="422"/>
      <c r="CH51" s="29"/>
      <c r="CI51" s="422"/>
      <c r="CJ51" s="422"/>
      <c r="CK51" s="422"/>
      <c r="CL51" s="422"/>
      <c r="CM51" s="29"/>
      <c r="CN51" s="422"/>
      <c r="CO51" s="422"/>
      <c r="CP51" s="422"/>
      <c r="CQ51" s="422"/>
      <c r="CR51" s="29"/>
      <c r="CS51" s="422"/>
      <c r="CT51" s="422"/>
      <c r="CU51" s="422"/>
      <c r="CV51" s="422"/>
      <c r="CW51" s="29"/>
      <c r="CX51" s="422"/>
      <c r="CY51" s="422"/>
      <c r="CZ51" s="422"/>
      <c r="DA51" s="422"/>
      <c r="DB51" s="29"/>
    </row>
    <row r="52" spans="1:106" s="54" customFormat="1" ht="11.5" customHeight="1" x14ac:dyDescent="0.35">
      <c r="A52" s="190" t="s">
        <v>373</v>
      </c>
      <c r="B52" s="395"/>
      <c r="C52" s="395"/>
      <c r="D52" s="395"/>
      <c r="E52" s="395"/>
      <c r="F52" s="518">
        <v>62627</v>
      </c>
      <c r="G52" s="395"/>
      <c r="H52" s="395"/>
      <c r="I52" s="395"/>
      <c r="J52" s="395"/>
      <c r="K52" s="518">
        <v>43285</v>
      </c>
      <c r="L52" s="395"/>
      <c r="M52" s="395"/>
      <c r="N52" s="395"/>
      <c r="O52" s="395"/>
      <c r="P52" s="518">
        <v>49474</v>
      </c>
      <c r="Q52" s="395"/>
      <c r="R52" s="395"/>
      <c r="S52" s="395"/>
      <c r="T52" s="395"/>
      <c r="U52" s="518">
        <v>22407</v>
      </c>
      <c r="V52" s="395"/>
      <c r="W52" s="395"/>
      <c r="X52" s="395"/>
      <c r="Y52" s="395"/>
      <c r="Z52" s="518">
        <v>14731</v>
      </c>
      <c r="AA52" s="395"/>
      <c r="AB52" s="395"/>
      <c r="AC52" s="395"/>
      <c r="AD52" s="395"/>
      <c r="AE52" s="518">
        <v>13280</v>
      </c>
      <c r="AF52" s="395"/>
      <c r="AG52" s="395"/>
      <c r="AH52" s="395"/>
      <c r="AI52" s="395"/>
      <c r="AJ52" s="518">
        <v>-830</v>
      </c>
      <c r="AK52" s="395"/>
      <c r="AL52" s="395"/>
      <c r="AM52" s="395"/>
      <c r="AN52" s="395"/>
      <c r="AO52" s="518">
        <v>1146</v>
      </c>
      <c r="AP52" s="395"/>
      <c r="AQ52" s="395"/>
      <c r="AR52" s="395"/>
      <c r="AS52" s="395"/>
      <c r="AT52" s="518">
        <v>-49091</v>
      </c>
      <c r="AU52" s="395"/>
      <c r="AV52" s="395"/>
      <c r="AW52" s="395"/>
      <c r="AX52" s="395"/>
      <c r="AY52" s="518">
        <v>-7640</v>
      </c>
      <c r="AZ52" s="395"/>
      <c r="BA52" s="395"/>
      <c r="BB52" s="395"/>
      <c r="BC52" s="395"/>
      <c r="BD52" s="518">
        <v>509</v>
      </c>
      <c r="BE52" s="395"/>
      <c r="BF52" s="395"/>
      <c r="BG52" s="395"/>
      <c r="BH52" s="395"/>
      <c r="BI52" s="518"/>
      <c r="BJ52" s="395"/>
      <c r="BK52" s="395"/>
      <c r="BL52" s="395"/>
      <c r="BM52" s="395"/>
      <c r="BN52" s="518"/>
      <c r="BO52" s="395"/>
      <c r="BP52" s="395"/>
      <c r="BQ52" s="395"/>
      <c r="BR52" s="395"/>
      <c r="BS52" s="518"/>
      <c r="BT52" s="395"/>
      <c r="BU52" s="395"/>
      <c r="BV52" s="395"/>
      <c r="BW52" s="395"/>
      <c r="BX52" s="518"/>
      <c r="BY52" s="395"/>
      <c r="BZ52" s="395"/>
      <c r="CA52" s="395"/>
      <c r="CB52" s="395"/>
      <c r="CC52" s="518"/>
      <c r="CD52" s="395"/>
      <c r="CE52" s="395"/>
      <c r="CF52" s="395"/>
      <c r="CG52" s="395"/>
      <c r="CH52" s="518"/>
      <c r="CI52" s="395"/>
      <c r="CJ52" s="395"/>
      <c r="CK52" s="395"/>
      <c r="CL52" s="395"/>
      <c r="CM52" s="518"/>
      <c r="CN52" s="395"/>
      <c r="CO52" s="395"/>
      <c r="CP52" s="395"/>
      <c r="CQ52" s="395"/>
      <c r="CR52" s="518"/>
      <c r="CS52" s="395"/>
      <c r="CT52" s="395"/>
      <c r="CU52" s="395"/>
      <c r="CV52" s="395"/>
      <c r="CW52" s="518"/>
      <c r="CX52" s="395"/>
      <c r="CY52" s="395"/>
      <c r="CZ52" s="395"/>
      <c r="DA52" s="395"/>
      <c r="DB52" s="518"/>
    </row>
    <row r="53" spans="1:106" s="54" customFormat="1" ht="11.5" customHeight="1" x14ac:dyDescent="0.35">
      <c r="A53" s="190" t="s">
        <v>390</v>
      </c>
      <c r="B53" s="90"/>
      <c r="C53" s="90"/>
      <c r="D53" s="90"/>
      <c r="E53" s="90"/>
      <c r="F53" s="518">
        <v>569379</v>
      </c>
      <c r="G53" s="395"/>
      <c r="H53" s="397"/>
      <c r="I53" s="397"/>
      <c r="J53" s="397"/>
      <c r="K53" s="518">
        <v>347693</v>
      </c>
      <c r="L53" s="395"/>
      <c r="M53" s="397"/>
      <c r="N53" s="397"/>
      <c r="O53" s="397"/>
      <c r="P53" s="518">
        <v>205066</v>
      </c>
      <c r="Q53" s="395"/>
      <c r="R53" s="397"/>
      <c r="S53" s="397"/>
      <c r="T53" s="397"/>
      <c r="U53" s="518">
        <v>205066</v>
      </c>
      <c r="V53" s="395"/>
      <c r="W53" s="397"/>
      <c r="X53" s="397"/>
      <c r="Y53" s="397"/>
      <c r="Z53" s="518">
        <v>122861</v>
      </c>
      <c r="AA53" s="395"/>
      <c r="AB53" s="397"/>
      <c r="AC53" s="397"/>
      <c r="AD53" s="397"/>
      <c r="AE53" s="518">
        <v>111679</v>
      </c>
      <c r="AF53" s="395"/>
      <c r="AG53" s="397"/>
      <c r="AH53" s="397"/>
      <c r="AI53" s="397"/>
      <c r="AJ53" s="518">
        <v>98140</v>
      </c>
      <c r="AK53" s="395"/>
      <c r="AL53" s="397"/>
      <c r="AM53" s="397"/>
      <c r="AN53" s="397"/>
      <c r="AO53" s="518">
        <v>82107</v>
      </c>
      <c r="AP53" s="395"/>
      <c r="AQ53" s="397"/>
      <c r="AR53" s="397"/>
      <c r="AS53" s="397"/>
      <c r="AT53" s="518">
        <v>25863</v>
      </c>
      <c r="AU53" s="395"/>
      <c r="AV53" s="397"/>
      <c r="AW53" s="397"/>
      <c r="AX53" s="397"/>
      <c r="AY53" s="518">
        <v>13903</v>
      </c>
      <c r="AZ53" s="395"/>
      <c r="BA53" s="397"/>
      <c r="BB53" s="397"/>
      <c r="BC53" s="397"/>
      <c r="BD53" s="518">
        <v>13199</v>
      </c>
      <c r="BE53" s="395"/>
      <c r="BF53" s="397"/>
      <c r="BG53" s="397"/>
      <c r="BH53" s="397"/>
      <c r="BI53" s="518"/>
      <c r="BJ53" s="395"/>
      <c r="BK53" s="397"/>
      <c r="BL53" s="397"/>
      <c r="BM53" s="397"/>
      <c r="BN53" s="518"/>
      <c r="BO53" s="395"/>
      <c r="BP53" s="397"/>
      <c r="BQ53" s="397"/>
      <c r="BR53" s="397"/>
      <c r="BS53" s="518"/>
      <c r="BT53" s="395"/>
      <c r="BU53" s="397"/>
      <c r="BV53" s="397"/>
      <c r="BW53" s="397"/>
      <c r="BX53" s="518"/>
      <c r="BY53" s="395"/>
      <c r="BZ53" s="397"/>
      <c r="CA53" s="397"/>
      <c r="CB53" s="397"/>
      <c r="CC53" s="518"/>
      <c r="CD53" s="395"/>
      <c r="CE53" s="397"/>
      <c r="CF53" s="397"/>
      <c r="CG53" s="397"/>
      <c r="CH53" s="518"/>
      <c r="CI53" s="397"/>
      <c r="CJ53" s="397"/>
      <c r="CK53" s="397"/>
      <c r="CL53" s="397"/>
      <c r="CM53" s="518"/>
      <c r="CN53" s="397"/>
      <c r="CO53" s="397"/>
      <c r="CP53" s="397"/>
      <c r="CQ53" s="397"/>
      <c r="CR53" s="518"/>
      <c r="CS53" s="397"/>
      <c r="CT53" s="397"/>
      <c r="CU53" s="397"/>
      <c r="CV53" s="397"/>
      <c r="CW53" s="518"/>
      <c r="CX53" s="397"/>
      <c r="CY53" s="397"/>
      <c r="CZ53" s="397"/>
      <c r="DA53" s="397"/>
      <c r="DB53" s="518"/>
    </row>
    <row r="54" spans="1:106" s="91" customFormat="1" ht="11.5" customHeight="1" x14ac:dyDescent="0.35">
      <c r="A54" s="522" t="s">
        <v>361</v>
      </c>
      <c r="B54" s="92"/>
      <c r="C54" s="92"/>
      <c r="D54" s="92"/>
      <c r="E54" s="92"/>
      <c r="F54" s="25">
        <f>F52/F53</f>
        <v>0.10999176295578166</v>
      </c>
      <c r="G54" s="24" t="e">
        <f t="shared" ref="G54:BR54" si="101">G52/G53</f>
        <v>#DIV/0!</v>
      </c>
      <c r="H54" s="164" t="e">
        <f t="shared" si="101"/>
        <v>#DIV/0!</v>
      </c>
      <c r="I54" s="164" t="e">
        <f t="shared" si="101"/>
        <v>#DIV/0!</v>
      </c>
      <c r="J54" s="164" t="e">
        <f t="shared" si="101"/>
        <v>#DIV/0!</v>
      </c>
      <c r="K54" s="25">
        <f t="shared" si="101"/>
        <v>0.12449200875484982</v>
      </c>
      <c r="L54" s="24" t="e">
        <f t="shared" si="101"/>
        <v>#DIV/0!</v>
      </c>
      <c r="M54" s="164" t="e">
        <f t="shared" si="101"/>
        <v>#DIV/0!</v>
      </c>
      <c r="N54" s="164" t="e">
        <f t="shared" si="101"/>
        <v>#DIV/0!</v>
      </c>
      <c r="O54" s="164" t="e">
        <f t="shared" si="101"/>
        <v>#DIV/0!</v>
      </c>
      <c r="P54" s="25">
        <f t="shared" si="101"/>
        <v>0.24125891176499273</v>
      </c>
      <c r="Q54" s="24" t="e">
        <f t="shared" si="101"/>
        <v>#DIV/0!</v>
      </c>
      <c r="R54" s="164" t="e">
        <f t="shared" si="101"/>
        <v>#DIV/0!</v>
      </c>
      <c r="S54" s="164" t="e">
        <f t="shared" si="101"/>
        <v>#DIV/0!</v>
      </c>
      <c r="T54" s="164" t="e">
        <f t="shared" si="101"/>
        <v>#DIV/0!</v>
      </c>
      <c r="U54" s="25">
        <f t="shared" si="101"/>
        <v>0.10926726029668497</v>
      </c>
      <c r="V54" s="24" t="e">
        <f t="shared" si="101"/>
        <v>#DIV/0!</v>
      </c>
      <c r="W54" s="164" t="e">
        <f t="shared" si="101"/>
        <v>#DIV/0!</v>
      </c>
      <c r="X54" s="164" t="e">
        <f t="shared" si="101"/>
        <v>#DIV/0!</v>
      </c>
      <c r="Y54" s="164" t="e">
        <f t="shared" si="101"/>
        <v>#DIV/0!</v>
      </c>
      <c r="Z54" s="25">
        <f t="shared" si="101"/>
        <v>0.11989972407843009</v>
      </c>
      <c r="AA54" s="24" t="e">
        <f t="shared" si="101"/>
        <v>#DIV/0!</v>
      </c>
      <c r="AB54" s="164" t="e">
        <f t="shared" si="101"/>
        <v>#DIV/0!</v>
      </c>
      <c r="AC54" s="164" t="e">
        <f t="shared" si="101"/>
        <v>#DIV/0!</v>
      </c>
      <c r="AD54" s="164" t="e">
        <f t="shared" si="101"/>
        <v>#DIV/0!</v>
      </c>
      <c r="AE54" s="25">
        <f t="shared" si="101"/>
        <v>0.11891223954369219</v>
      </c>
      <c r="AF54" s="24" t="e">
        <f t="shared" si="101"/>
        <v>#DIV/0!</v>
      </c>
      <c r="AG54" s="164" t="e">
        <f t="shared" si="101"/>
        <v>#DIV/0!</v>
      </c>
      <c r="AH54" s="164" t="e">
        <f t="shared" si="101"/>
        <v>#DIV/0!</v>
      </c>
      <c r="AI54" s="164" t="e">
        <f t="shared" si="101"/>
        <v>#DIV/0!</v>
      </c>
      <c r="AJ54" s="25">
        <f t="shared" si="101"/>
        <v>-8.4573058895455466E-3</v>
      </c>
      <c r="AK54" s="24" t="e">
        <f t="shared" si="101"/>
        <v>#DIV/0!</v>
      </c>
      <c r="AL54" s="164" t="e">
        <f t="shared" si="101"/>
        <v>#DIV/0!</v>
      </c>
      <c r="AM54" s="164" t="e">
        <f t="shared" si="101"/>
        <v>#DIV/0!</v>
      </c>
      <c r="AN54" s="164" t="e">
        <f t="shared" si="101"/>
        <v>#DIV/0!</v>
      </c>
      <c r="AO54" s="25">
        <f t="shared" si="101"/>
        <v>1.3957397055062297E-2</v>
      </c>
      <c r="AP54" s="24" t="e">
        <f t="shared" si="101"/>
        <v>#DIV/0!</v>
      </c>
      <c r="AQ54" s="164" t="e">
        <f t="shared" si="101"/>
        <v>#DIV/0!</v>
      </c>
      <c r="AR54" s="164" t="e">
        <f t="shared" si="101"/>
        <v>#DIV/0!</v>
      </c>
      <c r="AS54" s="164" t="e">
        <f t="shared" si="101"/>
        <v>#DIV/0!</v>
      </c>
      <c r="AT54" s="25">
        <f t="shared" si="101"/>
        <v>-1.8981170011212929</v>
      </c>
      <c r="AU54" s="24" t="e">
        <f t="shared" si="101"/>
        <v>#DIV/0!</v>
      </c>
      <c r="AV54" s="164" t="e">
        <f t="shared" si="101"/>
        <v>#DIV/0!</v>
      </c>
      <c r="AW54" s="164" t="e">
        <f t="shared" si="101"/>
        <v>#DIV/0!</v>
      </c>
      <c r="AX54" s="164" t="e">
        <f t="shared" si="101"/>
        <v>#DIV/0!</v>
      </c>
      <c r="AY54" s="25">
        <f t="shared" si="101"/>
        <v>-0.54952168596705742</v>
      </c>
      <c r="AZ54" s="24" t="e">
        <f t="shared" si="101"/>
        <v>#DIV/0!</v>
      </c>
      <c r="BA54" s="164" t="e">
        <f t="shared" si="101"/>
        <v>#DIV/0!</v>
      </c>
      <c r="BB54" s="164" t="e">
        <f t="shared" si="101"/>
        <v>#DIV/0!</v>
      </c>
      <c r="BC54" s="164" t="e">
        <f t="shared" si="101"/>
        <v>#DIV/0!</v>
      </c>
      <c r="BD54" s="25">
        <f t="shared" si="101"/>
        <v>3.8563527539965149E-2</v>
      </c>
      <c r="BE54" s="24" t="e">
        <f t="shared" si="101"/>
        <v>#DIV/0!</v>
      </c>
      <c r="BF54" s="164" t="e">
        <f t="shared" si="101"/>
        <v>#DIV/0!</v>
      </c>
      <c r="BG54" s="164" t="e">
        <f t="shared" si="101"/>
        <v>#DIV/0!</v>
      </c>
      <c r="BH54" s="164" t="e">
        <f t="shared" si="101"/>
        <v>#DIV/0!</v>
      </c>
      <c r="BI54" s="25" t="e">
        <f t="shared" si="101"/>
        <v>#DIV/0!</v>
      </c>
      <c r="BJ54" s="24" t="e">
        <f t="shared" si="101"/>
        <v>#DIV/0!</v>
      </c>
      <c r="BK54" s="164" t="e">
        <f t="shared" si="101"/>
        <v>#DIV/0!</v>
      </c>
      <c r="BL54" s="164" t="e">
        <f t="shared" si="101"/>
        <v>#DIV/0!</v>
      </c>
      <c r="BM54" s="164" t="e">
        <f t="shared" si="101"/>
        <v>#DIV/0!</v>
      </c>
      <c r="BN54" s="25" t="e">
        <f t="shared" si="101"/>
        <v>#DIV/0!</v>
      </c>
      <c r="BO54" s="24" t="e">
        <f t="shared" si="101"/>
        <v>#DIV/0!</v>
      </c>
      <c r="BP54" s="164" t="e">
        <f t="shared" si="101"/>
        <v>#DIV/0!</v>
      </c>
      <c r="BQ54" s="164" t="e">
        <f t="shared" si="101"/>
        <v>#DIV/0!</v>
      </c>
      <c r="BR54" s="164" t="e">
        <f t="shared" si="101"/>
        <v>#DIV/0!</v>
      </c>
      <c r="BS54" s="25" t="e">
        <f t="shared" ref="BS54:DB54" si="102">BS52/BS53</f>
        <v>#DIV/0!</v>
      </c>
      <c r="BT54" s="24" t="e">
        <f t="shared" si="102"/>
        <v>#DIV/0!</v>
      </c>
      <c r="BU54" s="164" t="e">
        <f t="shared" si="102"/>
        <v>#DIV/0!</v>
      </c>
      <c r="BV54" s="164" t="e">
        <f t="shared" si="102"/>
        <v>#DIV/0!</v>
      </c>
      <c r="BW54" s="164" t="e">
        <f t="shared" si="102"/>
        <v>#DIV/0!</v>
      </c>
      <c r="BX54" s="25" t="e">
        <f t="shared" si="102"/>
        <v>#DIV/0!</v>
      </c>
      <c r="BY54" s="24" t="e">
        <f t="shared" si="102"/>
        <v>#DIV/0!</v>
      </c>
      <c r="BZ54" s="164" t="e">
        <f t="shared" si="102"/>
        <v>#DIV/0!</v>
      </c>
      <c r="CA54" s="164" t="e">
        <f t="shared" si="102"/>
        <v>#DIV/0!</v>
      </c>
      <c r="CB54" s="164" t="e">
        <f t="shared" si="102"/>
        <v>#DIV/0!</v>
      </c>
      <c r="CC54" s="25" t="e">
        <f t="shared" si="102"/>
        <v>#DIV/0!</v>
      </c>
      <c r="CD54" s="24" t="e">
        <f t="shared" ref="CD54:CE54" si="103">CD52/CD53</f>
        <v>#DIV/0!</v>
      </c>
      <c r="CE54" s="164" t="e">
        <f t="shared" si="103"/>
        <v>#DIV/0!</v>
      </c>
      <c r="CF54" s="164" t="e">
        <f t="shared" si="102"/>
        <v>#DIV/0!</v>
      </c>
      <c r="CG54" s="164" t="e">
        <f t="shared" si="102"/>
        <v>#DIV/0!</v>
      </c>
      <c r="CH54" s="25" t="e">
        <f t="shared" si="102"/>
        <v>#DIV/0!</v>
      </c>
      <c r="CI54" s="164" t="e">
        <f t="shared" si="102"/>
        <v>#DIV/0!</v>
      </c>
      <c r="CJ54" s="164" t="e">
        <f t="shared" si="102"/>
        <v>#DIV/0!</v>
      </c>
      <c r="CK54" s="164" t="e">
        <f t="shared" si="102"/>
        <v>#DIV/0!</v>
      </c>
      <c r="CL54" s="164" t="e">
        <f t="shared" si="102"/>
        <v>#DIV/0!</v>
      </c>
      <c r="CM54" s="25" t="e">
        <f t="shared" si="102"/>
        <v>#DIV/0!</v>
      </c>
      <c r="CN54" s="164" t="e">
        <f t="shared" si="102"/>
        <v>#DIV/0!</v>
      </c>
      <c r="CO54" s="164" t="e">
        <f t="shared" si="102"/>
        <v>#DIV/0!</v>
      </c>
      <c r="CP54" s="164" t="e">
        <f t="shared" si="102"/>
        <v>#DIV/0!</v>
      </c>
      <c r="CQ54" s="164" t="e">
        <f t="shared" si="102"/>
        <v>#DIV/0!</v>
      </c>
      <c r="CR54" s="25" t="e">
        <f t="shared" si="102"/>
        <v>#DIV/0!</v>
      </c>
      <c r="CS54" s="164" t="e">
        <f t="shared" si="102"/>
        <v>#DIV/0!</v>
      </c>
      <c r="CT54" s="164" t="e">
        <f t="shared" si="102"/>
        <v>#DIV/0!</v>
      </c>
      <c r="CU54" s="164" t="e">
        <f t="shared" si="102"/>
        <v>#DIV/0!</v>
      </c>
      <c r="CV54" s="164" t="e">
        <f t="shared" si="102"/>
        <v>#DIV/0!</v>
      </c>
      <c r="CW54" s="25" t="e">
        <f t="shared" si="102"/>
        <v>#DIV/0!</v>
      </c>
      <c r="CX54" s="164" t="e">
        <f t="shared" si="102"/>
        <v>#DIV/0!</v>
      </c>
      <c r="CY54" s="164" t="e">
        <f t="shared" si="102"/>
        <v>#DIV/0!</v>
      </c>
      <c r="CZ54" s="164" t="e">
        <f t="shared" si="102"/>
        <v>#DIV/0!</v>
      </c>
      <c r="DA54" s="164" t="e">
        <f t="shared" si="102"/>
        <v>#DIV/0!</v>
      </c>
      <c r="DB54" s="25" t="e">
        <f t="shared" si="102"/>
        <v>#DIV/0!</v>
      </c>
    </row>
    <row r="55" spans="1:106" s="91" customFormat="1" ht="11.5" customHeight="1" collapsed="1" x14ac:dyDescent="0.35">
      <c r="A55" s="515" t="s">
        <v>394</v>
      </c>
      <c r="B55" s="516"/>
      <c r="C55" s="516"/>
      <c r="D55" s="516"/>
      <c r="E55" s="516"/>
      <c r="F55" s="442">
        <v>0.59899999999999998</v>
      </c>
      <c r="G55" s="441"/>
      <c r="H55" s="441"/>
      <c r="I55" s="441"/>
      <c r="J55" s="441"/>
      <c r="K55" s="442">
        <v>0.59899999999999998</v>
      </c>
      <c r="L55" s="441"/>
      <c r="M55" s="441"/>
      <c r="N55" s="441"/>
      <c r="O55" s="441"/>
      <c r="P55" s="442">
        <v>0.59899999999999998</v>
      </c>
      <c r="Q55" s="441"/>
      <c r="R55" s="441"/>
      <c r="S55" s="441"/>
      <c r="T55" s="441"/>
      <c r="U55" s="442">
        <v>0.59899999999999998</v>
      </c>
      <c r="V55" s="441"/>
      <c r="W55" s="441"/>
      <c r="X55" s="441"/>
      <c r="Y55" s="441"/>
      <c r="Z55" s="442">
        <v>0.59899999999999998</v>
      </c>
      <c r="AA55" s="441"/>
      <c r="AB55" s="441"/>
      <c r="AC55" s="441"/>
      <c r="AD55" s="441"/>
      <c r="AE55" s="442">
        <v>0.59899999999999998</v>
      </c>
      <c r="AF55" s="441"/>
      <c r="AG55" s="441"/>
      <c r="AH55" s="441"/>
      <c r="AI55" s="441"/>
      <c r="AJ55" s="442">
        <v>0.59899999999999998</v>
      </c>
      <c r="AK55" s="441"/>
      <c r="AL55" s="441"/>
      <c r="AM55" s="441"/>
      <c r="AN55" s="441"/>
      <c r="AO55" s="442">
        <v>0.59899999999999998</v>
      </c>
      <c r="AP55" s="441"/>
      <c r="AQ55" s="441"/>
      <c r="AR55" s="441"/>
      <c r="AS55" s="441"/>
      <c r="AT55" s="442">
        <v>0.59899999999999998</v>
      </c>
      <c r="AU55" s="441"/>
      <c r="AV55" s="441"/>
      <c r="AW55" s="441"/>
      <c r="AX55" s="441"/>
      <c r="AY55" s="442">
        <v>0.59899999999999998</v>
      </c>
      <c r="AZ55" s="441"/>
      <c r="BA55" s="441"/>
      <c r="BB55" s="441"/>
      <c r="BC55" s="441"/>
      <c r="BD55" s="442">
        <v>0.59899999999999998</v>
      </c>
      <c r="BE55" s="441"/>
      <c r="BF55" s="441"/>
      <c r="BG55" s="441"/>
      <c r="BH55" s="441"/>
      <c r="BI55" s="442"/>
      <c r="BJ55" s="441"/>
      <c r="BK55" s="441"/>
      <c r="BL55" s="441"/>
      <c r="BM55" s="441"/>
      <c r="BN55" s="442"/>
      <c r="BO55" s="441"/>
      <c r="BP55" s="441"/>
      <c r="BQ55" s="441"/>
      <c r="BR55" s="441"/>
      <c r="BS55" s="442"/>
      <c r="BT55" s="441"/>
      <c r="BU55" s="441"/>
      <c r="BV55" s="441"/>
      <c r="BW55" s="441"/>
      <c r="BX55" s="442"/>
      <c r="BY55" s="441"/>
      <c r="BZ55" s="441"/>
      <c r="CA55" s="441"/>
      <c r="CB55" s="441"/>
      <c r="CC55" s="442"/>
      <c r="CD55" s="441"/>
      <c r="CE55" s="441"/>
      <c r="CF55" s="441"/>
      <c r="CG55" s="441"/>
      <c r="CH55" s="442"/>
      <c r="CI55" s="441"/>
      <c r="CJ55" s="441"/>
      <c r="CK55" s="441"/>
      <c r="CL55" s="441"/>
      <c r="CM55" s="442"/>
      <c r="CN55" s="441"/>
      <c r="CO55" s="441"/>
      <c r="CP55" s="441"/>
      <c r="CQ55" s="441"/>
      <c r="CR55" s="442"/>
      <c r="CS55" s="441"/>
      <c r="CT55" s="441"/>
      <c r="CU55" s="441"/>
      <c r="CV55" s="441"/>
      <c r="CW55" s="442"/>
      <c r="CX55" s="441"/>
      <c r="CY55" s="441"/>
      <c r="CZ55" s="441"/>
      <c r="DA55" s="441"/>
      <c r="DB55" s="442"/>
    </row>
    <row r="56" spans="1:106" s="54" customFormat="1" ht="11.5" customHeight="1" x14ac:dyDescent="0.35">
      <c r="A56" s="217" t="s">
        <v>393</v>
      </c>
      <c r="B56" s="395"/>
      <c r="C56" s="395"/>
      <c r="D56" s="395"/>
      <c r="E56" s="395"/>
      <c r="F56" s="29"/>
      <c r="G56" s="395"/>
      <c r="H56" s="395"/>
      <c r="I56" s="395"/>
      <c r="J56" s="395"/>
      <c r="K56" s="29"/>
      <c r="L56" s="395"/>
      <c r="M56" s="395"/>
      <c r="N56" s="395"/>
      <c r="O56" s="395"/>
      <c r="P56" s="29"/>
      <c r="Q56" s="395"/>
      <c r="R56" s="395"/>
      <c r="S56" s="395"/>
      <c r="T56" s="395"/>
      <c r="U56" s="29"/>
      <c r="V56" s="395"/>
      <c r="W56" s="395"/>
      <c r="X56" s="395"/>
      <c r="Y56" s="395"/>
      <c r="Z56" s="29"/>
      <c r="AA56" s="395"/>
      <c r="AB56" s="395"/>
      <c r="AC56" s="395"/>
      <c r="AD56" s="395"/>
      <c r="AE56" s="29"/>
      <c r="AF56" s="395"/>
      <c r="AG56" s="395"/>
      <c r="AH56" s="395"/>
      <c r="AI56" s="395"/>
      <c r="AJ56" s="29"/>
      <c r="AK56" s="395"/>
      <c r="AL56" s="395"/>
      <c r="AM56" s="395"/>
      <c r="AN56" s="395"/>
      <c r="AO56" s="29"/>
      <c r="AP56" s="395"/>
      <c r="AQ56" s="395"/>
      <c r="AR56" s="395"/>
      <c r="AS56" s="395"/>
      <c r="AT56" s="29"/>
      <c r="AU56" s="395"/>
      <c r="AV56" s="395"/>
      <c r="AW56" s="395"/>
      <c r="AX56" s="395"/>
      <c r="AY56" s="29"/>
      <c r="AZ56" s="395"/>
      <c r="BA56" s="395"/>
      <c r="BB56" s="395"/>
      <c r="BC56" s="395"/>
      <c r="BD56" s="29"/>
      <c r="BE56" s="395"/>
      <c r="BF56" s="395"/>
      <c r="BG56" s="395"/>
      <c r="BH56" s="395"/>
      <c r="BI56" s="29"/>
      <c r="BJ56" s="395"/>
      <c r="BK56" s="395"/>
      <c r="BL56" s="395"/>
      <c r="BM56" s="395"/>
      <c r="BN56" s="29"/>
      <c r="BO56" s="395"/>
      <c r="BP56" s="395"/>
      <c r="BQ56" s="395"/>
      <c r="BR56" s="395"/>
      <c r="BS56" s="29"/>
      <c r="BT56" s="395"/>
      <c r="BU56" s="395"/>
      <c r="BV56" s="395"/>
      <c r="BW56" s="395"/>
      <c r="BX56" s="29"/>
      <c r="BY56" s="395"/>
      <c r="BZ56" s="395"/>
      <c r="CA56" s="422"/>
      <c r="CB56" s="422"/>
      <c r="CC56" s="29"/>
      <c r="CD56" s="395"/>
      <c r="CE56" s="395"/>
      <c r="CF56" s="422"/>
      <c r="CG56" s="422"/>
      <c r="CH56" s="29"/>
      <c r="CI56" s="422"/>
      <c r="CJ56" s="422"/>
      <c r="CK56" s="422"/>
      <c r="CL56" s="422"/>
      <c r="CM56" s="29"/>
      <c r="CN56" s="422"/>
      <c r="CO56" s="422"/>
      <c r="CP56" s="422"/>
      <c r="CQ56" s="422"/>
      <c r="CR56" s="29"/>
      <c r="CS56" s="422"/>
      <c r="CT56" s="422"/>
      <c r="CU56" s="422"/>
      <c r="CV56" s="422"/>
      <c r="CW56" s="29"/>
      <c r="CX56" s="422"/>
      <c r="CY56" s="422"/>
      <c r="CZ56" s="422"/>
      <c r="DA56" s="422"/>
      <c r="DB56" s="29"/>
    </row>
    <row r="57" spans="1:106" s="54" customFormat="1" ht="11.5" customHeight="1" x14ac:dyDescent="0.35">
      <c r="A57" s="190" t="s">
        <v>373</v>
      </c>
      <c r="B57" s="395"/>
      <c r="C57" s="395"/>
      <c r="D57" s="395"/>
      <c r="E57" s="395"/>
      <c r="F57" s="518"/>
      <c r="G57" s="395"/>
      <c r="H57" s="395"/>
      <c r="I57" s="395"/>
      <c r="J57" s="395"/>
      <c r="K57" s="518"/>
      <c r="L57" s="395"/>
      <c r="M57" s="395"/>
      <c r="N57" s="395"/>
      <c r="O57" s="395"/>
      <c r="P57" s="518"/>
      <c r="Q57" s="395"/>
      <c r="R57" s="395"/>
      <c r="S57" s="395"/>
      <c r="T57" s="395"/>
      <c r="U57" s="519">
        <v>-27092</v>
      </c>
      <c r="V57" s="520"/>
      <c r="W57" s="520"/>
      <c r="X57" s="520"/>
      <c r="Y57" s="520"/>
      <c r="Z57" s="519">
        <v>90674</v>
      </c>
      <c r="AA57" s="395"/>
      <c r="AB57" s="395"/>
      <c r="AC57" s="395"/>
      <c r="AD57" s="395"/>
      <c r="AE57" s="518">
        <v>-25064</v>
      </c>
      <c r="AF57" s="395"/>
      <c r="AG57" s="395"/>
      <c r="AH57" s="395"/>
      <c r="AI57" s="395"/>
      <c r="AJ57" s="518">
        <v>-2491</v>
      </c>
      <c r="AK57" s="395"/>
      <c r="AL57" s="395"/>
      <c r="AM57" s="395"/>
      <c r="AN57" s="395"/>
      <c r="AO57" s="518">
        <v>-25300</v>
      </c>
      <c r="AP57" s="395"/>
      <c r="AQ57" s="395"/>
      <c r="AR57" s="395"/>
      <c r="AS57" s="395"/>
      <c r="AT57" s="518">
        <v>-34686</v>
      </c>
      <c r="AU57" s="395"/>
      <c r="AV57" s="395"/>
      <c r="AW57" s="395"/>
      <c r="AX57" s="395"/>
      <c r="AY57" s="518">
        <v>-26354</v>
      </c>
      <c r="AZ57" s="395"/>
      <c r="BA57" s="395"/>
      <c r="BB57" s="395"/>
      <c r="BC57" s="395"/>
      <c r="BD57" s="518">
        <v>1093</v>
      </c>
      <c r="BE57" s="395"/>
      <c r="BF57" s="395"/>
      <c r="BG57" s="395"/>
      <c r="BH57" s="395"/>
      <c r="BI57" s="518">
        <v>-32817</v>
      </c>
      <c r="BJ57" s="395"/>
      <c r="BK57" s="395"/>
      <c r="BL57" s="395"/>
      <c r="BM57" s="395"/>
      <c r="BN57" s="518">
        <v>-35492</v>
      </c>
      <c r="BO57" s="395"/>
      <c r="BP57" s="395"/>
      <c r="BQ57" s="395"/>
      <c r="BR57" s="395"/>
      <c r="BS57" s="518">
        <v>-37089</v>
      </c>
      <c r="BT57" s="395"/>
      <c r="BU57" s="395"/>
      <c r="BV57" s="395"/>
      <c r="BW57" s="395"/>
      <c r="BX57" s="518">
        <v>-42761</v>
      </c>
      <c r="BY57" s="395">
        <v>-24238</v>
      </c>
      <c r="BZ57" s="395">
        <f>-35583-BY57</f>
        <v>-11345</v>
      </c>
      <c r="CA57" s="395">
        <f>-49607-BZ57-BY57</f>
        <v>-14024</v>
      </c>
      <c r="CB57" s="90">
        <f>CC57-SUM(BY57:CA57)</f>
        <v>-5439</v>
      </c>
      <c r="CC57" s="518">
        <v>-55046</v>
      </c>
      <c r="CD57" s="395">
        <v>-23450</v>
      </c>
      <c r="CE57" s="395">
        <f>-37765-CD57</f>
        <v>-14315</v>
      </c>
      <c r="CF57" s="395"/>
      <c r="CG57" s="395"/>
      <c r="CH57" s="518"/>
      <c r="CI57" s="395"/>
      <c r="CJ57" s="395"/>
      <c r="CK57" s="395"/>
      <c r="CL57" s="395"/>
      <c r="CM57" s="518"/>
      <c r="CN57" s="395"/>
      <c r="CO57" s="395"/>
      <c r="CP57" s="395"/>
      <c r="CQ57" s="395"/>
      <c r="CR57" s="518"/>
      <c r="CS57" s="395"/>
      <c r="CT57" s="395"/>
      <c r="CU57" s="395"/>
      <c r="CV57" s="395"/>
      <c r="CW57" s="518"/>
      <c r="CX57" s="395"/>
      <c r="CY57" s="395"/>
      <c r="CZ57" s="395"/>
      <c r="DA57" s="395"/>
      <c r="DB57" s="518"/>
    </row>
    <row r="58" spans="1:106" s="54" customFormat="1" ht="11.5" customHeight="1" x14ac:dyDescent="0.35">
      <c r="A58" s="190" t="s">
        <v>390</v>
      </c>
      <c r="B58" s="90"/>
      <c r="C58" s="90"/>
      <c r="D58" s="90"/>
      <c r="E58" s="90"/>
      <c r="F58" s="518"/>
      <c r="G58" s="395"/>
      <c r="H58" s="397"/>
      <c r="I58" s="397"/>
      <c r="J58" s="397"/>
      <c r="K58" s="518"/>
      <c r="L58" s="395"/>
      <c r="M58" s="397"/>
      <c r="N58" s="397"/>
      <c r="O58" s="397"/>
      <c r="P58" s="518"/>
      <c r="Q58" s="395"/>
      <c r="R58" s="397"/>
      <c r="S58" s="397"/>
      <c r="T58" s="397"/>
      <c r="U58" s="519">
        <v>17169</v>
      </c>
      <c r="V58" s="520"/>
      <c r="W58" s="521"/>
      <c r="X58" s="521"/>
      <c r="Y58" s="521"/>
      <c r="Z58" s="519">
        <v>125802</v>
      </c>
      <c r="AA58" s="395"/>
      <c r="AB58" s="397"/>
      <c r="AC58" s="397"/>
      <c r="AD58" s="397"/>
      <c r="AE58" s="518">
        <v>87163</v>
      </c>
      <c r="AF58" s="395"/>
      <c r="AG58" s="397"/>
      <c r="AH58" s="397"/>
      <c r="AI58" s="397"/>
      <c r="AJ58" s="518">
        <v>101760</v>
      </c>
      <c r="AK58" s="395"/>
      <c r="AL58" s="397"/>
      <c r="AM58" s="397"/>
      <c r="AN58" s="397"/>
      <c r="AO58" s="518">
        <v>107514</v>
      </c>
      <c r="AP58" s="395"/>
      <c r="AQ58" s="397"/>
      <c r="AR58" s="397"/>
      <c r="AS58" s="397"/>
      <c r="AT58" s="518">
        <v>76106</v>
      </c>
      <c r="AU58" s="395"/>
      <c r="AV58" s="397"/>
      <c r="AW58" s="397"/>
      <c r="AX58" s="397"/>
      <c r="AY58" s="518">
        <v>79670</v>
      </c>
      <c r="AZ58" s="395"/>
      <c r="BA58" s="397"/>
      <c r="BB58" s="397"/>
      <c r="BC58" s="397"/>
      <c r="BD58" s="518">
        <v>69793</v>
      </c>
      <c r="BE58" s="395"/>
      <c r="BF58" s="397"/>
      <c r="BG58" s="397"/>
      <c r="BH58" s="397"/>
      <c r="BI58" s="518">
        <v>78709</v>
      </c>
      <c r="BJ58" s="395"/>
      <c r="BK58" s="397"/>
      <c r="BL58" s="397"/>
      <c r="BM58" s="397"/>
      <c r="BN58" s="518">
        <v>82685</v>
      </c>
      <c r="BO58" s="395"/>
      <c r="BP58" s="397"/>
      <c r="BQ58" s="397"/>
      <c r="BR58" s="397"/>
      <c r="BS58" s="518">
        <v>84616</v>
      </c>
      <c r="BT58" s="395"/>
      <c r="BU58" s="397"/>
      <c r="BV58" s="397"/>
      <c r="BW58" s="397"/>
      <c r="BX58" s="518">
        <v>115169</v>
      </c>
      <c r="BY58" s="395">
        <v>103831</v>
      </c>
      <c r="BZ58" s="397">
        <v>6498</v>
      </c>
      <c r="CA58" s="397">
        <v>9515</v>
      </c>
      <c r="CB58" s="90">
        <f>CC58</f>
        <v>15089</v>
      </c>
      <c r="CC58" s="518">
        <v>15089</v>
      </c>
      <c r="CD58" s="395">
        <v>15089</v>
      </c>
      <c r="CE58" s="397">
        <v>17158</v>
      </c>
      <c r="CF58" s="397"/>
      <c r="CG58" s="397"/>
      <c r="CH58" s="518"/>
      <c r="CI58" s="397"/>
      <c r="CJ58" s="397"/>
      <c r="CK58" s="397"/>
      <c r="CL58" s="397"/>
      <c r="CM58" s="518"/>
      <c r="CN58" s="397"/>
      <c r="CO58" s="397"/>
      <c r="CP58" s="397"/>
      <c r="CQ58" s="397"/>
      <c r="CR58" s="518"/>
      <c r="CS58" s="397"/>
      <c r="CT58" s="397"/>
      <c r="CU58" s="397"/>
      <c r="CV58" s="397"/>
      <c r="CW58" s="518"/>
      <c r="CX58" s="397"/>
      <c r="CY58" s="397"/>
      <c r="CZ58" s="397"/>
      <c r="DA58" s="397"/>
      <c r="DB58" s="518"/>
    </row>
    <row r="59" spans="1:106" s="91" customFormat="1" ht="11.5" customHeight="1" x14ac:dyDescent="0.35">
      <c r="A59" s="522" t="s">
        <v>361</v>
      </c>
      <c r="B59" s="92"/>
      <c r="C59" s="92"/>
      <c r="D59" s="92"/>
      <c r="E59" s="92"/>
      <c r="F59" s="25" t="e">
        <f>F57/F58</f>
        <v>#DIV/0!</v>
      </c>
      <c r="G59" s="24" t="e">
        <f t="shared" ref="G59:BR59" si="104">G57/G58</f>
        <v>#DIV/0!</v>
      </c>
      <c r="H59" s="164" t="e">
        <f t="shared" si="104"/>
        <v>#DIV/0!</v>
      </c>
      <c r="I59" s="164" t="e">
        <f t="shared" si="104"/>
        <v>#DIV/0!</v>
      </c>
      <c r="J59" s="164" t="e">
        <f t="shared" si="104"/>
        <v>#DIV/0!</v>
      </c>
      <c r="K59" s="25" t="e">
        <f t="shared" si="104"/>
        <v>#DIV/0!</v>
      </c>
      <c r="L59" s="24" t="e">
        <f t="shared" si="104"/>
        <v>#DIV/0!</v>
      </c>
      <c r="M59" s="164" t="e">
        <f t="shared" si="104"/>
        <v>#DIV/0!</v>
      </c>
      <c r="N59" s="164" t="e">
        <f t="shared" si="104"/>
        <v>#DIV/0!</v>
      </c>
      <c r="O59" s="164" t="e">
        <f t="shared" si="104"/>
        <v>#DIV/0!</v>
      </c>
      <c r="P59" s="25" t="e">
        <f t="shared" si="104"/>
        <v>#DIV/0!</v>
      </c>
      <c r="Q59" s="24" t="e">
        <f t="shared" si="104"/>
        <v>#DIV/0!</v>
      </c>
      <c r="R59" s="164" t="e">
        <f t="shared" si="104"/>
        <v>#DIV/0!</v>
      </c>
      <c r="S59" s="164" t="e">
        <f t="shared" si="104"/>
        <v>#DIV/0!</v>
      </c>
      <c r="T59" s="164" t="e">
        <f t="shared" si="104"/>
        <v>#DIV/0!</v>
      </c>
      <c r="U59" s="25">
        <f t="shared" si="104"/>
        <v>-1.5779602772438697</v>
      </c>
      <c r="V59" s="24" t="e">
        <f t="shared" si="104"/>
        <v>#DIV/0!</v>
      </c>
      <c r="W59" s="164" t="e">
        <f t="shared" si="104"/>
        <v>#DIV/0!</v>
      </c>
      <c r="X59" s="164" t="e">
        <f t="shared" si="104"/>
        <v>#DIV/0!</v>
      </c>
      <c r="Y59" s="164" t="e">
        <f t="shared" si="104"/>
        <v>#DIV/0!</v>
      </c>
      <c r="Z59" s="25">
        <f t="shared" si="104"/>
        <v>0.72076755536477954</v>
      </c>
      <c r="AA59" s="24" t="e">
        <f t="shared" si="104"/>
        <v>#DIV/0!</v>
      </c>
      <c r="AB59" s="164" t="e">
        <f t="shared" si="104"/>
        <v>#DIV/0!</v>
      </c>
      <c r="AC59" s="164" t="e">
        <f t="shared" si="104"/>
        <v>#DIV/0!</v>
      </c>
      <c r="AD59" s="164" t="e">
        <f t="shared" si="104"/>
        <v>#DIV/0!</v>
      </c>
      <c r="AE59" s="25">
        <f t="shared" si="104"/>
        <v>-0.28755320491492947</v>
      </c>
      <c r="AF59" s="24" t="e">
        <f t="shared" si="104"/>
        <v>#DIV/0!</v>
      </c>
      <c r="AG59" s="164" t="e">
        <f t="shared" si="104"/>
        <v>#DIV/0!</v>
      </c>
      <c r="AH59" s="164" t="e">
        <f t="shared" si="104"/>
        <v>#DIV/0!</v>
      </c>
      <c r="AI59" s="164" t="e">
        <f t="shared" si="104"/>
        <v>#DIV/0!</v>
      </c>
      <c r="AJ59" s="25">
        <f t="shared" si="104"/>
        <v>-2.4479166666666666E-2</v>
      </c>
      <c r="AK59" s="24" t="e">
        <f t="shared" si="104"/>
        <v>#DIV/0!</v>
      </c>
      <c r="AL59" s="164" t="e">
        <f t="shared" si="104"/>
        <v>#DIV/0!</v>
      </c>
      <c r="AM59" s="164" t="e">
        <f t="shared" si="104"/>
        <v>#DIV/0!</v>
      </c>
      <c r="AN59" s="164" t="e">
        <f t="shared" si="104"/>
        <v>#DIV/0!</v>
      </c>
      <c r="AO59" s="25">
        <f t="shared" si="104"/>
        <v>-0.23531819111929608</v>
      </c>
      <c r="AP59" s="24" t="e">
        <f t="shared" si="104"/>
        <v>#DIV/0!</v>
      </c>
      <c r="AQ59" s="164" t="e">
        <f t="shared" si="104"/>
        <v>#DIV/0!</v>
      </c>
      <c r="AR59" s="164" t="e">
        <f t="shared" si="104"/>
        <v>#DIV/0!</v>
      </c>
      <c r="AS59" s="164" t="e">
        <f t="shared" si="104"/>
        <v>#DIV/0!</v>
      </c>
      <c r="AT59" s="25">
        <f t="shared" si="104"/>
        <v>-0.45575907287204687</v>
      </c>
      <c r="AU59" s="24" t="e">
        <f t="shared" si="104"/>
        <v>#DIV/0!</v>
      </c>
      <c r="AV59" s="164" t="e">
        <f t="shared" si="104"/>
        <v>#DIV/0!</v>
      </c>
      <c r="AW59" s="164" t="e">
        <f t="shared" si="104"/>
        <v>#DIV/0!</v>
      </c>
      <c r="AX59" s="164" t="e">
        <f t="shared" si="104"/>
        <v>#DIV/0!</v>
      </c>
      <c r="AY59" s="25">
        <f t="shared" si="104"/>
        <v>-0.33078950671520019</v>
      </c>
      <c r="AZ59" s="24" t="e">
        <f t="shared" si="104"/>
        <v>#DIV/0!</v>
      </c>
      <c r="BA59" s="164" t="e">
        <f t="shared" si="104"/>
        <v>#DIV/0!</v>
      </c>
      <c r="BB59" s="164" t="e">
        <f t="shared" si="104"/>
        <v>#DIV/0!</v>
      </c>
      <c r="BC59" s="164" t="e">
        <f t="shared" si="104"/>
        <v>#DIV/0!</v>
      </c>
      <c r="BD59" s="25">
        <f t="shared" si="104"/>
        <v>1.566059633487599E-2</v>
      </c>
      <c r="BE59" s="24" t="e">
        <f t="shared" si="104"/>
        <v>#DIV/0!</v>
      </c>
      <c r="BF59" s="164" t="e">
        <f t="shared" si="104"/>
        <v>#DIV/0!</v>
      </c>
      <c r="BG59" s="164" t="e">
        <f t="shared" si="104"/>
        <v>#DIV/0!</v>
      </c>
      <c r="BH59" s="164" t="e">
        <f t="shared" si="104"/>
        <v>#DIV/0!</v>
      </c>
      <c r="BI59" s="25">
        <f t="shared" si="104"/>
        <v>-0.41694088350760394</v>
      </c>
      <c r="BJ59" s="24" t="e">
        <f t="shared" si="104"/>
        <v>#DIV/0!</v>
      </c>
      <c r="BK59" s="164" t="e">
        <f t="shared" si="104"/>
        <v>#DIV/0!</v>
      </c>
      <c r="BL59" s="164" t="e">
        <f t="shared" si="104"/>
        <v>#DIV/0!</v>
      </c>
      <c r="BM59" s="164" t="e">
        <f t="shared" si="104"/>
        <v>#DIV/0!</v>
      </c>
      <c r="BN59" s="25">
        <f t="shared" si="104"/>
        <v>-0.42924351454314569</v>
      </c>
      <c r="BO59" s="24" t="e">
        <f t="shared" si="104"/>
        <v>#DIV/0!</v>
      </c>
      <c r="BP59" s="164" t="e">
        <f t="shared" si="104"/>
        <v>#DIV/0!</v>
      </c>
      <c r="BQ59" s="164" t="e">
        <f t="shared" si="104"/>
        <v>#DIV/0!</v>
      </c>
      <c r="BR59" s="164" t="e">
        <f t="shared" si="104"/>
        <v>#DIV/0!</v>
      </c>
      <c r="BS59" s="25">
        <f t="shared" ref="BS59:DB59" si="105">BS57/BS58</f>
        <v>-0.43832135766285335</v>
      </c>
      <c r="BT59" s="24" t="e">
        <f t="shared" si="105"/>
        <v>#DIV/0!</v>
      </c>
      <c r="BU59" s="164" t="e">
        <f t="shared" si="105"/>
        <v>#DIV/0!</v>
      </c>
      <c r="BV59" s="164" t="e">
        <f t="shared" si="105"/>
        <v>#DIV/0!</v>
      </c>
      <c r="BW59" s="164" t="e">
        <f t="shared" si="105"/>
        <v>#DIV/0!</v>
      </c>
      <c r="BX59" s="25">
        <f t="shared" si="105"/>
        <v>-0.37128914898974552</v>
      </c>
      <c r="BY59" s="24">
        <f t="shared" si="105"/>
        <v>-0.23343702747734299</v>
      </c>
      <c r="BZ59" s="164">
        <f t="shared" si="105"/>
        <v>-1.7459218220991075</v>
      </c>
      <c r="CA59" s="164">
        <f t="shared" ref="CA59:CB59" si="106">CA57/CA58</f>
        <v>-1.4738833420914346</v>
      </c>
      <c r="CB59" s="164">
        <f t="shared" si="106"/>
        <v>-0.36046126317184707</v>
      </c>
      <c r="CC59" s="25">
        <f t="shared" si="105"/>
        <v>-3.6480880111339387</v>
      </c>
      <c r="CD59" s="24">
        <f t="shared" ref="CD59:CE59" si="107">CD57/CD58</f>
        <v>-1.5541122672145271</v>
      </c>
      <c r="CE59" s="164">
        <f t="shared" si="107"/>
        <v>-0.83430469751719316</v>
      </c>
      <c r="CF59" s="164" t="e">
        <f t="shared" si="105"/>
        <v>#DIV/0!</v>
      </c>
      <c r="CG59" s="164" t="e">
        <f t="shared" si="105"/>
        <v>#DIV/0!</v>
      </c>
      <c r="CH59" s="25" t="e">
        <f t="shared" si="105"/>
        <v>#DIV/0!</v>
      </c>
      <c r="CI59" s="164" t="e">
        <f t="shared" si="105"/>
        <v>#DIV/0!</v>
      </c>
      <c r="CJ59" s="164" t="e">
        <f t="shared" si="105"/>
        <v>#DIV/0!</v>
      </c>
      <c r="CK59" s="164" t="e">
        <f t="shared" si="105"/>
        <v>#DIV/0!</v>
      </c>
      <c r="CL59" s="164" t="e">
        <f t="shared" si="105"/>
        <v>#DIV/0!</v>
      </c>
      <c r="CM59" s="25" t="e">
        <f t="shared" si="105"/>
        <v>#DIV/0!</v>
      </c>
      <c r="CN59" s="164" t="e">
        <f t="shared" si="105"/>
        <v>#DIV/0!</v>
      </c>
      <c r="CO59" s="164" t="e">
        <f t="shared" si="105"/>
        <v>#DIV/0!</v>
      </c>
      <c r="CP59" s="164" t="e">
        <f t="shared" si="105"/>
        <v>#DIV/0!</v>
      </c>
      <c r="CQ59" s="164" t="e">
        <f t="shared" si="105"/>
        <v>#DIV/0!</v>
      </c>
      <c r="CR59" s="25" t="e">
        <f t="shared" si="105"/>
        <v>#DIV/0!</v>
      </c>
      <c r="CS59" s="164" t="e">
        <f t="shared" si="105"/>
        <v>#DIV/0!</v>
      </c>
      <c r="CT59" s="164" t="e">
        <f t="shared" si="105"/>
        <v>#DIV/0!</v>
      </c>
      <c r="CU59" s="164" t="e">
        <f t="shared" si="105"/>
        <v>#DIV/0!</v>
      </c>
      <c r="CV59" s="164" t="e">
        <f t="shared" si="105"/>
        <v>#DIV/0!</v>
      </c>
      <c r="CW59" s="25" t="e">
        <f t="shared" si="105"/>
        <v>#DIV/0!</v>
      </c>
      <c r="CX59" s="164" t="e">
        <f t="shared" si="105"/>
        <v>#DIV/0!</v>
      </c>
      <c r="CY59" s="164" t="e">
        <f t="shared" si="105"/>
        <v>#DIV/0!</v>
      </c>
      <c r="CZ59" s="164" t="e">
        <f t="shared" si="105"/>
        <v>#DIV/0!</v>
      </c>
      <c r="DA59" s="164" t="e">
        <f t="shared" si="105"/>
        <v>#DIV/0!</v>
      </c>
      <c r="DB59" s="25" t="e">
        <f t="shared" si="105"/>
        <v>#DIV/0!</v>
      </c>
    </row>
    <row r="60" spans="1:106" s="91" customFormat="1" ht="11.5" customHeight="1" collapsed="1" x14ac:dyDescent="0.35">
      <c r="A60" s="515" t="s">
        <v>394</v>
      </c>
      <c r="B60" s="516"/>
      <c r="C60" s="516"/>
      <c r="D60" s="516"/>
      <c r="E60" s="516"/>
      <c r="F60" s="442"/>
      <c r="G60" s="441"/>
      <c r="H60" s="441"/>
      <c r="I60" s="441"/>
      <c r="J60" s="441"/>
      <c r="K60" s="442"/>
      <c r="L60" s="441"/>
      <c r="M60" s="441"/>
      <c r="N60" s="441"/>
      <c r="O60" s="441"/>
      <c r="P60" s="442"/>
      <c r="Q60" s="441"/>
      <c r="R60" s="441"/>
      <c r="S60" s="441"/>
      <c r="T60" s="441"/>
      <c r="U60" s="442">
        <v>0.8417</v>
      </c>
      <c r="V60" s="441"/>
      <c r="W60" s="441"/>
      <c r="X60" s="441"/>
      <c r="Y60" s="441"/>
      <c r="Z60" s="442">
        <v>0.8417</v>
      </c>
      <c r="AA60" s="441"/>
      <c r="AB60" s="441"/>
      <c r="AC60" s="441"/>
      <c r="AD60" s="441"/>
      <c r="AE60" s="442">
        <v>0.8417</v>
      </c>
      <c r="AF60" s="441"/>
      <c r="AG60" s="441"/>
      <c r="AH60" s="441"/>
      <c r="AI60" s="441"/>
      <c r="AJ60" s="442">
        <v>0.8417</v>
      </c>
      <c r="AK60" s="441"/>
      <c r="AL60" s="441"/>
      <c r="AM60" s="441"/>
      <c r="AN60" s="441"/>
      <c r="AO60" s="442">
        <v>0.8417</v>
      </c>
      <c r="AP60" s="441"/>
      <c r="AQ60" s="441"/>
      <c r="AR60" s="441"/>
      <c r="AS60" s="441"/>
      <c r="AT60" s="442">
        <v>0.8417</v>
      </c>
      <c r="AU60" s="441"/>
      <c r="AV60" s="441"/>
      <c r="AW60" s="441"/>
      <c r="AX60" s="441"/>
      <c r="AY60" s="442">
        <v>0.8417</v>
      </c>
      <c r="AZ60" s="441"/>
      <c r="BA60" s="441"/>
      <c r="BB60" s="441"/>
      <c r="BC60" s="441"/>
      <c r="BD60" s="442">
        <v>0.8417</v>
      </c>
      <c r="BE60" s="441"/>
      <c r="BF60" s="441"/>
      <c r="BG60" s="441"/>
      <c r="BH60" s="441"/>
      <c r="BI60" s="442">
        <v>1</v>
      </c>
      <c r="BJ60" s="441"/>
      <c r="BK60" s="441"/>
      <c r="BL60" s="441"/>
      <c r="BM60" s="441"/>
      <c r="BN60" s="442">
        <v>1</v>
      </c>
      <c r="BO60" s="441"/>
      <c r="BP60" s="441"/>
      <c r="BQ60" s="441"/>
      <c r="BR60" s="441"/>
      <c r="BS60" s="442">
        <v>1</v>
      </c>
      <c r="BT60" s="441"/>
      <c r="BU60" s="441"/>
      <c r="BV60" s="441"/>
      <c r="BW60" s="441"/>
      <c r="BX60" s="442">
        <v>1</v>
      </c>
      <c r="BY60" s="441">
        <v>1</v>
      </c>
      <c r="BZ60" s="441">
        <v>1</v>
      </c>
      <c r="CA60" s="441">
        <v>1</v>
      </c>
      <c r="CB60" s="441">
        <f>CC60</f>
        <v>1</v>
      </c>
      <c r="CC60" s="442">
        <v>1</v>
      </c>
      <c r="CD60" s="441">
        <v>1</v>
      </c>
      <c r="CE60" s="441">
        <v>1</v>
      </c>
      <c r="CF60" s="441"/>
      <c r="CG60" s="441"/>
      <c r="CH60" s="442"/>
      <c r="CI60" s="441"/>
      <c r="CJ60" s="441"/>
      <c r="CK60" s="441"/>
      <c r="CL60" s="441"/>
      <c r="CM60" s="442"/>
      <c r="CN60" s="441"/>
      <c r="CO60" s="441"/>
      <c r="CP60" s="441"/>
      <c r="CQ60" s="441"/>
      <c r="CR60" s="442"/>
      <c r="CS60" s="441"/>
      <c r="CT60" s="441"/>
      <c r="CU60" s="441"/>
      <c r="CV60" s="441"/>
      <c r="CW60" s="442"/>
      <c r="CX60" s="441"/>
      <c r="CY60" s="441"/>
      <c r="CZ60" s="441"/>
      <c r="DA60" s="441"/>
      <c r="DB60" s="442"/>
    </row>
    <row r="61" spans="1:106" s="54" customFormat="1" ht="11.5" customHeight="1" x14ac:dyDescent="0.35">
      <c r="A61" s="217" t="s">
        <v>393</v>
      </c>
      <c r="B61" s="395"/>
      <c r="C61" s="395"/>
      <c r="D61" s="395"/>
      <c r="E61" s="395"/>
      <c r="F61" s="29"/>
      <c r="G61" s="395"/>
      <c r="H61" s="395"/>
      <c r="I61" s="395"/>
      <c r="J61" s="395"/>
      <c r="K61" s="29"/>
      <c r="L61" s="395"/>
      <c r="M61" s="395"/>
      <c r="N61" s="395"/>
      <c r="O61" s="395"/>
      <c r="P61" s="29"/>
      <c r="Q61" s="395"/>
      <c r="R61" s="395"/>
      <c r="S61" s="395"/>
      <c r="T61" s="395"/>
      <c r="U61" s="29"/>
      <c r="V61" s="395"/>
      <c r="W61" s="395"/>
      <c r="X61" s="395"/>
      <c r="Y61" s="395"/>
      <c r="Z61" s="29"/>
      <c r="AA61" s="395"/>
      <c r="AB61" s="395"/>
      <c r="AC61" s="395"/>
      <c r="AD61" s="395"/>
      <c r="AE61" s="29"/>
      <c r="AF61" s="395"/>
      <c r="AG61" s="395"/>
      <c r="AH61" s="395"/>
      <c r="AI61" s="395"/>
      <c r="AJ61" s="29"/>
      <c r="AK61" s="395"/>
      <c r="AL61" s="395"/>
      <c r="AM61" s="395"/>
      <c r="AN61" s="395"/>
      <c r="AO61" s="29"/>
      <c r="AP61" s="395"/>
      <c r="AQ61" s="395"/>
      <c r="AR61" s="395"/>
      <c r="AS61" s="395"/>
      <c r="AT61" s="29"/>
      <c r="AU61" s="395"/>
      <c r="AV61" s="395"/>
      <c r="AW61" s="395"/>
      <c r="AX61" s="395"/>
      <c r="AY61" s="29"/>
      <c r="AZ61" s="395"/>
      <c r="BA61" s="395"/>
      <c r="BB61" s="395"/>
      <c r="BC61" s="395"/>
      <c r="BD61" s="29"/>
      <c r="BE61" s="395"/>
      <c r="BF61" s="395"/>
      <c r="BG61" s="395"/>
      <c r="BH61" s="395"/>
      <c r="BI61" s="29"/>
      <c r="BJ61" s="395"/>
      <c r="BK61" s="395"/>
      <c r="BL61" s="395"/>
      <c r="BM61" s="395"/>
      <c r="BN61" s="29"/>
      <c r="BO61" s="395"/>
      <c r="BP61" s="395"/>
      <c r="BQ61" s="395"/>
      <c r="BR61" s="395"/>
      <c r="BS61" s="29"/>
      <c r="BT61" s="395"/>
      <c r="BU61" s="395"/>
      <c r="BV61" s="395"/>
      <c r="BW61" s="395"/>
      <c r="BX61" s="29"/>
      <c r="BY61" s="395"/>
      <c r="BZ61" s="395"/>
      <c r="CA61" s="422"/>
      <c r="CB61" s="422"/>
      <c r="CC61" s="29"/>
      <c r="CD61" s="395"/>
      <c r="CE61" s="395"/>
      <c r="CF61" s="422"/>
      <c r="CG61" s="422"/>
      <c r="CH61" s="29"/>
      <c r="CI61" s="422"/>
      <c r="CJ61" s="422"/>
      <c r="CK61" s="422"/>
      <c r="CL61" s="422"/>
      <c r="CM61" s="29"/>
      <c r="CN61" s="422"/>
      <c r="CO61" s="422"/>
      <c r="CP61" s="422"/>
      <c r="CQ61" s="422"/>
      <c r="CR61" s="29"/>
      <c r="CS61" s="422"/>
      <c r="CT61" s="422"/>
      <c r="CU61" s="422"/>
      <c r="CV61" s="422"/>
      <c r="CW61" s="29"/>
      <c r="CX61" s="422"/>
      <c r="CY61" s="422"/>
      <c r="CZ61" s="422"/>
      <c r="DA61" s="422"/>
      <c r="DB61" s="29"/>
    </row>
    <row r="62" spans="1:106" s="54" customFormat="1" ht="11.5" customHeight="1" x14ac:dyDescent="0.35">
      <c r="A62" s="190" t="s">
        <v>373</v>
      </c>
      <c r="B62" s="395"/>
      <c r="C62" s="395"/>
      <c r="D62" s="395"/>
      <c r="E62" s="395"/>
      <c r="F62" s="518"/>
      <c r="G62" s="395"/>
      <c r="H62" s="395"/>
      <c r="I62" s="395"/>
      <c r="J62" s="395"/>
      <c r="K62" s="518"/>
      <c r="L62" s="395"/>
      <c r="M62" s="395"/>
      <c r="N62" s="395"/>
      <c r="O62" s="395"/>
      <c r="P62" s="518"/>
      <c r="Q62" s="395"/>
      <c r="R62" s="395"/>
      <c r="S62" s="395"/>
      <c r="T62" s="395"/>
      <c r="U62" s="518"/>
      <c r="V62" s="520"/>
      <c r="W62" s="520"/>
      <c r="X62" s="520"/>
      <c r="Y62" s="520"/>
      <c r="Z62" s="519">
        <v>32205</v>
      </c>
      <c r="AA62" s="395"/>
      <c r="AB62" s="395"/>
      <c r="AC62" s="395"/>
      <c r="AD62" s="395"/>
      <c r="AE62" s="518">
        <v>49531</v>
      </c>
      <c r="AF62" s="395"/>
      <c r="AG62" s="395"/>
      <c r="AH62" s="395"/>
      <c r="AI62" s="395"/>
      <c r="AJ62" s="518">
        <v>15316</v>
      </c>
      <c r="AK62" s="395"/>
      <c r="AL62" s="395"/>
      <c r="AM62" s="395"/>
      <c r="AN62" s="395"/>
      <c r="AO62" s="518">
        <v>33872</v>
      </c>
      <c r="AP62" s="395"/>
      <c r="AQ62" s="395"/>
      <c r="AR62" s="395"/>
      <c r="AS62" s="395"/>
      <c r="AT62" s="518">
        <v>11643</v>
      </c>
      <c r="AU62" s="395"/>
      <c r="AV62" s="395"/>
      <c r="AW62" s="395"/>
      <c r="AX62" s="395"/>
      <c r="AY62" s="518">
        <v>3251</v>
      </c>
      <c r="AZ62" s="395"/>
      <c r="BA62" s="395"/>
      <c r="BB62" s="395"/>
      <c r="BC62" s="395"/>
      <c r="BD62" s="518">
        <v>2814</v>
      </c>
      <c r="BE62" s="395"/>
      <c r="BF62" s="395"/>
      <c r="BG62" s="395"/>
      <c r="BH62" s="395"/>
      <c r="BI62" s="518">
        <v>-9025</v>
      </c>
      <c r="BJ62" s="395"/>
      <c r="BK62" s="395"/>
      <c r="BL62" s="395"/>
      <c r="BM62" s="395"/>
      <c r="BN62" s="518">
        <v>7</v>
      </c>
      <c r="BO62" s="395"/>
      <c r="BP62" s="395"/>
      <c r="BQ62" s="395"/>
      <c r="BR62" s="395"/>
      <c r="BS62" s="518">
        <v>-3333</v>
      </c>
      <c r="BT62" s="395"/>
      <c r="BU62" s="395"/>
      <c r="BV62" s="395"/>
      <c r="BW62" s="395"/>
      <c r="BX62" s="518"/>
      <c r="BY62" s="395"/>
      <c r="BZ62" s="395"/>
      <c r="CA62" s="395"/>
      <c r="CB62" s="395"/>
      <c r="CC62" s="518"/>
      <c r="CD62" s="395"/>
      <c r="CE62" s="395"/>
      <c r="CF62" s="395"/>
      <c r="CG62" s="395"/>
      <c r="CH62" s="518"/>
      <c r="CI62" s="395"/>
      <c r="CJ62" s="395"/>
      <c r="CK62" s="395"/>
      <c r="CL62" s="395"/>
      <c r="CM62" s="518"/>
      <c r="CN62" s="395"/>
      <c r="CO62" s="395"/>
      <c r="CP62" s="395"/>
      <c r="CQ62" s="395"/>
      <c r="CR62" s="518"/>
      <c r="CS62" s="395"/>
      <c r="CT62" s="395"/>
      <c r="CU62" s="395"/>
      <c r="CV62" s="395"/>
      <c r="CW62" s="518"/>
      <c r="CX62" s="395"/>
      <c r="CY62" s="395"/>
      <c r="CZ62" s="395"/>
      <c r="DA62" s="395"/>
      <c r="DB62" s="518"/>
    </row>
    <row r="63" spans="1:106" s="54" customFormat="1" ht="11.5" customHeight="1" x14ac:dyDescent="0.35">
      <c r="A63" s="190" t="s">
        <v>390</v>
      </c>
      <c r="B63" s="90"/>
      <c r="C63" s="90"/>
      <c r="D63" s="90"/>
      <c r="E63" s="90"/>
      <c r="F63" s="518"/>
      <c r="G63" s="395"/>
      <c r="H63" s="397"/>
      <c r="I63" s="397"/>
      <c r="J63" s="397"/>
      <c r="K63" s="518"/>
      <c r="L63" s="395"/>
      <c r="M63" s="397"/>
      <c r="N63" s="397"/>
      <c r="O63" s="397"/>
      <c r="P63" s="518"/>
      <c r="Q63" s="395"/>
      <c r="R63" s="397"/>
      <c r="S63" s="397"/>
      <c r="T63" s="397"/>
      <c r="U63" s="518"/>
      <c r="V63" s="520"/>
      <c r="W63" s="521"/>
      <c r="X63" s="521"/>
      <c r="Y63" s="521"/>
      <c r="Z63" s="519">
        <v>141174</v>
      </c>
      <c r="AA63" s="395"/>
      <c r="AB63" s="397"/>
      <c r="AC63" s="397"/>
      <c r="AD63" s="397"/>
      <c r="AE63" s="518">
        <v>172765</v>
      </c>
      <c r="AF63" s="395"/>
      <c r="AG63" s="397"/>
      <c r="AH63" s="397"/>
      <c r="AI63" s="397"/>
      <c r="AJ63" s="518">
        <v>189497</v>
      </c>
      <c r="AK63" s="395"/>
      <c r="AL63" s="397"/>
      <c r="AM63" s="397"/>
      <c r="AN63" s="397"/>
      <c r="AO63" s="518">
        <v>122152</v>
      </c>
      <c r="AP63" s="395"/>
      <c r="AQ63" s="397"/>
      <c r="AR63" s="397"/>
      <c r="AS63" s="397"/>
      <c r="AT63" s="518">
        <v>90305</v>
      </c>
      <c r="AU63" s="395"/>
      <c r="AV63" s="397"/>
      <c r="AW63" s="397"/>
      <c r="AX63" s="397"/>
      <c r="AY63" s="518">
        <v>55225</v>
      </c>
      <c r="AZ63" s="395"/>
      <c r="BA63" s="397"/>
      <c r="BB63" s="397"/>
      <c r="BC63" s="397"/>
      <c r="BD63" s="518">
        <v>53705</v>
      </c>
      <c r="BE63" s="395"/>
      <c r="BF63" s="397"/>
      <c r="BG63" s="397"/>
      <c r="BH63" s="397"/>
      <c r="BI63" s="518">
        <v>41163</v>
      </c>
      <c r="BJ63" s="395"/>
      <c r="BK63" s="397"/>
      <c r="BL63" s="397"/>
      <c r="BM63" s="397"/>
      <c r="BN63" s="518">
        <v>38030</v>
      </c>
      <c r="BO63" s="395"/>
      <c r="BP63" s="397"/>
      <c r="BQ63" s="397"/>
      <c r="BR63" s="397"/>
      <c r="BS63" s="518">
        <v>36563</v>
      </c>
      <c r="BT63" s="395"/>
      <c r="BU63" s="397"/>
      <c r="BV63" s="397"/>
      <c r="BW63" s="397"/>
      <c r="BX63" s="518"/>
      <c r="BY63" s="395"/>
      <c r="BZ63" s="397"/>
      <c r="CA63" s="397"/>
      <c r="CB63" s="397"/>
      <c r="CC63" s="518"/>
      <c r="CD63" s="395"/>
      <c r="CE63" s="397"/>
      <c r="CF63" s="397"/>
      <c r="CG63" s="397"/>
      <c r="CH63" s="518"/>
      <c r="CI63" s="397"/>
      <c r="CJ63" s="397"/>
      <c r="CK63" s="397"/>
      <c r="CL63" s="397"/>
      <c r="CM63" s="518"/>
      <c r="CN63" s="397"/>
      <c r="CO63" s="397"/>
      <c r="CP63" s="397"/>
      <c r="CQ63" s="397"/>
      <c r="CR63" s="518"/>
      <c r="CS63" s="397"/>
      <c r="CT63" s="397"/>
      <c r="CU63" s="397"/>
      <c r="CV63" s="397"/>
      <c r="CW63" s="518"/>
      <c r="CX63" s="397"/>
      <c r="CY63" s="397"/>
      <c r="CZ63" s="397"/>
      <c r="DA63" s="397"/>
      <c r="DB63" s="518"/>
    </row>
    <row r="64" spans="1:106" s="91" customFormat="1" ht="11.5" customHeight="1" x14ac:dyDescent="0.35">
      <c r="A64" s="522" t="s">
        <v>361</v>
      </c>
      <c r="B64" s="92"/>
      <c r="C64" s="92"/>
      <c r="D64" s="92"/>
      <c r="E64" s="92"/>
      <c r="F64" s="25" t="e">
        <f>F62/F63</f>
        <v>#DIV/0!</v>
      </c>
      <c r="G64" s="24" t="e">
        <f t="shared" ref="G64:BR64" si="108">G62/G63</f>
        <v>#DIV/0!</v>
      </c>
      <c r="H64" s="164" t="e">
        <f t="shared" si="108"/>
        <v>#DIV/0!</v>
      </c>
      <c r="I64" s="164" t="e">
        <f t="shared" si="108"/>
        <v>#DIV/0!</v>
      </c>
      <c r="J64" s="164" t="e">
        <f t="shared" si="108"/>
        <v>#DIV/0!</v>
      </c>
      <c r="K64" s="25" t="e">
        <f t="shared" si="108"/>
        <v>#DIV/0!</v>
      </c>
      <c r="L64" s="24" t="e">
        <f t="shared" si="108"/>
        <v>#DIV/0!</v>
      </c>
      <c r="M64" s="164" t="e">
        <f t="shared" si="108"/>
        <v>#DIV/0!</v>
      </c>
      <c r="N64" s="164" t="e">
        <f t="shared" si="108"/>
        <v>#DIV/0!</v>
      </c>
      <c r="O64" s="164" t="e">
        <f t="shared" si="108"/>
        <v>#DIV/0!</v>
      </c>
      <c r="P64" s="25" t="e">
        <f t="shared" si="108"/>
        <v>#DIV/0!</v>
      </c>
      <c r="Q64" s="24" t="e">
        <f t="shared" si="108"/>
        <v>#DIV/0!</v>
      </c>
      <c r="R64" s="164" t="e">
        <f t="shared" si="108"/>
        <v>#DIV/0!</v>
      </c>
      <c r="S64" s="164" t="e">
        <f t="shared" si="108"/>
        <v>#DIV/0!</v>
      </c>
      <c r="T64" s="164" t="e">
        <f t="shared" si="108"/>
        <v>#DIV/0!</v>
      </c>
      <c r="U64" s="25" t="e">
        <f t="shared" si="108"/>
        <v>#DIV/0!</v>
      </c>
      <c r="V64" s="24" t="e">
        <f t="shared" si="108"/>
        <v>#DIV/0!</v>
      </c>
      <c r="W64" s="164" t="e">
        <f t="shared" si="108"/>
        <v>#DIV/0!</v>
      </c>
      <c r="X64" s="164" t="e">
        <f t="shared" si="108"/>
        <v>#DIV/0!</v>
      </c>
      <c r="Y64" s="164" t="e">
        <f t="shared" si="108"/>
        <v>#DIV/0!</v>
      </c>
      <c r="Z64" s="25">
        <f t="shared" si="108"/>
        <v>0.22812274214798758</v>
      </c>
      <c r="AA64" s="24" t="e">
        <f t="shared" si="108"/>
        <v>#DIV/0!</v>
      </c>
      <c r="AB64" s="164" t="e">
        <f t="shared" si="108"/>
        <v>#DIV/0!</v>
      </c>
      <c r="AC64" s="164" t="e">
        <f t="shared" si="108"/>
        <v>#DIV/0!</v>
      </c>
      <c r="AD64" s="164" t="e">
        <f t="shared" si="108"/>
        <v>#DIV/0!</v>
      </c>
      <c r="AE64" s="25">
        <f t="shared" si="108"/>
        <v>0.28669580065406769</v>
      </c>
      <c r="AF64" s="24" t="e">
        <f t="shared" si="108"/>
        <v>#DIV/0!</v>
      </c>
      <c r="AG64" s="164" t="e">
        <f t="shared" si="108"/>
        <v>#DIV/0!</v>
      </c>
      <c r="AH64" s="164" t="e">
        <f t="shared" si="108"/>
        <v>#DIV/0!</v>
      </c>
      <c r="AI64" s="164" t="e">
        <f t="shared" si="108"/>
        <v>#DIV/0!</v>
      </c>
      <c r="AJ64" s="25">
        <f t="shared" si="108"/>
        <v>8.0824498540873993E-2</v>
      </c>
      <c r="AK64" s="24" t="e">
        <f t="shared" si="108"/>
        <v>#DIV/0!</v>
      </c>
      <c r="AL64" s="164" t="e">
        <f t="shared" si="108"/>
        <v>#DIV/0!</v>
      </c>
      <c r="AM64" s="164" t="e">
        <f t="shared" si="108"/>
        <v>#DIV/0!</v>
      </c>
      <c r="AN64" s="164" t="e">
        <f t="shared" si="108"/>
        <v>#DIV/0!</v>
      </c>
      <c r="AO64" s="25">
        <f t="shared" si="108"/>
        <v>0.27729386338332568</v>
      </c>
      <c r="AP64" s="24" t="e">
        <f t="shared" si="108"/>
        <v>#DIV/0!</v>
      </c>
      <c r="AQ64" s="164" t="e">
        <f t="shared" si="108"/>
        <v>#DIV/0!</v>
      </c>
      <c r="AR64" s="164" t="e">
        <f t="shared" si="108"/>
        <v>#DIV/0!</v>
      </c>
      <c r="AS64" s="164" t="e">
        <f t="shared" si="108"/>
        <v>#DIV/0!</v>
      </c>
      <c r="AT64" s="25">
        <f t="shared" si="108"/>
        <v>0.12892973810973921</v>
      </c>
      <c r="AU64" s="24" t="e">
        <f t="shared" si="108"/>
        <v>#DIV/0!</v>
      </c>
      <c r="AV64" s="164" t="e">
        <f t="shared" si="108"/>
        <v>#DIV/0!</v>
      </c>
      <c r="AW64" s="164" t="e">
        <f t="shared" si="108"/>
        <v>#DIV/0!</v>
      </c>
      <c r="AX64" s="164" t="e">
        <f t="shared" si="108"/>
        <v>#DIV/0!</v>
      </c>
      <c r="AY64" s="25">
        <f t="shared" si="108"/>
        <v>5.8868266183793573E-2</v>
      </c>
      <c r="AZ64" s="24" t="e">
        <f t="shared" si="108"/>
        <v>#DIV/0!</v>
      </c>
      <c r="BA64" s="164" t="e">
        <f t="shared" si="108"/>
        <v>#DIV/0!</v>
      </c>
      <c r="BB64" s="164" t="e">
        <f t="shared" si="108"/>
        <v>#DIV/0!</v>
      </c>
      <c r="BC64" s="164" t="e">
        <f t="shared" si="108"/>
        <v>#DIV/0!</v>
      </c>
      <c r="BD64" s="25">
        <f t="shared" si="108"/>
        <v>5.2397355925891446E-2</v>
      </c>
      <c r="BE64" s="24" t="e">
        <f t="shared" si="108"/>
        <v>#DIV/0!</v>
      </c>
      <c r="BF64" s="164" t="e">
        <f t="shared" si="108"/>
        <v>#DIV/0!</v>
      </c>
      <c r="BG64" s="164" t="e">
        <f t="shared" si="108"/>
        <v>#DIV/0!</v>
      </c>
      <c r="BH64" s="164" t="e">
        <f t="shared" si="108"/>
        <v>#DIV/0!</v>
      </c>
      <c r="BI64" s="25">
        <f t="shared" si="108"/>
        <v>-0.21925029759735684</v>
      </c>
      <c r="BJ64" s="24" t="e">
        <f t="shared" si="108"/>
        <v>#DIV/0!</v>
      </c>
      <c r="BK64" s="164" t="e">
        <f t="shared" si="108"/>
        <v>#DIV/0!</v>
      </c>
      <c r="BL64" s="164" t="e">
        <f t="shared" si="108"/>
        <v>#DIV/0!</v>
      </c>
      <c r="BM64" s="164" t="e">
        <f t="shared" si="108"/>
        <v>#DIV/0!</v>
      </c>
      <c r="BN64" s="25">
        <f t="shared" si="108"/>
        <v>1.8406521167499342E-4</v>
      </c>
      <c r="BO64" s="24" t="e">
        <f t="shared" si="108"/>
        <v>#DIV/0!</v>
      </c>
      <c r="BP64" s="164" t="e">
        <f t="shared" si="108"/>
        <v>#DIV/0!</v>
      </c>
      <c r="BQ64" s="164" t="e">
        <f t="shared" si="108"/>
        <v>#DIV/0!</v>
      </c>
      <c r="BR64" s="164" t="e">
        <f t="shared" si="108"/>
        <v>#DIV/0!</v>
      </c>
      <c r="BS64" s="25">
        <f t="shared" ref="BS64:DB64" si="109">BS62/BS63</f>
        <v>-9.1157727757569126E-2</v>
      </c>
      <c r="BT64" s="24" t="e">
        <f t="shared" si="109"/>
        <v>#DIV/0!</v>
      </c>
      <c r="BU64" s="164" t="e">
        <f t="shared" si="109"/>
        <v>#DIV/0!</v>
      </c>
      <c r="BV64" s="164" t="e">
        <f t="shared" si="109"/>
        <v>#DIV/0!</v>
      </c>
      <c r="BW64" s="164" t="e">
        <f t="shared" si="109"/>
        <v>#DIV/0!</v>
      </c>
      <c r="BX64" s="25" t="e">
        <f t="shared" si="109"/>
        <v>#DIV/0!</v>
      </c>
      <c r="BY64" s="24" t="e">
        <f t="shared" si="109"/>
        <v>#DIV/0!</v>
      </c>
      <c r="BZ64" s="164" t="e">
        <f t="shared" si="109"/>
        <v>#DIV/0!</v>
      </c>
      <c r="CA64" s="164" t="e">
        <f t="shared" si="109"/>
        <v>#DIV/0!</v>
      </c>
      <c r="CB64" s="164" t="e">
        <f t="shared" si="109"/>
        <v>#DIV/0!</v>
      </c>
      <c r="CC64" s="25" t="e">
        <f t="shared" si="109"/>
        <v>#DIV/0!</v>
      </c>
      <c r="CD64" s="24" t="e">
        <f t="shared" ref="CD64:CE64" si="110">CD62/CD63</f>
        <v>#DIV/0!</v>
      </c>
      <c r="CE64" s="164" t="e">
        <f t="shared" si="110"/>
        <v>#DIV/0!</v>
      </c>
      <c r="CF64" s="164" t="e">
        <f t="shared" si="109"/>
        <v>#DIV/0!</v>
      </c>
      <c r="CG64" s="164" t="e">
        <f t="shared" si="109"/>
        <v>#DIV/0!</v>
      </c>
      <c r="CH64" s="25" t="e">
        <f t="shared" si="109"/>
        <v>#DIV/0!</v>
      </c>
      <c r="CI64" s="164" t="e">
        <f t="shared" si="109"/>
        <v>#DIV/0!</v>
      </c>
      <c r="CJ64" s="164" t="e">
        <f t="shared" si="109"/>
        <v>#DIV/0!</v>
      </c>
      <c r="CK64" s="164" t="e">
        <f t="shared" si="109"/>
        <v>#DIV/0!</v>
      </c>
      <c r="CL64" s="164" t="e">
        <f t="shared" si="109"/>
        <v>#DIV/0!</v>
      </c>
      <c r="CM64" s="25" t="e">
        <f t="shared" si="109"/>
        <v>#DIV/0!</v>
      </c>
      <c r="CN64" s="164" t="e">
        <f t="shared" si="109"/>
        <v>#DIV/0!</v>
      </c>
      <c r="CO64" s="164" t="e">
        <f t="shared" si="109"/>
        <v>#DIV/0!</v>
      </c>
      <c r="CP64" s="164" t="e">
        <f t="shared" si="109"/>
        <v>#DIV/0!</v>
      </c>
      <c r="CQ64" s="164" t="e">
        <f t="shared" si="109"/>
        <v>#DIV/0!</v>
      </c>
      <c r="CR64" s="25" t="e">
        <f t="shared" si="109"/>
        <v>#DIV/0!</v>
      </c>
      <c r="CS64" s="164" t="e">
        <f t="shared" si="109"/>
        <v>#DIV/0!</v>
      </c>
      <c r="CT64" s="164" t="e">
        <f t="shared" si="109"/>
        <v>#DIV/0!</v>
      </c>
      <c r="CU64" s="164" t="e">
        <f t="shared" si="109"/>
        <v>#DIV/0!</v>
      </c>
      <c r="CV64" s="164" t="e">
        <f t="shared" si="109"/>
        <v>#DIV/0!</v>
      </c>
      <c r="CW64" s="25" t="e">
        <f t="shared" si="109"/>
        <v>#DIV/0!</v>
      </c>
      <c r="CX64" s="164" t="e">
        <f t="shared" si="109"/>
        <v>#DIV/0!</v>
      </c>
      <c r="CY64" s="164" t="e">
        <f t="shared" si="109"/>
        <v>#DIV/0!</v>
      </c>
      <c r="CZ64" s="164" t="e">
        <f t="shared" si="109"/>
        <v>#DIV/0!</v>
      </c>
      <c r="DA64" s="164" t="e">
        <f t="shared" si="109"/>
        <v>#DIV/0!</v>
      </c>
      <c r="DB64" s="25" t="e">
        <f t="shared" si="109"/>
        <v>#DIV/0!</v>
      </c>
    </row>
    <row r="65" spans="1:106" s="91" customFormat="1" ht="11.5" customHeight="1" collapsed="1" x14ac:dyDescent="0.35">
      <c r="A65" s="515" t="s">
        <v>394</v>
      </c>
      <c r="B65" s="516"/>
      <c r="C65" s="516"/>
      <c r="D65" s="516"/>
      <c r="E65" s="516"/>
      <c r="F65" s="442"/>
      <c r="G65" s="441"/>
      <c r="H65" s="441"/>
      <c r="I65" s="441"/>
      <c r="J65" s="441"/>
      <c r="K65" s="442"/>
      <c r="L65" s="441"/>
      <c r="M65" s="441"/>
      <c r="N65" s="441"/>
      <c r="O65" s="441"/>
      <c r="P65" s="442"/>
      <c r="Q65" s="441"/>
      <c r="R65" s="441"/>
      <c r="S65" s="441"/>
      <c r="T65" s="441"/>
      <c r="U65" s="442"/>
      <c r="V65" s="441"/>
      <c r="W65" s="441"/>
      <c r="X65" s="441"/>
      <c r="Y65" s="441"/>
      <c r="Z65" s="442">
        <v>0.25</v>
      </c>
      <c r="AA65" s="441"/>
      <c r="AB65" s="441"/>
      <c r="AC65" s="441"/>
      <c r="AD65" s="441"/>
      <c r="AE65" s="442">
        <v>0.25</v>
      </c>
      <c r="AF65" s="441"/>
      <c r="AG65" s="441"/>
      <c r="AH65" s="441"/>
      <c r="AI65" s="441"/>
      <c r="AJ65" s="442">
        <v>0.25</v>
      </c>
      <c r="AK65" s="441"/>
      <c r="AL65" s="441"/>
      <c r="AM65" s="441"/>
      <c r="AN65" s="441"/>
      <c r="AO65" s="442">
        <v>0.25</v>
      </c>
      <c r="AP65" s="441"/>
      <c r="AQ65" s="441"/>
      <c r="AR65" s="441"/>
      <c r="AS65" s="441"/>
      <c r="AT65" s="442">
        <v>0.25</v>
      </c>
      <c r="AU65" s="441"/>
      <c r="AV65" s="441"/>
      <c r="AW65" s="441"/>
      <c r="AX65" s="441"/>
      <c r="AY65" s="442">
        <v>0.25</v>
      </c>
      <c r="AZ65" s="441"/>
      <c r="BA65" s="441"/>
      <c r="BB65" s="441"/>
      <c r="BC65" s="441"/>
      <c r="BD65" s="442">
        <v>0.25</v>
      </c>
      <c r="BE65" s="441"/>
      <c r="BF65" s="441"/>
      <c r="BG65" s="441"/>
      <c r="BH65" s="441"/>
      <c r="BI65" s="442">
        <v>0.75</v>
      </c>
      <c r="BJ65" s="441"/>
      <c r="BK65" s="441"/>
      <c r="BL65" s="441"/>
      <c r="BM65" s="441"/>
      <c r="BN65" s="442">
        <v>0.75</v>
      </c>
      <c r="BO65" s="441"/>
      <c r="BP65" s="441"/>
      <c r="BQ65" s="441"/>
      <c r="BR65" s="441"/>
      <c r="BS65" s="442">
        <v>0.75</v>
      </c>
      <c r="BT65" s="441"/>
      <c r="BU65" s="441"/>
      <c r="BV65" s="441"/>
      <c r="BW65" s="441"/>
      <c r="BX65" s="442"/>
      <c r="BY65" s="441"/>
      <c r="BZ65" s="441"/>
      <c r="CA65" s="441"/>
      <c r="CB65" s="441"/>
      <c r="CC65" s="442"/>
      <c r="CD65" s="441"/>
      <c r="CE65" s="441"/>
      <c r="CF65" s="441"/>
      <c r="CG65" s="441"/>
      <c r="CH65" s="442"/>
      <c r="CI65" s="441"/>
      <c r="CJ65" s="441"/>
      <c r="CK65" s="441"/>
      <c r="CL65" s="441"/>
      <c r="CM65" s="442"/>
      <c r="CN65" s="441"/>
      <c r="CO65" s="441"/>
      <c r="CP65" s="441"/>
      <c r="CQ65" s="441"/>
      <c r="CR65" s="442"/>
      <c r="CS65" s="441"/>
      <c r="CT65" s="441"/>
      <c r="CU65" s="441"/>
      <c r="CV65" s="441"/>
      <c r="CW65" s="442"/>
      <c r="CX65" s="441"/>
      <c r="CY65" s="441"/>
      <c r="CZ65" s="441"/>
      <c r="DA65" s="441"/>
      <c r="DB65" s="442"/>
    </row>
    <row r="66" spans="1:106" s="54" customFormat="1" ht="11.5" customHeight="1" x14ac:dyDescent="0.35">
      <c r="A66" s="217" t="s">
        <v>395</v>
      </c>
      <c r="B66" s="395"/>
      <c r="C66" s="395"/>
      <c r="D66" s="395"/>
      <c r="E66" s="395"/>
      <c r="F66" s="29"/>
      <c r="G66" s="395"/>
      <c r="H66" s="395"/>
      <c r="I66" s="395"/>
      <c r="J66" s="395"/>
      <c r="K66" s="29"/>
      <c r="L66" s="395"/>
      <c r="M66" s="395"/>
      <c r="N66" s="395"/>
      <c r="O66" s="395"/>
      <c r="P66" s="29"/>
      <c r="Q66" s="395"/>
      <c r="R66" s="395"/>
      <c r="S66" s="395"/>
      <c r="T66" s="395"/>
      <c r="U66" s="29"/>
      <c r="V66" s="395"/>
      <c r="W66" s="395"/>
      <c r="X66" s="395"/>
      <c r="Y66" s="395"/>
      <c r="Z66" s="29"/>
      <c r="AA66" s="395"/>
      <c r="AB66" s="395"/>
      <c r="AC66" s="395"/>
      <c r="AD66" s="395"/>
      <c r="AE66" s="29"/>
      <c r="AF66" s="395"/>
      <c r="AG66" s="395"/>
      <c r="AH66" s="395"/>
      <c r="AI66" s="395"/>
      <c r="AJ66" s="29"/>
      <c r="AK66" s="395"/>
      <c r="AL66" s="395"/>
      <c r="AM66" s="395"/>
      <c r="AN66" s="395"/>
      <c r="AO66" s="29"/>
      <c r="AP66" s="395"/>
      <c r="AQ66" s="395"/>
      <c r="AR66" s="395"/>
      <c r="AS66" s="395"/>
      <c r="AT66" s="29"/>
      <c r="AU66" s="395"/>
      <c r="AV66" s="395"/>
      <c r="AW66" s="395"/>
      <c r="AX66" s="395"/>
      <c r="AY66" s="29"/>
      <c r="AZ66" s="395"/>
      <c r="BA66" s="395"/>
      <c r="BB66" s="395"/>
      <c r="BC66" s="395"/>
      <c r="BD66" s="29"/>
      <c r="BE66" s="395"/>
      <c r="BF66" s="395"/>
      <c r="BG66" s="395"/>
      <c r="BH66" s="395"/>
      <c r="BI66" s="29"/>
      <c r="BJ66" s="395"/>
      <c r="BK66" s="395"/>
      <c r="BL66" s="395"/>
      <c r="BM66" s="395"/>
      <c r="BN66" s="29"/>
      <c r="BO66" s="395"/>
      <c r="BP66" s="395"/>
      <c r="BQ66" s="395"/>
      <c r="BR66" s="395"/>
      <c r="BS66" s="29"/>
      <c r="BT66" s="395"/>
      <c r="BU66" s="395"/>
      <c r="BV66" s="395"/>
      <c r="BW66" s="395"/>
      <c r="BX66" s="29"/>
      <c r="BY66" s="395"/>
      <c r="BZ66" s="395"/>
      <c r="CA66" s="422"/>
      <c r="CB66" s="422"/>
      <c r="CC66" s="29"/>
      <c r="CD66" s="395"/>
      <c r="CE66" s="395"/>
      <c r="CF66" s="422"/>
      <c r="CG66" s="422"/>
      <c r="CH66" s="29"/>
      <c r="CI66" s="422"/>
      <c r="CJ66" s="422"/>
      <c r="CK66" s="422"/>
      <c r="CL66" s="422"/>
      <c r="CM66" s="29"/>
      <c r="CN66" s="422"/>
      <c r="CO66" s="422"/>
      <c r="CP66" s="422"/>
      <c r="CQ66" s="422"/>
      <c r="CR66" s="29"/>
      <c r="CS66" s="422"/>
      <c r="CT66" s="422"/>
      <c r="CU66" s="422"/>
      <c r="CV66" s="422"/>
      <c r="CW66" s="29"/>
      <c r="CX66" s="422"/>
      <c r="CY66" s="422"/>
      <c r="CZ66" s="422"/>
      <c r="DA66" s="422"/>
      <c r="DB66" s="29"/>
    </row>
    <row r="67" spans="1:106" s="54" customFormat="1" ht="11.5" customHeight="1" x14ac:dyDescent="0.35">
      <c r="A67" s="190" t="s">
        <v>373</v>
      </c>
      <c r="B67" s="395"/>
      <c r="C67" s="395"/>
      <c r="D67" s="395"/>
      <c r="E67" s="395"/>
      <c r="F67" s="518">
        <v>55685</v>
      </c>
      <c r="G67" s="395"/>
      <c r="H67" s="395"/>
      <c r="I67" s="395"/>
      <c r="J67" s="395"/>
      <c r="K67" s="518">
        <v>93439</v>
      </c>
      <c r="L67" s="395"/>
      <c r="M67" s="395"/>
      <c r="N67" s="395"/>
      <c r="O67" s="395"/>
      <c r="P67" s="518">
        <v>103529</v>
      </c>
      <c r="Q67" s="395"/>
      <c r="R67" s="395"/>
      <c r="S67" s="395"/>
      <c r="T67" s="395"/>
      <c r="U67" s="518">
        <v>94762</v>
      </c>
      <c r="V67" s="395"/>
      <c r="W67" s="395"/>
      <c r="X67" s="395"/>
      <c r="Y67" s="395"/>
      <c r="Z67" s="518">
        <v>30893</v>
      </c>
      <c r="AA67" s="395"/>
      <c r="AB67" s="395"/>
      <c r="AC67" s="395"/>
      <c r="AD67" s="395"/>
      <c r="AE67" s="518">
        <v>47281</v>
      </c>
      <c r="AF67" s="395"/>
      <c r="AG67" s="395"/>
      <c r="AH67" s="395"/>
      <c r="AI67" s="395"/>
      <c r="AJ67" s="518">
        <v>58312</v>
      </c>
      <c r="AK67" s="395"/>
      <c r="AL67" s="395"/>
      <c r="AM67" s="395"/>
      <c r="AN67" s="395"/>
      <c r="AO67" s="518">
        <v>67207</v>
      </c>
      <c r="AP67" s="395"/>
      <c r="AQ67" s="395"/>
      <c r="AR67" s="395"/>
      <c r="AS67" s="395"/>
      <c r="AT67" s="518">
        <v>20129</v>
      </c>
      <c r="AU67" s="395"/>
      <c r="AV67" s="395"/>
      <c r="AW67" s="395"/>
      <c r="AX67" s="395"/>
      <c r="AY67" s="518">
        <v>45391</v>
      </c>
      <c r="AZ67" s="395"/>
      <c r="BA67" s="395"/>
      <c r="BB67" s="395"/>
      <c r="BC67" s="395"/>
      <c r="BD67" s="518">
        <v>20458</v>
      </c>
      <c r="BE67" s="395"/>
      <c r="BF67" s="395"/>
      <c r="BG67" s="395"/>
      <c r="BH67" s="395"/>
      <c r="BI67" s="518">
        <v>74200</v>
      </c>
      <c r="BJ67" s="395"/>
      <c r="BK67" s="395"/>
      <c r="BL67" s="395"/>
      <c r="BM67" s="395"/>
      <c r="BN67" s="518">
        <v>68421</v>
      </c>
      <c r="BO67" s="395"/>
      <c r="BP67" s="395"/>
      <c r="BQ67" s="395"/>
      <c r="BR67" s="395"/>
      <c r="BS67" s="518">
        <v>52957</v>
      </c>
      <c r="BT67" s="395"/>
      <c r="BU67" s="395"/>
      <c r="BV67" s="395"/>
      <c r="BW67" s="395"/>
      <c r="BX67" s="518">
        <v>93824</v>
      </c>
      <c r="BY67" s="395">
        <v>20912</v>
      </c>
      <c r="BZ67" s="395">
        <f>49998-BY67</f>
        <v>29086</v>
      </c>
      <c r="CA67" s="395">
        <f>103793-BZ67-BY67</f>
        <v>53795</v>
      </c>
      <c r="CB67" s="90">
        <f>CC67-SUM(BY67:CA67)</f>
        <v>12568</v>
      </c>
      <c r="CC67" s="518">
        <v>116361</v>
      </c>
      <c r="CD67" s="395">
        <v>8509</v>
      </c>
      <c r="CE67" s="395">
        <f>37861-CD67</f>
        <v>29352</v>
      </c>
      <c r="CF67" s="395"/>
      <c r="CG67" s="395"/>
      <c r="CH67" s="518"/>
      <c r="CI67" s="395"/>
      <c r="CJ67" s="395"/>
      <c r="CK67" s="395"/>
      <c r="CL67" s="395"/>
      <c r="CM67" s="518"/>
      <c r="CN67" s="395"/>
      <c r="CO67" s="395"/>
      <c r="CP67" s="395"/>
      <c r="CQ67" s="395"/>
      <c r="CR67" s="518"/>
      <c r="CS67" s="395"/>
      <c r="CT67" s="395"/>
      <c r="CU67" s="395"/>
      <c r="CV67" s="395"/>
      <c r="CW67" s="518"/>
      <c r="CX67" s="395"/>
      <c r="CY67" s="395"/>
      <c r="CZ67" s="395"/>
      <c r="DA67" s="395"/>
      <c r="DB67" s="518"/>
    </row>
    <row r="68" spans="1:106" s="54" customFormat="1" ht="11.5" customHeight="1" x14ac:dyDescent="0.35">
      <c r="A68" s="190" t="s">
        <v>390</v>
      </c>
      <c r="B68" s="90"/>
      <c r="C68" s="90"/>
      <c r="D68" s="90"/>
      <c r="E68" s="90"/>
      <c r="F68" s="518">
        <v>303447</v>
      </c>
      <c r="G68" s="395"/>
      <c r="H68" s="397"/>
      <c r="I68" s="397"/>
      <c r="J68" s="397"/>
      <c r="K68" s="518">
        <v>425982</v>
      </c>
      <c r="L68" s="395"/>
      <c r="M68" s="397"/>
      <c r="N68" s="397"/>
      <c r="O68" s="397"/>
      <c r="P68" s="518">
        <v>538778</v>
      </c>
      <c r="Q68" s="395"/>
      <c r="R68" s="397"/>
      <c r="S68" s="397"/>
      <c r="T68" s="397"/>
      <c r="U68" s="518">
        <v>705488</v>
      </c>
      <c r="V68" s="395"/>
      <c r="W68" s="397"/>
      <c r="X68" s="397"/>
      <c r="Y68" s="397"/>
      <c r="Z68" s="518">
        <v>632879</v>
      </c>
      <c r="AA68" s="395"/>
      <c r="AB68" s="397"/>
      <c r="AC68" s="397"/>
      <c r="AD68" s="397"/>
      <c r="AE68" s="518">
        <v>699183</v>
      </c>
      <c r="AF68" s="395"/>
      <c r="AG68" s="397"/>
      <c r="AH68" s="397"/>
      <c r="AI68" s="397"/>
      <c r="AJ68" s="518">
        <v>693178</v>
      </c>
      <c r="AK68" s="395"/>
      <c r="AL68" s="397"/>
      <c r="AM68" s="397"/>
      <c r="AN68" s="397"/>
      <c r="AO68" s="518">
        <v>709460</v>
      </c>
      <c r="AP68" s="395"/>
      <c r="AQ68" s="397"/>
      <c r="AR68" s="397"/>
      <c r="AS68" s="397"/>
      <c r="AT68" s="518">
        <v>665077</v>
      </c>
      <c r="AU68" s="395"/>
      <c r="AV68" s="397"/>
      <c r="AW68" s="397"/>
      <c r="AX68" s="397"/>
      <c r="AY68" s="518">
        <v>608854</v>
      </c>
      <c r="AZ68" s="395"/>
      <c r="BA68" s="397"/>
      <c r="BB68" s="397"/>
      <c r="BC68" s="397"/>
      <c r="BD68" s="518">
        <v>565102</v>
      </c>
      <c r="BE68" s="395"/>
      <c r="BF68" s="397"/>
      <c r="BG68" s="397"/>
      <c r="BH68" s="397"/>
      <c r="BI68" s="518">
        <v>596320</v>
      </c>
      <c r="BJ68" s="395"/>
      <c r="BK68" s="397"/>
      <c r="BL68" s="397"/>
      <c r="BM68" s="397"/>
      <c r="BN68" s="518">
        <v>520761</v>
      </c>
      <c r="BO68" s="395"/>
      <c r="BP68" s="397"/>
      <c r="BQ68" s="397"/>
      <c r="BR68" s="397"/>
      <c r="BS68" s="518">
        <v>503520</v>
      </c>
      <c r="BT68" s="395"/>
      <c r="BU68" s="397"/>
      <c r="BV68" s="397"/>
      <c r="BW68" s="397"/>
      <c r="BX68" s="518">
        <v>523649</v>
      </c>
      <c r="BY68" s="395">
        <v>565098</v>
      </c>
      <c r="BZ68" s="397">
        <v>616451</v>
      </c>
      <c r="CA68" s="397">
        <v>531654</v>
      </c>
      <c r="CB68" s="90">
        <f>CC68</f>
        <v>559278</v>
      </c>
      <c r="CC68" s="518">
        <v>559278</v>
      </c>
      <c r="CD68" s="395">
        <v>453604</v>
      </c>
      <c r="CE68" s="397">
        <v>496267</v>
      </c>
      <c r="CF68" s="397"/>
      <c r="CG68" s="397"/>
      <c r="CH68" s="518"/>
      <c r="CI68" s="397"/>
      <c r="CJ68" s="397"/>
      <c r="CK68" s="397"/>
      <c r="CL68" s="397"/>
      <c r="CM68" s="518"/>
      <c r="CN68" s="397"/>
      <c r="CO68" s="397"/>
      <c r="CP68" s="397"/>
      <c r="CQ68" s="397"/>
      <c r="CR68" s="518"/>
      <c r="CS68" s="397"/>
      <c r="CT68" s="397"/>
      <c r="CU68" s="397"/>
      <c r="CV68" s="397"/>
      <c r="CW68" s="518"/>
      <c r="CX68" s="397"/>
      <c r="CY68" s="397"/>
      <c r="CZ68" s="397"/>
      <c r="DA68" s="397"/>
      <c r="DB68" s="518"/>
    </row>
    <row r="69" spans="1:106" s="91" customFormat="1" ht="11.5" customHeight="1" x14ac:dyDescent="0.35">
      <c r="A69" s="522" t="s">
        <v>361</v>
      </c>
      <c r="B69" s="92"/>
      <c r="C69" s="92"/>
      <c r="D69" s="92"/>
      <c r="E69" s="92"/>
      <c r="F69" s="25">
        <f>F67/F68</f>
        <v>0.18350815793202768</v>
      </c>
      <c r="G69" s="24" t="e">
        <f t="shared" ref="G69:BR69" si="111">G67/G68</f>
        <v>#DIV/0!</v>
      </c>
      <c r="H69" s="164" t="e">
        <f t="shared" si="111"/>
        <v>#DIV/0!</v>
      </c>
      <c r="I69" s="164" t="e">
        <f t="shared" si="111"/>
        <v>#DIV/0!</v>
      </c>
      <c r="J69" s="164" t="e">
        <f t="shared" si="111"/>
        <v>#DIV/0!</v>
      </c>
      <c r="K69" s="25">
        <f t="shared" si="111"/>
        <v>0.21934964388166636</v>
      </c>
      <c r="L69" s="24" t="e">
        <f t="shared" si="111"/>
        <v>#DIV/0!</v>
      </c>
      <c r="M69" s="164" t="e">
        <f t="shared" si="111"/>
        <v>#DIV/0!</v>
      </c>
      <c r="N69" s="164" t="e">
        <f t="shared" si="111"/>
        <v>#DIV/0!</v>
      </c>
      <c r="O69" s="164" t="e">
        <f t="shared" si="111"/>
        <v>#DIV/0!</v>
      </c>
      <c r="P69" s="25">
        <f t="shared" si="111"/>
        <v>0.19215521049486059</v>
      </c>
      <c r="Q69" s="24" t="e">
        <f t="shared" si="111"/>
        <v>#DIV/0!</v>
      </c>
      <c r="R69" s="164" t="e">
        <f t="shared" si="111"/>
        <v>#DIV/0!</v>
      </c>
      <c r="S69" s="164" t="e">
        <f t="shared" si="111"/>
        <v>#DIV/0!</v>
      </c>
      <c r="T69" s="164" t="e">
        <f t="shared" si="111"/>
        <v>#DIV/0!</v>
      </c>
      <c r="U69" s="25">
        <f t="shared" si="111"/>
        <v>0.13432120744789422</v>
      </c>
      <c r="V69" s="24" t="e">
        <f t="shared" si="111"/>
        <v>#DIV/0!</v>
      </c>
      <c r="W69" s="164" t="e">
        <f t="shared" si="111"/>
        <v>#DIV/0!</v>
      </c>
      <c r="X69" s="164" t="e">
        <f t="shared" si="111"/>
        <v>#DIV/0!</v>
      </c>
      <c r="Y69" s="164" t="e">
        <f t="shared" si="111"/>
        <v>#DIV/0!</v>
      </c>
      <c r="Z69" s="25">
        <f t="shared" si="111"/>
        <v>4.8813438271770752E-2</v>
      </c>
      <c r="AA69" s="24" t="e">
        <f t="shared" si="111"/>
        <v>#DIV/0!</v>
      </c>
      <c r="AB69" s="164" t="e">
        <f t="shared" si="111"/>
        <v>#DIV/0!</v>
      </c>
      <c r="AC69" s="164" t="e">
        <f t="shared" si="111"/>
        <v>#DIV/0!</v>
      </c>
      <c r="AD69" s="164" t="e">
        <f t="shared" si="111"/>
        <v>#DIV/0!</v>
      </c>
      <c r="AE69" s="25">
        <f t="shared" si="111"/>
        <v>6.7623211662754965E-2</v>
      </c>
      <c r="AF69" s="24" t="e">
        <f t="shared" si="111"/>
        <v>#DIV/0!</v>
      </c>
      <c r="AG69" s="164" t="e">
        <f t="shared" si="111"/>
        <v>#DIV/0!</v>
      </c>
      <c r="AH69" s="164" t="e">
        <f t="shared" si="111"/>
        <v>#DIV/0!</v>
      </c>
      <c r="AI69" s="164" t="e">
        <f t="shared" si="111"/>
        <v>#DIV/0!</v>
      </c>
      <c r="AJ69" s="25">
        <f t="shared" si="111"/>
        <v>8.4122692872537791E-2</v>
      </c>
      <c r="AK69" s="24" t="e">
        <f t="shared" si="111"/>
        <v>#DIV/0!</v>
      </c>
      <c r="AL69" s="164" t="e">
        <f t="shared" si="111"/>
        <v>#DIV/0!</v>
      </c>
      <c r="AM69" s="164" t="e">
        <f t="shared" si="111"/>
        <v>#DIV/0!</v>
      </c>
      <c r="AN69" s="164" t="e">
        <f t="shared" si="111"/>
        <v>#DIV/0!</v>
      </c>
      <c r="AO69" s="25">
        <f t="shared" si="111"/>
        <v>9.4729794491585154E-2</v>
      </c>
      <c r="AP69" s="24" t="e">
        <f t="shared" si="111"/>
        <v>#DIV/0!</v>
      </c>
      <c r="AQ69" s="164" t="e">
        <f t="shared" si="111"/>
        <v>#DIV/0!</v>
      </c>
      <c r="AR69" s="164" t="e">
        <f t="shared" si="111"/>
        <v>#DIV/0!</v>
      </c>
      <c r="AS69" s="164" t="e">
        <f t="shared" si="111"/>
        <v>#DIV/0!</v>
      </c>
      <c r="AT69" s="25">
        <f t="shared" si="111"/>
        <v>3.0265668486506074E-2</v>
      </c>
      <c r="AU69" s="24" t="e">
        <f t="shared" si="111"/>
        <v>#DIV/0!</v>
      </c>
      <c r="AV69" s="164" t="e">
        <f t="shared" si="111"/>
        <v>#DIV/0!</v>
      </c>
      <c r="AW69" s="164" t="e">
        <f t="shared" si="111"/>
        <v>#DIV/0!</v>
      </c>
      <c r="AX69" s="164" t="e">
        <f t="shared" si="111"/>
        <v>#DIV/0!</v>
      </c>
      <c r="AY69" s="25">
        <f t="shared" si="111"/>
        <v>7.4551534522233578E-2</v>
      </c>
      <c r="AZ69" s="24" t="e">
        <f t="shared" si="111"/>
        <v>#DIV/0!</v>
      </c>
      <c r="BA69" s="164" t="e">
        <f t="shared" si="111"/>
        <v>#DIV/0!</v>
      </c>
      <c r="BB69" s="164" t="e">
        <f t="shared" si="111"/>
        <v>#DIV/0!</v>
      </c>
      <c r="BC69" s="164" t="e">
        <f t="shared" si="111"/>
        <v>#DIV/0!</v>
      </c>
      <c r="BD69" s="25">
        <f t="shared" si="111"/>
        <v>3.6202313918549216E-2</v>
      </c>
      <c r="BE69" s="24" t="e">
        <f t="shared" si="111"/>
        <v>#DIV/0!</v>
      </c>
      <c r="BF69" s="164" t="e">
        <f t="shared" si="111"/>
        <v>#DIV/0!</v>
      </c>
      <c r="BG69" s="164" t="e">
        <f t="shared" si="111"/>
        <v>#DIV/0!</v>
      </c>
      <c r="BH69" s="164" t="e">
        <f t="shared" si="111"/>
        <v>#DIV/0!</v>
      </c>
      <c r="BI69" s="25">
        <f t="shared" si="111"/>
        <v>0.12442983632948752</v>
      </c>
      <c r="BJ69" s="24" t="e">
        <f t="shared" si="111"/>
        <v>#DIV/0!</v>
      </c>
      <c r="BK69" s="164" t="e">
        <f t="shared" si="111"/>
        <v>#DIV/0!</v>
      </c>
      <c r="BL69" s="164" t="e">
        <f t="shared" si="111"/>
        <v>#DIV/0!</v>
      </c>
      <c r="BM69" s="164" t="e">
        <f t="shared" si="111"/>
        <v>#DIV/0!</v>
      </c>
      <c r="BN69" s="25">
        <f t="shared" si="111"/>
        <v>0.13138656696642029</v>
      </c>
      <c r="BO69" s="24" t="e">
        <f t="shared" si="111"/>
        <v>#DIV/0!</v>
      </c>
      <c r="BP69" s="164" t="e">
        <f t="shared" si="111"/>
        <v>#DIV/0!</v>
      </c>
      <c r="BQ69" s="164" t="e">
        <f t="shared" si="111"/>
        <v>#DIV/0!</v>
      </c>
      <c r="BR69" s="164" t="e">
        <f t="shared" si="111"/>
        <v>#DIV/0!</v>
      </c>
      <c r="BS69" s="25">
        <f t="shared" ref="BS69:DB69" si="112">BS67/BS68</f>
        <v>0.10517357801080394</v>
      </c>
      <c r="BT69" s="24" t="e">
        <f t="shared" si="112"/>
        <v>#DIV/0!</v>
      </c>
      <c r="BU69" s="164" t="e">
        <f t="shared" si="112"/>
        <v>#DIV/0!</v>
      </c>
      <c r="BV69" s="164" t="e">
        <f t="shared" si="112"/>
        <v>#DIV/0!</v>
      </c>
      <c r="BW69" s="164" t="e">
        <f t="shared" si="112"/>
        <v>#DIV/0!</v>
      </c>
      <c r="BX69" s="25">
        <f t="shared" si="112"/>
        <v>0.17917345397394055</v>
      </c>
      <c r="BY69" s="24">
        <f t="shared" si="112"/>
        <v>3.7005970645799489E-2</v>
      </c>
      <c r="BZ69" s="164">
        <f t="shared" si="112"/>
        <v>4.7182987780050645E-2</v>
      </c>
      <c r="CA69" s="164">
        <f t="shared" ref="CA69:CE69" si="113">CA67/CA68</f>
        <v>0.10118422884056172</v>
      </c>
      <c r="CB69" s="164">
        <f t="shared" si="113"/>
        <v>2.2471829751930166E-2</v>
      </c>
      <c r="CC69" s="25">
        <f t="shared" si="113"/>
        <v>0.2080557432976087</v>
      </c>
      <c r="CD69" s="24">
        <f t="shared" si="113"/>
        <v>1.8758652921931906E-2</v>
      </c>
      <c r="CE69" s="164">
        <f t="shared" si="113"/>
        <v>5.9145580907052048E-2</v>
      </c>
      <c r="CF69" s="164" t="e">
        <f t="shared" si="112"/>
        <v>#DIV/0!</v>
      </c>
      <c r="CG69" s="164" t="e">
        <f t="shared" si="112"/>
        <v>#DIV/0!</v>
      </c>
      <c r="CH69" s="25" t="e">
        <f t="shared" si="112"/>
        <v>#DIV/0!</v>
      </c>
      <c r="CI69" s="164" t="e">
        <f t="shared" si="112"/>
        <v>#DIV/0!</v>
      </c>
      <c r="CJ69" s="164" t="e">
        <f t="shared" si="112"/>
        <v>#DIV/0!</v>
      </c>
      <c r="CK69" s="164" t="e">
        <f t="shared" si="112"/>
        <v>#DIV/0!</v>
      </c>
      <c r="CL69" s="164" t="e">
        <f t="shared" si="112"/>
        <v>#DIV/0!</v>
      </c>
      <c r="CM69" s="25" t="e">
        <f t="shared" si="112"/>
        <v>#DIV/0!</v>
      </c>
      <c r="CN69" s="164" t="e">
        <f t="shared" si="112"/>
        <v>#DIV/0!</v>
      </c>
      <c r="CO69" s="164" t="e">
        <f t="shared" si="112"/>
        <v>#DIV/0!</v>
      </c>
      <c r="CP69" s="164" t="e">
        <f t="shared" si="112"/>
        <v>#DIV/0!</v>
      </c>
      <c r="CQ69" s="164" t="e">
        <f t="shared" si="112"/>
        <v>#DIV/0!</v>
      </c>
      <c r="CR69" s="25" t="e">
        <f t="shared" si="112"/>
        <v>#DIV/0!</v>
      </c>
      <c r="CS69" s="164" t="e">
        <f t="shared" si="112"/>
        <v>#DIV/0!</v>
      </c>
      <c r="CT69" s="164" t="e">
        <f t="shared" si="112"/>
        <v>#DIV/0!</v>
      </c>
      <c r="CU69" s="164" t="e">
        <f t="shared" si="112"/>
        <v>#DIV/0!</v>
      </c>
      <c r="CV69" s="164" t="e">
        <f t="shared" si="112"/>
        <v>#DIV/0!</v>
      </c>
      <c r="CW69" s="25" t="e">
        <f t="shared" si="112"/>
        <v>#DIV/0!</v>
      </c>
      <c r="CX69" s="164" t="e">
        <f t="shared" si="112"/>
        <v>#DIV/0!</v>
      </c>
      <c r="CY69" s="164" t="e">
        <f t="shared" si="112"/>
        <v>#DIV/0!</v>
      </c>
      <c r="CZ69" s="164" t="e">
        <f t="shared" si="112"/>
        <v>#DIV/0!</v>
      </c>
      <c r="DA69" s="164" t="e">
        <f t="shared" si="112"/>
        <v>#DIV/0!</v>
      </c>
      <c r="DB69" s="25" t="e">
        <f t="shared" si="112"/>
        <v>#DIV/0!</v>
      </c>
    </row>
    <row r="70" spans="1:106" s="91" customFormat="1" ht="11.5" customHeight="1" collapsed="1" x14ac:dyDescent="0.35">
      <c r="A70" s="515" t="s">
        <v>372</v>
      </c>
      <c r="B70" s="516"/>
      <c r="C70" s="516"/>
      <c r="D70" s="516"/>
      <c r="E70" s="516"/>
      <c r="F70" s="442">
        <v>1</v>
      </c>
      <c r="G70" s="441"/>
      <c r="H70" s="441"/>
      <c r="I70" s="441"/>
      <c r="J70" s="441"/>
      <c r="K70" s="442">
        <v>1</v>
      </c>
      <c r="L70" s="441"/>
      <c r="M70" s="441"/>
      <c r="N70" s="441"/>
      <c r="O70" s="441"/>
      <c r="P70" s="442">
        <v>1</v>
      </c>
      <c r="Q70" s="441"/>
      <c r="R70" s="441"/>
      <c r="S70" s="441"/>
      <c r="T70" s="441"/>
      <c r="U70" s="442">
        <v>1</v>
      </c>
      <c r="V70" s="441"/>
      <c r="W70" s="441"/>
      <c r="X70" s="441"/>
      <c r="Y70" s="441"/>
      <c r="Z70" s="442">
        <v>1</v>
      </c>
      <c r="AA70" s="441"/>
      <c r="AB70" s="441"/>
      <c r="AC70" s="441"/>
      <c r="AD70" s="441"/>
      <c r="AE70" s="442">
        <v>1</v>
      </c>
      <c r="AF70" s="441"/>
      <c r="AG70" s="441"/>
      <c r="AH70" s="441"/>
      <c r="AI70" s="441"/>
      <c r="AJ70" s="442">
        <v>1</v>
      </c>
      <c r="AK70" s="441"/>
      <c r="AL70" s="441"/>
      <c r="AM70" s="441"/>
      <c r="AN70" s="441"/>
      <c r="AO70" s="442">
        <v>1</v>
      </c>
      <c r="AP70" s="441"/>
      <c r="AQ70" s="441"/>
      <c r="AR70" s="441"/>
      <c r="AS70" s="441"/>
      <c r="AT70" s="442">
        <v>1</v>
      </c>
      <c r="AU70" s="441"/>
      <c r="AV70" s="441"/>
      <c r="AW70" s="441"/>
      <c r="AX70" s="441"/>
      <c r="AY70" s="442">
        <v>1</v>
      </c>
      <c r="AZ70" s="441"/>
      <c r="BA70" s="441"/>
      <c r="BB70" s="441"/>
      <c r="BC70" s="441"/>
      <c r="BD70" s="442">
        <v>1</v>
      </c>
      <c r="BE70" s="441"/>
      <c r="BF70" s="441"/>
      <c r="BG70" s="441"/>
      <c r="BH70" s="441"/>
      <c r="BI70" s="442">
        <v>1</v>
      </c>
      <c r="BJ70" s="441"/>
      <c r="BK70" s="441"/>
      <c r="BL70" s="441"/>
      <c r="BM70" s="441"/>
      <c r="BN70" s="442">
        <v>1</v>
      </c>
      <c r="BO70" s="441"/>
      <c r="BP70" s="441"/>
      <c r="BQ70" s="441"/>
      <c r="BR70" s="441"/>
      <c r="BS70" s="442">
        <v>1</v>
      </c>
      <c r="BT70" s="441"/>
      <c r="BU70" s="441"/>
      <c r="BV70" s="441"/>
      <c r="BW70" s="441"/>
      <c r="BX70" s="442">
        <v>1</v>
      </c>
      <c r="BY70" s="441">
        <v>1</v>
      </c>
      <c r="BZ70" s="441">
        <v>1</v>
      </c>
      <c r="CA70" s="441">
        <v>1</v>
      </c>
      <c r="CB70" s="441">
        <f>CC70</f>
        <v>1</v>
      </c>
      <c r="CC70" s="442">
        <v>1</v>
      </c>
      <c r="CD70" s="441">
        <v>1</v>
      </c>
      <c r="CE70" s="441">
        <v>1</v>
      </c>
      <c r="CF70" s="441"/>
      <c r="CG70" s="441"/>
      <c r="CH70" s="442"/>
      <c r="CI70" s="441"/>
      <c r="CJ70" s="441"/>
      <c r="CK70" s="441"/>
      <c r="CL70" s="441"/>
      <c r="CM70" s="442"/>
      <c r="CN70" s="441"/>
      <c r="CO70" s="441"/>
      <c r="CP70" s="441"/>
      <c r="CQ70" s="441"/>
      <c r="CR70" s="442"/>
      <c r="CS70" s="441"/>
      <c r="CT70" s="441"/>
      <c r="CU70" s="441"/>
      <c r="CV70" s="441"/>
      <c r="CW70" s="442"/>
      <c r="CX70" s="441"/>
      <c r="CY70" s="441"/>
      <c r="CZ70" s="441"/>
      <c r="DA70" s="441"/>
      <c r="DB70" s="442"/>
    </row>
    <row r="71" spans="1:106" s="54" customFormat="1" ht="11.5" customHeight="1" x14ac:dyDescent="0.35">
      <c r="A71" s="217" t="s">
        <v>371</v>
      </c>
      <c r="B71" s="395"/>
      <c r="C71" s="395"/>
      <c r="D71" s="395"/>
      <c r="E71" s="395"/>
      <c r="F71" s="523"/>
      <c r="G71" s="395"/>
      <c r="H71" s="395"/>
      <c r="I71" s="395"/>
      <c r="J71" s="395"/>
      <c r="K71" s="29"/>
      <c r="L71" s="395"/>
      <c r="M71" s="395"/>
      <c r="N71" s="395"/>
      <c r="O71" s="395"/>
      <c r="P71" s="29"/>
      <c r="Q71" s="395"/>
      <c r="R71" s="395"/>
      <c r="S71" s="395"/>
      <c r="T71" s="395"/>
      <c r="U71" s="29"/>
      <c r="V71" s="395"/>
      <c r="W71" s="395"/>
      <c r="X71" s="395"/>
      <c r="Y71" s="395"/>
      <c r="Z71" s="29"/>
      <c r="AA71" s="395"/>
      <c r="AB71" s="395"/>
      <c r="AC71" s="395"/>
      <c r="AD71" s="395"/>
      <c r="AE71" s="29"/>
      <c r="AF71" s="395"/>
      <c r="AG71" s="395"/>
      <c r="AH71" s="395"/>
      <c r="AI71" s="395"/>
      <c r="AJ71" s="29"/>
      <c r="AK71" s="395"/>
      <c r="AL71" s="395"/>
      <c r="AM71" s="395"/>
      <c r="AN71" s="395"/>
      <c r="AO71" s="29"/>
      <c r="AP71" s="395"/>
      <c r="AQ71" s="395"/>
      <c r="AR71" s="395"/>
      <c r="AS71" s="395"/>
      <c r="AT71" s="29"/>
      <c r="AU71" s="395"/>
      <c r="AV71" s="395"/>
      <c r="AW71" s="395"/>
      <c r="AX71" s="395"/>
      <c r="AY71" s="29"/>
      <c r="AZ71" s="395"/>
      <c r="BA71" s="395"/>
      <c r="BB71" s="395"/>
      <c r="BC71" s="395"/>
      <c r="BD71" s="29"/>
      <c r="BE71" s="395"/>
      <c r="BF71" s="395"/>
      <c r="BG71" s="395"/>
      <c r="BH71" s="395"/>
      <c r="BI71" s="29"/>
      <c r="BJ71" s="395"/>
      <c r="BK71" s="395"/>
      <c r="BL71" s="395"/>
      <c r="BM71" s="395"/>
      <c r="BN71" s="29"/>
      <c r="BO71" s="395"/>
      <c r="BP71" s="395"/>
      <c r="BQ71" s="395"/>
      <c r="BR71" s="395"/>
      <c r="BS71" s="29"/>
      <c r="BT71" s="395"/>
      <c r="BU71" s="395"/>
      <c r="BV71" s="395"/>
      <c r="BW71" s="395"/>
      <c r="BX71" s="29"/>
      <c r="BY71" s="395"/>
      <c r="BZ71" s="395"/>
      <c r="CA71" s="422"/>
      <c r="CB71" s="422"/>
      <c r="CC71" s="29"/>
      <c r="CD71" s="395"/>
      <c r="CE71" s="395"/>
      <c r="CF71" s="422"/>
      <c r="CG71" s="422"/>
      <c r="CH71" s="29"/>
      <c r="CI71" s="422"/>
      <c r="CJ71" s="422"/>
      <c r="CK71" s="422"/>
      <c r="CL71" s="422"/>
      <c r="CM71" s="29"/>
      <c r="CN71" s="422"/>
      <c r="CO71" s="422"/>
      <c r="CP71" s="422"/>
      <c r="CQ71" s="422"/>
      <c r="CR71" s="29"/>
      <c r="CS71" s="422"/>
      <c r="CT71" s="422"/>
      <c r="CU71" s="422"/>
      <c r="CV71" s="422"/>
      <c r="CW71" s="29"/>
      <c r="CX71" s="422"/>
      <c r="CY71" s="422"/>
      <c r="CZ71" s="422"/>
      <c r="DA71" s="422"/>
      <c r="DB71" s="29"/>
    </row>
    <row r="72" spans="1:106" s="54" customFormat="1" ht="11.5" customHeight="1" x14ac:dyDescent="0.35">
      <c r="A72" s="190" t="s">
        <v>373</v>
      </c>
      <c r="B72" s="395"/>
      <c r="C72" s="395"/>
      <c r="D72" s="395"/>
      <c r="E72" s="395"/>
      <c r="F72" s="29">
        <f t="shared" ref="F72:BQ72" si="114">F12*F$15+F17*F$20+F22*F$25+F27*F$30+F32*F$35+F37*F$40+F42*F$45+F47*F$50</f>
        <v>49975.06</v>
      </c>
      <c r="G72" s="395">
        <f t="shared" si="114"/>
        <v>0</v>
      </c>
      <c r="H72" s="395">
        <f t="shared" si="114"/>
        <v>0</v>
      </c>
      <c r="I72" s="395">
        <f t="shared" si="114"/>
        <v>0</v>
      </c>
      <c r="J72" s="395">
        <f t="shared" si="114"/>
        <v>0</v>
      </c>
      <c r="K72" s="29">
        <f t="shared" si="114"/>
        <v>75276.83</v>
      </c>
      <c r="L72" s="395">
        <f t="shared" si="114"/>
        <v>0</v>
      </c>
      <c r="M72" s="395">
        <f t="shared" si="114"/>
        <v>0</v>
      </c>
      <c r="N72" s="395">
        <f t="shared" si="114"/>
        <v>0</v>
      </c>
      <c r="O72" s="395">
        <f t="shared" si="114"/>
        <v>0</v>
      </c>
      <c r="P72" s="29">
        <f t="shared" si="114"/>
        <v>76205.149999999994</v>
      </c>
      <c r="Q72" s="395">
        <f t="shared" si="114"/>
        <v>0</v>
      </c>
      <c r="R72" s="395">
        <f t="shared" si="114"/>
        <v>0</v>
      </c>
      <c r="S72" s="395">
        <f t="shared" si="114"/>
        <v>0</v>
      </c>
      <c r="T72" s="395">
        <f t="shared" si="114"/>
        <v>0</v>
      </c>
      <c r="U72" s="29">
        <f t="shared" si="114"/>
        <v>74983.070000000007</v>
      </c>
      <c r="V72" s="395">
        <f t="shared" si="114"/>
        <v>0</v>
      </c>
      <c r="W72" s="395">
        <f t="shared" si="114"/>
        <v>0</v>
      </c>
      <c r="X72" s="395">
        <f t="shared" si="114"/>
        <v>0</v>
      </c>
      <c r="Y72" s="395">
        <f t="shared" si="114"/>
        <v>0</v>
      </c>
      <c r="Z72" s="29">
        <f t="shared" si="114"/>
        <v>152476.84000000003</v>
      </c>
      <c r="AA72" s="395">
        <f t="shared" si="114"/>
        <v>0</v>
      </c>
      <c r="AB72" s="395">
        <f t="shared" si="114"/>
        <v>0</v>
      </c>
      <c r="AC72" s="395">
        <f t="shared" si="114"/>
        <v>0</v>
      </c>
      <c r="AD72" s="395">
        <f t="shared" si="114"/>
        <v>0</v>
      </c>
      <c r="AE72" s="29">
        <f t="shared" si="114"/>
        <v>136413.5</v>
      </c>
      <c r="AF72" s="395">
        <f t="shared" si="114"/>
        <v>0</v>
      </c>
      <c r="AG72" s="395">
        <f t="shared" si="114"/>
        <v>0</v>
      </c>
      <c r="AH72" s="395">
        <f t="shared" si="114"/>
        <v>0</v>
      </c>
      <c r="AI72" s="395">
        <f t="shared" si="114"/>
        <v>0</v>
      </c>
      <c r="AJ72" s="29">
        <f t="shared" si="114"/>
        <v>59140</v>
      </c>
      <c r="AK72" s="395" t="e">
        <f t="shared" si="114"/>
        <v>#VALUE!</v>
      </c>
      <c r="AL72" s="395" t="e">
        <f t="shared" si="114"/>
        <v>#VALUE!</v>
      </c>
      <c r="AM72" s="395" t="e">
        <f t="shared" si="114"/>
        <v>#VALUE!</v>
      </c>
      <c r="AN72" s="395" t="e">
        <f t="shared" si="114"/>
        <v>#VALUE!</v>
      </c>
      <c r="AO72" s="29">
        <f>AO12*AO$15+AO17*AO$20+AO22*AO$25+AO27*AO$30+AO32*AO$35+AO37*AO$40+AO42*AO$45+AO47*AO$50</f>
        <v>72520</v>
      </c>
      <c r="AP72" s="395">
        <f t="shared" si="114"/>
        <v>0</v>
      </c>
      <c r="AQ72" s="395">
        <f t="shared" si="114"/>
        <v>0</v>
      </c>
      <c r="AR72" s="395">
        <f t="shared" si="114"/>
        <v>0</v>
      </c>
      <c r="AS72" s="395">
        <f t="shared" si="114"/>
        <v>0</v>
      </c>
      <c r="AT72" s="29">
        <f>AT12*AT$15+AT17*AT$20+AT22*AT$25+AT27*AT$30+AT32*AT$35+AT37*AT$40+AT42*AT$45+AT47*AT$50</f>
        <v>110874.46100000001</v>
      </c>
      <c r="AU72" s="395">
        <f t="shared" si="114"/>
        <v>0</v>
      </c>
      <c r="AV72" s="395">
        <f t="shared" si="114"/>
        <v>0</v>
      </c>
      <c r="AW72" s="395">
        <f t="shared" si="114"/>
        <v>0</v>
      </c>
      <c r="AX72" s="395">
        <f t="shared" si="114"/>
        <v>0</v>
      </c>
      <c r="AY72" s="29">
        <f>AY12*AY$15+AY17*AY$20+AY22*AY$25+AY27*AY$30+AY32*AY$35+AY37*AY$40+AY42*AY$45+AY47*AY$50</f>
        <v>147311.73599999998</v>
      </c>
      <c r="AZ72" s="395">
        <f t="shared" si="114"/>
        <v>0</v>
      </c>
      <c r="BA72" s="395">
        <f t="shared" si="114"/>
        <v>0</v>
      </c>
      <c r="BB72" s="395">
        <f t="shared" si="114"/>
        <v>0</v>
      </c>
      <c r="BC72" s="395">
        <f t="shared" si="114"/>
        <v>0</v>
      </c>
      <c r="BD72" s="29">
        <f>BD12*BD$15+BD17*BD$20+BD22*BD$25+BD27*BD$30+BD32*BD$35+BD37*BD$40+BD42*BD$45+BD47*BD$50</f>
        <v>106135.95299999999</v>
      </c>
      <c r="BE72" s="395">
        <f t="shared" si="114"/>
        <v>0</v>
      </c>
      <c r="BF72" s="395">
        <f t="shared" si="114"/>
        <v>0</v>
      </c>
      <c r="BG72" s="395">
        <f t="shared" si="114"/>
        <v>0</v>
      </c>
      <c r="BH72" s="395">
        <f t="shared" si="114"/>
        <v>0</v>
      </c>
      <c r="BI72" s="29">
        <f>BI12*BI$15+BI17*BI$20+BI22*BI$25+BI27*BI$30+BI32*BI$35+BI37*BI$40+BI42*BI$45+BI47*BI$50</f>
        <v>180922.33789999998</v>
      </c>
      <c r="BJ72" s="395">
        <f t="shared" si="114"/>
        <v>0</v>
      </c>
      <c r="BK72" s="395">
        <f t="shared" si="114"/>
        <v>0</v>
      </c>
      <c r="BL72" s="395">
        <f t="shared" si="114"/>
        <v>0</v>
      </c>
      <c r="BM72" s="395">
        <f t="shared" si="114"/>
        <v>0</v>
      </c>
      <c r="BN72" s="29">
        <f>BN12*BN$15+BN17*BN$20+BN22*BN$25+BN27*BN$30+BN32*BN$35+BN37*BN$40+BN42*BN$45+BN47*BN$50</f>
        <v>146615.7801</v>
      </c>
      <c r="BO72" s="395">
        <f t="shared" si="114"/>
        <v>0</v>
      </c>
      <c r="BP72" s="395">
        <f t="shared" si="114"/>
        <v>0</v>
      </c>
      <c r="BQ72" s="395">
        <f t="shared" si="114"/>
        <v>0</v>
      </c>
      <c r="BR72" s="395">
        <f t="shared" ref="BR72:BW72" si="115">BR12*BR$15+BR17*BR$20+BR22*BR$25+BR27*BR$30+BR32*BR$35+BR37*BR$40+BR42*BR$45+BR47*BR$50</f>
        <v>0</v>
      </c>
      <c r="BS72" s="813">
        <f>BS12*BS$15+BS17*BS$20+BS22*BS$25+BS27*BS$30+BS32*BS$35+BS37*BS$40+BS42*BS$45+BS47*BS$50</f>
        <v>247267.18849999999</v>
      </c>
      <c r="BT72" s="395">
        <f t="shared" si="115"/>
        <v>0</v>
      </c>
      <c r="BU72" s="395">
        <f t="shared" si="115"/>
        <v>0</v>
      </c>
      <c r="BV72" s="395">
        <f t="shared" si="115"/>
        <v>0</v>
      </c>
      <c r="BW72" s="395">
        <f t="shared" si="115"/>
        <v>0</v>
      </c>
      <c r="BX72" s="29">
        <f t="shared" ref="BX72:CC72" si="116">BX12*BX$15+BX17*BX$20+BX22*BX$25+BX27*BX$30+BX32*BX$35+BX37*BX$40+BX42*BX$45+BX47*BX$50</f>
        <v>347723.1875</v>
      </c>
      <c r="BY72" s="90">
        <f t="shared" si="116"/>
        <v>90242.150300000008</v>
      </c>
      <c r="BZ72" s="90">
        <f t="shared" si="116"/>
        <v>108342.84950000001</v>
      </c>
      <c r="CA72" s="90">
        <f t="shared" si="116"/>
        <v>104124.106</v>
      </c>
      <c r="CB72" s="90">
        <f t="shared" si="116"/>
        <v>120137.7804</v>
      </c>
      <c r="CC72" s="518">
        <f t="shared" si="116"/>
        <v>426865.5428</v>
      </c>
      <c r="CD72" s="90">
        <f t="shared" ref="CD72:CE72" si="117">CD12*CD$15+CD17*CD$20+CD22*CD$25+CD27*CD$30+CD32*CD$35+CD37*CD$40+CD42*CD$45+CD47*CD$50</f>
        <v>86137.903200000001</v>
      </c>
      <c r="CE72" s="90">
        <f t="shared" si="117"/>
        <v>84562.034799999994</v>
      </c>
      <c r="CF72" s="395"/>
      <c r="CG72" s="395"/>
      <c r="CH72" s="518"/>
      <c r="CI72" s="395"/>
      <c r="CJ72" s="395"/>
      <c r="CK72" s="395"/>
      <c r="CL72" s="395"/>
      <c r="CM72" s="518"/>
      <c r="CN72" s="395"/>
      <c r="CO72" s="395"/>
      <c r="CP72" s="395"/>
      <c r="CQ72" s="395"/>
      <c r="CR72" s="518"/>
      <c r="CS72" s="395"/>
      <c r="CT72" s="395"/>
      <c r="CU72" s="395"/>
      <c r="CV72" s="395"/>
      <c r="CW72" s="518"/>
      <c r="CX72" s="395"/>
      <c r="CY72" s="395"/>
      <c r="CZ72" s="395"/>
      <c r="DA72" s="395"/>
      <c r="DB72" s="518"/>
    </row>
    <row r="73" spans="1:106" s="54" customFormat="1" ht="11.5" customHeight="1" x14ac:dyDescent="0.35">
      <c r="A73" s="190" t="s">
        <v>390</v>
      </c>
      <c r="B73" s="90"/>
      <c r="C73" s="90"/>
      <c r="D73" s="90"/>
      <c r="E73" s="90"/>
      <c r="F73" s="29">
        <f t="shared" ref="F73:BQ73" si="118">F13*F$15+F18*F$20+F23*F$25+F28*F$30+F33*F$35+F38*F$40+F43*F$45+F48*F$50</f>
        <v>237950.02000000002</v>
      </c>
      <c r="G73" s="395">
        <f t="shared" si="118"/>
        <v>0</v>
      </c>
      <c r="H73" s="397">
        <f t="shared" si="118"/>
        <v>0</v>
      </c>
      <c r="I73" s="397">
        <f t="shared" si="118"/>
        <v>0</v>
      </c>
      <c r="J73" s="397">
        <f t="shared" si="118"/>
        <v>0</v>
      </c>
      <c r="K73" s="29">
        <f t="shared" si="118"/>
        <v>306361.84999999998</v>
      </c>
      <c r="L73" s="395">
        <f t="shared" si="118"/>
        <v>0</v>
      </c>
      <c r="M73" s="397">
        <f t="shared" si="118"/>
        <v>0</v>
      </c>
      <c r="N73" s="397">
        <f t="shared" si="118"/>
        <v>0</v>
      </c>
      <c r="O73" s="397">
        <f t="shared" si="118"/>
        <v>0</v>
      </c>
      <c r="P73" s="29">
        <f t="shared" si="118"/>
        <v>331354.94</v>
      </c>
      <c r="Q73" s="395">
        <f t="shared" si="118"/>
        <v>0</v>
      </c>
      <c r="R73" s="397">
        <f t="shared" si="118"/>
        <v>0</v>
      </c>
      <c r="S73" s="397">
        <f t="shared" si="118"/>
        <v>0</v>
      </c>
      <c r="T73" s="397">
        <f t="shared" si="118"/>
        <v>0</v>
      </c>
      <c r="U73" s="29">
        <f t="shared" si="118"/>
        <v>351343.57</v>
      </c>
      <c r="V73" s="395">
        <f t="shared" si="118"/>
        <v>0</v>
      </c>
      <c r="W73" s="397">
        <f t="shared" si="118"/>
        <v>0</v>
      </c>
      <c r="X73" s="397">
        <f t="shared" si="118"/>
        <v>0</v>
      </c>
      <c r="Y73" s="397">
        <f t="shared" si="118"/>
        <v>0</v>
      </c>
      <c r="Z73" s="29">
        <f t="shared" si="118"/>
        <v>474999.79000000004</v>
      </c>
      <c r="AA73" s="395">
        <f t="shared" si="118"/>
        <v>0</v>
      </c>
      <c r="AB73" s="397">
        <f t="shared" si="118"/>
        <v>0</v>
      </c>
      <c r="AC73" s="397">
        <f t="shared" si="118"/>
        <v>0</v>
      </c>
      <c r="AD73" s="397">
        <f t="shared" si="118"/>
        <v>0</v>
      </c>
      <c r="AE73" s="29">
        <f t="shared" si="118"/>
        <v>514250</v>
      </c>
      <c r="AF73" s="395">
        <f t="shared" si="118"/>
        <v>0</v>
      </c>
      <c r="AG73" s="397">
        <f t="shared" si="118"/>
        <v>0</v>
      </c>
      <c r="AH73" s="397">
        <f t="shared" si="118"/>
        <v>0</v>
      </c>
      <c r="AI73" s="397">
        <f t="shared" si="118"/>
        <v>0</v>
      </c>
      <c r="AJ73" s="29">
        <f t="shared" si="118"/>
        <v>429340</v>
      </c>
      <c r="AK73" s="395" t="e">
        <f t="shared" si="118"/>
        <v>#VALUE!</v>
      </c>
      <c r="AL73" s="397" t="e">
        <f t="shared" si="118"/>
        <v>#VALUE!</v>
      </c>
      <c r="AM73" s="397" t="e">
        <f t="shared" si="118"/>
        <v>#VALUE!</v>
      </c>
      <c r="AN73" s="397" t="e">
        <f t="shared" si="118"/>
        <v>#VALUE!</v>
      </c>
      <c r="AO73" s="29">
        <f t="shared" si="118"/>
        <v>424264.5</v>
      </c>
      <c r="AP73" s="395">
        <f t="shared" si="118"/>
        <v>0</v>
      </c>
      <c r="AQ73" s="397">
        <f t="shared" si="118"/>
        <v>0</v>
      </c>
      <c r="AR73" s="397">
        <f t="shared" si="118"/>
        <v>0</v>
      </c>
      <c r="AS73" s="397">
        <f t="shared" si="118"/>
        <v>0</v>
      </c>
      <c r="AT73" s="29">
        <f t="shared" si="118"/>
        <v>431832.05499999993</v>
      </c>
      <c r="AU73" s="395">
        <f t="shared" si="118"/>
        <v>0</v>
      </c>
      <c r="AV73" s="397">
        <f t="shared" si="118"/>
        <v>0</v>
      </c>
      <c r="AW73" s="397">
        <f t="shared" si="118"/>
        <v>0</v>
      </c>
      <c r="AX73" s="397">
        <f t="shared" si="118"/>
        <v>0</v>
      </c>
      <c r="AY73" s="29">
        <f t="shared" si="118"/>
        <v>341175.29100000003</v>
      </c>
      <c r="AZ73" s="395">
        <f t="shared" si="118"/>
        <v>0</v>
      </c>
      <c r="BA73" s="397">
        <f t="shared" si="118"/>
        <v>0</v>
      </c>
      <c r="BB73" s="397">
        <f t="shared" si="118"/>
        <v>0</v>
      </c>
      <c r="BC73" s="397">
        <f t="shared" si="118"/>
        <v>0</v>
      </c>
      <c r="BD73" s="29">
        <f t="shared" si="118"/>
        <v>629642.00290000008</v>
      </c>
      <c r="BE73" s="395">
        <f t="shared" si="118"/>
        <v>0</v>
      </c>
      <c r="BF73" s="397">
        <f t="shared" si="118"/>
        <v>0</v>
      </c>
      <c r="BG73" s="397">
        <f t="shared" si="118"/>
        <v>0</v>
      </c>
      <c r="BH73" s="397">
        <f t="shared" si="118"/>
        <v>0</v>
      </c>
      <c r="BI73" s="29">
        <f t="shared" si="118"/>
        <v>665612.29480000003</v>
      </c>
      <c r="BJ73" s="395">
        <f t="shared" si="118"/>
        <v>0</v>
      </c>
      <c r="BK73" s="397">
        <f t="shared" si="118"/>
        <v>0</v>
      </c>
      <c r="BL73" s="397">
        <f t="shared" si="118"/>
        <v>0</v>
      </c>
      <c r="BM73" s="397">
        <f t="shared" si="118"/>
        <v>0</v>
      </c>
      <c r="BN73" s="29">
        <f t="shared" si="118"/>
        <v>667851.10800000001</v>
      </c>
      <c r="BO73" s="395">
        <f t="shared" si="118"/>
        <v>0</v>
      </c>
      <c r="BP73" s="397">
        <f t="shared" si="118"/>
        <v>0</v>
      </c>
      <c r="BQ73" s="397">
        <f t="shared" si="118"/>
        <v>0</v>
      </c>
      <c r="BR73" s="397">
        <f t="shared" ref="BR73:BY73" si="119">BR13*BR$15+BR18*BR$20+BR23*BR$25+BR28*BR$30+BR33*BR$35+BR38*BR$40+BR43*BR$45+BR48*BR$50</f>
        <v>0</v>
      </c>
      <c r="BS73" s="29">
        <f t="shared" si="119"/>
        <v>778044.61329999997</v>
      </c>
      <c r="BT73" s="395">
        <f t="shared" si="119"/>
        <v>0</v>
      </c>
      <c r="BU73" s="397">
        <f t="shared" si="119"/>
        <v>0</v>
      </c>
      <c r="BV73" s="397">
        <f t="shared" si="119"/>
        <v>0</v>
      </c>
      <c r="BW73" s="397">
        <f t="shared" si="119"/>
        <v>0</v>
      </c>
      <c r="BX73" s="29">
        <f t="shared" si="119"/>
        <v>962294.81790000002</v>
      </c>
      <c r="BY73" s="90">
        <f t="shared" si="119"/>
        <v>960782.95699999994</v>
      </c>
      <c r="BZ73" s="70">
        <f>BZ13*BZ$15+BZ18*BZ$20+BZ23*BZ$25+BZ28*BZ$30+BZ33*BZ$35+BZ38*BZ$40+BZ43*BZ$45+BZ48*BZ$50</f>
        <v>1077724.9888000002</v>
      </c>
      <c r="CA73" s="70">
        <f>CA13*CA$15+CA18*CA$20+CA23*CA$25+CA28*CA$30+CA33*CA$35+CA38*CA$40+CA43*CA$45+CA48*CA$50</f>
        <v>1080025.5967999999</v>
      </c>
      <c r="CB73" s="90">
        <f>CC73</f>
        <v>1098403.1483500001</v>
      </c>
      <c r="CC73" s="518">
        <f>CC13*CC$15+CC18*CC$20+CC23*CC$25+CC28*CC$30+CC33*CC$35+CC38*CC$40+CC43*CC$45+CC48*CC$50</f>
        <v>1098403.1483500001</v>
      </c>
      <c r="CD73" s="90">
        <f t="shared" ref="CD73" si="120">CD13*CD$15+CD18*CD$20+CD23*CD$25+CD28*CD$30+CD33*CD$35+CD38*CD$40+CD43*CD$45+CD48*CD$50</f>
        <v>1019723.7348000001</v>
      </c>
      <c r="CE73" s="70">
        <f>CE13*CE$15+CE18*CE$20+CE23*CE$25+CE28*CE$30+CE33*CE$35+CE38*CE$40+CE43*CE$45+CE48*CE$50</f>
        <v>1081765.4564</v>
      </c>
      <c r="CF73" s="397"/>
      <c r="CG73" s="397"/>
      <c r="CH73" s="518"/>
      <c r="CI73" s="397"/>
      <c r="CJ73" s="397"/>
      <c r="CK73" s="397"/>
      <c r="CL73" s="397"/>
      <c r="CM73" s="518"/>
      <c r="CN73" s="397"/>
      <c r="CO73" s="397"/>
      <c r="CP73" s="397"/>
      <c r="CQ73" s="397"/>
      <c r="CR73" s="518"/>
      <c r="CS73" s="397"/>
      <c r="CT73" s="397"/>
      <c r="CU73" s="397"/>
      <c r="CV73" s="397"/>
      <c r="CW73" s="518"/>
      <c r="CX73" s="397"/>
      <c r="CY73" s="397"/>
      <c r="CZ73" s="397"/>
      <c r="DA73" s="397"/>
      <c r="DB73" s="518"/>
    </row>
    <row r="74" spans="1:106" s="91" customFormat="1" ht="11.5" customHeight="1" x14ac:dyDescent="0.35">
      <c r="A74" s="522" t="s">
        <v>361</v>
      </c>
      <c r="B74" s="92"/>
      <c r="C74" s="92"/>
      <c r="D74" s="92"/>
      <c r="E74" s="92"/>
      <c r="F74" s="25">
        <f t="shared" ref="F74:BQ74" si="121">F72/F73</f>
        <v>0.21002334860068511</v>
      </c>
      <c r="G74" s="24" t="e">
        <f t="shared" si="121"/>
        <v>#DIV/0!</v>
      </c>
      <c r="H74" s="164" t="e">
        <f t="shared" si="121"/>
        <v>#DIV/0!</v>
      </c>
      <c r="I74" s="164" t="e">
        <f t="shared" si="121"/>
        <v>#DIV/0!</v>
      </c>
      <c r="J74" s="164" t="e">
        <f t="shared" si="121"/>
        <v>#DIV/0!</v>
      </c>
      <c r="K74" s="25">
        <f t="shared" si="121"/>
        <v>0.24571215378154954</v>
      </c>
      <c r="L74" s="24" t="e">
        <f t="shared" si="121"/>
        <v>#DIV/0!</v>
      </c>
      <c r="M74" s="164" t="e">
        <f t="shared" si="121"/>
        <v>#DIV/0!</v>
      </c>
      <c r="N74" s="164" t="e">
        <f t="shared" si="121"/>
        <v>#DIV/0!</v>
      </c>
      <c r="O74" s="164" t="e">
        <f t="shared" si="121"/>
        <v>#DIV/0!</v>
      </c>
      <c r="P74" s="25">
        <f t="shared" si="121"/>
        <v>0.22998042522015816</v>
      </c>
      <c r="Q74" s="24" t="e">
        <f t="shared" si="121"/>
        <v>#DIV/0!</v>
      </c>
      <c r="R74" s="164" t="e">
        <f t="shared" si="121"/>
        <v>#DIV/0!</v>
      </c>
      <c r="S74" s="164" t="e">
        <f t="shared" si="121"/>
        <v>#DIV/0!</v>
      </c>
      <c r="T74" s="164" t="e">
        <f t="shared" si="121"/>
        <v>#DIV/0!</v>
      </c>
      <c r="U74" s="25">
        <f t="shared" si="121"/>
        <v>0.21341807963071591</v>
      </c>
      <c r="V74" s="24" t="e">
        <f t="shared" si="121"/>
        <v>#DIV/0!</v>
      </c>
      <c r="W74" s="164" t="e">
        <f t="shared" si="121"/>
        <v>#DIV/0!</v>
      </c>
      <c r="X74" s="164" t="e">
        <f t="shared" si="121"/>
        <v>#DIV/0!</v>
      </c>
      <c r="Y74" s="164" t="e">
        <f t="shared" si="121"/>
        <v>#DIV/0!</v>
      </c>
      <c r="Z74" s="25">
        <f t="shared" si="121"/>
        <v>0.32100401560177533</v>
      </c>
      <c r="AA74" s="24" t="e">
        <f t="shared" si="121"/>
        <v>#DIV/0!</v>
      </c>
      <c r="AB74" s="164" t="e">
        <f t="shared" si="121"/>
        <v>#DIV/0!</v>
      </c>
      <c r="AC74" s="164" t="e">
        <f t="shared" si="121"/>
        <v>#DIV/0!</v>
      </c>
      <c r="AD74" s="164" t="e">
        <f t="shared" si="121"/>
        <v>#DIV/0!</v>
      </c>
      <c r="AE74" s="25">
        <f t="shared" si="121"/>
        <v>0.26526689353427324</v>
      </c>
      <c r="AF74" s="24" t="e">
        <f t="shared" si="121"/>
        <v>#DIV/0!</v>
      </c>
      <c r="AG74" s="164" t="e">
        <f t="shared" si="121"/>
        <v>#DIV/0!</v>
      </c>
      <c r="AH74" s="164" t="e">
        <f t="shared" si="121"/>
        <v>#DIV/0!</v>
      </c>
      <c r="AI74" s="164" t="e">
        <f t="shared" si="121"/>
        <v>#DIV/0!</v>
      </c>
      <c r="AJ74" s="25">
        <f t="shared" si="121"/>
        <v>0.13774630828713841</v>
      </c>
      <c r="AK74" s="24" t="e">
        <f t="shared" si="121"/>
        <v>#VALUE!</v>
      </c>
      <c r="AL74" s="164" t="e">
        <f t="shared" si="121"/>
        <v>#VALUE!</v>
      </c>
      <c r="AM74" s="164" t="e">
        <f t="shared" si="121"/>
        <v>#VALUE!</v>
      </c>
      <c r="AN74" s="164" t="e">
        <f t="shared" si="121"/>
        <v>#VALUE!</v>
      </c>
      <c r="AO74" s="25">
        <f t="shared" si="121"/>
        <v>0.1709311054778328</v>
      </c>
      <c r="AP74" s="24" t="e">
        <f t="shared" si="121"/>
        <v>#DIV/0!</v>
      </c>
      <c r="AQ74" s="164" t="e">
        <f t="shared" si="121"/>
        <v>#DIV/0!</v>
      </c>
      <c r="AR74" s="164" t="e">
        <f t="shared" si="121"/>
        <v>#DIV/0!</v>
      </c>
      <c r="AS74" s="164" t="e">
        <f t="shared" si="121"/>
        <v>#DIV/0!</v>
      </c>
      <c r="AT74" s="25">
        <f t="shared" si="121"/>
        <v>0.25675366086475454</v>
      </c>
      <c r="AU74" s="24" t="e">
        <f t="shared" si="121"/>
        <v>#DIV/0!</v>
      </c>
      <c r="AV74" s="164" t="e">
        <f t="shared" si="121"/>
        <v>#DIV/0!</v>
      </c>
      <c r="AW74" s="164" t="e">
        <f t="shared" si="121"/>
        <v>#DIV/0!</v>
      </c>
      <c r="AX74" s="164" t="e">
        <f t="shared" si="121"/>
        <v>#DIV/0!</v>
      </c>
      <c r="AY74" s="25">
        <f t="shared" si="121"/>
        <v>0.43177727076372585</v>
      </c>
      <c r="AZ74" s="24" t="e">
        <f t="shared" si="121"/>
        <v>#DIV/0!</v>
      </c>
      <c r="BA74" s="164" t="e">
        <f t="shared" si="121"/>
        <v>#DIV/0!</v>
      </c>
      <c r="BB74" s="164" t="e">
        <f t="shared" si="121"/>
        <v>#DIV/0!</v>
      </c>
      <c r="BC74" s="164" t="e">
        <f t="shared" si="121"/>
        <v>#DIV/0!</v>
      </c>
      <c r="BD74" s="25">
        <f t="shared" si="121"/>
        <v>0.16856555393566483</v>
      </c>
      <c r="BE74" s="24" t="e">
        <f t="shared" si="121"/>
        <v>#DIV/0!</v>
      </c>
      <c r="BF74" s="164" t="e">
        <f t="shared" si="121"/>
        <v>#DIV/0!</v>
      </c>
      <c r="BG74" s="164" t="e">
        <f t="shared" si="121"/>
        <v>#DIV/0!</v>
      </c>
      <c r="BH74" s="164" t="e">
        <f t="shared" si="121"/>
        <v>#DIV/0!</v>
      </c>
      <c r="BI74" s="25">
        <f t="shared" si="121"/>
        <v>0.27181339544571159</v>
      </c>
      <c r="BJ74" s="24" t="e">
        <f t="shared" si="121"/>
        <v>#DIV/0!</v>
      </c>
      <c r="BK74" s="164" t="e">
        <f t="shared" si="121"/>
        <v>#DIV/0!</v>
      </c>
      <c r="BL74" s="164" t="e">
        <f t="shared" si="121"/>
        <v>#DIV/0!</v>
      </c>
      <c r="BM74" s="164" t="e">
        <f t="shared" si="121"/>
        <v>#DIV/0!</v>
      </c>
      <c r="BN74" s="25">
        <f t="shared" si="121"/>
        <v>0.2195336330863735</v>
      </c>
      <c r="BO74" s="24" t="e">
        <f t="shared" si="121"/>
        <v>#DIV/0!</v>
      </c>
      <c r="BP74" s="164" t="e">
        <f t="shared" si="121"/>
        <v>#DIV/0!</v>
      </c>
      <c r="BQ74" s="164" t="e">
        <f t="shared" si="121"/>
        <v>#DIV/0!</v>
      </c>
      <c r="BR74" s="164" t="e">
        <f t="shared" ref="BR74:DB74" si="122">BR72/BR73</f>
        <v>#DIV/0!</v>
      </c>
      <c r="BS74" s="25">
        <f t="shared" si="122"/>
        <v>0.3178059256155511</v>
      </c>
      <c r="BT74" s="24" t="e">
        <f t="shared" si="122"/>
        <v>#DIV/0!</v>
      </c>
      <c r="BU74" s="164" t="e">
        <f t="shared" si="122"/>
        <v>#DIV/0!</v>
      </c>
      <c r="BV74" s="164" t="e">
        <f t="shared" si="122"/>
        <v>#DIV/0!</v>
      </c>
      <c r="BW74" s="164" t="e">
        <f t="shared" si="122"/>
        <v>#DIV/0!</v>
      </c>
      <c r="BX74" s="25">
        <f t="shared" si="122"/>
        <v>0.36134787492551457</v>
      </c>
      <c r="BY74" s="24">
        <f t="shared" si="122"/>
        <v>9.3925636006051694E-2</v>
      </c>
      <c r="BZ74" s="164">
        <f t="shared" si="122"/>
        <v>0.10052921721768283</v>
      </c>
      <c r="CA74" s="164">
        <f t="shared" ref="CA74:CB74" si="123">CA72/CA73</f>
        <v>9.6408924296339418E-2</v>
      </c>
      <c r="CB74" s="164">
        <f t="shared" si="123"/>
        <v>0.10937494177840681</v>
      </c>
      <c r="CC74" s="25">
        <f t="shared" ref="CC74:CE74" si="124">CC72/CC73</f>
        <v>0.38862374296835284</v>
      </c>
      <c r="CD74" s="24">
        <f t="shared" si="124"/>
        <v>8.4471803744858756E-2</v>
      </c>
      <c r="CE74" s="164">
        <f t="shared" si="124"/>
        <v>7.8170396641628226E-2</v>
      </c>
      <c r="CF74" s="164" t="e">
        <f t="shared" si="122"/>
        <v>#DIV/0!</v>
      </c>
      <c r="CG74" s="164" t="e">
        <f t="shared" si="122"/>
        <v>#DIV/0!</v>
      </c>
      <c r="CH74" s="25" t="e">
        <f t="shared" si="122"/>
        <v>#DIV/0!</v>
      </c>
      <c r="CI74" s="164" t="e">
        <f t="shared" si="122"/>
        <v>#DIV/0!</v>
      </c>
      <c r="CJ74" s="164" t="e">
        <f t="shared" si="122"/>
        <v>#DIV/0!</v>
      </c>
      <c r="CK74" s="164" t="e">
        <f t="shared" si="122"/>
        <v>#DIV/0!</v>
      </c>
      <c r="CL74" s="164" t="e">
        <f t="shared" si="122"/>
        <v>#DIV/0!</v>
      </c>
      <c r="CM74" s="25" t="e">
        <f t="shared" si="122"/>
        <v>#DIV/0!</v>
      </c>
      <c r="CN74" s="164" t="e">
        <f t="shared" si="122"/>
        <v>#DIV/0!</v>
      </c>
      <c r="CO74" s="164" t="e">
        <f t="shared" si="122"/>
        <v>#DIV/0!</v>
      </c>
      <c r="CP74" s="164" t="e">
        <f t="shared" si="122"/>
        <v>#DIV/0!</v>
      </c>
      <c r="CQ74" s="164" t="e">
        <f t="shared" si="122"/>
        <v>#DIV/0!</v>
      </c>
      <c r="CR74" s="25" t="e">
        <f t="shared" si="122"/>
        <v>#DIV/0!</v>
      </c>
      <c r="CS74" s="164" t="e">
        <f t="shared" si="122"/>
        <v>#DIV/0!</v>
      </c>
      <c r="CT74" s="164" t="e">
        <f t="shared" si="122"/>
        <v>#DIV/0!</v>
      </c>
      <c r="CU74" s="164" t="e">
        <f t="shared" si="122"/>
        <v>#DIV/0!</v>
      </c>
      <c r="CV74" s="164" t="e">
        <f t="shared" si="122"/>
        <v>#DIV/0!</v>
      </c>
      <c r="CW74" s="25" t="e">
        <f t="shared" si="122"/>
        <v>#DIV/0!</v>
      </c>
      <c r="CX74" s="164" t="e">
        <f t="shared" si="122"/>
        <v>#DIV/0!</v>
      </c>
      <c r="CY74" s="164" t="e">
        <f t="shared" si="122"/>
        <v>#DIV/0!</v>
      </c>
      <c r="CZ74" s="164" t="e">
        <f t="shared" si="122"/>
        <v>#DIV/0!</v>
      </c>
      <c r="DA74" s="164" t="e">
        <f t="shared" si="122"/>
        <v>#DIV/0!</v>
      </c>
      <c r="DB74" s="25" t="e">
        <f t="shared" si="122"/>
        <v>#DIV/0!</v>
      </c>
    </row>
    <row r="75" spans="1:106" s="91" customFormat="1" ht="11.5" customHeight="1" collapsed="1" x14ac:dyDescent="0.35">
      <c r="A75" s="515" t="s">
        <v>372</v>
      </c>
      <c r="B75" s="516"/>
      <c r="C75" s="516"/>
      <c r="D75" s="516"/>
      <c r="E75" s="516"/>
      <c r="F75" s="442"/>
      <c r="G75" s="441"/>
      <c r="H75" s="441"/>
      <c r="I75" s="441"/>
      <c r="J75" s="441"/>
      <c r="K75" s="442"/>
      <c r="L75" s="441"/>
      <c r="M75" s="441"/>
      <c r="N75" s="441"/>
      <c r="O75" s="441"/>
      <c r="P75" s="442"/>
      <c r="Q75" s="441"/>
      <c r="R75" s="441"/>
      <c r="S75" s="441"/>
      <c r="T75" s="441"/>
      <c r="U75" s="442"/>
      <c r="V75" s="441"/>
      <c r="W75" s="441"/>
      <c r="X75" s="441"/>
      <c r="Y75" s="441"/>
      <c r="Z75" s="442"/>
      <c r="AA75" s="441"/>
      <c r="AB75" s="441"/>
      <c r="AC75" s="441"/>
      <c r="AD75" s="441"/>
      <c r="AE75" s="442"/>
      <c r="AF75" s="441"/>
      <c r="AG75" s="441"/>
      <c r="AH75" s="441"/>
      <c r="AI75" s="441"/>
      <c r="AJ75" s="442"/>
      <c r="AK75" s="441"/>
      <c r="AL75" s="441"/>
      <c r="AM75" s="441"/>
      <c r="AN75" s="441"/>
      <c r="AO75" s="442"/>
      <c r="AP75" s="441"/>
      <c r="AQ75" s="441"/>
      <c r="AR75" s="441"/>
      <c r="AS75" s="441"/>
      <c r="AT75" s="442"/>
      <c r="AU75" s="441"/>
      <c r="AV75" s="441"/>
      <c r="AW75" s="441"/>
      <c r="AX75" s="441"/>
      <c r="AY75" s="442"/>
      <c r="AZ75" s="441"/>
      <c r="BA75" s="441"/>
      <c r="BB75" s="441"/>
      <c r="BC75" s="441"/>
      <c r="BD75" s="442"/>
      <c r="BE75" s="441"/>
      <c r="BF75" s="441"/>
      <c r="BG75" s="441"/>
      <c r="BH75" s="441"/>
      <c r="BI75" s="442"/>
      <c r="BJ75" s="441"/>
      <c r="BK75" s="441"/>
      <c r="BL75" s="441"/>
      <c r="BM75" s="441"/>
      <c r="BN75" s="442"/>
      <c r="BO75" s="441"/>
      <c r="BP75" s="441"/>
      <c r="BQ75" s="441"/>
      <c r="BR75" s="441"/>
      <c r="BS75" s="442"/>
      <c r="BT75" s="441"/>
      <c r="BU75" s="441"/>
      <c r="BV75" s="441"/>
      <c r="BW75" s="441"/>
      <c r="BX75" s="442"/>
      <c r="BY75" s="441"/>
      <c r="BZ75" s="441"/>
      <c r="CA75" s="441"/>
      <c r="CB75" s="441"/>
      <c r="CC75" s="442"/>
      <c r="CD75" s="441"/>
      <c r="CE75" s="441"/>
      <c r="CF75" s="441"/>
      <c r="CG75" s="441"/>
      <c r="CH75" s="442"/>
      <c r="CI75" s="441"/>
      <c r="CJ75" s="441"/>
      <c r="CK75" s="441"/>
      <c r="CL75" s="441"/>
      <c r="CM75" s="442"/>
      <c r="CN75" s="441"/>
      <c r="CO75" s="441"/>
      <c r="CP75" s="441"/>
      <c r="CQ75" s="441"/>
      <c r="CR75" s="442"/>
      <c r="CS75" s="441"/>
      <c r="CT75" s="441"/>
      <c r="CU75" s="441"/>
      <c r="CV75" s="441"/>
      <c r="CW75" s="442"/>
      <c r="CX75" s="441"/>
      <c r="CY75" s="441"/>
      <c r="CZ75" s="441"/>
      <c r="DA75" s="441"/>
      <c r="DB75" s="442"/>
    </row>
  </sheetData>
  <pageMargins left="0.7" right="0.7" top="0.75" bottom="0.75" header="0.3" footer="0.3"/>
  <ignoredErrors>
    <ignoredError sqref="CH8:CH9 CC9:CC10" formula="1"/>
  </ignoredErrors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9615-956E-43EB-A624-F0150B162199}">
  <sheetPr>
    <tabColor theme="2" tint="-0.89999084444715716"/>
  </sheetPr>
  <dimension ref="A1:O112"/>
  <sheetViews>
    <sheetView showGridLines="0" zoomScaleNormal="100" workbookViewId="0">
      <selection activeCell="C47" sqref="C47"/>
    </sheetView>
  </sheetViews>
  <sheetFormatPr defaultColWidth="11" defaultRowHeight="11.25" customHeight="1" outlineLevelRow="2" x14ac:dyDescent="0.35"/>
  <cols>
    <col min="1" max="1" width="30.7265625" style="244" customWidth="1"/>
    <col min="2" max="8" width="11" style="244" customWidth="1"/>
    <col min="9" max="13" width="11" style="244"/>
    <col min="14" max="14" width="11" style="244" customWidth="1"/>
    <col min="15" max="16" width="11" style="244"/>
    <col min="17" max="17" width="11" style="244" customWidth="1"/>
    <col min="18" max="16384" width="11" style="244"/>
  </cols>
  <sheetData>
    <row r="1" spans="1:4" s="7" customFormat="1" ht="45.75" customHeight="1" x14ac:dyDescent="0.35"/>
    <row r="2" spans="1:4" s="7" customFormat="1" ht="11.25" customHeight="1" x14ac:dyDescent="0.35">
      <c r="A2" s="11" t="str">
        <f ca="1">$B$5&amp;" | "&amp;"TP R$"&amp;$B$16&amp;"/sh"</f>
        <v>CYRE3 | TP R$35/sh</v>
      </c>
    </row>
    <row r="3" spans="1:4" s="7" customFormat="1" ht="11.25" customHeight="1" thickBot="1" x14ac:dyDescent="0.4">
      <c r="A3" s="124" t="s">
        <v>325</v>
      </c>
      <c r="B3" s="238"/>
      <c r="C3" s="54"/>
    </row>
    <row r="4" spans="1:4" s="7" customFormat="1" ht="11.25" customHeight="1" thickTop="1" x14ac:dyDescent="0.35">
      <c r="A4" s="249" t="s">
        <v>286</v>
      </c>
      <c r="B4" s="353" t="s">
        <v>510</v>
      </c>
    </row>
    <row r="5" spans="1:4" s="7" customFormat="1" ht="11.25" customHeight="1" x14ac:dyDescent="0.35">
      <c r="A5" s="246" t="s">
        <v>332</v>
      </c>
      <c r="B5" s="354" t="s">
        <v>333</v>
      </c>
    </row>
    <row r="6" spans="1:4" s="7" customFormat="1" ht="11.25" customHeight="1" x14ac:dyDescent="0.35">
      <c r="A6" s="77" t="s">
        <v>285</v>
      </c>
      <c r="B6" s="355">
        <v>20.68</v>
      </c>
    </row>
    <row r="7" spans="1:4" s="7" customFormat="1" ht="11.25" customHeight="1" x14ac:dyDescent="0.35">
      <c r="A7" s="127" t="s">
        <v>287</v>
      </c>
      <c r="B7" s="207">
        <v>0</v>
      </c>
    </row>
    <row r="8" spans="1:4" s="7" customFormat="1" ht="11.25" customHeight="1" x14ac:dyDescent="0.35">
      <c r="A8" s="250" t="s">
        <v>288</v>
      </c>
      <c r="B8" s="104">
        <f>(1+B10)*(1+B7)-1</f>
        <v>3.499999999999992E-2</v>
      </c>
      <c r="C8" s="11"/>
    </row>
    <row r="9" spans="1:4" s="7" customFormat="1" ht="11.25" customHeight="1" x14ac:dyDescent="0.35">
      <c r="A9" s="127" t="s">
        <v>293</v>
      </c>
      <c r="B9" s="207">
        <v>7.4999999999999997E-2</v>
      </c>
    </row>
    <row r="10" spans="1:4" s="7" customFormat="1" ht="11.25" customHeight="1" x14ac:dyDescent="0.35">
      <c r="A10" s="127" t="s">
        <v>294</v>
      </c>
      <c r="B10" s="46">
        <f>HLOOKUP(20&amp;(RIGHT($B$4,2)+2)&amp;"E",Macro!$A$3:$DB$12,8,FALSE)</f>
        <v>3.5000000000000003E-2</v>
      </c>
      <c r="C10" s="11"/>
    </row>
    <row r="11" spans="1:4" s="7" customFormat="1" ht="11.25" customHeight="1" x14ac:dyDescent="0.35">
      <c r="A11" s="127" t="s">
        <v>295</v>
      </c>
      <c r="B11" s="46">
        <f>(1+B9)*(1+B10)-1</f>
        <v>0.11262499999999998</v>
      </c>
      <c r="C11" s="54"/>
    </row>
    <row r="12" spans="1:4" s="7" customFormat="1" ht="11.25" customHeight="1" x14ac:dyDescent="0.35">
      <c r="A12" s="127" t="s">
        <v>296</v>
      </c>
      <c r="B12" s="207">
        <v>0.04</v>
      </c>
      <c r="C12" s="54"/>
    </row>
    <row r="13" spans="1:4" s="7" customFormat="1" ht="11.25" customHeight="1" x14ac:dyDescent="0.35">
      <c r="A13" s="127" t="s">
        <v>297</v>
      </c>
      <c r="B13" s="356">
        <v>1.25</v>
      </c>
    </row>
    <row r="14" spans="1:4" s="7" customFormat="1" ht="11.25" customHeight="1" x14ac:dyDescent="0.35">
      <c r="A14" s="127" t="s">
        <v>298</v>
      </c>
      <c r="B14" s="113">
        <f>B12*B13</f>
        <v>0.05</v>
      </c>
      <c r="D14" s="114"/>
    </row>
    <row r="15" spans="1:4" s="7" customFormat="1" ht="11.25" customHeight="1" x14ac:dyDescent="0.35">
      <c r="A15" s="239" t="s">
        <v>284</v>
      </c>
      <c r="B15" s="240">
        <f>B11+B14</f>
        <v>0.16262499999999996</v>
      </c>
      <c r="D15" s="241"/>
    </row>
    <row r="16" spans="1:4" s="7" customFormat="1" ht="11.25" customHeight="1" x14ac:dyDescent="0.35">
      <c r="A16" s="224" t="s">
        <v>324</v>
      </c>
      <c r="B16" s="275">
        <f ca="1">B61</f>
        <v>35</v>
      </c>
      <c r="D16" s="241"/>
    </row>
    <row r="17" spans="1:6" s="7" customFormat="1" ht="11.25" customHeight="1" x14ac:dyDescent="0.35">
      <c r="A17" s="127" t="s">
        <v>302</v>
      </c>
      <c r="B17" s="274">
        <f ca="1">B16/B6-1</f>
        <v>0.69245647969052238</v>
      </c>
      <c r="D17" s="241"/>
    </row>
    <row r="18" spans="1:6" s="7" customFormat="1" ht="11.25" customHeight="1" x14ac:dyDescent="0.35">
      <c r="A18" s="77" t="s">
        <v>334</v>
      </c>
      <c r="B18" s="270" t="s">
        <v>326</v>
      </c>
      <c r="D18" s="76"/>
    </row>
    <row r="19" spans="1:6" s="7" customFormat="1" ht="11.25" customHeight="1" x14ac:dyDescent="0.35"/>
    <row r="20" spans="1:6" s="7" customFormat="1" ht="11.25" customHeight="1" x14ac:dyDescent="0.35">
      <c r="C20" s="357" t="str">
        <f>RIGHT(C21,3)</f>
        <v>26E</v>
      </c>
      <c r="D20" s="357" t="str">
        <f>RIGHT(D21,3)</f>
        <v>27E</v>
      </c>
      <c r="E20" s="357" t="str">
        <f>RIGHT(E21,3)</f>
        <v>28E</v>
      </c>
      <c r="F20" s="357" t="str">
        <f>RIGHT(F21,3)</f>
        <v>29E</v>
      </c>
    </row>
    <row r="21" spans="1:6" s="7" customFormat="1" ht="11.25" customHeight="1" thickBot="1" x14ac:dyDescent="0.4">
      <c r="A21" s="124" t="s">
        <v>330</v>
      </c>
      <c r="B21" s="238"/>
      <c r="C21" s="253" t="str">
        <f>"20"&amp;TEXT(--MID($B$4,3,2) + (--LEFT($B$4,1)=4),"00") &amp; "E"</f>
        <v>2026E</v>
      </c>
      <c r="D21" s="253" t="str">
        <f>20&amp;LEFT(RIGHT(C21,3),2)+1&amp;"E"</f>
        <v>2027E</v>
      </c>
      <c r="E21" s="253" t="str">
        <f>20&amp;LEFT(RIGHT(D21,3),2)+1&amp;"E"</f>
        <v>2028E</v>
      </c>
      <c r="F21" s="253" t="str">
        <f>20&amp;LEFT(RIGHT(E21,3),2)+1&amp;"E"</f>
        <v>2029E</v>
      </c>
    </row>
    <row r="22" spans="1:6" s="7" customFormat="1" ht="11.25" customHeight="1" thickTop="1" x14ac:dyDescent="0.35">
      <c r="A22" s="224" t="s">
        <v>300</v>
      </c>
      <c r="B22" s="266"/>
      <c r="C22" s="358">
        <f ca="1">HLOOKUP(C21,'BS &amp; FCF'!$A$131:$DB$152,7,FALSE)</f>
        <v>0.1648292809273933</v>
      </c>
      <c r="D22" s="358">
        <f ca="1">HLOOKUP(D21,'BS &amp; FCF'!$A$131:$DB$152,7,FALSE)</f>
        <v>0.18421892951912897</v>
      </c>
      <c r="E22" s="358">
        <f ca="1">HLOOKUP(E21,'BS &amp; FCF'!$A$131:$DB$152,7,FALSE)</f>
        <v>0.19457150649245691</v>
      </c>
      <c r="F22" s="359">
        <f ca="1">HLOOKUP(F21,'BS &amp; FCF'!$A$131:$DB$152,7,FALSE)</f>
        <v>0.19984467266840816</v>
      </c>
    </row>
    <row r="23" spans="1:6" s="7" customFormat="1" ht="11.25" customHeight="1" x14ac:dyDescent="0.35">
      <c r="A23" s="224" t="s">
        <v>311</v>
      </c>
      <c r="B23" s="266"/>
      <c r="C23" s="360">
        <f ca="1">HLOOKUP(C21,IS!$A$47:$DB$53,6,FALSE)</f>
        <v>4.3301443502681582</v>
      </c>
      <c r="D23" s="360">
        <f ca="1">HLOOKUP(D21,IS!$A$47:$DB$53,6,FALSE)</f>
        <v>5.4196804573615438</v>
      </c>
      <c r="E23" s="360">
        <f ca="1">HLOOKUP(E21,IS!$A$47:$DB$53,6,FALSE)</f>
        <v>6.0156307012328059</v>
      </c>
      <c r="F23" s="254">
        <f ca="1">HLOOKUP(F21,IS!$A$47:$DB$53,6,FALSE)</f>
        <v>6.4771588775195825</v>
      </c>
    </row>
    <row r="24" spans="1:6" s="7" customFormat="1" ht="11.25" customHeight="1" x14ac:dyDescent="0.35">
      <c r="A24" s="256" t="s">
        <v>290</v>
      </c>
      <c r="B24" s="244"/>
      <c r="C24" s="360">
        <f>HLOOKUP(C21,IS!$A$47:$DB$53,7,FALSE)</f>
        <v>0</v>
      </c>
      <c r="D24" s="360">
        <f ca="1">HLOOKUP(D21,IS!$A$47:$DB$53,7,FALSE)</f>
        <v>2.1650716161749153</v>
      </c>
      <c r="E24" s="360">
        <f ca="1">HLOOKUP(E21,IS!$A$47:$DB$53,7,FALSE)</f>
        <v>4.3357443658892354</v>
      </c>
      <c r="F24" s="254">
        <f ca="1">HLOOKUP(F21,IS!$A$47:$DB$53,7,FALSE)</f>
        <v>4.8125045609862447</v>
      </c>
    </row>
    <row r="25" spans="1:6" s="7" customFormat="1" ht="11.25" customHeight="1" x14ac:dyDescent="0.35">
      <c r="A25" s="265" t="s">
        <v>289</v>
      </c>
      <c r="B25" s="257"/>
      <c r="C25" s="361">
        <f ca="1">HLOOKUP(C21,'BS &amp; FCF'!$A$131:$DB$147,17,FALSE)</f>
        <v>27.72333279338536</v>
      </c>
      <c r="D25" s="361">
        <f ca="1">HLOOKUP(D21,'BS &amp; FCF'!$A$131:$DB$147,17,FALSE)</f>
        <v>30.746961169628449</v>
      </c>
      <c r="E25" s="361">
        <f ca="1">HLOOKUP(E21,'BS &amp; FCF'!$A$131:$DB$147,17,FALSE)</f>
        <v>32.242679041101752</v>
      </c>
      <c r="F25" s="276">
        <f ca="1">HLOOKUP(F21,'BS &amp; FCF'!$A$131:$DB$147,17,FALSE)</f>
        <v>33.863217078906658</v>
      </c>
    </row>
    <row r="26" spans="1:6" s="7" customFormat="1" ht="11.25" customHeight="1" x14ac:dyDescent="0.35">
      <c r="A26" s="256" t="s">
        <v>46</v>
      </c>
      <c r="B26" s="244"/>
      <c r="C26" s="362">
        <f ca="1">$B$6/C23</f>
        <v>4.7758223114939167</v>
      </c>
      <c r="D26" s="362">
        <f ca="1">$B$6/D23</f>
        <v>3.8157231155409517</v>
      </c>
      <c r="E26" s="362">
        <f ca="1">$B$6/E23</f>
        <v>3.4377110276669693</v>
      </c>
      <c r="F26" s="277">
        <f ca="1">$B$6/F23</f>
        <v>3.1927578728652972</v>
      </c>
    </row>
    <row r="27" spans="1:6" s="7" customFormat="1" ht="11.25" customHeight="1" outlineLevel="1" x14ac:dyDescent="0.35">
      <c r="A27" s="244" t="s">
        <v>374</v>
      </c>
      <c r="B27" s="244"/>
      <c r="C27" s="363">
        <f>SUMIF($C$35:$N$35,C$20,$C$41:$N$41)</f>
        <v>0</v>
      </c>
      <c r="D27" s="363">
        <f ca="1">SUMIF($C$35:$N$35,D$20,$C$41:$N$41)+C27</f>
        <v>1.9337152554298065</v>
      </c>
      <c r="E27" s="363">
        <f ca="1">SUMIF($C$35:$N$35,E$20,$C$41:$N$41)+D27</f>
        <v>5.2644823690969398</v>
      </c>
      <c r="F27" s="263">
        <f ca="1">SUMIF($C$35:$N$35,F$20,$C$41:$N$41)+E27</f>
        <v>8.4443723643451314</v>
      </c>
    </row>
    <row r="28" spans="1:6" s="7" customFormat="1" ht="11.25" customHeight="1" x14ac:dyDescent="0.35">
      <c r="A28" s="256" t="s">
        <v>375</v>
      </c>
      <c r="B28" s="244"/>
      <c r="C28" s="362">
        <f ca="1">($B$6-C27)/C23</f>
        <v>4.7758223114939167</v>
      </c>
      <c r="D28" s="362">
        <f ca="1">($B$6-D27)/D23</f>
        <v>3.4589280478901929</v>
      </c>
      <c r="E28" s="362">
        <f ca="1">($B$6-E27)/E23</f>
        <v>2.5625771255778553</v>
      </c>
      <c r="F28" s="277">
        <f ca="1">($B$6-F27)/F23</f>
        <v>1.8890423821656328</v>
      </c>
    </row>
    <row r="29" spans="1:6" s="7" customFormat="1" ht="11.25" customHeight="1" x14ac:dyDescent="0.35">
      <c r="A29" s="256" t="s">
        <v>327</v>
      </c>
      <c r="B29" s="244"/>
      <c r="C29" s="364">
        <f>C24/$B$6</f>
        <v>0</v>
      </c>
      <c r="D29" s="364">
        <f ca="1">D24/$B$6</f>
        <v>0.10469398530826476</v>
      </c>
      <c r="E29" s="364">
        <f ca="1">E24/$B$6</f>
        <v>0.20965881846659745</v>
      </c>
      <c r="F29" s="278">
        <f ca="1">F24/$B$6</f>
        <v>0.23271298650803893</v>
      </c>
    </row>
    <row r="30" spans="1:6" s="7" customFormat="1" ht="11.25" customHeight="1" x14ac:dyDescent="0.35">
      <c r="A30" s="265" t="s">
        <v>328</v>
      </c>
      <c r="B30" s="257"/>
      <c r="C30" s="365">
        <f ca="1">$B$6/C25</f>
        <v>0.74594206093915727</v>
      </c>
      <c r="D30" s="365">
        <f ca="1">$B$6/D25</f>
        <v>0.672586792753604</v>
      </c>
      <c r="E30" s="365">
        <f ca="1">$B$6/E25</f>
        <v>0.64138590883337931</v>
      </c>
      <c r="F30" s="279">
        <f ca="1">$B$6/F25</f>
        <v>0.61069212508109683</v>
      </c>
    </row>
    <row r="31" spans="1:6" s="7" customFormat="1" ht="11.25" customHeight="1" x14ac:dyDescent="0.35">
      <c r="A31" s="256" t="s">
        <v>47</v>
      </c>
      <c r="B31" s="244"/>
      <c r="C31" s="362">
        <f ca="1">$B$16/C23</f>
        <v>8.0828714169384472</v>
      </c>
      <c r="D31" s="362">
        <f ca="1">$B$16/D23</f>
        <v>6.4579453116021908</v>
      </c>
      <c r="E31" s="362">
        <f ca="1">$B$16/E23</f>
        <v>5.8181763040785262</v>
      </c>
      <c r="F31" s="277">
        <f ca="1">$B$16/F23</f>
        <v>5.4036037500138017</v>
      </c>
    </row>
    <row r="32" spans="1:6" s="7" customFormat="1" ht="11.25" customHeight="1" x14ac:dyDescent="0.35">
      <c r="A32" s="256" t="s">
        <v>329</v>
      </c>
      <c r="B32" s="244"/>
      <c r="C32" s="364">
        <f ca="1">C24/$B$16</f>
        <v>0</v>
      </c>
      <c r="D32" s="364">
        <f ca="1">D24/$B$16</f>
        <v>6.1859189033569011E-2</v>
      </c>
      <c r="E32" s="364">
        <f ca="1">E24/$B$16</f>
        <v>0.12387841045397815</v>
      </c>
      <c r="F32" s="278">
        <f ca="1">F24/$B$16</f>
        <v>0.13750013031389272</v>
      </c>
    </row>
    <row r="33" spans="1:15" s="7" customFormat="1" ht="11.25" customHeight="1" x14ac:dyDescent="0.35">
      <c r="A33" s="259" t="s">
        <v>307</v>
      </c>
      <c r="B33" s="258"/>
      <c r="C33" s="705">
        <f ca="1">$B$16/C25</f>
        <v>1.2624744745101792</v>
      </c>
      <c r="D33" s="705">
        <f ca="1">$B$16/D25</f>
        <v>1.1383238755501035</v>
      </c>
      <c r="E33" s="705">
        <f ca="1">$B$16/E25</f>
        <v>1.0855177373872475</v>
      </c>
      <c r="F33" s="706">
        <f ca="1">$B$16/F25</f>
        <v>1.0335698441894772</v>
      </c>
    </row>
    <row r="34" spans="1:15" s="7" customFormat="1" ht="11.25" customHeight="1" x14ac:dyDescent="0.35"/>
    <row r="35" spans="1:15" s="7" customFormat="1" ht="11.25" customHeight="1" x14ac:dyDescent="0.35">
      <c r="C35" s="357" t="str">
        <f>RIGHT(C36,3)</f>
        <v>26E</v>
      </c>
      <c r="D35" s="357" t="str">
        <f t="shared" ref="D35:N35" si="0">RIGHT(D36,3)</f>
        <v>26E</v>
      </c>
      <c r="E35" s="357" t="str">
        <f t="shared" si="0"/>
        <v>27E</v>
      </c>
      <c r="F35" s="357" t="str">
        <f t="shared" si="0"/>
        <v>27E</v>
      </c>
      <c r="G35" s="357" t="str">
        <f t="shared" si="0"/>
        <v>27E</v>
      </c>
      <c r="H35" s="357" t="str">
        <f t="shared" si="0"/>
        <v>27E</v>
      </c>
      <c r="I35" s="357" t="str">
        <f t="shared" si="0"/>
        <v>28E</v>
      </c>
      <c r="J35" s="357" t="str">
        <f t="shared" si="0"/>
        <v>28E</v>
      </c>
      <c r="K35" s="357" t="str">
        <f t="shared" si="0"/>
        <v>28E</v>
      </c>
      <c r="L35" s="357" t="str">
        <f t="shared" si="0"/>
        <v>28E</v>
      </c>
      <c r="M35" s="357" t="str">
        <f t="shared" si="0"/>
        <v>29E</v>
      </c>
      <c r="N35" s="357" t="str">
        <f t="shared" si="0"/>
        <v>29E</v>
      </c>
    </row>
    <row r="36" spans="1:15" s="7" customFormat="1" ht="11.25" customHeight="1" thickBot="1" x14ac:dyDescent="0.4">
      <c r="A36" s="251"/>
      <c r="B36" s="252"/>
      <c r="C36" s="253" t="str">
        <f>MOD(--LEFT($B$4,1),4)+1 &amp; "Q" &amp; TEXT(--MID($B$4,3,2) + (--LEFT($B$4,1)=4),"00") &amp; "E"</f>
        <v>3Q26E</v>
      </c>
      <c r="D36" s="253" t="str">
        <f>MOD(--LEFT(C36,1),4)+1 &amp; "Q" &amp; TEXT(--MID(C36,3,2) + IF(--LEFT(C36,1)=4,1,0),"00") &amp; "E"</f>
        <v>4Q26E</v>
      </c>
      <c r="E36" s="253" t="str">
        <f t="shared" ref="E36:N36" si="1">MOD(--LEFT(D36,1),4)+1 &amp; "Q" &amp; TEXT(--MID(D36,3,2) + IF(--LEFT(D36,1)=4,1,0),"00") &amp; "E"</f>
        <v>1Q27E</v>
      </c>
      <c r="F36" s="253" t="str">
        <f t="shared" si="1"/>
        <v>2Q27E</v>
      </c>
      <c r="G36" s="253" t="str">
        <f t="shared" si="1"/>
        <v>3Q27E</v>
      </c>
      <c r="H36" s="253" t="str">
        <f>MOD(--LEFT(G36,1),4)+1 &amp; "Q" &amp; TEXT(--MID(G36,3,2) + IF(--LEFT(G36,1)=4,1,0),"00") &amp; "E"</f>
        <v>4Q27E</v>
      </c>
      <c r="I36" s="253" t="str">
        <f t="shared" si="1"/>
        <v>1Q28E</v>
      </c>
      <c r="J36" s="253" t="str">
        <f t="shared" si="1"/>
        <v>2Q28E</v>
      </c>
      <c r="K36" s="253" t="str">
        <f t="shared" si="1"/>
        <v>3Q28E</v>
      </c>
      <c r="L36" s="253" t="str">
        <f t="shared" si="1"/>
        <v>4Q28E</v>
      </c>
      <c r="M36" s="253" t="str">
        <f t="shared" si="1"/>
        <v>1Q29E</v>
      </c>
      <c r="N36" s="253" t="str">
        <f t="shared" si="1"/>
        <v>2Q29E</v>
      </c>
    </row>
    <row r="37" spans="1:15" s="7" customFormat="1" ht="11.25" customHeight="1" thickTop="1" x14ac:dyDescent="0.35">
      <c r="A37" s="614" t="s">
        <v>289</v>
      </c>
      <c r="B37" s="614"/>
      <c r="C37" s="366">
        <f ca="1">HLOOKUP(C36,'BS &amp; FCF'!$A$142:$DB$147,6,FALSE)</f>
        <v>26.350367264917988</v>
      </c>
      <c r="D37" s="366">
        <f ca="1">HLOOKUP(D36,'BS &amp; FCF'!$A$142:$DB$147,6,FALSE)</f>
        <v>27.72333279338536</v>
      </c>
      <c r="E37" s="366">
        <f ca="1">HLOOKUP(E36,'BS &amp; FCF'!$A$142:$DB$147,6,FALSE)</f>
        <v>26.852566080327804</v>
      </c>
      <c r="F37" s="367">
        <f ca="1">HLOOKUP(F36,'BS &amp; FCF'!$A$142:$DB$147,6,FALSE)</f>
        <v>28.045540301121445</v>
      </c>
      <c r="G37" s="368">
        <f ca="1">HLOOKUP(G36,'BS &amp; FCF'!$A$142:$DB$147,6,FALSE)</f>
        <v>29.305774264222389</v>
      </c>
      <c r="H37" s="366">
        <f ca="1">HLOOKUP(H36,'BS &amp; FCF'!$A$142:$DB$147,6,FALSE)</f>
        <v>30.746961169628449</v>
      </c>
      <c r="I37" s="366">
        <f ca="1">HLOOKUP(I36,'BS &amp; FCF'!$A$142:$DB$147,6,FALSE)</f>
        <v>27.93466240654563</v>
      </c>
      <c r="J37" s="367">
        <f ca="1">HLOOKUP(J36,'BS &amp; FCF'!$A$142:$DB$147,6,FALSE)</f>
        <v>29.307059264170924</v>
      </c>
      <c r="K37" s="366">
        <f ca="1">HLOOKUP(K36,'BS &amp; FCF'!$A$142:$DB$147,6,FALSE)</f>
        <v>30.688645385645586</v>
      </c>
      <c r="L37" s="366">
        <f ca="1">HLOOKUP(L36,'BS &amp; FCF'!$A$142:$DB$147,6,FALSE)</f>
        <v>32.242679041101752</v>
      </c>
      <c r="M37" s="366">
        <f ca="1">HLOOKUP(M36,'BS &amp; FCF'!$A$142:$DB$147,6,FALSE)</f>
        <v>29.113399239903373</v>
      </c>
      <c r="N37" s="366">
        <f ca="1">HLOOKUP(N36,'BS &amp; FCF'!$A$142:$DB$147,6,FALSE)</f>
        <v>30.63320572403121</v>
      </c>
    </row>
    <row r="38" spans="1:15" s="7" customFormat="1" ht="11.25" customHeight="1" x14ac:dyDescent="0.35">
      <c r="A38" s="127" t="s">
        <v>311</v>
      </c>
      <c r="B38" s="127"/>
      <c r="C38" s="369">
        <f ca="1">HLOOKUP(C36,IS!$A$47:$DB$53,6,FALSE)</f>
        <v>1.2084465667093858</v>
      </c>
      <c r="D38" s="369">
        <f ca="1">HLOOKUP(D36,IS!$A$47:$DB$53,6,FALSE)</f>
        <v>1.4042687708333685</v>
      </c>
      <c r="E38" s="369">
        <f ca="1">HLOOKUP(E36,IS!$A$47:$DB$53,6,FALSE)</f>
        <v>1.3727509753619471</v>
      </c>
      <c r="F38" s="379">
        <f ca="1">HLOOKUP(F36,IS!$A$47:$DB$53,6,FALSE)</f>
        <v>1.2621457821724926</v>
      </c>
      <c r="G38" s="380">
        <f ca="1">HLOOKUP(G36,IS!$A$47:$DB$53,6,FALSE)</f>
        <v>1.3102455664509347</v>
      </c>
      <c r="H38" s="369">
        <f ca="1">HLOOKUP(H36,IS!$A$47:$DB$53,6,FALSE)</f>
        <v>1.4745381333761702</v>
      </c>
      <c r="I38" s="369">
        <f ca="1">HLOOKUP(I36,IS!$A$47:$DB$53,6,FALSE)</f>
        <v>1.5785371251610192</v>
      </c>
      <c r="J38" s="379">
        <f ca="1">HLOOKUP(J36,IS!$A$47:$DB$53,6,FALSE)</f>
        <v>1.4245489731548249</v>
      </c>
      <c r="K38" s="369">
        <f ca="1">HLOOKUP(K36,IS!$A$47:$DB$53,6,FALSE)</f>
        <v>1.426568504894864</v>
      </c>
      <c r="L38" s="369">
        <f ca="1">HLOOKUP(L36,IS!$A$47:$DB$53,6,FALSE)</f>
        <v>1.5859760980220978</v>
      </c>
      <c r="M38" s="369">
        <f ca="1">HLOOKUP(M36,IS!$A$47:$DB$53,6,FALSE)</f>
        <v>1.6984973832874102</v>
      </c>
      <c r="N38" s="369">
        <f ca="1">HLOOKUP(N36,IS!$A$47:$DB$53,6,FALSE)</f>
        <v>1.5362287102749892</v>
      </c>
    </row>
    <row r="39" spans="1:15" s="7" customFormat="1" ht="11.25" customHeight="1" x14ac:dyDescent="0.35">
      <c r="A39" s="370" t="s">
        <v>290</v>
      </c>
      <c r="B39" s="370"/>
      <c r="C39" s="371">
        <f>HLOOKUP(C36,IS!$A$47:$DB$53,7,FALSE)</f>
        <v>0</v>
      </c>
      <c r="D39" s="371">
        <f>HLOOKUP(D36,IS!$A$47:$DB$53,7,FALSE)</f>
        <v>0</v>
      </c>
      <c r="E39" s="371">
        <f ca="1">HLOOKUP(E36,IS!$A$47:$DB$53,7,FALSE)</f>
        <v>2.1650716161749153</v>
      </c>
      <c r="F39" s="372">
        <f>HLOOKUP(F36,IS!$A$47:$DB$53,7,FALSE)</f>
        <v>0</v>
      </c>
      <c r="G39" s="373">
        <f>HLOOKUP(G36,IS!$A$47:$DB$53,7,FALSE)</f>
        <v>0</v>
      </c>
      <c r="H39" s="371">
        <f>HLOOKUP(H36,IS!$A$47:$DB$53,7,FALSE)</f>
        <v>0</v>
      </c>
      <c r="I39" s="371">
        <f ca="1">HLOOKUP(I36,IS!$A$47:$DB$53,7,FALSE)</f>
        <v>4.3357443658892354</v>
      </c>
      <c r="J39" s="372">
        <f>HLOOKUP(J36,IS!$A$47:$DB$53,7,FALSE)</f>
        <v>0</v>
      </c>
      <c r="K39" s="371">
        <f>HLOOKUP(K36,IS!$A$47:$DB$53,7,FALSE)</f>
        <v>0</v>
      </c>
      <c r="L39" s="371">
        <f>HLOOKUP(L36,IS!$A$47:$DB$53,7,FALSE)</f>
        <v>0</v>
      </c>
      <c r="M39" s="371">
        <f ca="1">HLOOKUP(M36,IS!$A$47:$DB$53,7,FALSE)</f>
        <v>4.8125045609862447</v>
      </c>
      <c r="N39" s="371">
        <f>HLOOKUP(N36,IS!$A$47:$DB$53,7,FALSE)</f>
        <v>0</v>
      </c>
    </row>
    <row r="40" spans="1:15" s="7" customFormat="1" ht="11.25" customHeight="1" x14ac:dyDescent="0.35">
      <c r="A40" s="374" t="s">
        <v>318</v>
      </c>
      <c r="B40" s="375"/>
      <c r="C40" s="376">
        <f>(1+$B$15)^(1/4)</f>
        <v>1.0383886066623529</v>
      </c>
      <c r="D40" s="376">
        <f>C40*(1+$B$15)^(1/4)</f>
        <v>1.0782508984461827</v>
      </c>
      <c r="E40" s="376">
        <f>D40*(1+$B$15)^(1/4)</f>
        <v>1.1196434480699617</v>
      </c>
      <c r="F40" s="377">
        <f>E40*(1+$B$15)^(1/4)</f>
        <v>1.162625</v>
      </c>
      <c r="G40" s="378">
        <f t="shared" ref="G40:N40" si="2">F40*(1+$B$15)^(1/4)</f>
        <v>1.207256553820818</v>
      </c>
      <c r="H40" s="376">
        <f t="shared" si="2"/>
        <v>1.2536014508059929</v>
      </c>
      <c r="I40" s="376">
        <f t="shared" si="2"/>
        <v>1.3017254638123392</v>
      </c>
      <c r="J40" s="377">
        <f t="shared" si="2"/>
        <v>1.351696890625</v>
      </c>
      <c r="K40" s="376">
        <f t="shared" si="2"/>
        <v>1.4035866508859285</v>
      </c>
      <c r="L40" s="376">
        <f t="shared" si="2"/>
        <v>1.4574683867433176</v>
      </c>
      <c r="M40" s="376">
        <f t="shared" si="2"/>
        <v>1.5134185673648208</v>
      </c>
      <c r="N40" s="376">
        <f t="shared" si="2"/>
        <v>1.5715165974628906</v>
      </c>
    </row>
    <row r="41" spans="1:15" s="7" customFormat="1" ht="11.25" customHeight="1" x14ac:dyDescent="0.35">
      <c r="A41" s="127" t="s">
        <v>374</v>
      </c>
      <c r="B41" s="127"/>
      <c r="C41" s="369">
        <f>C39/C40</f>
        <v>0</v>
      </c>
      <c r="D41" s="369">
        <f t="shared" ref="D41:N41" si="3">D39/D40</f>
        <v>0</v>
      </c>
      <c r="E41" s="369">
        <f t="shared" ca="1" si="3"/>
        <v>1.9337152554298065</v>
      </c>
      <c r="F41" s="379">
        <f t="shared" si="3"/>
        <v>0</v>
      </c>
      <c r="G41" s="380">
        <f t="shared" si="3"/>
        <v>0</v>
      </c>
      <c r="H41" s="369">
        <f t="shared" si="3"/>
        <v>0</v>
      </c>
      <c r="I41" s="369">
        <f t="shared" ca="1" si="3"/>
        <v>3.3307671136671333</v>
      </c>
      <c r="J41" s="379">
        <f t="shared" si="3"/>
        <v>0</v>
      </c>
      <c r="K41" s="369">
        <f t="shared" si="3"/>
        <v>0</v>
      </c>
      <c r="L41" s="369">
        <f t="shared" si="3"/>
        <v>0</v>
      </c>
      <c r="M41" s="369">
        <f t="shared" ca="1" si="3"/>
        <v>3.1798899952481912</v>
      </c>
      <c r="N41" s="369">
        <f t="shared" si="3"/>
        <v>0</v>
      </c>
    </row>
    <row r="42" spans="1:15" s="7" customFormat="1" ht="11.25" customHeight="1" thickBot="1" x14ac:dyDescent="0.4">
      <c r="A42" s="251" t="s">
        <v>376</v>
      </c>
      <c r="B42" s="252"/>
      <c r="C42" s="253" t="str">
        <f>C36</f>
        <v>3Q26E</v>
      </c>
      <c r="D42" s="253" t="str">
        <f t="shared" ref="D42:N42" si="4">D36</f>
        <v>4Q26E</v>
      </c>
      <c r="E42" s="253" t="str">
        <f t="shared" si="4"/>
        <v>1Q27E</v>
      </c>
      <c r="F42" s="253" t="str">
        <f t="shared" si="4"/>
        <v>2Q27E</v>
      </c>
      <c r="G42" s="253" t="str">
        <f t="shared" si="4"/>
        <v>3Q27E</v>
      </c>
      <c r="H42" s="253" t="str">
        <f t="shared" si="4"/>
        <v>4Q27E</v>
      </c>
      <c r="I42" s="253" t="str">
        <f t="shared" si="4"/>
        <v>1Q28E</v>
      </c>
      <c r="J42" s="253" t="str">
        <f t="shared" si="4"/>
        <v>2Q28E</v>
      </c>
      <c r="K42" s="253" t="str">
        <f t="shared" si="4"/>
        <v>3Q28E</v>
      </c>
      <c r="L42" s="253" t="str">
        <f t="shared" si="4"/>
        <v>4Q28E</v>
      </c>
      <c r="M42" s="253" t="str">
        <f t="shared" si="4"/>
        <v>1Q29E</v>
      </c>
      <c r="N42" s="253" t="str">
        <f t="shared" si="4"/>
        <v>2Q29E</v>
      </c>
    </row>
    <row r="43" spans="1:15" s="7" customFormat="1" ht="11.25" customHeight="1" thickTop="1" x14ac:dyDescent="0.35">
      <c r="A43" s="127" t="s">
        <v>290</v>
      </c>
      <c r="B43" s="127"/>
      <c r="C43" s="366">
        <f>C39</f>
        <v>0</v>
      </c>
      <c r="D43" s="366">
        <f t="shared" ref="D43:J43" si="5">D39</f>
        <v>0</v>
      </c>
      <c r="E43" s="366">
        <f t="shared" ca="1" si="5"/>
        <v>2.1650716161749153</v>
      </c>
      <c r="F43" s="367">
        <f t="shared" si="5"/>
        <v>0</v>
      </c>
      <c r="G43" s="366">
        <f t="shared" si="5"/>
        <v>0</v>
      </c>
      <c r="H43" s="366">
        <f t="shared" si="5"/>
        <v>0</v>
      </c>
      <c r="I43" s="366">
        <f t="shared" ca="1" si="5"/>
        <v>4.3357443658892354</v>
      </c>
      <c r="J43" s="367">
        <f t="shared" si="5"/>
        <v>0</v>
      </c>
      <c r="K43" s="234">
        <f>K39</f>
        <v>0</v>
      </c>
      <c r="L43" s="234"/>
      <c r="M43" s="234"/>
      <c r="N43" s="234"/>
    </row>
    <row r="44" spans="1:15" s="7" customFormat="1" ht="11.25" customHeight="1" x14ac:dyDescent="0.35">
      <c r="A44" s="127" t="s">
        <v>320</v>
      </c>
      <c r="B44" s="127"/>
      <c r="C44" s="369">
        <v>0</v>
      </c>
      <c r="D44" s="369">
        <v>0</v>
      </c>
      <c r="E44" s="369">
        <v>0</v>
      </c>
      <c r="F44" s="379">
        <v>0</v>
      </c>
      <c r="G44" s="369">
        <v>0</v>
      </c>
      <c r="H44" s="369">
        <v>0</v>
      </c>
      <c r="I44" s="369">
        <v>0</v>
      </c>
      <c r="J44" s="379">
        <v>0</v>
      </c>
      <c r="K44" s="234">
        <f ca="1">K37*B55</f>
        <v>36.212601555061788</v>
      </c>
      <c r="L44" s="369"/>
      <c r="M44" s="369"/>
      <c r="N44" s="369"/>
    </row>
    <row r="45" spans="1:15" s="7" customFormat="1" ht="11.25" customHeight="1" x14ac:dyDescent="0.35">
      <c r="A45" s="250" t="s">
        <v>292</v>
      </c>
      <c r="B45" s="381">
        <f>-$B$6</f>
        <v>-20.68</v>
      </c>
      <c r="C45" s="382">
        <f>SUM(C43:C44)</f>
        <v>0</v>
      </c>
      <c r="D45" s="382">
        <f t="shared" ref="D45:K45" si="6">SUM(D43:D44)</f>
        <v>0</v>
      </c>
      <c r="E45" s="382">
        <f t="shared" ca="1" si="6"/>
        <v>2.1650716161749153</v>
      </c>
      <c r="F45" s="383">
        <f t="shared" si="6"/>
        <v>0</v>
      </c>
      <c r="G45" s="382">
        <f t="shared" si="6"/>
        <v>0</v>
      </c>
      <c r="H45" s="382">
        <f t="shared" si="6"/>
        <v>0</v>
      </c>
      <c r="I45" s="382">
        <f t="shared" ca="1" si="6"/>
        <v>4.3357443658892354</v>
      </c>
      <c r="J45" s="383">
        <f t="shared" si="6"/>
        <v>0</v>
      </c>
      <c r="K45" s="382">
        <f t="shared" ca="1" si="6"/>
        <v>36.212601555061788</v>
      </c>
      <c r="L45" s="382"/>
      <c r="M45" s="382"/>
      <c r="N45" s="382"/>
    </row>
    <row r="46" spans="1:15" s="7" customFormat="1" ht="11.25" customHeight="1" x14ac:dyDescent="0.35">
      <c r="A46" s="224" t="s">
        <v>377</v>
      </c>
      <c r="B46" s="280">
        <f ca="1">(1+IRR(B45:K45))^4-1</f>
        <v>0.41279755749118907</v>
      </c>
      <c r="C46" s="592">
        <f ca="1">$B$6/SUM(C38:F38)</f>
        <v>3.940840066932537</v>
      </c>
      <c r="D46" s="128">
        <f ca="1">SUM(C39:F39)/B6</f>
        <v>0.10469398530826476</v>
      </c>
    </row>
    <row r="47" spans="1:15" s="7" customFormat="1" ht="11.25" customHeight="1" x14ac:dyDescent="0.35">
      <c r="A47" s="224" t="s">
        <v>331</v>
      </c>
      <c r="B47" s="384">
        <f ca="1">ROUND(NPV((1+B15)^(1/4)-1,C45:K45),1)</f>
        <v>31.1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</row>
    <row r="48" spans="1:15" s="7" customFormat="1" ht="11.25" customHeight="1" x14ac:dyDescent="0.35">
      <c r="A48" s="250" t="s">
        <v>378</v>
      </c>
      <c r="B48" s="281">
        <f ca="1">(B47/B6)^(1/2)-1</f>
        <v>0.2263231515198505</v>
      </c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</row>
    <row r="49" spans="1:15" s="7" customFormat="1" ht="11.25" customHeight="1" x14ac:dyDescent="0.35">
      <c r="B49" s="9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</row>
    <row r="50" spans="1:15" s="7" customFormat="1" ht="11.25" customHeight="1" x14ac:dyDescent="0.35">
      <c r="B50" s="9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</row>
    <row r="51" spans="1:15" ht="11.25" customHeight="1" thickBot="1" x14ac:dyDescent="0.4">
      <c r="A51" s="124" t="s">
        <v>310</v>
      </c>
      <c r="B51" s="238"/>
      <c r="E51" s="263"/>
      <c r="G51" s="263"/>
      <c r="I51" s="385"/>
    </row>
    <row r="52" spans="1:15" ht="11.25" customHeight="1" thickTop="1" x14ac:dyDescent="0.35">
      <c r="A52" s="242" t="s">
        <v>304</v>
      </c>
      <c r="B52" s="243" t="str">
        <f>LEFT(B4,2)&amp;RIGHT(B4,2)+1&amp;"E"</f>
        <v>2Q27E</v>
      </c>
      <c r="I52" s="385"/>
    </row>
    <row r="53" spans="1:15" ht="11.25" customHeight="1" x14ac:dyDescent="0.35">
      <c r="A53" s="242" t="s">
        <v>306</v>
      </c>
      <c r="B53" s="245">
        <f ca="1">HLOOKUP($B$52,'BS &amp; FCF'!142:152,5,0)</f>
        <v>12221053.125488913</v>
      </c>
      <c r="D53" s="386"/>
      <c r="E53" s="386"/>
      <c r="I53" s="385"/>
    </row>
    <row r="54" spans="1:15" ht="11.25" customHeight="1" outlineLevel="1" x14ac:dyDescent="0.35">
      <c r="A54" s="242" t="s">
        <v>299</v>
      </c>
      <c r="B54" s="387">
        <f ca="1">AVERAGE($C$22:$F$22)</f>
        <v>0.18586609740184684</v>
      </c>
      <c r="D54" s="386"/>
      <c r="E54" s="386"/>
      <c r="I54" s="385"/>
    </row>
    <row r="55" spans="1:15" ht="11.25" customHeight="1" x14ac:dyDescent="0.35">
      <c r="A55" s="246" t="s">
        <v>308</v>
      </c>
      <c r="B55" s="707">
        <f ca="1">ROUND((B54-B8)/(B15-B8),2)</f>
        <v>1.18</v>
      </c>
      <c r="C55" s="388"/>
      <c r="E55" s="386"/>
      <c r="I55" s="385"/>
    </row>
    <row r="56" spans="1:15" ht="11.25" customHeight="1" x14ac:dyDescent="0.35">
      <c r="A56" s="242" t="s">
        <v>315</v>
      </c>
      <c r="B56" s="391">
        <v>0</v>
      </c>
      <c r="E56" s="66"/>
      <c r="H56" s="247"/>
      <c r="I56" s="385"/>
    </row>
    <row r="57" spans="1:15" ht="11.25" customHeight="1" x14ac:dyDescent="0.35">
      <c r="A57" s="242" t="s">
        <v>314</v>
      </c>
      <c r="B57" s="116">
        <f ca="1">B53*B55+B56</f>
        <v>14420842.688076917</v>
      </c>
      <c r="E57" s="66"/>
      <c r="H57" s="247"/>
    </row>
    <row r="58" spans="1:15" ht="11.25" customHeight="1" x14ac:dyDescent="0.35">
      <c r="A58" s="242" t="s">
        <v>303</v>
      </c>
      <c r="B58" s="116">
        <f>HLOOKUP(B52,IS!$A$47:$DB$48,2,0)</f>
        <v>435757.45</v>
      </c>
      <c r="H58" s="115"/>
    </row>
    <row r="59" spans="1:15" ht="11.25" customHeight="1" x14ac:dyDescent="0.35">
      <c r="A59" s="242" t="s">
        <v>379</v>
      </c>
      <c r="B59" s="260">
        <f ca="1">B57/B58</f>
        <v>33.093737555323301</v>
      </c>
      <c r="H59" s="115"/>
    </row>
    <row r="60" spans="1:15" ht="11.25" customHeight="1" x14ac:dyDescent="0.35">
      <c r="A60" s="242" t="s">
        <v>305</v>
      </c>
      <c r="B60" s="389">
        <f ca="1">SUM(C39:F39)</f>
        <v>2.1650716161749153</v>
      </c>
    </row>
    <row r="61" spans="1:15" ht="11.25" customHeight="1" x14ac:dyDescent="0.35">
      <c r="A61" s="246" t="s">
        <v>313</v>
      </c>
      <c r="B61" s="261">
        <f ca="1">ROUND(B59+B60,0)</f>
        <v>35</v>
      </c>
      <c r="C61" s="247"/>
      <c r="D61" s="263"/>
      <c r="E61" s="34"/>
      <c r="I61" s="385"/>
    </row>
    <row r="62" spans="1:15" ht="11.25" customHeight="1" x14ac:dyDescent="0.35">
      <c r="A62" s="282" t="s">
        <v>309</v>
      </c>
      <c r="B62" s="283">
        <f ca="1">B61/$B$6-1</f>
        <v>0.69245647969052238</v>
      </c>
      <c r="D62" s="248"/>
      <c r="E62" s="34"/>
      <c r="I62" s="385"/>
    </row>
    <row r="63" spans="1:15" ht="11.25" customHeight="1" outlineLevel="1" x14ac:dyDescent="0.35">
      <c r="A63" s="242"/>
      <c r="E63" s="34"/>
      <c r="I63" s="385"/>
    </row>
    <row r="64" spans="1:15" ht="11.25" customHeight="1" outlineLevel="1" x14ac:dyDescent="0.35">
      <c r="A64" s="242"/>
      <c r="E64" s="34"/>
      <c r="I64" s="385"/>
    </row>
    <row r="65" spans="1:9" ht="11.25" customHeight="1" outlineLevel="1" thickBot="1" x14ac:dyDescent="0.4">
      <c r="A65" s="124" t="s">
        <v>380</v>
      </c>
      <c r="B65" s="238"/>
      <c r="D65" s="256"/>
      <c r="E65" s="256"/>
      <c r="F65" s="256"/>
      <c r="G65" s="256"/>
      <c r="H65" s="256"/>
      <c r="I65" s="385"/>
    </row>
    <row r="66" spans="1:9" ht="11.25" customHeight="1" outlineLevel="1" thickTop="1" x14ac:dyDescent="0.35">
      <c r="A66" s="242" t="s">
        <v>304</v>
      </c>
      <c r="B66" s="243" t="str">
        <f>LEFT(B4,2)&amp;RIGHT(B4,2)+1&amp;"E"</f>
        <v>2Q27E</v>
      </c>
      <c r="G66" s="256"/>
      <c r="H66" s="256"/>
      <c r="I66" s="385"/>
    </row>
    <row r="67" spans="1:9" ht="11.25" customHeight="1" outlineLevel="1" x14ac:dyDescent="0.35">
      <c r="A67" s="242" t="s">
        <v>312</v>
      </c>
      <c r="B67" s="389">
        <f ca="1">SUM(G38:J38)</f>
        <v>5.7878697981429488</v>
      </c>
      <c r="G67" s="256"/>
      <c r="H67" s="256"/>
      <c r="I67" s="385"/>
    </row>
    <row r="68" spans="1:9" ht="11.25" customHeight="1" outlineLevel="2" x14ac:dyDescent="0.35">
      <c r="A68" s="242" t="s">
        <v>299</v>
      </c>
      <c r="B68" s="387">
        <f ca="1">AVERAGE($C$22:$F$22)</f>
        <v>0.18586609740184684</v>
      </c>
      <c r="G68" s="256"/>
      <c r="H68" s="256"/>
      <c r="I68" s="385"/>
    </row>
    <row r="69" spans="1:9" ht="11.25" customHeight="1" outlineLevel="1" x14ac:dyDescent="0.35">
      <c r="A69" s="246" t="s">
        <v>316</v>
      </c>
      <c r="B69" s="390">
        <f ca="1">(((1-(B8/B68)))/(B15-B8))</f>
        <v>6.3599795739866307</v>
      </c>
      <c r="C69" s="247"/>
      <c r="G69" s="256"/>
      <c r="H69" s="256"/>
      <c r="I69" s="385"/>
    </row>
    <row r="70" spans="1:9" ht="11.25" customHeight="1" outlineLevel="2" x14ac:dyDescent="0.35">
      <c r="A70" s="242" t="s">
        <v>315</v>
      </c>
      <c r="B70" s="391">
        <v>0</v>
      </c>
      <c r="G70" s="256"/>
      <c r="H70" s="256"/>
      <c r="I70" s="385"/>
    </row>
    <row r="71" spans="1:9" ht="11.25" customHeight="1" outlineLevel="1" x14ac:dyDescent="0.35">
      <c r="A71" s="242" t="s">
        <v>381</v>
      </c>
      <c r="B71" s="260">
        <f ca="1">B67*B69</f>
        <v>36.810733693083279</v>
      </c>
      <c r="G71" s="256"/>
      <c r="H71" s="256"/>
      <c r="I71" s="385"/>
    </row>
    <row r="72" spans="1:9" ht="11.25" customHeight="1" outlineLevel="1" x14ac:dyDescent="0.35">
      <c r="A72" s="242" t="s">
        <v>305</v>
      </c>
      <c r="B72" s="389">
        <f ca="1">SUM(C39:F39)</f>
        <v>2.1650716161749153</v>
      </c>
      <c r="F72" s="256"/>
      <c r="G72" s="256"/>
      <c r="H72" s="256"/>
    </row>
    <row r="73" spans="1:9" ht="11.25" customHeight="1" outlineLevel="1" x14ac:dyDescent="0.35">
      <c r="A73" s="246" t="s">
        <v>313</v>
      </c>
      <c r="B73" s="261">
        <f ca="1">ROUND(B71+B72,0)</f>
        <v>39</v>
      </c>
      <c r="F73" s="256"/>
      <c r="G73" s="256"/>
      <c r="H73" s="256"/>
    </row>
    <row r="74" spans="1:9" ht="11.25" customHeight="1" outlineLevel="1" x14ac:dyDescent="0.35">
      <c r="A74" s="282" t="s">
        <v>309</v>
      </c>
      <c r="B74" s="283">
        <f ca="1">B73/$B$6-1</f>
        <v>0.88588007736943908</v>
      </c>
      <c r="F74" s="256"/>
      <c r="G74" s="256"/>
      <c r="H74" s="256"/>
    </row>
    <row r="75" spans="1:9" ht="11.25" customHeight="1" x14ac:dyDescent="0.35">
      <c r="F75" s="256"/>
      <c r="G75" s="256"/>
      <c r="H75" s="256"/>
    </row>
    <row r="76" spans="1:9" ht="11.25" customHeight="1" x14ac:dyDescent="0.35">
      <c r="D76" s="256"/>
      <c r="E76" s="256"/>
      <c r="F76" s="256"/>
      <c r="G76" s="256"/>
      <c r="H76" s="256"/>
    </row>
    <row r="77" spans="1:9" ht="11.25" customHeight="1" outlineLevel="1" thickBot="1" x14ac:dyDescent="0.4">
      <c r="A77" s="124" t="s">
        <v>317</v>
      </c>
      <c r="B77" s="238"/>
      <c r="C77" s="253" t="str">
        <f>20&amp;RIGHT($B$4,2)&amp;"E"</f>
        <v>2026E</v>
      </c>
      <c r="D77" s="253" t="str">
        <f>20&amp;RIGHT($B$4,2)+1&amp;"E"</f>
        <v>2027E</v>
      </c>
      <c r="E77" s="253" t="str">
        <f>20&amp;RIGHT($B$4,2)+2&amp;"E"</f>
        <v>2028E</v>
      </c>
      <c r="F77" s="253" t="str">
        <f>20&amp;RIGHT($B$4,2)+3&amp;"E"</f>
        <v>2029E</v>
      </c>
      <c r="G77" s="253" t="str">
        <f>20&amp;RIGHT($B$4,2)+4&amp;"E"</f>
        <v>2030E</v>
      </c>
      <c r="H77" s="256"/>
    </row>
    <row r="78" spans="1:9" ht="11.25" customHeight="1" outlineLevel="1" thickTop="1" x14ac:dyDescent="0.35">
      <c r="A78" s="127" t="s">
        <v>323</v>
      </c>
      <c r="B78" s="266"/>
      <c r="C78" s="267">
        <f ca="1">HLOOKUP(C77,'BS &amp; FCF'!$A$70:$DB$90,21,FALSE)</f>
        <v>1085323.1252701916</v>
      </c>
      <c r="D78" s="267">
        <f ca="1">HLOOKUP(D77,'BS &amp; FCF'!$A$70:$DB$90,21,FALSE)</f>
        <v>1628275.4516820954</v>
      </c>
      <c r="E78" s="267">
        <f ca="1">HLOOKUP(E77,'BS &amp; FCF'!$A$70:$DB$90,21,FALSE)</f>
        <v>1786323.3669974422</v>
      </c>
      <c r="F78" s="267">
        <f ca="1">HLOOKUP(F77,'BS &amp; FCF'!$A$70:$DB$90,21,FALSE)</f>
        <v>2334916.920027114</v>
      </c>
      <c r="G78" s="267">
        <f ca="1">HLOOKUP(G77,'BS &amp; FCF'!$A$70:$DB$90,21,FALSE)</f>
        <v>3010187.9022528837</v>
      </c>
      <c r="H78" s="256"/>
    </row>
    <row r="79" spans="1:9" ht="11.25" customHeight="1" outlineLevel="2" x14ac:dyDescent="0.35">
      <c r="A79" s="374" t="s">
        <v>318</v>
      </c>
      <c r="B79" s="255"/>
      <c r="C79" s="255">
        <f>(1+$B$15)</f>
        <v>1.162625</v>
      </c>
      <c r="D79" s="255">
        <f>C79*(1+$B$15)</f>
        <v>1.351696890625</v>
      </c>
      <c r="E79" s="255">
        <f>D79*(1+$B$15)</f>
        <v>1.5715165974628906</v>
      </c>
      <c r="F79" s="255">
        <f>E79*(1+$B$15)</f>
        <v>1.8270844841252933</v>
      </c>
      <c r="G79" s="255">
        <f>F79*(1+$B$15)</f>
        <v>2.1242140983561693</v>
      </c>
      <c r="H79" s="256"/>
    </row>
    <row r="80" spans="1:9" ht="11.25" customHeight="1" outlineLevel="1" x14ac:dyDescent="0.35">
      <c r="A80" s="11" t="s">
        <v>319</v>
      </c>
      <c r="B80" s="268"/>
      <c r="C80" s="269">
        <f ca="1">C78/C79</f>
        <v>933510.91303747264</v>
      </c>
      <c r="D80" s="269">
        <f ca="1">D78/D79</f>
        <v>1204615.8151101542</v>
      </c>
      <c r="E80" s="269">
        <f ca="1">E78/E79</f>
        <v>1136687.5602086182</v>
      </c>
      <c r="F80" s="269">
        <f ca="1">F78/F79</f>
        <v>1277946.8822126978</v>
      </c>
      <c r="G80" s="269">
        <f ca="1">G78/G79</f>
        <v>1417083.1012666419</v>
      </c>
      <c r="H80" s="256"/>
    </row>
    <row r="81" spans="1:9" ht="11.25" customHeight="1" outlineLevel="1" x14ac:dyDescent="0.35">
      <c r="A81" s="271" t="s">
        <v>320</v>
      </c>
      <c r="B81" s="272"/>
      <c r="C81" s="273" t="s">
        <v>291</v>
      </c>
      <c r="D81" s="273" t="s">
        <v>291</v>
      </c>
      <c r="E81" s="273" t="s">
        <v>291</v>
      </c>
      <c r="F81" s="273" t="s">
        <v>291</v>
      </c>
      <c r="G81" s="819">
        <f ca="1">($G$78/($B$15-$B$8))/G79</f>
        <v>11103491.488866925</v>
      </c>
      <c r="H81" s="256"/>
      <c r="I81" s="385"/>
    </row>
    <row r="82" spans="1:9" ht="11.25" customHeight="1" outlineLevel="1" x14ac:dyDescent="0.35">
      <c r="A82" s="242" t="s">
        <v>314</v>
      </c>
      <c r="B82" s="65">
        <f ca="1">SUM(C80:G80,G81)</f>
        <v>17073335.760702509</v>
      </c>
      <c r="C82" s="255"/>
      <c r="D82" s="255"/>
      <c r="E82" s="255"/>
      <c r="F82" s="255"/>
      <c r="G82" s="255"/>
      <c r="H82" s="256"/>
      <c r="I82" s="385"/>
    </row>
    <row r="83" spans="1:9" ht="11.25" customHeight="1" outlineLevel="1" x14ac:dyDescent="0.35">
      <c r="A83" s="7" t="s">
        <v>303</v>
      </c>
      <c r="B83" s="65">
        <f>$B$58</f>
        <v>435757.45</v>
      </c>
      <c r="H83" s="256"/>
      <c r="I83" s="385"/>
    </row>
    <row r="84" spans="1:9" ht="11.25" customHeight="1" outlineLevel="1" x14ac:dyDescent="0.35">
      <c r="A84" s="224" t="s">
        <v>313</v>
      </c>
      <c r="B84" s="284">
        <f ca="1">ROUND(B82/B83*(1+$B$15),1)</f>
        <v>45.6</v>
      </c>
      <c r="H84" s="256"/>
      <c r="I84" s="385"/>
    </row>
    <row r="85" spans="1:9" ht="11.25" customHeight="1" outlineLevel="1" x14ac:dyDescent="0.35">
      <c r="A85" s="239" t="s">
        <v>302</v>
      </c>
      <c r="B85" s="283">
        <f ca="1">+B84/B6-1</f>
        <v>1.2050290135396517</v>
      </c>
      <c r="C85" s="258"/>
      <c r="D85" s="258"/>
      <c r="E85" s="258"/>
      <c r="F85" s="258"/>
      <c r="G85" s="258"/>
      <c r="H85" s="256"/>
      <c r="I85" s="385"/>
    </row>
    <row r="86" spans="1:9" ht="11.25" customHeight="1" x14ac:dyDescent="0.35">
      <c r="D86" s="247"/>
      <c r="E86" s="247"/>
      <c r="H86" s="256"/>
      <c r="I86" s="385"/>
    </row>
    <row r="87" spans="1:9" ht="11.25" customHeight="1" x14ac:dyDescent="0.35">
      <c r="D87" s="247"/>
      <c r="E87" s="247"/>
      <c r="F87" s="247"/>
      <c r="G87" s="386"/>
      <c r="H87" s="392"/>
      <c r="I87" s="393"/>
    </row>
    <row r="88" spans="1:9" ht="11.25" customHeight="1" x14ac:dyDescent="0.35">
      <c r="H88" s="256"/>
      <c r="I88" s="393"/>
    </row>
    <row r="89" spans="1:9" ht="11.25" customHeight="1" x14ac:dyDescent="0.35">
      <c r="H89" s="256"/>
      <c r="I89" s="385"/>
    </row>
    <row r="90" spans="1:9" ht="11.25" customHeight="1" x14ac:dyDescent="0.35">
      <c r="H90" s="256"/>
      <c r="I90" s="385"/>
    </row>
    <row r="91" spans="1:9" ht="11.25" customHeight="1" x14ac:dyDescent="0.35">
      <c r="H91" s="256"/>
    </row>
    <row r="92" spans="1:9" ht="11.25" customHeight="1" x14ac:dyDescent="0.35">
      <c r="H92" s="392"/>
    </row>
    <row r="93" spans="1:9" ht="11.25" customHeight="1" x14ac:dyDescent="0.35">
      <c r="H93" s="256"/>
    </row>
    <row r="94" spans="1:9" ht="11.25" customHeight="1" x14ac:dyDescent="0.35">
      <c r="H94" s="256"/>
      <c r="I94" s="385"/>
    </row>
    <row r="95" spans="1:9" ht="11.25" customHeight="1" x14ac:dyDescent="0.35">
      <c r="H95" s="256"/>
      <c r="I95" s="385"/>
    </row>
    <row r="96" spans="1:9" ht="11.25" customHeight="1" x14ac:dyDescent="0.35">
      <c r="H96" s="256"/>
      <c r="I96" s="385"/>
    </row>
    <row r="97" spans="7:9" ht="11.25" customHeight="1" x14ac:dyDescent="0.35">
      <c r="H97" s="256"/>
      <c r="I97" s="385"/>
    </row>
    <row r="98" spans="7:9" ht="11.25" customHeight="1" x14ac:dyDescent="0.35">
      <c r="H98" s="256"/>
    </row>
    <row r="99" spans="7:9" ht="11.25" customHeight="1" x14ac:dyDescent="0.35">
      <c r="H99" s="256"/>
    </row>
    <row r="100" spans="7:9" ht="11.25" customHeight="1" x14ac:dyDescent="0.35">
      <c r="H100" s="256"/>
      <c r="I100" s="7"/>
    </row>
    <row r="101" spans="7:9" ht="11.25" customHeight="1" x14ac:dyDescent="0.35">
      <c r="I101" s="7"/>
    </row>
    <row r="102" spans="7:9" ht="11.25" customHeight="1" x14ac:dyDescent="0.35">
      <c r="I102" s="394"/>
    </row>
    <row r="103" spans="7:9" ht="11.25" customHeight="1" x14ac:dyDescent="0.35">
      <c r="I103" s="394"/>
    </row>
    <row r="104" spans="7:9" ht="11.25" customHeight="1" x14ac:dyDescent="0.35">
      <c r="I104" s="394"/>
    </row>
    <row r="105" spans="7:9" ht="11.25" customHeight="1" x14ac:dyDescent="0.35">
      <c r="I105" s="394"/>
    </row>
    <row r="106" spans="7:9" ht="11.25" customHeight="1" x14ac:dyDescent="0.35">
      <c r="I106" s="394"/>
    </row>
    <row r="107" spans="7:9" ht="11.25" customHeight="1" x14ac:dyDescent="0.35">
      <c r="I107" s="394"/>
    </row>
    <row r="108" spans="7:9" ht="11.25" customHeight="1" x14ac:dyDescent="0.35">
      <c r="I108" s="394"/>
    </row>
    <row r="109" spans="7:9" ht="11.25" customHeight="1" x14ac:dyDescent="0.35">
      <c r="I109" s="394"/>
    </row>
    <row r="110" spans="7:9" ht="11.25" customHeight="1" x14ac:dyDescent="0.35">
      <c r="I110" s="394"/>
    </row>
    <row r="111" spans="7:9" ht="11.25" customHeight="1" x14ac:dyDescent="0.35">
      <c r="I111" s="394"/>
    </row>
    <row r="112" spans="7:9" ht="11.25" customHeight="1" x14ac:dyDescent="0.35">
      <c r="G112" s="385" t="s">
        <v>382</v>
      </c>
    </row>
  </sheetData>
  <pageMargins left="0.7" right="0.7" top="0.75" bottom="0.75" header="0.3" footer="0.3"/>
  <headerFooter>
    <oddFooter>&amp;L_x000D_&amp;1#&amp;"Calibri"&amp;9&amp;K000000 Corporativo | Interno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C0E2-9123-411C-871A-CA09EFAC9968}">
  <sheetPr>
    <tabColor theme="2" tint="-0.89999084444715716"/>
  </sheetPr>
  <dimension ref="A1:W72"/>
  <sheetViews>
    <sheetView showGridLines="0" zoomScale="115" zoomScaleNormal="115" workbookViewId="0">
      <selection activeCell="E15" sqref="E15"/>
    </sheetView>
  </sheetViews>
  <sheetFormatPr defaultColWidth="9.1796875" defaultRowHeight="10" outlineLevelRow="1" x14ac:dyDescent="0.35"/>
  <cols>
    <col min="1" max="1" width="3.1796875" style="344" customWidth="1"/>
    <col min="2" max="2" width="30" style="352" customWidth="1"/>
    <col min="3" max="3" width="11.453125" style="342" bestFit="1" customWidth="1"/>
    <col min="4" max="7" width="10.54296875" style="342" customWidth="1"/>
    <col min="8" max="8" width="11.1796875" style="342" bestFit="1" customWidth="1"/>
    <col min="9" max="9" width="10.54296875" style="342" customWidth="1"/>
    <col min="10" max="12" width="10.26953125" style="342" customWidth="1"/>
    <col min="13" max="13" width="9.1796875" style="342"/>
    <col min="14" max="15" width="9.1796875" style="343"/>
    <col min="16" max="20" width="10.81640625" style="344" customWidth="1"/>
    <col min="21" max="22" width="12.1796875" style="344" customWidth="1"/>
    <col min="23" max="16384" width="9.1796875" style="344"/>
  </cols>
  <sheetData>
    <row r="1" spans="2:23" ht="12.75" customHeight="1" x14ac:dyDescent="0.35">
      <c r="K1" s="350"/>
      <c r="L1" s="350"/>
      <c r="M1" s="350"/>
      <c r="N1" s="350"/>
    </row>
    <row r="2" spans="2:23" ht="12.75" customHeight="1" x14ac:dyDescent="0.35">
      <c r="B2" s="194" t="s">
        <v>510</v>
      </c>
      <c r="K2" s="350"/>
      <c r="L2" s="350"/>
      <c r="M2" s="350"/>
      <c r="N2" s="350"/>
      <c r="P2" s="342"/>
      <c r="Q2" s="342"/>
      <c r="R2" s="342"/>
      <c r="S2" s="342"/>
      <c r="T2" s="342"/>
      <c r="U2" s="342"/>
      <c r="V2" s="342"/>
      <c r="W2" s="342"/>
    </row>
    <row r="3" spans="2:23" ht="25.5" customHeight="1" thickBot="1" x14ac:dyDescent="0.4">
      <c r="B3" s="615" t="s">
        <v>494</v>
      </c>
      <c r="C3" s="616" t="s">
        <v>505</v>
      </c>
      <c r="D3" s="616" t="s">
        <v>405</v>
      </c>
      <c r="E3" s="616" t="s">
        <v>406</v>
      </c>
      <c r="F3" s="616" t="s">
        <v>407</v>
      </c>
      <c r="G3" s="616" t="s">
        <v>423</v>
      </c>
      <c r="H3" s="616" t="s">
        <v>495</v>
      </c>
      <c r="I3" s="616" t="s">
        <v>506</v>
      </c>
      <c r="J3" s="346"/>
      <c r="K3" s="350"/>
      <c r="L3" s="350"/>
      <c r="M3" s="350"/>
      <c r="N3" s="350"/>
      <c r="P3" s="342"/>
      <c r="Q3" s="342"/>
      <c r="R3" s="342"/>
      <c r="S3" s="342"/>
      <c r="T3" s="342"/>
      <c r="U3" s="342"/>
      <c r="V3" s="342"/>
      <c r="W3" s="342"/>
    </row>
    <row r="4" spans="2:23" ht="12.75" customHeight="1" thickTop="1" x14ac:dyDescent="0.35">
      <c r="B4" s="158" t="s">
        <v>413</v>
      </c>
      <c r="C4" s="781">
        <v>23.86</v>
      </c>
      <c r="D4" s="766">
        <v>31.43</v>
      </c>
      <c r="E4" s="766">
        <v>7.07</v>
      </c>
      <c r="F4" s="773">
        <v>10.24</v>
      </c>
      <c r="G4" s="347" t="s">
        <v>426</v>
      </c>
      <c r="H4" s="777" t="s">
        <v>426</v>
      </c>
      <c r="I4" s="800"/>
      <c r="J4" s="346"/>
      <c r="K4" s="350"/>
      <c r="L4" s="350"/>
      <c r="M4" s="350"/>
      <c r="N4" s="350"/>
      <c r="P4" s="342"/>
      <c r="Q4" s="342"/>
      <c r="R4" s="342"/>
      <c r="S4" s="342"/>
      <c r="T4" s="342"/>
      <c r="U4" s="342"/>
      <c r="V4" s="342"/>
      <c r="W4" s="342"/>
    </row>
    <row r="5" spans="2:23" ht="12.75" customHeight="1" x14ac:dyDescent="0.35">
      <c r="B5" s="158" t="s">
        <v>414</v>
      </c>
      <c r="C5" s="801" t="s">
        <v>291</v>
      </c>
      <c r="D5" s="645">
        <f>'Joint-Ventures'!CE15</f>
        <v>0.15079999999999999</v>
      </c>
      <c r="E5" s="645">
        <f>'Joint-Ventures'!CE25</f>
        <v>0.33600000000000002</v>
      </c>
      <c r="F5" s="802">
        <f>'Joint-Ventures'!CE35</f>
        <v>0.28360000000000002</v>
      </c>
      <c r="G5" s="645">
        <v>1</v>
      </c>
      <c r="H5" s="801">
        <v>1</v>
      </c>
      <c r="I5" s="800"/>
      <c r="J5" s="346"/>
      <c r="K5" s="350"/>
      <c r="L5" s="350"/>
      <c r="M5" s="350"/>
      <c r="N5" s="350"/>
      <c r="P5" s="342"/>
      <c r="Q5" s="342"/>
      <c r="R5" s="342"/>
      <c r="S5" s="342"/>
      <c r="T5" s="342"/>
      <c r="U5" s="342"/>
      <c r="V5" s="342"/>
      <c r="W5" s="342"/>
    </row>
    <row r="6" spans="2:23" ht="12.75" customHeight="1" x14ac:dyDescent="0.35">
      <c r="B6" s="345" t="s">
        <v>365</v>
      </c>
      <c r="C6" s="778">
        <f>Valuation!B58/1000</f>
        <v>435.75745000000001</v>
      </c>
      <c r="D6" s="347">
        <f>[1]IS!$CE$48/1000</f>
        <v>308.047594</v>
      </c>
      <c r="E6" s="347">
        <f>[2]IS!$CE$48/1000</f>
        <v>202.90978000000001</v>
      </c>
      <c r="F6" s="774">
        <f>[3]IS!$CE$48/1000</f>
        <v>195.43435200000002</v>
      </c>
      <c r="G6" s="347" t="s">
        <v>426</v>
      </c>
      <c r="H6" s="778" t="s">
        <v>426</v>
      </c>
      <c r="I6" s="348"/>
      <c r="J6" s="348"/>
      <c r="K6" s="350"/>
      <c r="L6" s="350"/>
      <c r="M6" s="350"/>
      <c r="N6" s="350"/>
      <c r="P6" s="342"/>
      <c r="Q6" s="342"/>
      <c r="R6" s="342"/>
      <c r="S6" s="342"/>
      <c r="T6" s="342"/>
      <c r="U6" s="342"/>
      <c r="V6" s="342"/>
      <c r="W6" s="342"/>
    </row>
    <row r="7" spans="2:23" ht="12.75" customHeight="1" x14ac:dyDescent="0.35">
      <c r="B7" s="345" t="s">
        <v>415</v>
      </c>
      <c r="C7" s="779">
        <f>C4*C6</f>
        <v>10397.172757</v>
      </c>
      <c r="D7" s="349">
        <f>D4*D6</f>
        <v>9681.9358794199998</v>
      </c>
      <c r="E7" s="349">
        <f>E4*E6</f>
        <v>1434.5721446000002</v>
      </c>
      <c r="F7" s="775">
        <f>F4*F6</f>
        <v>2001.2477644800003</v>
      </c>
      <c r="G7" s="349">
        <f>G8</f>
        <v>2499.8796159054159</v>
      </c>
      <c r="H7" s="779">
        <f>C43</f>
        <v>1450</v>
      </c>
      <c r="I7" s="617"/>
      <c r="J7" s="349"/>
      <c r="K7" s="350"/>
      <c r="L7" s="350"/>
      <c r="M7" s="350"/>
      <c r="N7" s="350"/>
      <c r="P7" s="342"/>
      <c r="Q7" s="342"/>
      <c r="R7" s="342"/>
      <c r="S7" s="342"/>
      <c r="T7" s="342"/>
      <c r="U7" s="342"/>
      <c r="V7" s="342"/>
    </row>
    <row r="8" spans="2:23" ht="12.75" customHeight="1" x14ac:dyDescent="0.35">
      <c r="B8" s="796" t="s">
        <v>507</v>
      </c>
      <c r="C8" s="797"/>
      <c r="D8" s="798">
        <f>D7*D5</f>
        <v>1460.0359306165358</v>
      </c>
      <c r="E8" s="798">
        <f t="shared" ref="E8:F8" si="0">E7*E5</f>
        <v>482.01624058560009</v>
      </c>
      <c r="F8" s="799">
        <f t="shared" si="0"/>
        <v>567.5538660065281</v>
      </c>
      <c r="G8" s="798">
        <f>G18*G17</f>
        <v>2499.8796159054159</v>
      </c>
      <c r="H8" s="797">
        <f>H7</f>
        <v>1450</v>
      </c>
      <c r="I8" s="798">
        <f>C7-SUM(D8:H8)</f>
        <v>3937.6871038859208</v>
      </c>
      <c r="J8" s="349"/>
      <c r="K8" s="350"/>
      <c r="L8" s="350"/>
      <c r="M8" s="350"/>
      <c r="N8" s="350"/>
      <c r="P8" s="342"/>
      <c r="Q8" s="342"/>
      <c r="R8" s="342"/>
      <c r="S8" s="342"/>
      <c r="T8" s="342"/>
      <c r="U8" s="342"/>
      <c r="V8" s="342"/>
    </row>
    <row r="9" spans="2:23" ht="12.75" customHeight="1" x14ac:dyDescent="0.35">
      <c r="B9" s="345" t="s">
        <v>258</v>
      </c>
      <c r="C9" s="779">
        <f>'BS &amp; FCF'!CE134/1000</f>
        <v>11168.036</v>
      </c>
      <c r="D9" s="349">
        <f>'[1]BS &amp; FCF'!$CE$134/1000</f>
        <v>1653.9645841679194</v>
      </c>
      <c r="E9" s="349">
        <f>'[2]BS &amp; FCF'!$CE$134/1000</f>
        <v>1118.1698856208911</v>
      </c>
      <c r="F9" s="775">
        <f>'[3]BS &amp; FCF'!$CE$134/1000</f>
        <v>1450.077</v>
      </c>
      <c r="G9" s="349">
        <f>'Business lines'!CE131/1000</f>
        <v>914.85799999999995</v>
      </c>
      <c r="H9" s="779">
        <f>-C46-C48</f>
        <v>653</v>
      </c>
      <c r="I9" s="349"/>
      <c r="J9" s="349"/>
      <c r="K9" s="350"/>
      <c r="L9" s="350"/>
      <c r="M9" s="350"/>
      <c r="N9" s="350"/>
      <c r="P9" s="342"/>
      <c r="Q9" s="342"/>
      <c r="R9" s="342"/>
      <c r="S9" s="342"/>
      <c r="T9" s="342"/>
      <c r="U9" s="342"/>
      <c r="V9" s="342"/>
    </row>
    <row r="10" spans="2:23" ht="12.75" customHeight="1" x14ac:dyDescent="0.35">
      <c r="B10" s="345" t="s">
        <v>509</v>
      </c>
      <c r="C10" s="815">
        <f>62.063+740.947</f>
        <v>803.01</v>
      </c>
      <c r="D10" s="349" t="s">
        <v>291</v>
      </c>
      <c r="E10" s="816">
        <f>584*(1-34%)</f>
        <v>385.43999999999994</v>
      </c>
      <c r="F10" s="817">
        <f>171*(1-34%)</f>
        <v>112.85999999999999</v>
      </c>
      <c r="G10" s="349" t="s">
        <v>291</v>
      </c>
      <c r="H10" s="779" t="s">
        <v>291</v>
      </c>
      <c r="I10" s="349"/>
      <c r="J10" s="349"/>
      <c r="K10" s="350"/>
      <c r="L10" s="350"/>
      <c r="M10" s="350"/>
      <c r="N10" s="350"/>
      <c r="P10" s="342"/>
      <c r="Q10" s="342"/>
      <c r="R10" s="342"/>
      <c r="S10" s="342"/>
      <c r="T10" s="342"/>
      <c r="U10" s="342"/>
      <c r="V10" s="342"/>
    </row>
    <row r="11" spans="2:23" ht="12.75" customHeight="1" x14ac:dyDescent="0.35">
      <c r="B11" s="132" t="s">
        <v>416</v>
      </c>
      <c r="C11" s="803">
        <f>C10</f>
        <v>803.01</v>
      </c>
      <c r="D11" s="804">
        <f>D9*D5</f>
        <v>249.41785929252222</v>
      </c>
      <c r="E11" s="804">
        <f>E9*E5+E10</f>
        <v>761.14508156861939</v>
      </c>
      <c r="F11" s="805">
        <f>F9*F5+F10</f>
        <v>524.10183719999998</v>
      </c>
      <c r="G11" s="804">
        <f>G9*G5</f>
        <v>914.85799999999995</v>
      </c>
      <c r="H11" s="803">
        <f>H9*H5</f>
        <v>653</v>
      </c>
      <c r="I11" s="804">
        <f>C9-SUM(C11:H11)</f>
        <v>7262.5032219388586</v>
      </c>
      <c r="J11" s="814">
        <f ca="1">(I24-I12)*I11/C7</f>
        <v>0.1323766751374916</v>
      </c>
      <c r="K11" s="350"/>
      <c r="L11" s="350"/>
      <c r="M11" s="350"/>
      <c r="N11" s="350"/>
      <c r="P11" s="342"/>
      <c r="Q11" s="342"/>
      <c r="R11" s="342"/>
      <c r="S11" s="342"/>
      <c r="T11" s="342"/>
      <c r="U11" s="342"/>
      <c r="V11" s="342"/>
    </row>
    <row r="12" spans="2:23" ht="12.75" customHeight="1" x14ac:dyDescent="0.35">
      <c r="B12" s="785" t="s">
        <v>404</v>
      </c>
      <c r="C12" s="786">
        <f>C7/(C9-C11)</f>
        <v>1.0031014641931435</v>
      </c>
      <c r="D12" s="787">
        <f t="shared" ref="D12:F12" si="1">D7/D9</f>
        <v>5.8537746044246841</v>
      </c>
      <c r="E12" s="787">
        <f t="shared" si="1"/>
        <v>1.2829643894437552</v>
      </c>
      <c r="F12" s="788">
        <f t="shared" si="1"/>
        <v>1.3800975841144989</v>
      </c>
      <c r="G12" s="787">
        <f>G7/G9</f>
        <v>2.7325329350625083</v>
      </c>
      <c r="H12" s="786">
        <f>H7/H9</f>
        <v>2.2205206738131702</v>
      </c>
      <c r="I12" s="787">
        <f>I8/I11</f>
        <v>0.54219419717306272</v>
      </c>
      <c r="J12" s="349"/>
      <c r="K12" s="350"/>
      <c r="L12" s="350"/>
      <c r="M12" s="350"/>
      <c r="N12" s="350"/>
      <c r="P12" s="342"/>
      <c r="Q12" s="342"/>
      <c r="R12" s="342"/>
      <c r="S12" s="342"/>
      <c r="T12" s="342"/>
      <c r="U12" s="342"/>
      <c r="V12" s="342"/>
    </row>
    <row r="13" spans="2:23" ht="12.75" customHeight="1" x14ac:dyDescent="0.35">
      <c r="B13" s="345" t="s">
        <v>228</v>
      </c>
      <c r="C13" s="779">
        <f>'BS &amp; FCF'!CE146/1000</f>
        <v>10973.33</v>
      </c>
      <c r="D13" s="349">
        <f>'[1]BS &amp; FCF'!$CE$146/1000</f>
        <v>1655.2353691679193</v>
      </c>
      <c r="E13" s="349">
        <f>'[2]BS &amp; FCF'!$CE$146/1000</f>
        <v>1126.5041498983271</v>
      </c>
      <c r="F13" s="775">
        <f>'[3]BS &amp; FCF'!$CE$146/1000</f>
        <v>1438.4059999999999</v>
      </c>
      <c r="G13" s="349">
        <f>'Business lines'!CE131/1000</f>
        <v>914.85799999999995</v>
      </c>
      <c r="H13" s="779">
        <f>H9</f>
        <v>653</v>
      </c>
      <c r="I13" s="349"/>
      <c r="J13" s="350"/>
      <c r="K13" s="350"/>
      <c r="L13" s="350"/>
      <c r="M13" s="350"/>
      <c r="N13" s="350"/>
      <c r="P13" s="342"/>
      <c r="Q13" s="342"/>
      <c r="R13" s="342"/>
      <c r="S13" s="342"/>
      <c r="T13" s="342"/>
      <c r="U13" s="342"/>
      <c r="V13" s="342"/>
    </row>
    <row r="14" spans="2:23" ht="12.75" customHeight="1" x14ac:dyDescent="0.35">
      <c r="B14" s="158" t="s">
        <v>417</v>
      </c>
      <c r="C14" s="782"/>
      <c r="D14" s="783">
        <f>D13*D5</f>
        <v>249.60949367052223</v>
      </c>
      <c r="E14" s="783">
        <f t="shared" ref="E14:F14" si="2">E13*E5</f>
        <v>378.50539436583796</v>
      </c>
      <c r="F14" s="784">
        <f t="shared" si="2"/>
        <v>407.93194160000002</v>
      </c>
      <c r="G14" s="783">
        <f>G13*G5</f>
        <v>914.85799999999995</v>
      </c>
      <c r="H14" s="782">
        <f>H11</f>
        <v>653</v>
      </c>
      <c r="I14" s="783">
        <f>C13-SUM(D14:H14)</f>
        <v>8369.4251703636401</v>
      </c>
      <c r="J14" s="350"/>
      <c r="K14" s="350"/>
      <c r="L14" s="350"/>
      <c r="M14" s="350"/>
      <c r="N14" s="350"/>
      <c r="P14" s="342"/>
      <c r="Q14" s="342"/>
      <c r="R14" s="342"/>
      <c r="S14" s="342"/>
      <c r="T14" s="342"/>
      <c r="U14" s="342"/>
      <c r="V14" s="342"/>
    </row>
    <row r="15" spans="2:23" ht="12.75" customHeight="1" x14ac:dyDescent="0.35">
      <c r="B15" s="621" t="s">
        <v>328</v>
      </c>
      <c r="C15" s="780">
        <f>C7/C13</f>
        <v>0.94749476749537287</v>
      </c>
      <c r="D15" s="620">
        <f>D7/D13</f>
        <v>5.8492804466153192</v>
      </c>
      <c r="E15" s="620">
        <f>E7/E13</f>
        <v>1.2734725786225269</v>
      </c>
      <c r="F15" s="776">
        <f>F7/F13</f>
        <v>1.3912954788008396</v>
      </c>
      <c r="G15" s="619"/>
      <c r="H15" s="780">
        <f>H7/H13</f>
        <v>2.2205206738131702</v>
      </c>
      <c r="I15" s="620">
        <f>I8/I14</f>
        <v>0.47048477329475108</v>
      </c>
      <c r="J15" s="350"/>
      <c r="K15" s="350"/>
      <c r="L15" s="350"/>
      <c r="M15" s="350"/>
      <c r="N15" s="350"/>
      <c r="P15" s="342"/>
      <c r="Q15" s="342"/>
      <c r="R15" s="342"/>
      <c r="S15" s="342"/>
      <c r="T15" s="342"/>
      <c r="U15" s="342"/>
      <c r="V15" s="342"/>
    </row>
    <row r="16" spans="2:23" ht="12.75" customHeight="1" x14ac:dyDescent="0.35">
      <c r="B16" s="345" t="s">
        <v>418</v>
      </c>
      <c r="C16" s="779">
        <f ca="1">IS!CH45/1000</f>
        <v>1886.89217306352</v>
      </c>
      <c r="D16" s="349">
        <f>[1]IS!$CH$45/1000</f>
        <v>1204.5760361562466</v>
      </c>
      <c r="E16" s="349">
        <f>[2]IS!$CH$45/1000</f>
        <v>323.43912548095011</v>
      </c>
      <c r="F16" s="775">
        <f>[3]IS!$CH$45/1000</f>
        <v>419.19884847691202</v>
      </c>
      <c r="G16" s="349">
        <f>'Business lines'!CH127/1000</f>
        <v>414.69600241083731</v>
      </c>
      <c r="H16" s="779" t="s">
        <v>291</v>
      </c>
      <c r="I16" s="349"/>
      <c r="J16" s="350"/>
      <c r="K16" s="350"/>
      <c r="L16" s="350"/>
      <c r="M16" s="350"/>
      <c r="N16" s="350"/>
      <c r="P16" s="342"/>
      <c r="Q16" s="342"/>
      <c r="R16" s="342"/>
      <c r="S16" s="342"/>
      <c r="T16" s="342"/>
      <c r="U16" s="342"/>
      <c r="V16" s="342"/>
    </row>
    <row r="17" spans="1:22" ht="12.75" customHeight="1" x14ac:dyDescent="0.35">
      <c r="B17" s="132" t="s">
        <v>508</v>
      </c>
      <c r="C17" s="803"/>
      <c r="D17" s="804">
        <f>D16*D5</f>
        <v>181.65006625236197</v>
      </c>
      <c r="E17" s="804">
        <f>E16*E5</f>
        <v>108.67554616159924</v>
      </c>
      <c r="F17" s="805">
        <f>F16*F5</f>
        <v>118.88479342805226</v>
      </c>
      <c r="G17" s="804">
        <f t="shared" ref="G17" si="3">G16*G5</f>
        <v>414.69600241083731</v>
      </c>
      <c r="H17" s="803" t="s">
        <v>291</v>
      </c>
      <c r="I17" s="804">
        <f ca="1">C16-SUM(D17:H17)</f>
        <v>1062.9857648106693</v>
      </c>
      <c r="J17" s="762"/>
      <c r="K17" s="350"/>
      <c r="L17" s="350"/>
      <c r="M17" s="350"/>
      <c r="N17" s="350"/>
      <c r="P17" s="342"/>
      <c r="Q17" s="342"/>
      <c r="R17" s="342"/>
      <c r="S17" s="342"/>
      <c r="T17" s="342"/>
      <c r="U17" s="342"/>
      <c r="V17" s="342"/>
    </row>
    <row r="18" spans="1:22" ht="12.75" customHeight="1" x14ac:dyDescent="0.35">
      <c r="B18" s="785" t="s">
        <v>419</v>
      </c>
      <c r="C18" s="789">
        <f ca="1">C7/C16</f>
        <v>5.5102103370959243</v>
      </c>
      <c r="D18" s="790">
        <f t="shared" ref="D18:F18" si="4">D7/D16</f>
        <v>8.0376294968598785</v>
      </c>
      <c r="E18" s="790">
        <f t="shared" si="4"/>
        <v>4.435369847314572</v>
      </c>
      <c r="F18" s="791">
        <f t="shared" si="4"/>
        <v>4.7739820177254657</v>
      </c>
      <c r="G18" s="792">
        <f>D18*0.75</f>
        <v>6.0282221226449089</v>
      </c>
      <c r="H18" s="789" t="s">
        <v>291</v>
      </c>
      <c r="I18" s="790">
        <f ca="1">I8/I17</f>
        <v>3.7043648506311566</v>
      </c>
      <c r="J18" s="350"/>
      <c r="K18" s="350"/>
      <c r="L18" s="350"/>
      <c r="M18" s="350"/>
      <c r="N18" s="350"/>
      <c r="P18" s="342"/>
      <c r="Q18" s="342"/>
      <c r="R18" s="342"/>
      <c r="S18" s="342"/>
      <c r="T18" s="342"/>
      <c r="U18" s="342"/>
      <c r="V18" s="342"/>
    </row>
    <row r="19" spans="1:22" ht="12.75" customHeight="1" x14ac:dyDescent="0.35">
      <c r="B19" s="345" t="s">
        <v>420</v>
      </c>
      <c r="C19" s="779">
        <f ca="1">AVERAGE('BS &amp; FCF'!$CE$134:$CG$134)/1000-C10</f>
        <v>10920.059255811353</v>
      </c>
      <c r="D19" s="349">
        <f>AVERAGE('[1]BS &amp; FCF'!$CE$146:$CG$146)/1000</f>
        <v>1770.5249909261615</v>
      </c>
      <c r="E19" s="349">
        <f>AVERAGE('[2]BS &amp; FCF'!$CE$146:$CG$146)/1000</f>
        <v>1236.5534455646662</v>
      </c>
      <c r="F19" s="775">
        <f>AVERAGE('[3]BS &amp; FCF'!$CE$146:$CG$146)/1000</f>
        <v>1565.9774406658214</v>
      </c>
      <c r="G19" s="349">
        <f>AVERAGE('Business lines'!CE131:CG131)/1000</f>
        <v>1022.2622101443546</v>
      </c>
      <c r="H19" s="779">
        <f>H9</f>
        <v>653</v>
      </c>
      <c r="I19" s="349"/>
      <c r="J19" s="350"/>
      <c r="K19" s="350"/>
      <c r="L19" s="350"/>
      <c r="M19" s="350"/>
      <c r="N19" s="350"/>
      <c r="P19" s="342"/>
      <c r="Q19" s="342"/>
      <c r="R19" s="342"/>
      <c r="S19" s="342"/>
      <c r="T19" s="342"/>
      <c r="U19" s="342"/>
      <c r="V19" s="342"/>
    </row>
    <row r="20" spans="1:22" ht="12.75" customHeight="1" x14ac:dyDescent="0.35">
      <c r="B20" s="158" t="s">
        <v>421</v>
      </c>
      <c r="C20" s="803"/>
      <c r="D20" s="806">
        <f>D19*D5</f>
        <v>266.99516863166514</v>
      </c>
      <c r="E20" s="806">
        <f>(E19-E10)*E5</f>
        <v>285.97411770972786</v>
      </c>
      <c r="F20" s="807">
        <f>(F19-F10)*F5</f>
        <v>412.10410617282702</v>
      </c>
      <c r="G20" s="804">
        <f>G19</f>
        <v>1022.2622101443546</v>
      </c>
      <c r="H20" s="803">
        <f>H11</f>
        <v>653</v>
      </c>
      <c r="I20" s="804">
        <f ca="1">C19-SUM(D20:H20)</f>
        <v>8279.7236531527778</v>
      </c>
      <c r="J20" s="350"/>
      <c r="K20" s="350"/>
      <c r="L20" s="350"/>
      <c r="M20" s="350"/>
      <c r="N20" s="350"/>
      <c r="P20" s="342"/>
      <c r="Q20" s="342"/>
      <c r="R20" s="342"/>
      <c r="S20" s="342"/>
      <c r="T20" s="342"/>
      <c r="U20" s="342"/>
      <c r="V20" s="342"/>
    </row>
    <row r="21" spans="1:22" ht="12.75" customHeight="1" x14ac:dyDescent="0.35">
      <c r="B21" s="785" t="s">
        <v>422</v>
      </c>
      <c r="C21" s="793">
        <f ca="1">C16/C19</f>
        <v>0.17279138591298104</v>
      </c>
      <c r="D21" s="794">
        <f t="shared" ref="D21:F21" si="5">D16/D19</f>
        <v>0.68034963772306478</v>
      </c>
      <c r="E21" s="794">
        <f t="shared" si="5"/>
        <v>0.2615650189978268</v>
      </c>
      <c r="F21" s="795">
        <f t="shared" si="5"/>
        <v>0.2676914989903541</v>
      </c>
      <c r="G21" s="794">
        <f>G16/G19</f>
        <v>0.40566500286876267</v>
      </c>
      <c r="H21" s="793" t="s">
        <v>291</v>
      </c>
      <c r="I21" s="794">
        <f ca="1">I17/I20</f>
        <v>0.12838420813790111</v>
      </c>
      <c r="J21" s="350"/>
      <c r="K21" s="350"/>
      <c r="L21" s="350"/>
      <c r="M21" s="350"/>
      <c r="N21" s="350"/>
      <c r="P21" s="342"/>
      <c r="Q21" s="342"/>
      <c r="R21" s="342"/>
      <c r="S21" s="342"/>
      <c r="T21" s="342"/>
      <c r="U21" s="342"/>
      <c r="V21" s="342"/>
    </row>
    <row r="22" spans="1:22" ht="12.75" hidden="1" customHeight="1" outlineLevel="1" x14ac:dyDescent="0.35">
      <c r="B22" s="345" t="s">
        <v>366</v>
      </c>
      <c r="C22" s="645">
        <f>Valuation!B15</f>
        <v>0.16262499999999996</v>
      </c>
      <c r="D22" s="645">
        <v>0.15862499999999996</v>
      </c>
      <c r="E22" s="645">
        <v>0.16462500000000019</v>
      </c>
      <c r="F22" s="645">
        <v>0.16462499999999997</v>
      </c>
      <c r="G22" s="645">
        <v>0.16462499999999997</v>
      </c>
      <c r="H22" s="645"/>
      <c r="I22" s="645">
        <f>C22</f>
        <v>0.16262499999999996</v>
      </c>
      <c r="J22" s="350"/>
      <c r="K22" s="350"/>
      <c r="L22" s="350"/>
      <c r="M22" s="350"/>
      <c r="N22" s="350"/>
      <c r="P22" s="342"/>
      <c r="Q22" s="342"/>
      <c r="R22" s="342"/>
      <c r="S22" s="342"/>
      <c r="T22" s="342"/>
      <c r="U22" s="342"/>
      <c r="V22" s="342"/>
    </row>
    <row r="23" spans="1:22" ht="12.75" hidden="1" customHeight="1" outlineLevel="1" x14ac:dyDescent="0.35">
      <c r="B23" s="345" t="s">
        <v>367</v>
      </c>
      <c r="C23" s="645">
        <f>Valuation!B8</f>
        <v>3.499999999999992E-2</v>
      </c>
      <c r="D23" s="645">
        <v>3.499999999999992E-2</v>
      </c>
      <c r="E23" s="645">
        <v>3.5000000000000142E-2</v>
      </c>
      <c r="F23" s="645">
        <v>3.499999999999992E-2</v>
      </c>
      <c r="G23" s="645">
        <v>3.499999999999992E-2</v>
      </c>
      <c r="H23" s="645"/>
      <c r="I23" s="645">
        <f>C23</f>
        <v>3.499999999999992E-2</v>
      </c>
      <c r="J23" s="350"/>
      <c r="K23" s="350"/>
      <c r="L23" s="350"/>
      <c r="M23" s="350"/>
      <c r="N23" s="350"/>
      <c r="P23" s="342"/>
      <c r="Q23" s="342"/>
      <c r="R23" s="342"/>
      <c r="S23" s="342"/>
      <c r="T23" s="342"/>
      <c r="U23" s="342"/>
      <c r="V23" s="342"/>
    </row>
    <row r="24" spans="1:22" ht="12.75" hidden="1" customHeight="1" outlineLevel="1" x14ac:dyDescent="0.35">
      <c r="B24" s="763" t="s">
        <v>403</v>
      </c>
      <c r="C24" s="764">
        <f ca="1">(C21-C23)/(C22-C23)</f>
        <v>1.079658263764788</v>
      </c>
      <c r="D24" s="764">
        <f t="shared" ref="D24:I24" si="6">(D21-D23)/(D22-D23)</f>
        <v>5.2202195164656393</v>
      </c>
      <c r="E24" s="764">
        <f t="shared" si="6"/>
        <v>1.747849712615827</v>
      </c>
      <c r="F24" s="764">
        <f t="shared" si="6"/>
        <v>1.7951128176690769</v>
      </c>
      <c r="G24" s="764">
        <f>(G21-G23)/(G22-G23)</f>
        <v>2.8595178620540991</v>
      </c>
      <c r="H24" s="764"/>
      <c r="I24" s="764">
        <f t="shared" ca="1" si="6"/>
        <v>0.73170780127640478</v>
      </c>
      <c r="J24" s="762">
        <f ca="1">I24/I12-1</f>
        <v>0.34953086014465651</v>
      </c>
      <c r="K24" s="350"/>
      <c r="L24" s="350"/>
      <c r="M24" s="350"/>
      <c r="N24" s="350"/>
      <c r="P24" s="342"/>
      <c r="Q24" s="342"/>
      <c r="R24" s="342"/>
      <c r="S24" s="342"/>
      <c r="T24" s="342"/>
      <c r="U24" s="342"/>
      <c r="V24" s="342"/>
    </row>
    <row r="25" spans="1:22" ht="12.75" customHeight="1" collapsed="1" x14ac:dyDescent="0.35">
      <c r="A25" s="351"/>
      <c r="B25" s="350"/>
      <c r="C25" s="344"/>
      <c r="D25" s="344"/>
      <c r="E25" s="344"/>
      <c r="F25" s="344"/>
      <c r="H25" s="350"/>
      <c r="I25" s="618"/>
      <c r="J25" s="350"/>
      <c r="K25" s="350"/>
      <c r="N25" s="342"/>
      <c r="P25" s="342"/>
      <c r="Q25" s="342"/>
      <c r="R25" s="342"/>
      <c r="S25" s="342"/>
      <c r="T25" s="342"/>
      <c r="U25" s="342"/>
      <c r="V25" s="342"/>
    </row>
    <row r="26" spans="1:22" ht="12.75" customHeight="1" x14ac:dyDescent="0.35">
      <c r="B26" s="344"/>
      <c r="C26" s="344"/>
      <c r="D26" s="344"/>
      <c r="E26" s="344"/>
      <c r="F26" s="344"/>
      <c r="G26" s="347"/>
      <c r="N26" s="342"/>
      <c r="O26" s="342"/>
    </row>
    <row r="27" spans="1:22" ht="12.75" customHeight="1" x14ac:dyDescent="0.35">
      <c r="B27" s="828" t="s">
        <v>511</v>
      </c>
      <c r="C27" s="823"/>
      <c r="D27" s="344"/>
      <c r="E27" s="837" t="s">
        <v>539</v>
      </c>
      <c r="F27" s="344"/>
      <c r="G27" s="344"/>
      <c r="H27" s="344"/>
      <c r="I27" s="344"/>
      <c r="N27" s="342"/>
      <c r="O27" s="342"/>
    </row>
    <row r="28" spans="1:22" ht="12.75" customHeight="1" x14ac:dyDescent="0.35">
      <c r="B28" s="767" t="s">
        <v>496</v>
      </c>
      <c r="C28" s="769">
        <v>45000</v>
      </c>
      <c r="D28" s="344"/>
      <c r="E28" s="837" t="s">
        <v>541</v>
      </c>
      <c r="F28" s="344"/>
      <c r="G28" s="344"/>
      <c r="H28" s="344"/>
      <c r="I28" s="344"/>
      <c r="N28" s="342"/>
      <c r="O28" s="342"/>
    </row>
    <row r="29" spans="1:22" ht="12.75" customHeight="1" x14ac:dyDescent="0.35">
      <c r="B29" s="767" t="s">
        <v>503</v>
      </c>
      <c r="C29" s="768">
        <v>0.75</v>
      </c>
      <c r="D29" s="344"/>
      <c r="E29" s="837" t="s">
        <v>540</v>
      </c>
      <c r="F29" s="344"/>
      <c r="G29" s="344"/>
      <c r="H29" s="344"/>
      <c r="I29" s="344"/>
      <c r="N29" s="342"/>
      <c r="O29" s="342"/>
    </row>
    <row r="30" spans="1:22" ht="12.75" customHeight="1" x14ac:dyDescent="0.35">
      <c r="B30" s="767" t="s">
        <v>497</v>
      </c>
      <c r="C30" s="769">
        <f>C29*C28</f>
        <v>33750</v>
      </c>
      <c r="D30" s="344"/>
      <c r="E30" s="837" t="s">
        <v>542</v>
      </c>
      <c r="F30" s="344"/>
      <c r="G30" s="344"/>
      <c r="H30" s="344"/>
      <c r="I30" s="344"/>
      <c r="N30" s="342"/>
      <c r="O30" s="342"/>
    </row>
    <row r="31" spans="1:22" ht="12.75" customHeight="1" x14ac:dyDescent="0.35">
      <c r="B31" s="767" t="s">
        <v>498</v>
      </c>
      <c r="C31" s="770">
        <v>190</v>
      </c>
      <c r="D31" s="344"/>
      <c r="E31" s="344"/>
      <c r="F31" s="344"/>
      <c r="G31" s="344"/>
      <c r="H31" s="344"/>
      <c r="I31" s="344"/>
      <c r="N31" s="342"/>
      <c r="O31" s="342"/>
    </row>
    <row r="32" spans="1:22" ht="12.75" customHeight="1" outlineLevel="1" x14ac:dyDescent="0.35">
      <c r="B32" s="767" t="s">
        <v>499</v>
      </c>
      <c r="C32" s="769">
        <f>C31*C30*12/1000</f>
        <v>76950</v>
      </c>
      <c r="D32" s="344"/>
      <c r="E32" s="344"/>
      <c r="F32" s="344"/>
      <c r="G32" s="344"/>
      <c r="H32" s="344"/>
      <c r="I32" s="344"/>
      <c r="N32" s="342"/>
      <c r="O32" s="342"/>
    </row>
    <row r="33" spans="2:15" ht="12.75" customHeight="1" outlineLevel="1" x14ac:dyDescent="0.35">
      <c r="B33" s="767" t="s">
        <v>500</v>
      </c>
      <c r="C33" s="768">
        <v>0.95</v>
      </c>
      <c r="D33" s="344"/>
      <c r="E33" s="344"/>
      <c r="F33" s="344"/>
      <c r="G33" s="344"/>
      <c r="H33" s="344"/>
      <c r="I33" s="344"/>
      <c r="N33" s="342"/>
      <c r="O33" s="342"/>
    </row>
    <row r="34" spans="2:15" ht="12.75" customHeight="1" x14ac:dyDescent="0.35">
      <c r="B34" s="767" t="s">
        <v>501</v>
      </c>
      <c r="C34" s="769">
        <f>C32*C33</f>
        <v>73102.5</v>
      </c>
      <c r="D34" s="344"/>
      <c r="E34" s="344"/>
      <c r="F34" s="344"/>
      <c r="G34" s="344"/>
      <c r="H34" s="344"/>
      <c r="I34" s="344"/>
      <c r="N34" s="342"/>
      <c r="O34" s="342"/>
    </row>
    <row r="35" spans="2:15" ht="12.75" customHeight="1" x14ac:dyDescent="0.35">
      <c r="B35" s="824" t="s">
        <v>502</v>
      </c>
      <c r="C35" s="825">
        <f>C34/(C36*1000)</f>
        <v>6.9225852272727276E-2</v>
      </c>
      <c r="D35" s="344"/>
      <c r="E35" s="344"/>
      <c r="F35" s="344"/>
      <c r="G35" s="344"/>
      <c r="H35" s="344"/>
      <c r="I35" s="344"/>
      <c r="N35" s="342"/>
      <c r="O35" s="342"/>
    </row>
    <row r="36" spans="2:15" ht="12.75" customHeight="1" x14ac:dyDescent="0.35">
      <c r="B36" s="824" t="s">
        <v>504</v>
      </c>
      <c r="C36" s="826">
        <f>C37+C38</f>
        <v>1056</v>
      </c>
      <c r="D36" s="344"/>
      <c r="E36" s="344"/>
      <c r="F36" s="344"/>
      <c r="G36" s="344"/>
      <c r="H36" s="344"/>
      <c r="I36" s="344"/>
      <c r="N36" s="342"/>
      <c r="O36" s="342"/>
    </row>
    <row r="37" spans="2:15" ht="12.75" customHeight="1" x14ac:dyDescent="0.35">
      <c r="B37" s="767" t="s">
        <v>537</v>
      </c>
      <c r="C37" s="769">
        <f>(1100/2)*(1-4%)</f>
        <v>528</v>
      </c>
      <c r="D37" s="344"/>
      <c r="E37" s="344"/>
      <c r="F37" s="344"/>
      <c r="G37" s="344"/>
      <c r="H37" s="344"/>
      <c r="I37" s="344"/>
      <c r="N37" s="342"/>
      <c r="O37" s="342"/>
    </row>
    <row r="38" spans="2:15" ht="12.75" customHeight="1" x14ac:dyDescent="0.35">
      <c r="B38" s="767" t="s">
        <v>538</v>
      </c>
      <c r="C38" s="769">
        <f>(1100/2)*(1-4%)*(1+C39)</f>
        <v>528</v>
      </c>
      <c r="D38" s="344"/>
      <c r="E38" s="344"/>
      <c r="F38" s="836"/>
      <c r="N38" s="342"/>
      <c r="O38" s="342"/>
    </row>
    <row r="39" spans="2:15" ht="12.75" customHeight="1" x14ac:dyDescent="0.35">
      <c r="B39" s="771" t="s">
        <v>536</v>
      </c>
      <c r="C39" s="827">
        <v>0</v>
      </c>
      <c r="D39" s="344"/>
      <c r="E39" s="344"/>
      <c r="N39" s="342"/>
      <c r="O39" s="342"/>
    </row>
    <row r="40" spans="2:15" ht="12.75" customHeight="1" x14ac:dyDescent="0.35">
      <c r="D40" s="344"/>
      <c r="E40" s="344"/>
      <c r="N40" s="342"/>
      <c r="O40" s="342"/>
    </row>
    <row r="41" spans="2:15" ht="12.75" customHeight="1" x14ac:dyDescent="0.35">
      <c r="B41" s="828" t="s">
        <v>512</v>
      </c>
      <c r="C41" s="823"/>
      <c r="D41" s="344"/>
      <c r="E41" s="344"/>
      <c r="F41" s="344"/>
      <c r="G41" s="344"/>
      <c r="H41" s="344"/>
      <c r="I41" s="344"/>
      <c r="J41" s="344"/>
      <c r="K41" s="344"/>
    </row>
    <row r="42" spans="2:15" ht="12.75" customHeight="1" x14ac:dyDescent="0.35">
      <c r="B42" s="767" t="s">
        <v>513</v>
      </c>
      <c r="C42" s="830">
        <v>2140</v>
      </c>
      <c r="D42" s="344"/>
      <c r="E42" s="344"/>
      <c r="F42" s="344"/>
      <c r="G42" s="344"/>
      <c r="H42" s="344"/>
      <c r="I42" s="344"/>
      <c r="J42" s="344"/>
      <c r="K42" s="344"/>
    </row>
    <row r="43" spans="2:15" ht="12.75" customHeight="1" x14ac:dyDescent="0.35">
      <c r="B43" s="829" t="s">
        <v>514</v>
      </c>
      <c r="C43" s="830">
        <v>1450</v>
      </c>
      <c r="D43" s="344"/>
      <c r="E43" s="344"/>
      <c r="F43" s="344"/>
      <c r="G43" s="344"/>
      <c r="H43" s="344"/>
      <c r="I43" s="344"/>
      <c r="J43" s="344"/>
      <c r="K43" s="344"/>
    </row>
    <row r="44" spans="2:15" ht="12.75" customHeight="1" x14ac:dyDescent="0.35">
      <c r="B44" s="767" t="s">
        <v>515</v>
      </c>
      <c r="C44" s="769">
        <f>C43*50%</f>
        <v>725</v>
      </c>
      <c r="D44" s="344"/>
      <c r="E44" s="344"/>
      <c r="F44" s="344"/>
      <c r="G44" s="344"/>
      <c r="H44" s="344"/>
      <c r="I44" s="344"/>
      <c r="J44" s="344"/>
      <c r="K44" s="344"/>
    </row>
    <row r="45" spans="2:15" ht="12.75" customHeight="1" x14ac:dyDescent="0.35">
      <c r="B45" s="767" t="s">
        <v>516</v>
      </c>
      <c r="C45" s="769">
        <f>C43*50%</f>
        <v>725</v>
      </c>
      <c r="D45" s="344"/>
      <c r="E45" s="344"/>
      <c r="F45" s="344"/>
      <c r="G45" s="344"/>
      <c r="H45" s="344"/>
      <c r="I45" s="344"/>
      <c r="J45" s="344"/>
      <c r="K45" s="344"/>
    </row>
    <row r="46" spans="2:15" ht="12.75" customHeight="1" outlineLevel="1" x14ac:dyDescent="0.35">
      <c r="B46" s="767" t="s">
        <v>517</v>
      </c>
      <c r="C46" s="769">
        <f>-560*0.75-350*0.5</f>
        <v>-595</v>
      </c>
      <c r="D46" s="344">
        <f>-350*0.5</f>
        <v>-175</v>
      </c>
      <c r="E46" s="344"/>
      <c r="F46" s="344"/>
      <c r="G46" s="344"/>
      <c r="H46" s="344"/>
      <c r="I46" s="344"/>
      <c r="J46" s="344"/>
      <c r="K46" s="344"/>
    </row>
    <row r="47" spans="2:15" ht="12.75" customHeight="1" x14ac:dyDescent="0.35">
      <c r="B47" s="767" t="s">
        <v>518</v>
      </c>
      <c r="C47" s="769">
        <f>C43+C46</f>
        <v>855</v>
      </c>
      <c r="D47" s="344"/>
      <c r="E47" s="344"/>
      <c r="F47" s="344"/>
      <c r="G47" s="344"/>
      <c r="H47" s="344"/>
      <c r="I47" s="344"/>
      <c r="J47" s="344"/>
      <c r="K47" s="344"/>
    </row>
    <row r="48" spans="2:15" ht="12.75" customHeight="1" x14ac:dyDescent="0.35">
      <c r="B48" s="767" t="s">
        <v>519</v>
      </c>
      <c r="C48" s="769">
        <f>-C43*4%</f>
        <v>-58</v>
      </c>
      <c r="D48" s="344"/>
      <c r="E48" s="344"/>
      <c r="F48" s="344"/>
      <c r="G48" s="344"/>
      <c r="H48" s="344"/>
      <c r="I48" s="344"/>
      <c r="J48" s="344"/>
      <c r="K48" s="344"/>
    </row>
    <row r="49" spans="1:11" ht="12.75" customHeight="1" x14ac:dyDescent="0.35">
      <c r="B49" s="771" t="s">
        <v>520</v>
      </c>
      <c r="C49" s="772">
        <f>C47+C48</f>
        <v>797</v>
      </c>
      <c r="D49" s="344"/>
      <c r="E49" s="344"/>
      <c r="F49" s="344"/>
      <c r="G49" s="344"/>
      <c r="H49" s="344"/>
      <c r="I49" s="344"/>
      <c r="J49" s="344"/>
      <c r="K49" s="344"/>
    </row>
    <row r="50" spans="1:11" ht="12.75" customHeight="1" x14ac:dyDescent="0.35">
      <c r="D50" s="344"/>
      <c r="E50" s="344"/>
    </row>
    <row r="51" spans="1:11" ht="12.75" customHeight="1" x14ac:dyDescent="0.35">
      <c r="A51" s="352"/>
      <c r="B51" s="828" t="s">
        <v>521</v>
      </c>
      <c r="C51" s="823"/>
    </row>
    <row r="52" spans="1:11" ht="12.75" customHeight="1" x14ac:dyDescent="0.35">
      <c r="A52" s="352"/>
      <c r="B52" s="831" t="s">
        <v>522</v>
      </c>
      <c r="C52" s="770"/>
    </row>
    <row r="53" spans="1:11" ht="12.75" customHeight="1" x14ac:dyDescent="0.35">
      <c r="B53" s="767" t="s">
        <v>523</v>
      </c>
      <c r="C53" s="769">
        <f>C7</f>
        <v>10397.172757</v>
      </c>
    </row>
    <row r="54" spans="1:11" ht="12.75" customHeight="1" x14ac:dyDescent="0.35">
      <c r="B54" s="767" t="s">
        <v>524</v>
      </c>
      <c r="C54" s="769">
        <f ca="1">'BS &amp; FCF'!CG64/1000</f>
        <v>952.8506672772113</v>
      </c>
    </row>
    <row r="55" spans="1:11" ht="12.75" customHeight="1" x14ac:dyDescent="0.35">
      <c r="B55" s="767" t="s">
        <v>525</v>
      </c>
      <c r="C55" s="769">
        <f>SOTP!$C$9</f>
        <v>11168.036</v>
      </c>
    </row>
    <row r="56" spans="1:11" ht="12.75" customHeight="1" x14ac:dyDescent="0.35">
      <c r="B56" s="767" t="s">
        <v>526</v>
      </c>
      <c r="C56" s="832">
        <f ca="1">C54/C55</f>
        <v>8.5319448045942117E-2</v>
      </c>
    </row>
    <row r="57" spans="1:11" ht="12.75" customHeight="1" x14ac:dyDescent="0.35">
      <c r="B57" s="767" t="s">
        <v>527</v>
      </c>
      <c r="C57" s="833">
        <f>C53/C55</f>
        <v>0.93097593498086861</v>
      </c>
    </row>
    <row r="58" spans="1:11" ht="12.75" customHeight="1" x14ac:dyDescent="0.35">
      <c r="B58" s="831" t="s">
        <v>528</v>
      </c>
      <c r="C58" s="770"/>
    </row>
    <row r="59" spans="1:11" ht="12.75" customHeight="1" x14ac:dyDescent="0.35">
      <c r="B59" s="767" t="s">
        <v>529</v>
      </c>
      <c r="C59" s="769">
        <f>C53</f>
        <v>10397.172757</v>
      </c>
    </row>
    <row r="60" spans="1:11" ht="12.75" customHeight="1" x14ac:dyDescent="0.35">
      <c r="B60" s="767" t="s">
        <v>524</v>
      </c>
      <c r="C60" s="769">
        <f ca="1">C54-C43+C48</f>
        <v>-555.1493327227887</v>
      </c>
    </row>
    <row r="61" spans="1:11" ht="12.75" customHeight="1" x14ac:dyDescent="0.35">
      <c r="B61" s="767" t="s">
        <v>530</v>
      </c>
      <c r="C61" s="769">
        <f>C55+C49</f>
        <v>11965.036</v>
      </c>
    </row>
    <row r="62" spans="1:11" ht="12.75" customHeight="1" x14ac:dyDescent="0.35">
      <c r="B62" s="767" t="s">
        <v>526</v>
      </c>
      <c r="C62" s="832">
        <f ca="1">C60/C61</f>
        <v>-4.6397631626247403E-2</v>
      </c>
    </row>
    <row r="63" spans="1:11" ht="12.75" customHeight="1" x14ac:dyDescent="0.35">
      <c r="B63" s="767" t="s">
        <v>527</v>
      </c>
      <c r="C63" s="833">
        <f>C59/C61</f>
        <v>0.86896293141115499</v>
      </c>
    </row>
    <row r="64" spans="1:11" ht="12.75" customHeight="1" x14ac:dyDescent="0.35">
      <c r="B64" s="831" t="s">
        <v>531</v>
      </c>
      <c r="C64" s="770"/>
    </row>
    <row r="65" spans="2:3" ht="12.75" customHeight="1" x14ac:dyDescent="0.35">
      <c r="B65" s="767" t="s">
        <v>532</v>
      </c>
      <c r="C65" s="769">
        <f>C43</f>
        <v>1450</v>
      </c>
    </row>
    <row r="66" spans="2:3" ht="12.75" customHeight="1" x14ac:dyDescent="0.35">
      <c r="B66" s="767" t="s">
        <v>533</v>
      </c>
      <c r="C66" s="769">
        <f>C59-C65</f>
        <v>8947.1727570000003</v>
      </c>
    </row>
    <row r="67" spans="2:3" ht="12.75" customHeight="1" x14ac:dyDescent="0.35">
      <c r="B67" s="767" t="s">
        <v>524</v>
      </c>
      <c r="C67" s="769">
        <f ca="1">C60+C65</f>
        <v>894.8506672772113</v>
      </c>
    </row>
    <row r="68" spans="2:3" ht="12.75" customHeight="1" x14ac:dyDescent="0.35">
      <c r="B68" s="767" t="s">
        <v>530</v>
      </c>
      <c r="C68" s="769">
        <f>C61-C65</f>
        <v>10515.036</v>
      </c>
    </row>
    <row r="69" spans="2:3" ht="12.75" customHeight="1" x14ac:dyDescent="0.35">
      <c r="B69" s="767" t="s">
        <v>526</v>
      </c>
      <c r="C69" s="832">
        <f ca="1">C67/C68</f>
        <v>8.5102006999996135E-2</v>
      </c>
    </row>
    <row r="70" spans="2:3" ht="12.75" customHeight="1" x14ac:dyDescent="0.35">
      <c r="B70" s="767" t="s">
        <v>527</v>
      </c>
      <c r="C70" s="833">
        <f>C66/C68</f>
        <v>0.85089321206318269</v>
      </c>
    </row>
    <row r="71" spans="2:3" ht="12.75" customHeight="1" x14ac:dyDescent="0.35">
      <c r="B71" s="767" t="s">
        <v>534</v>
      </c>
      <c r="C71" s="768">
        <f>C57/C70-1</f>
        <v>9.4116067424615313E-2</v>
      </c>
    </row>
    <row r="72" spans="2:3" ht="12.75" customHeight="1" x14ac:dyDescent="0.35">
      <c r="B72" s="771" t="s">
        <v>535</v>
      </c>
      <c r="C72" s="834">
        <f>C65/C59</f>
        <v>0.1394609894332835</v>
      </c>
    </row>
  </sheetData>
  <pageMargins left="0.7" right="0.7" top="0.75" bottom="0.75" header="0.3" footer="0.3"/>
  <headerFooter>
    <oddFooter>&amp;L_x000D_&amp;1#&amp;"Calibri"&amp;9&amp;K000000 Corporativo | Interno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0E38-97A3-4B67-985D-565EE11D2ACE}">
  <sheetPr>
    <tabColor rgb="FFD7E2DC"/>
  </sheetPr>
  <dimension ref="B3:S66"/>
  <sheetViews>
    <sheetView showGridLines="0" zoomScale="115" zoomScaleNormal="115" workbookViewId="0">
      <selection activeCell="F2" sqref="F2"/>
    </sheetView>
  </sheetViews>
  <sheetFormatPr defaultColWidth="11" defaultRowHeight="11.25" customHeight="1" x14ac:dyDescent="0.25"/>
  <cols>
    <col min="1" max="1" width="11" style="622"/>
    <col min="2" max="2" width="25.7265625" style="622" customWidth="1"/>
    <col min="3" max="3" width="11" style="622" hidden="1" customWidth="1"/>
    <col min="4" max="6" width="11" style="622" customWidth="1"/>
    <col min="7" max="7" width="11" style="622"/>
    <col min="8" max="8" width="30.54296875" style="622" customWidth="1"/>
    <col min="9" max="13" width="11" style="622" hidden="1" customWidth="1"/>
    <col min="14" max="15" width="11" style="622" customWidth="1"/>
    <col min="16" max="16384" width="11" style="622"/>
  </cols>
  <sheetData>
    <row r="3" spans="2:15" ht="11.25" customHeight="1" x14ac:dyDescent="0.25">
      <c r="I3" s="754">
        <f>I12+I13+I15</f>
        <v>-420.48499999999996</v>
      </c>
      <c r="J3" s="754">
        <f>J12+J13+J15</f>
        <v>-353.98256089462791</v>
      </c>
      <c r="K3" s="680">
        <f t="shared" ref="K3:M13" si="0">$I3/J3-1</f>
        <v>0.18786925247757669</v>
      </c>
    </row>
    <row r="4" spans="2:15" s="626" customFormat="1" ht="15" customHeight="1" thickBot="1" x14ac:dyDescent="0.4">
      <c r="B4" s="623" t="s">
        <v>124</v>
      </c>
      <c r="C4" s="624">
        <v>2024</v>
      </c>
      <c r="D4" s="625" t="s">
        <v>408</v>
      </c>
      <c r="E4" s="625" t="s">
        <v>409</v>
      </c>
      <c r="F4" s="624" t="s">
        <v>410</v>
      </c>
      <c r="H4" s="623" t="s">
        <v>485</v>
      </c>
      <c r="I4" s="624" t="s">
        <v>493</v>
      </c>
      <c r="J4" s="624" t="s">
        <v>491</v>
      </c>
      <c r="K4" s="624" t="s">
        <v>486</v>
      </c>
      <c r="L4" s="625" t="s">
        <v>427</v>
      </c>
      <c r="M4" s="625" t="s">
        <v>425</v>
      </c>
      <c r="N4" s="624" t="s">
        <v>492</v>
      </c>
      <c r="O4" s="625" t="s">
        <v>424</v>
      </c>
    </row>
    <row r="5" spans="2:15" s="626" customFormat="1" ht="15" customHeight="1" thickTop="1" x14ac:dyDescent="0.35">
      <c r="B5" s="627" t="s">
        <v>63</v>
      </c>
      <c r="C5" s="628">
        <f>Operating!BX4/1000</f>
        <v>13020.926528504193</v>
      </c>
      <c r="D5" s="628">
        <f>Operating!CC4/1000</f>
        <v>18569.659067432411</v>
      </c>
      <c r="E5" s="628">
        <f>Operating!CH4/1000</f>
        <v>15689.42603198934</v>
      </c>
      <c r="F5" s="628">
        <f>Operating!CM4/1000</f>
        <v>16275.620435764931</v>
      </c>
      <c r="H5" s="627" t="s">
        <v>63</v>
      </c>
      <c r="I5" s="679">
        <f>Operating!CD4/1000</f>
        <v>2428</v>
      </c>
      <c r="J5" s="634">
        <v>2428</v>
      </c>
      <c r="K5" s="680">
        <f t="shared" si="0"/>
        <v>0</v>
      </c>
      <c r="L5" s="628">
        <f>Operating!CB4/1000</f>
        <v>4531</v>
      </c>
      <c r="M5" s="680">
        <f t="shared" si="0"/>
        <v>-0.46413595232840432</v>
      </c>
      <c r="N5" s="628">
        <f>Operating!BY4/1000</f>
        <v>4862.2180768698481</v>
      </c>
      <c r="O5" s="680">
        <f t="shared" ref="O5:O13" si="1">$I5/N5-1</f>
        <v>-0.50063942801120209</v>
      </c>
    </row>
    <row r="6" spans="2:15" s="626" customFormat="1" ht="15" customHeight="1" x14ac:dyDescent="0.35">
      <c r="B6" s="629" t="s">
        <v>411</v>
      </c>
      <c r="C6" s="630">
        <f>Operating!BX9/1000</f>
        <v>12624.16557177361</v>
      </c>
      <c r="D6" s="630">
        <f>Operating!CC9/1000</f>
        <v>13163.573365860238</v>
      </c>
      <c r="E6" s="630">
        <f>Operating!CH9/1000</f>
        <v>13634.945058524509</v>
      </c>
      <c r="F6" s="630">
        <f>Operating!CM9/1000</f>
        <v>15273.065724229164</v>
      </c>
      <c r="H6" s="690" t="s">
        <v>63</v>
      </c>
      <c r="I6" s="682">
        <f>Operating!CD5/1000</f>
        <v>1747</v>
      </c>
      <c r="J6" s="632">
        <v>1747</v>
      </c>
      <c r="K6" s="680">
        <f t="shared" si="0"/>
        <v>0</v>
      </c>
      <c r="L6" s="691">
        <f>Operating!CB5/1000</f>
        <v>3443.56</v>
      </c>
      <c r="M6" s="680">
        <f t="shared" si="0"/>
        <v>-0.4926761839491689</v>
      </c>
      <c r="N6" s="691">
        <f>Operating!BY5/1000</f>
        <v>3623.6659085595375</v>
      </c>
      <c r="O6" s="680">
        <f t="shared" si="1"/>
        <v>-0.51789153744185557</v>
      </c>
    </row>
    <row r="7" spans="2:15" ht="15" customHeight="1" x14ac:dyDescent="0.25">
      <c r="B7" s="627" t="s">
        <v>110</v>
      </c>
      <c r="C7" s="628">
        <f>IS!BX9/1000</f>
        <v>7965.6880000000001</v>
      </c>
      <c r="D7" s="628">
        <f>IS!CC9/1000</f>
        <v>9423.4940000000006</v>
      </c>
      <c r="E7" s="628">
        <f>IS!CH9/1000</f>
        <v>10023.093943465856</v>
      </c>
      <c r="F7" s="628">
        <f>IS!CM9/1000</f>
        <v>11373.758445042024</v>
      </c>
      <c r="H7" s="688" t="s">
        <v>411</v>
      </c>
      <c r="I7" s="679">
        <f>Operating!CD9/1000</f>
        <v>2942</v>
      </c>
      <c r="J7" s="634">
        <v>2942</v>
      </c>
      <c r="K7" s="689">
        <f t="shared" si="0"/>
        <v>0</v>
      </c>
      <c r="L7" s="628">
        <f>Operating!CB9/1000</f>
        <v>3330</v>
      </c>
      <c r="M7" s="689">
        <f t="shared" si="0"/>
        <v>-0.11651651651651651</v>
      </c>
      <c r="N7" s="628">
        <f>Operating!BY9/1000</f>
        <v>3028.8515868528693</v>
      </c>
      <c r="O7" s="689">
        <f t="shared" si="1"/>
        <v>-2.8674758192134608E-2</v>
      </c>
    </row>
    <row r="8" spans="2:15" ht="15" customHeight="1" x14ac:dyDescent="0.25">
      <c r="B8" s="631" t="s">
        <v>111</v>
      </c>
      <c r="C8" s="632">
        <f>IS!BX10/1000</f>
        <v>-5385.8230000000003</v>
      </c>
      <c r="D8" s="632">
        <f>IS!CC10/1000</f>
        <v>-6353.5249999999996</v>
      </c>
      <c r="E8" s="632">
        <f>IS!CH10/1000</f>
        <v>-6640.5716308464916</v>
      </c>
      <c r="F8" s="632">
        <f>IS!CM10/1000</f>
        <v>-7508.2488340324435</v>
      </c>
      <c r="H8" s="692" t="s">
        <v>411</v>
      </c>
      <c r="I8" s="693">
        <f>Operating!CD10/1000</f>
        <v>2164</v>
      </c>
      <c r="J8" s="756">
        <v>2164</v>
      </c>
      <c r="K8" s="681">
        <f t="shared" si="0"/>
        <v>0</v>
      </c>
      <c r="L8" s="694">
        <f>Operating!CB10/1000</f>
        <v>2497.5</v>
      </c>
      <c r="M8" s="681">
        <f t="shared" si="0"/>
        <v>-0.13353353353353359</v>
      </c>
      <c r="N8" s="694">
        <f>Operating!BY10/1000</f>
        <v>2352.3815851012178</v>
      </c>
      <c r="O8" s="681">
        <f t="shared" si="1"/>
        <v>-8.0081219090614497E-2</v>
      </c>
    </row>
    <row r="9" spans="2:15" ht="15" customHeight="1" x14ac:dyDescent="0.25">
      <c r="B9" s="633" t="s">
        <v>354</v>
      </c>
      <c r="C9" s="634">
        <f>IS!BX16/1000</f>
        <v>2579.8649999999998</v>
      </c>
      <c r="D9" s="634">
        <f>IS!CC16/1000</f>
        <v>3069.9690000000001</v>
      </c>
      <c r="E9" s="634">
        <f>IS!CH16/1000</f>
        <v>3382.5223126193637</v>
      </c>
      <c r="F9" s="634">
        <f>IS!CM16/1000</f>
        <v>3865.5096110095801</v>
      </c>
      <c r="H9" s="627" t="s">
        <v>110</v>
      </c>
      <c r="I9" s="679">
        <f>IS!CD9/1000</f>
        <v>2025.0329999999999</v>
      </c>
      <c r="J9" s="634">
        <v>1912.4442240053108</v>
      </c>
      <c r="K9" s="680">
        <f t="shared" si="0"/>
        <v>5.8871665160979081E-2</v>
      </c>
      <c r="L9" s="628">
        <f>IS!CB9/1000</f>
        <v>3235.174</v>
      </c>
      <c r="M9" s="680">
        <f t="shared" si="0"/>
        <v>-0.37405746955186958</v>
      </c>
      <c r="N9" s="628">
        <f>IS!BY9/1000</f>
        <v>1952.7439999999999</v>
      </c>
      <c r="O9" s="680">
        <f t="shared" si="1"/>
        <v>3.7019189407315967E-2</v>
      </c>
    </row>
    <row r="10" spans="2:15" ht="15" hidden="1" customHeight="1" x14ac:dyDescent="0.25">
      <c r="B10" s="631" t="s">
        <v>113</v>
      </c>
      <c r="C10" s="632">
        <f>IS!BX17/1000</f>
        <v>-381.38299999999998</v>
      </c>
      <c r="D10" s="632">
        <f>IS!CC17/1000</f>
        <v>-526.10900000000004</v>
      </c>
      <c r="E10" s="632">
        <f ca="1">IS!CH17/1000</f>
        <v>-990.45170037384844</v>
      </c>
      <c r="F10" s="632">
        <f ca="1">IS!CM17/1000</f>
        <v>-901.28721326184507</v>
      </c>
      <c r="H10" s="631" t="s">
        <v>111</v>
      </c>
      <c r="I10" s="682">
        <f>IS!CD10/1000</f>
        <v>-1359.107</v>
      </c>
      <c r="J10" s="632">
        <v>-1287.0769816377983</v>
      </c>
      <c r="K10" s="683">
        <f t="shared" si="0"/>
        <v>5.5964032757810589E-2</v>
      </c>
      <c r="L10" s="632">
        <f>IS!CB10/1000</f>
        <v>-2191.7939999999999</v>
      </c>
      <c r="M10" s="683">
        <f t="shared" si="0"/>
        <v>-0.37991115953415333</v>
      </c>
      <c r="N10" s="632">
        <f>IS!BY10/1000</f>
        <v>-1318.405</v>
      </c>
      <c r="O10" s="683">
        <f t="shared" si="1"/>
        <v>3.0872152335587266E-2</v>
      </c>
    </row>
    <row r="11" spans="2:15" ht="15" customHeight="1" x14ac:dyDescent="0.25">
      <c r="B11" s="631" t="s">
        <v>231</v>
      </c>
      <c r="C11" s="632">
        <f>IS!BX23/1000</f>
        <v>113.685</v>
      </c>
      <c r="D11" s="632">
        <f>IS!CC23/1000</f>
        <v>247.679</v>
      </c>
      <c r="E11" s="632">
        <f ca="1">IS!CH23/1000</f>
        <v>243.14315307127993</v>
      </c>
      <c r="F11" s="632">
        <f ca="1">IS!CM23/1000</f>
        <v>314.09890658137817</v>
      </c>
      <c r="H11" s="633" t="s">
        <v>354</v>
      </c>
      <c r="I11" s="679">
        <f>IS!CD16/1000</f>
        <v>665.92600000000004</v>
      </c>
      <c r="J11" s="634">
        <v>625.36724236751252</v>
      </c>
      <c r="K11" s="683">
        <f t="shared" si="0"/>
        <v>6.4855903674999604E-2</v>
      </c>
      <c r="L11" s="634">
        <f>IS!CB16/1000</f>
        <v>1043.3800000000001</v>
      </c>
      <c r="M11" s="683">
        <f t="shared" si="0"/>
        <v>-0.36176081581015551</v>
      </c>
      <c r="N11" s="634">
        <f>IS!BY16/1000</f>
        <v>634.33900000000006</v>
      </c>
      <c r="O11" s="683">
        <f t="shared" si="1"/>
        <v>4.9795141083868399E-2</v>
      </c>
    </row>
    <row r="12" spans="2:15" ht="15" customHeight="1" x14ac:dyDescent="0.25">
      <c r="B12" s="631" t="s">
        <v>118</v>
      </c>
      <c r="C12" s="632">
        <f>IS!BX30/1000</f>
        <v>25.713000000000001</v>
      </c>
      <c r="D12" s="632">
        <f>IS!CC30/1000</f>
        <v>8.6720000000000006</v>
      </c>
      <c r="E12" s="632">
        <f>IS!CH30/1000</f>
        <v>-301.85914366998878</v>
      </c>
      <c r="F12" s="632">
        <f>IS!CM30/1000</f>
        <v>-346.31711915659997</v>
      </c>
      <c r="H12" s="631" t="s">
        <v>355</v>
      </c>
      <c r="I12" s="682">
        <f>IS!CD18/1000</f>
        <v>-276.76799999999997</v>
      </c>
      <c r="J12" s="632">
        <v>-189.58500000000001</v>
      </c>
      <c r="K12" s="683">
        <f t="shared" si="0"/>
        <v>0.45986233088060735</v>
      </c>
      <c r="L12" s="632">
        <f>IS!CB18/1000</f>
        <v>-274.07600000000002</v>
      </c>
      <c r="M12" s="683">
        <f t="shared" si="0"/>
        <v>9.8220931420480717E-3</v>
      </c>
      <c r="N12" s="632">
        <f>IS!BY18/1000</f>
        <v>-200.78</v>
      </c>
      <c r="O12" s="683">
        <f t="shared" si="1"/>
        <v>0.3784639904372944</v>
      </c>
    </row>
    <row r="13" spans="2:15" ht="15" customHeight="1" x14ac:dyDescent="0.25">
      <c r="B13" s="633" t="s">
        <v>119</v>
      </c>
      <c r="C13" s="634">
        <f>IS!BX35/1000</f>
        <v>2198.482</v>
      </c>
      <c r="D13" s="634">
        <f>IS!CC35/1000</f>
        <v>2543.86</v>
      </c>
      <c r="E13" s="634">
        <f ca="1">IS!CH35/1000</f>
        <v>2392.0706122455149</v>
      </c>
      <c r="F13" s="634">
        <f ca="1">IS!CM35/1000</f>
        <v>2964.2223977477352</v>
      </c>
      <c r="H13" s="631" t="s">
        <v>474</v>
      </c>
      <c r="I13" s="682">
        <f>IS!CD21/1000+IS!CD32/1000</f>
        <v>-133.845</v>
      </c>
      <c r="J13" s="632">
        <v>-145.03728839462789</v>
      </c>
      <c r="K13" s="683">
        <f t="shared" si="0"/>
        <v>-7.7168351108268918E-2</v>
      </c>
      <c r="L13" s="632">
        <f>IS!CB21/1000+IS!CB32/1000</f>
        <v>-139.55500000000001</v>
      </c>
      <c r="M13" s="683">
        <f t="shared" si="0"/>
        <v>-4.0915767976783424E-2</v>
      </c>
      <c r="N13" s="632">
        <f>IS!BY21/1000+IS!BY32/1000</f>
        <v>-126.70699999999999</v>
      </c>
      <c r="O13" s="683">
        <f t="shared" si="1"/>
        <v>5.633469342656694E-2</v>
      </c>
    </row>
    <row r="14" spans="2:15" ht="15" customHeight="1" x14ac:dyDescent="0.25">
      <c r="B14" s="631" t="s">
        <v>120</v>
      </c>
      <c r="C14" s="632">
        <f>IS!BX38/1000</f>
        <v>-158.483</v>
      </c>
      <c r="D14" s="632">
        <f>IS!CC38/1000</f>
        <v>-197.74100000000001</v>
      </c>
      <c r="E14" s="632">
        <f>IS!CH38/1000</f>
        <v>-194.94468455081903</v>
      </c>
      <c r="F14" s="632">
        <f>IS!CM38/1000</f>
        <v>-208.32411312419543</v>
      </c>
      <c r="H14" s="631" t="s">
        <v>231</v>
      </c>
      <c r="I14" s="682">
        <f>IS!CD23/1000</f>
        <v>37.698999999999998</v>
      </c>
      <c r="J14" s="632">
        <v>63.084751955842307</v>
      </c>
      <c r="K14" s="683">
        <f>$I14/J14-1</f>
        <v>-0.40240709789287399</v>
      </c>
      <c r="L14" s="632">
        <f>IS!CB23/1000</f>
        <v>65.739000000000004</v>
      </c>
      <c r="M14" s="683">
        <f>$I14/L14-1</f>
        <v>-0.42653523783446667</v>
      </c>
      <c r="N14" s="632">
        <f>IS!BY23/1000</f>
        <v>59.000999999999998</v>
      </c>
      <c r="O14" s="683">
        <f t="shared" ref="O14:O21" si="2">$I14/N14-1</f>
        <v>-0.36104472805545673</v>
      </c>
    </row>
    <row r="15" spans="2:15" ht="15" customHeight="1" x14ac:dyDescent="0.25">
      <c r="B15" s="631" t="s">
        <v>121</v>
      </c>
      <c r="C15" s="632">
        <f>IS!BX43/1000</f>
        <v>-272.05599999999998</v>
      </c>
      <c r="D15" s="632">
        <f>IS!CC43/1000</f>
        <v>-389.07299999999998</v>
      </c>
      <c r="E15" s="632">
        <f>IS!CH43/1000</f>
        <v>-293.05039226745077</v>
      </c>
      <c r="F15" s="632">
        <f>IS!CM43/1000</f>
        <v>-384.18009968822798</v>
      </c>
      <c r="H15" s="631" t="s">
        <v>118</v>
      </c>
      <c r="I15" s="682">
        <f>IS!CD30/1000-IS!CD32/1000</f>
        <v>-9.8719999999999999</v>
      </c>
      <c r="J15" s="632">
        <v>-19.360272500000001</v>
      </c>
      <c r="K15" s="683">
        <f>$I15/J15-1</f>
        <v>-0.49008982182456373</v>
      </c>
      <c r="L15" s="632">
        <f>IS!CB30/1000-IS!CB32/1000</f>
        <v>-21.177999999999997</v>
      </c>
      <c r="M15" s="683">
        <f t="shared" ref="K15:M21" si="3">$I15/L15-1</f>
        <v>-0.53385588818585317</v>
      </c>
      <c r="N15" s="632">
        <f>IS!BY30/1000-IS!BY32/1000</f>
        <v>-40.448</v>
      </c>
      <c r="O15" s="683">
        <f t="shared" si="2"/>
        <v>-0.75593354430379744</v>
      </c>
    </row>
    <row r="16" spans="2:15" ht="15" customHeight="1" x14ac:dyDescent="0.25">
      <c r="B16" s="635" t="s">
        <v>142</v>
      </c>
      <c r="C16" s="636">
        <f>IS!BX45/1000</f>
        <v>1740.9960000000001</v>
      </c>
      <c r="D16" s="636">
        <f>IS!CC45/1000</f>
        <v>2006.7560000000001</v>
      </c>
      <c r="E16" s="636">
        <f ca="1">IS!CH45/1000</f>
        <v>1886.89217306352</v>
      </c>
      <c r="F16" s="636">
        <f ca="1">IS!CM45/1000</f>
        <v>2361.6661359147001</v>
      </c>
      <c r="H16" s="631" t="s">
        <v>475</v>
      </c>
      <c r="I16" s="682">
        <f>IS!CD34/1000</f>
        <v>128.14099999999999</v>
      </c>
      <c r="J16" s="632">
        <v>116.72602309109742</v>
      </c>
      <c r="K16" s="683">
        <f t="shared" si="3"/>
        <v>9.779290518613748E-2</v>
      </c>
      <c r="L16" s="632">
        <f>IS!CB34/1000</f>
        <v>164.048</v>
      </c>
      <c r="M16" s="683">
        <f t="shared" si="3"/>
        <v>-0.21888105920218481</v>
      </c>
      <c r="N16" s="632">
        <f>IS!BY34/1000</f>
        <v>112.55800000000001</v>
      </c>
      <c r="O16" s="683">
        <f t="shared" si="2"/>
        <v>0.1384441798894791</v>
      </c>
    </row>
    <row r="17" spans="2:19" ht="15" customHeight="1" x14ac:dyDescent="0.25">
      <c r="B17" s="637" t="s">
        <v>412</v>
      </c>
      <c r="C17" s="638">
        <f>IS!BX77</f>
        <v>0.34069298220065863</v>
      </c>
      <c r="D17" s="638">
        <f>IS!CC77</f>
        <v>0.34469157618182811</v>
      </c>
      <c r="E17" s="638">
        <f>IS!CH77</f>
        <v>0.36093257505064635</v>
      </c>
      <c r="F17" s="638">
        <f>IS!CM77</f>
        <v>0.35611315277669897</v>
      </c>
      <c r="H17" s="633" t="s">
        <v>119</v>
      </c>
      <c r="I17" s="679">
        <f>IS!CD35/1000</f>
        <v>411.28100000000001</v>
      </c>
      <c r="J17" s="634">
        <v>451.1954565198244</v>
      </c>
      <c r="K17" s="683">
        <f>$I17/J17-1</f>
        <v>-8.8463782032944027E-2</v>
      </c>
      <c r="L17" s="634">
        <f>IS!CB35/1000</f>
        <v>838.35799999999995</v>
      </c>
      <c r="M17" s="683">
        <f t="shared" si="3"/>
        <v>-0.50942079636623017</v>
      </c>
      <c r="N17" s="634">
        <f>IS!BY35/1000</f>
        <v>437.96300000000002</v>
      </c>
      <c r="O17" s="683">
        <f t="shared" si="2"/>
        <v>-6.0922954678819918E-2</v>
      </c>
    </row>
    <row r="18" spans="2:19" ht="15" hidden="1" customHeight="1" x14ac:dyDescent="0.25">
      <c r="B18" s="637" t="s">
        <v>85</v>
      </c>
      <c r="C18" s="638">
        <f>IS!BX78</f>
        <v>0.32387221292121909</v>
      </c>
      <c r="D18" s="638">
        <f>IS!CC78</f>
        <v>0.32577820922897599</v>
      </c>
      <c r="E18" s="638">
        <f>IS!CH78</f>
        <v>0.33747287331617404</v>
      </c>
      <c r="F18" s="638">
        <f>IS!CM78</f>
        <v>0.33986211591249404</v>
      </c>
      <c r="H18" s="631" t="s">
        <v>120</v>
      </c>
      <c r="I18" s="682">
        <f>IS!CD38/1000</f>
        <v>-46.052999999999997</v>
      </c>
      <c r="J18" s="632">
        <v>-49.254415859791294</v>
      </c>
      <c r="K18" s="683">
        <f t="shared" si="3"/>
        <v>-6.4997539893773548E-2</v>
      </c>
      <c r="L18" s="632">
        <f>IS!CB38/1000</f>
        <v>-56.363</v>
      </c>
      <c r="M18" s="683">
        <f t="shared" si="3"/>
        <v>-0.18292142008054935</v>
      </c>
      <c r="N18" s="632">
        <f>IS!BY38/1000</f>
        <v>-43.072000000000003</v>
      </c>
      <c r="O18" s="683">
        <f t="shared" si="2"/>
        <v>6.9209695393759096E-2</v>
      </c>
    </row>
    <row r="19" spans="2:19" ht="15" hidden="1" customHeight="1" x14ac:dyDescent="0.25">
      <c r="B19" s="639" t="s">
        <v>221</v>
      </c>
      <c r="C19" s="640">
        <f>IS!BX83</f>
        <v>0.20701237608101145</v>
      </c>
      <c r="D19" s="640">
        <f>IS!CC83</f>
        <v>0.18292111185086976</v>
      </c>
      <c r="E19" s="640">
        <f ca="1">IS!CH83</f>
        <v>0.1882544635125965</v>
      </c>
      <c r="F19" s="640">
        <f ca="1">IS!CM83</f>
        <v>0.20764166456728142</v>
      </c>
      <c r="H19" s="631" t="s">
        <v>121</v>
      </c>
      <c r="I19" s="682">
        <f>IS!CD43/1000</f>
        <v>-63.283000000000001</v>
      </c>
      <c r="J19" s="632">
        <v>-61.973700000000001</v>
      </c>
      <c r="K19" s="683">
        <f t="shared" si="3"/>
        <v>2.1126703746912057E-2</v>
      </c>
      <c r="L19" s="632">
        <f>IS!CB43/1000</f>
        <v>-157.84800000000001</v>
      </c>
      <c r="M19" s="683">
        <f t="shared" si="3"/>
        <v>-0.59908899700978158</v>
      </c>
      <c r="N19" s="632">
        <f>IS!BY43/1000</f>
        <v>-66.180999999999997</v>
      </c>
      <c r="O19" s="683">
        <f t="shared" si="2"/>
        <v>-4.3789002886024608E-2</v>
      </c>
    </row>
    <row r="20" spans="2:19" s="626" customFormat="1" ht="15" customHeight="1" x14ac:dyDescent="0.35">
      <c r="B20" s="626" t="s">
        <v>203</v>
      </c>
      <c r="C20" s="632">
        <f>'BS &amp; FCF'!BX75/1000</f>
        <v>-30.675999999999998</v>
      </c>
      <c r="D20" s="632">
        <f>'BS &amp; FCF'!CC75/1000</f>
        <v>-262.85599999999999</v>
      </c>
      <c r="E20" s="632">
        <f ca="1">'BS &amp; FCF'!CH75/1000</f>
        <v>744.51433272278871</v>
      </c>
      <c r="F20" s="632">
        <f ca="1">'BS &amp; FCF'!CM75/1000</f>
        <v>1355.3769543546398</v>
      </c>
      <c r="H20" s="695" t="s">
        <v>142</v>
      </c>
      <c r="I20" s="679">
        <f>IS!CD45/1000</f>
        <v>296.77600000000001</v>
      </c>
      <c r="J20" s="634">
        <v>352.50282741892244</v>
      </c>
      <c r="K20" s="696">
        <f>$I20/J20-1</f>
        <v>-0.15808902251071988</v>
      </c>
      <c r="L20" s="634">
        <f>IS!CB45/1000</f>
        <v>682.202</v>
      </c>
      <c r="M20" s="696">
        <f t="shared" si="3"/>
        <v>-0.56497342429368425</v>
      </c>
      <c r="N20" s="634">
        <f>IS!BY45/1000</f>
        <v>327.63200000000001</v>
      </c>
      <c r="O20" s="696">
        <f t="shared" si="2"/>
        <v>-9.4178834790252464E-2</v>
      </c>
    </row>
    <row r="21" spans="2:19" s="626" customFormat="1" ht="15" customHeight="1" x14ac:dyDescent="0.35">
      <c r="B21" s="641" t="s">
        <v>23</v>
      </c>
      <c r="C21" s="642">
        <f>'BS &amp; FCF'!BX66</f>
        <v>6.6891714913068029E-2</v>
      </c>
      <c r="D21" s="642">
        <f>'BS &amp; FCF'!CC66</f>
        <v>0.14911460789703548</v>
      </c>
      <c r="E21" s="642">
        <f ca="1">'BS &amp; FCF'!CH66</f>
        <v>5.6503558362564078E-2</v>
      </c>
      <c r="F21" s="642">
        <f ca="1">'BS &amp; FCF'!CM66</f>
        <v>2.3724248306653924E-2</v>
      </c>
      <c r="H21" s="697" t="s">
        <v>16</v>
      </c>
      <c r="I21" s="698">
        <f>IS!CD74/IS!CA48</f>
        <v>0.67585644631995101</v>
      </c>
      <c r="J21" s="699">
        <v>0.80276473925481817</v>
      </c>
      <c r="K21" s="684">
        <f>$I21/J21-1</f>
        <v>-0.15808902251071988</v>
      </c>
      <c r="L21" s="699">
        <f>IS!CB52</f>
        <v>1.3941850693788131</v>
      </c>
      <c r="M21" s="684">
        <f t="shared" si="3"/>
        <v>-0.5152319005818341</v>
      </c>
      <c r="N21" s="699">
        <f>IS!BY52</f>
        <v>0.73280503161534627</v>
      </c>
      <c r="O21" s="684">
        <f t="shared" si="2"/>
        <v>-7.7713147206237898E-2</v>
      </c>
    </row>
    <row r="22" spans="2:19" s="626" customFormat="1" ht="15" customHeight="1" x14ac:dyDescent="0.35">
      <c r="B22" s="643" t="s">
        <v>361</v>
      </c>
      <c r="C22" s="644">
        <f>'BS &amp; FCF'!BX137</f>
        <v>0.19271584206974965</v>
      </c>
      <c r="D22" s="644">
        <f>'BS &amp; FCF'!CC137</f>
        <v>0.17469128142284904</v>
      </c>
      <c r="E22" s="644">
        <f ca="1">'BS &amp; FCF'!CH137</f>
        <v>0.1648292809273933</v>
      </c>
      <c r="F22" s="644">
        <f ca="1">'BS &amp; FCF'!CM137</f>
        <v>0.18421892951912897</v>
      </c>
      <c r="H22" s="637" t="s">
        <v>412</v>
      </c>
      <c r="I22" s="646">
        <f>IS!CD77</f>
        <v>0.36106374562784904</v>
      </c>
      <c r="J22" s="638">
        <v>0.3455461472557268</v>
      </c>
      <c r="K22" s="685">
        <f>($I22-J22)*10000</f>
        <v>155.17598372122242</v>
      </c>
      <c r="L22" s="638">
        <f>IS!CB77</f>
        <v>0.33720628318600482</v>
      </c>
      <c r="M22" s="685">
        <f>($I22-L22)*10000</f>
        <v>238.57462441844223</v>
      </c>
      <c r="N22" s="638">
        <f>IS!BY77</f>
        <v>0.34353402186871396</v>
      </c>
      <c r="O22" s="685">
        <f>($I22-N22)*10000</f>
        <v>175.29723759135086</v>
      </c>
    </row>
    <row r="23" spans="2:19" ht="15" customHeight="1" x14ac:dyDescent="0.25">
      <c r="B23" s="622" t="s">
        <v>46</v>
      </c>
      <c r="E23" s="809">
        <f ca="1">Valuation!C26</f>
        <v>4.7758223114939167</v>
      </c>
      <c r="F23" s="809">
        <f ca="1">Valuation!D26</f>
        <v>3.8157231155409517</v>
      </c>
      <c r="H23" s="637" t="s">
        <v>85</v>
      </c>
      <c r="I23" s="646">
        <f>IS!CD78</f>
        <v>0.32884698669108109</v>
      </c>
      <c r="J23" s="638">
        <v>0.32699894434452059</v>
      </c>
      <c r="K23" s="685">
        <f>($I23-J23)*10000</f>
        <v>18.480423465604968</v>
      </c>
      <c r="L23" s="638">
        <f>IS!CB78</f>
        <v>0.32251124669028619</v>
      </c>
      <c r="M23" s="685">
        <f>($I23-L23)*10000</f>
        <v>63.357400007948982</v>
      </c>
      <c r="N23" s="638">
        <f>IS!BY78</f>
        <v>0.32484493615138493</v>
      </c>
      <c r="O23" s="685">
        <f>($I23-N23)*10000</f>
        <v>40.020505396961561</v>
      </c>
    </row>
    <row r="24" spans="2:19" ht="15" customHeight="1" x14ac:dyDescent="0.3">
      <c r="B24" s="810" t="s">
        <v>481</v>
      </c>
      <c r="E24" s="809">
        <f ca="1">Valuation!C28</f>
        <v>4.7758223114939167</v>
      </c>
      <c r="F24" s="809">
        <f ca="1">Valuation!D28</f>
        <v>3.4589280478901929</v>
      </c>
      <c r="H24" s="639" t="s">
        <v>221</v>
      </c>
      <c r="I24" s="686">
        <f>IS!CD83</f>
        <v>0.14655366110083146</v>
      </c>
      <c r="J24" s="640">
        <v>0.1843205793895841</v>
      </c>
      <c r="K24" s="687">
        <f>($I24-J24)*10000</f>
        <v>-377.66918288752646</v>
      </c>
      <c r="L24" s="640">
        <f>IS!CB83</f>
        <v>0.1892330984361274</v>
      </c>
      <c r="M24" s="687">
        <f>($I24-L24)*10000</f>
        <v>-426.79437335295944</v>
      </c>
      <c r="N24" s="640">
        <f>IS!BY83</f>
        <v>0.16778031324126461</v>
      </c>
      <c r="O24" s="687">
        <f>($I24-N24)*10000</f>
        <v>-212.26652140433148</v>
      </c>
    </row>
    <row r="25" spans="2:19" ht="15" customHeight="1" x14ac:dyDescent="0.25">
      <c r="B25" s="742" t="s">
        <v>404</v>
      </c>
      <c r="C25" s="742"/>
      <c r="D25" s="742"/>
      <c r="E25" s="812">
        <f ca="1">Valuation!$B$6/'BS &amp; FCF'!CH135</f>
        <v>0.73224964496734501</v>
      </c>
      <c r="F25" s="812">
        <f ca="1">Valuation!$B$6/'BS &amp; FCF'!CM135</f>
        <v>0.65658415742353482</v>
      </c>
      <c r="H25" s="626" t="s">
        <v>203</v>
      </c>
      <c r="I25" s="682">
        <f>'BS &amp; FCF'!CD75/1000</f>
        <v>130.31200000000001</v>
      </c>
      <c r="J25" s="632">
        <v>151.666233696267</v>
      </c>
      <c r="K25" s="680">
        <f t="shared" ref="K25:M25" si="4">$I25/J25-1</f>
        <v>-0.14079754719189408</v>
      </c>
      <c r="L25" s="632">
        <f>'BS &amp; FCF'!CB75/1000</f>
        <v>64.799000000000007</v>
      </c>
      <c r="M25" s="680">
        <f t="shared" si="4"/>
        <v>1.0110186885600085</v>
      </c>
      <c r="N25" s="632">
        <f>'BS &amp; FCF'!BY75/1000</f>
        <v>-25.413</v>
      </c>
      <c r="O25" s="680" t="s">
        <v>426</v>
      </c>
    </row>
    <row r="26" spans="2:19" ht="15" hidden="1" customHeight="1" x14ac:dyDescent="0.25">
      <c r="B26" s="742" t="s">
        <v>328</v>
      </c>
      <c r="C26" s="644"/>
      <c r="D26" s="644"/>
      <c r="E26" s="811">
        <f ca="1">Valuation!C33</f>
        <v>1.2624744745101792</v>
      </c>
      <c r="F26" s="811">
        <f ca="1">Valuation!D33</f>
        <v>1.1383238755501035</v>
      </c>
      <c r="H26" s="641" t="s">
        <v>23</v>
      </c>
      <c r="I26" s="647">
        <f>'BS &amp; FCF'!CD66</f>
        <v>0.13261184881051716</v>
      </c>
      <c r="J26" s="757">
        <v>0.13821788000440821</v>
      </c>
      <c r="K26" s="642">
        <f>$I26/J26-1</f>
        <v>-4.0559377655859374E-2</v>
      </c>
      <c r="L26" s="642">
        <f>'BS &amp; FCF'!CB66</f>
        <v>0.14911460789703548</v>
      </c>
      <c r="M26" s="642">
        <f>$I26/L26-1</f>
        <v>-0.11067164591891343</v>
      </c>
      <c r="N26" s="642">
        <f>'BS &amp; FCF'!BY66</f>
        <v>5.1016991920794889E-2</v>
      </c>
      <c r="O26" s="642">
        <f>$I26/N26-1</f>
        <v>1.5993662859699813</v>
      </c>
    </row>
    <row r="27" spans="2:19" ht="15" customHeight="1" x14ac:dyDescent="0.25">
      <c r="H27" s="643" t="s">
        <v>361</v>
      </c>
      <c r="I27" s="648">
        <f>'BS &amp; FCF'!CD137</f>
        <v>0.11387014026353631</v>
      </c>
      <c r="J27" s="758">
        <v>0.13888019548459163</v>
      </c>
      <c r="K27" s="702">
        <f>($I27-J27)*10000</f>
        <v>-250.10055221055316</v>
      </c>
      <c r="L27" s="644">
        <f>'BS &amp; FCF'!CB137</f>
        <v>0.23704533748309745</v>
      </c>
      <c r="M27" s="702">
        <f>($I27-L27)*10000</f>
        <v>-1231.7519721956114</v>
      </c>
      <c r="N27" s="644">
        <f>'BS &amp; FCF'!BY137</f>
        <v>0.14622140335884229</v>
      </c>
      <c r="O27" s="702">
        <f>($I27-N27)*10000</f>
        <v>-323.51263095305978</v>
      </c>
    </row>
    <row r="28" spans="2:19" ht="15" customHeight="1" x14ac:dyDescent="0.25">
      <c r="I28" s="754">
        <f>I20-70</f>
        <v>226.77600000000001</v>
      </c>
      <c r="J28" s="755">
        <f>I28/J20-1</f>
        <v>-0.35666898997523722</v>
      </c>
    </row>
    <row r="31" spans="2:19" ht="15" customHeight="1" thickBot="1" x14ac:dyDescent="0.3">
      <c r="H31" s="623" t="s">
        <v>485</v>
      </c>
      <c r="I31" s="838">
        <v>2025</v>
      </c>
      <c r="J31" s="838"/>
      <c r="K31" s="838"/>
      <c r="L31" s="838"/>
      <c r="M31" s="838"/>
      <c r="N31" s="838">
        <v>2026</v>
      </c>
      <c r="O31" s="838"/>
      <c r="P31" s="838"/>
      <c r="Q31" s="838">
        <v>2027</v>
      </c>
      <c r="R31" s="838"/>
      <c r="S31" s="838"/>
    </row>
    <row r="32" spans="2:19" ht="15" customHeight="1" thickTop="1" thickBot="1" x14ac:dyDescent="0.3">
      <c r="H32" s="623" t="s">
        <v>476</v>
      </c>
      <c r="I32" s="708" t="s">
        <v>477</v>
      </c>
      <c r="J32" s="708"/>
      <c r="K32" s="708"/>
      <c r="L32" s="708" t="s">
        <v>478</v>
      </c>
      <c r="M32" s="709" t="s">
        <v>479</v>
      </c>
      <c r="N32" s="708" t="s">
        <v>477</v>
      </c>
      <c r="O32" s="708" t="s">
        <v>478</v>
      </c>
      <c r="P32" s="709" t="s">
        <v>479</v>
      </c>
      <c r="Q32" s="708" t="s">
        <v>477</v>
      </c>
      <c r="R32" s="708" t="s">
        <v>478</v>
      </c>
      <c r="S32" s="709" t="s">
        <v>479</v>
      </c>
    </row>
    <row r="33" spans="8:19" ht="15" customHeight="1" thickTop="1" x14ac:dyDescent="0.25">
      <c r="H33" s="710" t="s">
        <v>63</v>
      </c>
      <c r="I33" s="628">
        <f>Operating!CC4/1000</f>
        <v>18569.659067432411</v>
      </c>
      <c r="J33" s="628"/>
      <c r="K33" s="628"/>
      <c r="L33" s="628">
        <v>17473.659106295527</v>
      </c>
      <c r="M33" s="711">
        <f>I33/L33-1</f>
        <v>6.2722979455517081E-2</v>
      </c>
      <c r="N33" s="628">
        <f>Operating!CH4/1000</f>
        <v>15689.42603198934</v>
      </c>
      <c r="O33" s="628">
        <v>18070.071768222755</v>
      </c>
      <c r="P33" s="711">
        <f>N33/O33-1</f>
        <v>-0.13174522861718319</v>
      </c>
      <c r="Q33" s="628">
        <f>Operating!CM4/1000</f>
        <v>16275.620435764931</v>
      </c>
      <c r="R33" s="628">
        <v>18792.874638951689</v>
      </c>
      <c r="S33" s="711">
        <f>Q33/R33-1</f>
        <v>-0.13394726733127271</v>
      </c>
    </row>
    <row r="34" spans="8:19" ht="15" customHeight="1" x14ac:dyDescent="0.25">
      <c r="H34" s="712" t="s">
        <v>64</v>
      </c>
      <c r="I34" s="632">
        <f>Operating!CC5/1000</f>
        <v>13415.420563633572</v>
      </c>
      <c r="J34" s="632"/>
      <c r="K34" s="632"/>
      <c r="L34" s="632">
        <v>12682.627203474234</v>
      </c>
      <c r="M34" s="713">
        <f>I34/L34-1</f>
        <v>5.7779303010546457E-2</v>
      </c>
      <c r="N34" s="632">
        <f>Operating!CH5/1000</f>
        <v>11600.458873192269</v>
      </c>
      <c r="O34" s="632">
        <v>13552.553826167066</v>
      </c>
      <c r="P34" s="713">
        <f>N34/O34-1</f>
        <v>-0.14403890056542124</v>
      </c>
      <c r="Q34" s="632">
        <f>Operating!CM5/1000</f>
        <v>12206.715326823698</v>
      </c>
      <c r="R34" s="632">
        <v>14094.655979213769</v>
      </c>
      <c r="S34" s="713">
        <f>Q34/R34-1</f>
        <v>-0.13394726733127293</v>
      </c>
    </row>
    <row r="35" spans="8:19" ht="15" customHeight="1" x14ac:dyDescent="0.25">
      <c r="H35" s="714" t="s">
        <v>411</v>
      </c>
      <c r="I35" s="634">
        <f>Operating!CC9/1000</f>
        <v>13163.573365860238</v>
      </c>
      <c r="J35" s="634"/>
      <c r="K35" s="634"/>
      <c r="L35" s="634">
        <v>13272.287811780736</v>
      </c>
      <c r="M35" s="715">
        <f>I35/L35-1</f>
        <v>-8.1910856260968279E-3</v>
      </c>
      <c r="N35" s="634">
        <f>Operating!CH9/1000</f>
        <v>13634.945058524509</v>
      </c>
      <c r="O35" s="634">
        <v>15914.734212791271</v>
      </c>
      <c r="P35" s="715">
        <f>N35/O35-1</f>
        <v>-0.14325021855749309</v>
      </c>
      <c r="Q35" s="634">
        <f>Operating!CM9/1000</f>
        <v>15273.065724229164</v>
      </c>
      <c r="R35" s="634">
        <v>17120.984535084524</v>
      </c>
      <c r="S35" s="715">
        <f>Q35/R35-1</f>
        <v>-0.1079329758793125</v>
      </c>
    </row>
    <row r="36" spans="8:19" ht="15" customHeight="1" x14ac:dyDescent="0.25">
      <c r="H36" s="716" t="s">
        <v>480</v>
      </c>
      <c r="I36" s="694">
        <f>Operating!CC10/1000</f>
        <v>9622.4905105474882</v>
      </c>
      <c r="J36" s="694"/>
      <c r="K36" s="694"/>
      <c r="L36" s="694">
        <v>9822.9325390115755</v>
      </c>
      <c r="M36" s="717">
        <f>I36/L36-1</f>
        <v>-2.0405518175762305E-2</v>
      </c>
      <c r="N36" s="694">
        <f>Operating!CH10/1000</f>
        <v>9983.3389418563929</v>
      </c>
      <c r="O36" s="694">
        <v>11692.220043974363</v>
      </c>
      <c r="P36" s="717">
        <f>N36/O36-1</f>
        <v>-0.14615540040222297</v>
      </c>
      <c r="Q36" s="694">
        <f>Operating!CM10/1000</f>
        <v>11301.0432092102</v>
      </c>
      <c r="R36" s="694">
        <v>12814.890479621736</v>
      </c>
      <c r="S36" s="717">
        <f>Q36/R36-1</f>
        <v>-0.11813189295834081</v>
      </c>
    </row>
    <row r="37" spans="8:19" ht="15" customHeight="1" x14ac:dyDescent="0.25">
      <c r="H37" s="718" t="s">
        <v>110</v>
      </c>
      <c r="I37" s="628">
        <f>IS!CC59/1000</f>
        <v>9423.4940000000006</v>
      </c>
      <c r="J37" s="628"/>
      <c r="K37" s="628"/>
      <c r="L37" s="628">
        <v>8609.4651596001422</v>
      </c>
      <c r="M37" s="719">
        <f t="shared" ref="M37:M49" si="5">I37/L37-1</f>
        <v>9.4550454100178483E-2</v>
      </c>
      <c r="N37" s="628">
        <f>IS!CH59/1000</f>
        <v>10023.093943465856</v>
      </c>
      <c r="O37" s="628">
        <v>10397.381330048935</v>
      </c>
      <c r="P37" s="719">
        <f t="shared" ref="P37:P49" si="6">N37/O37-1</f>
        <v>-3.5998235969413761E-2</v>
      </c>
      <c r="Q37" s="628">
        <f>IS!CM59/1000</f>
        <v>11373.758445042024</v>
      </c>
      <c r="R37" s="628">
        <v>12788.53838912922</v>
      </c>
      <c r="S37" s="719">
        <f t="shared" ref="S37:S49" si="7">Q37/R37-1</f>
        <v>-0.11062874435203773</v>
      </c>
    </row>
    <row r="38" spans="8:19" ht="15" customHeight="1" x14ac:dyDescent="0.25">
      <c r="H38" s="720" t="s">
        <v>111</v>
      </c>
      <c r="I38" s="632">
        <f>IS!CC60/1000</f>
        <v>-6175.2950000000001</v>
      </c>
      <c r="J38" s="632"/>
      <c r="K38" s="632"/>
      <c r="L38" s="632">
        <v>-5607.2063030576201</v>
      </c>
      <c r="M38" s="713">
        <f t="shared" si="5"/>
        <v>0.10131403523223326</v>
      </c>
      <c r="N38" s="632">
        <f>IS!CH60/1000</f>
        <v>-6405.4328364761859</v>
      </c>
      <c r="O38" s="632">
        <v>-6792.613841751644</v>
      </c>
      <c r="P38" s="713">
        <f t="shared" si="6"/>
        <v>-5.7000296836484665E-2</v>
      </c>
      <c r="Q38" s="632">
        <f>IS!CM60/1000</f>
        <v>-7323.4134662575034</v>
      </c>
      <c r="R38" s="632">
        <v>-8371.0191271312324</v>
      </c>
      <c r="S38" s="713">
        <f t="shared" si="7"/>
        <v>-0.12514672884671163</v>
      </c>
    </row>
    <row r="39" spans="8:19" ht="15" customHeight="1" x14ac:dyDescent="0.25">
      <c r="H39" s="714" t="s">
        <v>354</v>
      </c>
      <c r="I39" s="634">
        <f>IS!CC61/1000</f>
        <v>3248.1990000000001</v>
      </c>
      <c r="J39" s="634"/>
      <c r="K39" s="634"/>
      <c r="L39" s="634">
        <v>3002.2588565425222</v>
      </c>
      <c r="M39" s="715">
        <f t="shared" si="5"/>
        <v>8.1918367205920717E-2</v>
      </c>
      <c r="N39" s="634">
        <f>IS!CH61/1000</f>
        <v>3617.6611069896685</v>
      </c>
      <c r="O39" s="634">
        <v>3604.767488297291</v>
      </c>
      <c r="P39" s="715">
        <f t="shared" si="6"/>
        <v>3.5768239516795752E-3</v>
      </c>
      <c r="Q39" s="634">
        <f>IS!CM61/1000</f>
        <v>4050.3449787845202</v>
      </c>
      <c r="R39" s="634">
        <v>4417.5192619979871</v>
      </c>
      <c r="S39" s="715">
        <f t="shared" si="7"/>
        <v>-8.3117754883857309E-2</v>
      </c>
    </row>
    <row r="40" spans="8:19" ht="15" customHeight="1" x14ac:dyDescent="0.25">
      <c r="H40" s="720" t="s">
        <v>355</v>
      </c>
      <c r="I40" s="632">
        <f>IS!CC18/1000</f>
        <v>-938.22</v>
      </c>
      <c r="J40" s="632"/>
      <c r="K40" s="632"/>
      <c r="L40" s="632">
        <v>-907.18909912003107</v>
      </c>
      <c r="M40" s="713">
        <f t="shared" si="5"/>
        <v>3.420554866683112E-2</v>
      </c>
      <c r="N40" s="632">
        <f>IS!CH18/1000</f>
        <v>-1126.9236970258253</v>
      </c>
      <c r="O40" s="632">
        <v>-1087.2414625340634</v>
      </c>
      <c r="P40" s="713">
        <f t="shared" si="6"/>
        <v>3.6498087921769784E-2</v>
      </c>
      <c r="Q40" s="632">
        <f>IS!CM18/1000</f>
        <v>-1171.1978080150936</v>
      </c>
      <c r="R40" s="632">
        <v>-1400.0024905440844</v>
      </c>
      <c r="S40" s="713">
        <f t="shared" si="7"/>
        <v>-0.16343162535380218</v>
      </c>
    </row>
    <row r="41" spans="8:19" ht="15" customHeight="1" x14ac:dyDescent="0.25">
      <c r="H41" s="720" t="s">
        <v>474</v>
      </c>
      <c r="I41" s="632">
        <f>IS!CC21/1000</f>
        <v>-392.346</v>
      </c>
      <c r="J41" s="632"/>
      <c r="K41" s="632"/>
      <c r="L41" s="632">
        <v>-411.98636772468222</v>
      </c>
      <c r="M41" s="713">
        <f t="shared" si="5"/>
        <v>-4.7672372833965415E-2</v>
      </c>
      <c r="N41" s="632">
        <f>IS!CH21/1000</f>
        <v>-382.07713784898107</v>
      </c>
      <c r="O41" s="632">
        <v>-450.13920297193346</v>
      </c>
      <c r="P41" s="713">
        <f t="shared" si="6"/>
        <v>-0.15120226070866372</v>
      </c>
      <c r="Q41" s="632">
        <f>IS!CM21/1000</f>
        <v>-436.75344734809119</v>
      </c>
      <c r="R41" s="632">
        <v>-515.42965318431789</v>
      </c>
      <c r="S41" s="713">
        <f t="shared" si="7"/>
        <v>-0.15264198586590061</v>
      </c>
    </row>
    <row r="42" spans="8:19" ht="15" customHeight="1" x14ac:dyDescent="0.25">
      <c r="H42" s="720" t="s">
        <v>231</v>
      </c>
      <c r="I42" s="632">
        <f>IS!CC23/1000</f>
        <v>247.679</v>
      </c>
      <c r="J42" s="632"/>
      <c r="K42" s="632"/>
      <c r="L42" s="632">
        <v>257.02547354933444</v>
      </c>
      <c r="M42" s="713">
        <f t="shared" si="5"/>
        <v>-3.6363997001022663E-2</v>
      </c>
      <c r="N42" s="632">
        <f ca="1">IS!CH23/1000</f>
        <v>243.14315307127993</v>
      </c>
      <c r="O42" s="632">
        <v>186.60212189272784</v>
      </c>
      <c r="P42" s="713">
        <f t="shared" ca="1" si="6"/>
        <v>0.30300315240282161</v>
      </c>
      <c r="Q42" s="632">
        <f ca="1">IS!CM23/1000</f>
        <v>314.09890658137817</v>
      </c>
      <c r="R42" s="632">
        <v>94.937112399620005</v>
      </c>
      <c r="S42" s="713">
        <f t="shared" ca="1" si="7"/>
        <v>2.3084944195399331</v>
      </c>
    </row>
    <row r="43" spans="8:19" ht="15" customHeight="1" x14ac:dyDescent="0.25">
      <c r="H43" s="720" t="s">
        <v>118</v>
      </c>
      <c r="I43" s="632">
        <f>IS!CC30/10000</f>
        <v>0.86719999999999997</v>
      </c>
      <c r="J43" s="632"/>
      <c r="K43" s="632"/>
      <c r="L43" s="632">
        <v>2.4218474782440129</v>
      </c>
      <c r="M43" s="713">
        <f t="shared" si="5"/>
        <v>-0.64192625349438903</v>
      </c>
      <c r="N43" s="632">
        <f>IS!CH30/10000</f>
        <v>-30.18591436699888</v>
      </c>
      <c r="O43" s="632">
        <v>-23.424416587923364</v>
      </c>
      <c r="P43" s="713">
        <f t="shared" si="6"/>
        <v>0.28865170467304013</v>
      </c>
      <c r="Q43" s="632">
        <f>IS!CM30/10000</f>
        <v>-34.631711915659999</v>
      </c>
      <c r="R43" s="632">
        <v>-26.681405727501062</v>
      </c>
      <c r="S43" s="713">
        <f t="shared" si="7"/>
        <v>0.29797178864396923</v>
      </c>
    </row>
    <row r="44" spans="8:19" ht="15" customHeight="1" x14ac:dyDescent="0.25">
      <c r="H44" s="720" t="s">
        <v>475</v>
      </c>
      <c r="I44" s="632">
        <f>IS!CC34/1000</f>
        <v>548.10599999999999</v>
      </c>
      <c r="J44" s="632"/>
      <c r="K44" s="632"/>
      <c r="L44" s="632">
        <v>537.31515758518947</v>
      </c>
      <c r="M44" s="713">
        <f t="shared" si="5"/>
        <v>2.0082892251368722E-2</v>
      </c>
      <c r="N44" s="632">
        <f>IS!CH34/1000</f>
        <v>577.26512509966665</v>
      </c>
      <c r="O44" s="632">
        <v>689.55138247572938</v>
      </c>
      <c r="P44" s="713">
        <f t="shared" si="6"/>
        <v>-0.16283957980464925</v>
      </c>
      <c r="Q44" s="632">
        <f>IS!CM34/1000</f>
        <v>738.88225467656162</v>
      </c>
      <c r="R44" s="632">
        <v>855.76290479822831</v>
      </c>
      <c r="S44" s="713">
        <f t="shared" si="7"/>
        <v>-0.13658064572128747</v>
      </c>
    </row>
    <row r="45" spans="8:19" ht="15" customHeight="1" x14ac:dyDescent="0.25">
      <c r="H45" s="721" t="s">
        <v>119</v>
      </c>
      <c r="I45" s="636">
        <f>IS!CC35/1000</f>
        <v>2543.86</v>
      </c>
      <c r="J45" s="636"/>
      <c r="K45" s="636"/>
      <c r="L45" s="636">
        <v>2333.6617419820295</v>
      </c>
      <c r="M45" s="722">
        <f t="shared" si="5"/>
        <v>9.0072290356632667E-2</v>
      </c>
      <c r="N45" s="636">
        <f ca="1">IS!CH35/1000</f>
        <v>2392.0706122455149</v>
      </c>
      <c r="O45" s="636">
        <v>2570.6816017029091</v>
      </c>
      <c r="P45" s="722">
        <f t="shared" ca="1" si="6"/>
        <v>-6.9480012359008581E-2</v>
      </c>
      <c r="Q45" s="636">
        <f ca="1">IS!CM35/1000</f>
        <v>2964.2223977477352</v>
      </c>
      <c r="R45" s="636">
        <v>3011.3458660657898</v>
      </c>
      <c r="S45" s="722">
        <f t="shared" ca="1" si="7"/>
        <v>-1.5648640313648099E-2</v>
      </c>
    </row>
    <row r="46" spans="8:19" ht="15" customHeight="1" x14ac:dyDescent="0.25">
      <c r="H46" s="723" t="s">
        <v>120</v>
      </c>
      <c r="I46" s="632">
        <f>(IS!CC38+IS!CC40)/1000</f>
        <v>-148.03100000000001</v>
      </c>
      <c r="J46" s="632"/>
      <c r="K46" s="632"/>
      <c r="L46" s="632">
        <v>-196.20898706432274</v>
      </c>
      <c r="M46" s="713">
        <f t="shared" si="5"/>
        <v>-0.24554424231612115</v>
      </c>
      <c r="N46" s="632">
        <f>(IS!CH38+IS!CH40)/1000</f>
        <v>-212.1280469145444</v>
      </c>
      <c r="O46" s="632">
        <v>-199.62972153693957</v>
      </c>
      <c r="P46" s="713">
        <f t="shared" si="6"/>
        <v>6.260753800276242E-2</v>
      </c>
      <c r="Q46" s="632">
        <f>(IS!CM38+IS!CM40)/1000</f>
        <v>-218.37616214480681</v>
      </c>
      <c r="R46" s="632">
        <v>-245.53993707128097</v>
      </c>
      <c r="S46" s="713">
        <f t="shared" si="7"/>
        <v>-0.11062874435203762</v>
      </c>
    </row>
    <row r="47" spans="8:19" ht="15" customHeight="1" x14ac:dyDescent="0.25">
      <c r="H47" s="724" t="s">
        <v>121</v>
      </c>
      <c r="I47" s="632">
        <f>IS!CC43/1000</f>
        <v>-389.07299999999998</v>
      </c>
      <c r="J47" s="632"/>
      <c r="K47" s="632"/>
      <c r="L47" s="632">
        <v>-310.36237499999999</v>
      </c>
      <c r="M47" s="713">
        <f t="shared" si="5"/>
        <v>0.2536087855365845</v>
      </c>
      <c r="N47" s="632">
        <f>IS!CH43/1000</f>
        <v>-293.05039226745077</v>
      </c>
      <c r="O47" s="632">
        <v>-314.67530450997481</v>
      </c>
      <c r="P47" s="713">
        <f t="shared" si="6"/>
        <v>-6.872135160463011E-2</v>
      </c>
      <c r="Q47" s="632">
        <f>IS!CM43/1000</f>
        <v>-384.18009968822798</v>
      </c>
      <c r="R47" s="632">
        <v>-379.20877908636669</v>
      </c>
      <c r="S47" s="713">
        <f t="shared" si="7"/>
        <v>1.3109719173271195E-2</v>
      </c>
    </row>
    <row r="48" spans="8:19" ht="15" customHeight="1" x14ac:dyDescent="0.25">
      <c r="H48" s="714" t="s">
        <v>142</v>
      </c>
      <c r="I48" s="634">
        <f>IS!CC45/1000</f>
        <v>2006.7560000000001</v>
      </c>
      <c r="J48" s="634"/>
      <c r="K48" s="634"/>
      <c r="L48" s="634">
        <v>1827.090379917707</v>
      </c>
      <c r="M48" s="715">
        <f t="shared" si="5"/>
        <v>9.8334281684732794E-2</v>
      </c>
      <c r="N48" s="634">
        <f ca="1">IS!CH45/1000</f>
        <v>1886.89217306352</v>
      </c>
      <c r="O48" s="634">
        <v>2056.3765756559951</v>
      </c>
      <c r="P48" s="715">
        <f t="shared" ca="1" si="6"/>
        <v>-8.2418952150536295E-2</v>
      </c>
      <c r="Q48" s="634">
        <f ca="1">IS!CM45/1000</f>
        <v>2361.6661359147001</v>
      </c>
      <c r="R48" s="634">
        <v>2386.597149908142</v>
      </c>
      <c r="S48" s="715">
        <f t="shared" ca="1" si="7"/>
        <v>-1.0446259853449269E-2</v>
      </c>
    </row>
    <row r="49" spans="8:19" ht="15" customHeight="1" x14ac:dyDescent="0.25">
      <c r="H49" s="725" t="s">
        <v>15</v>
      </c>
      <c r="I49" s="726">
        <f>I63</f>
        <v>4.5700426543630197</v>
      </c>
      <c r="J49" s="726"/>
      <c r="K49" s="726"/>
      <c r="L49" s="726">
        <v>4.7517246058440641</v>
      </c>
      <c r="M49" s="727">
        <f t="shared" si="5"/>
        <v>-3.8234949739637036E-2</v>
      </c>
      <c r="N49" s="726">
        <f ca="1">N63</f>
        <v>4.3301443502681582</v>
      </c>
      <c r="O49" s="726">
        <v>4.6830450060599595</v>
      </c>
      <c r="P49" s="727">
        <f t="shared" ca="1" si="6"/>
        <v>-7.5357092518893221E-2</v>
      </c>
      <c r="Q49" s="726">
        <f ca="1">Q63</f>
        <v>5.4196804573615438</v>
      </c>
      <c r="R49" s="726">
        <v>5.4350657348782931</v>
      </c>
      <c r="S49" s="727">
        <f t="shared" ca="1" si="7"/>
        <v>-2.8307435948783377E-3</v>
      </c>
    </row>
    <row r="50" spans="8:19" ht="15" customHeight="1" x14ac:dyDescent="0.25">
      <c r="H50" s="728" t="s">
        <v>412</v>
      </c>
      <c r="I50" s="642">
        <f>IS!CC77</f>
        <v>0.34469157618182811</v>
      </c>
      <c r="J50" s="642"/>
      <c r="K50" s="642"/>
      <c r="L50" s="642">
        <v>0.3487160701492355</v>
      </c>
      <c r="M50" s="729" t="str">
        <f t="shared" ref="M50:M52" si="8">ROUND((I50-L50)*10000,0)&amp;"-bps"</f>
        <v>-40-bps</v>
      </c>
      <c r="N50" s="642">
        <f>IS!CH77</f>
        <v>0.36093257505064635</v>
      </c>
      <c r="O50" s="642">
        <v>0.34669955576981087</v>
      </c>
      <c r="P50" s="729" t="str">
        <f t="shared" ref="P50:P52" si="9">ROUND((N50-O50)*10000,0)&amp;"-bps"</f>
        <v>142-bps</v>
      </c>
      <c r="Q50" s="642">
        <f>IS!CM77</f>
        <v>0.35611315277669897</v>
      </c>
      <c r="R50" s="642">
        <v>0.34542800182334044</v>
      </c>
      <c r="S50" s="729" t="str">
        <f t="shared" ref="S50:S52" si="10">ROUND((Q50-R50)*10000,0)&amp;"-bps"</f>
        <v>107-bps</v>
      </c>
    </row>
    <row r="51" spans="8:19" ht="15" customHeight="1" x14ac:dyDescent="0.25">
      <c r="H51" s="730" t="s">
        <v>85</v>
      </c>
      <c r="I51" s="642">
        <f>IS!CC78</f>
        <v>0.32577820922897599</v>
      </c>
      <c r="J51" s="642"/>
      <c r="K51" s="642"/>
      <c r="L51" s="642">
        <v>0.32920489837273637</v>
      </c>
      <c r="M51" s="729" t="str">
        <f t="shared" si="8"/>
        <v>-34-bps</v>
      </c>
      <c r="N51" s="642">
        <f>IS!CH78</f>
        <v>0.33747287331617404</v>
      </c>
      <c r="O51" s="642">
        <v>0.33336787588066363</v>
      </c>
      <c r="P51" s="729" t="str">
        <f t="shared" si="9"/>
        <v>41-bps</v>
      </c>
      <c r="Q51" s="642">
        <f>IS!CM78</f>
        <v>0.33986211591249404</v>
      </c>
      <c r="R51" s="642">
        <v>0.3317730236848635</v>
      </c>
      <c r="S51" s="729" t="str">
        <f t="shared" si="10"/>
        <v>81-bps</v>
      </c>
    </row>
    <row r="52" spans="8:19" ht="15" customHeight="1" x14ac:dyDescent="0.25">
      <c r="H52" s="731" t="s">
        <v>221</v>
      </c>
      <c r="I52" s="644">
        <f>IS!CC83</f>
        <v>0.18292111185086976</v>
      </c>
      <c r="J52" s="644"/>
      <c r="K52" s="644"/>
      <c r="L52" s="644">
        <v>0.18747858897110303</v>
      </c>
      <c r="M52" s="732" t="str">
        <f t="shared" si="8"/>
        <v>-46-bps</v>
      </c>
      <c r="N52" s="644">
        <f ca="1">IS!CH83</f>
        <v>0.1882544635125965</v>
      </c>
      <c r="O52" s="644">
        <v>0.19777831651831093</v>
      </c>
      <c r="P52" s="732" t="str">
        <f t="shared" ca="1" si="9"/>
        <v>-95-bps</v>
      </c>
      <c r="Q52" s="644">
        <f ca="1">IS!CM83</f>
        <v>0.20764166456728142</v>
      </c>
      <c r="R52" s="644">
        <v>0.18662000904941939</v>
      </c>
      <c r="S52" s="732" t="str">
        <f t="shared" ca="1" si="10"/>
        <v>210-bps</v>
      </c>
    </row>
    <row r="53" spans="8:19" ht="15" customHeight="1" x14ac:dyDescent="0.25">
      <c r="H53" s="728" t="s">
        <v>203</v>
      </c>
      <c r="I53" s="632">
        <f>'BS &amp; FCF'!CC75/1000</f>
        <v>-262.85599999999999</v>
      </c>
      <c r="J53" s="632"/>
      <c r="K53" s="632"/>
      <c r="L53" s="632">
        <v>-256.66882728992312</v>
      </c>
      <c r="M53" s="713">
        <f t="shared" ref="M53:M54" si="11">I53/L53-1</f>
        <v>2.4105664779806357E-2</v>
      </c>
      <c r="N53" s="632">
        <f ca="1">'BS &amp; FCF'!CH75/1000</f>
        <v>744.51433272278871</v>
      </c>
      <c r="O53" s="632">
        <v>489.6664941561948</v>
      </c>
      <c r="P53" s="713">
        <f t="shared" ref="P53:P54" ca="1" si="12">N53/O53-1</f>
        <v>0.52045186184477221</v>
      </c>
      <c r="Q53" s="632">
        <f ca="1">'BS &amp; FCF'!CM75/1000</f>
        <v>1355.3769543546398</v>
      </c>
      <c r="R53" s="632">
        <v>810.991374782756</v>
      </c>
      <c r="S53" s="713">
        <f t="shared" ref="S53:S54" ca="1" si="13">Q53/R53-1</f>
        <v>0.67125939498149512</v>
      </c>
    </row>
    <row r="54" spans="8:19" ht="15" customHeight="1" x14ac:dyDescent="0.25">
      <c r="H54" s="728" t="s">
        <v>94</v>
      </c>
      <c r="I54" s="632">
        <f>IS!CC55/1000</f>
        <v>1391.63658027</v>
      </c>
      <c r="J54" s="632"/>
      <c r="K54" s="632"/>
      <c r="L54" s="632">
        <v>1391.63658027</v>
      </c>
      <c r="M54" s="713">
        <f t="shared" si="11"/>
        <v>0</v>
      </c>
      <c r="N54" s="632">
        <f>IS!CH55/1000</f>
        <v>0</v>
      </c>
      <c r="O54" s="632">
        <v>456.77259497942674</v>
      </c>
      <c r="P54" s="713">
        <f t="shared" si="12"/>
        <v>-1</v>
      </c>
      <c r="Q54" s="632">
        <f ca="1">IS!CM55/1000</f>
        <v>943.44608653175999</v>
      </c>
      <c r="R54" s="632">
        <v>1028.1882878279976</v>
      </c>
      <c r="S54" s="713">
        <f t="shared" ca="1" si="13"/>
        <v>-8.2418952150536295E-2</v>
      </c>
    </row>
    <row r="55" spans="8:19" ht="15" customHeight="1" x14ac:dyDescent="0.25">
      <c r="H55" s="730" t="s">
        <v>23</v>
      </c>
      <c r="I55" s="642">
        <f>'BS &amp; FCF'!CC66</f>
        <v>0.14911460789703548</v>
      </c>
      <c r="J55" s="642"/>
      <c r="K55" s="642"/>
      <c r="L55" s="642">
        <v>0.15807847745475376</v>
      </c>
      <c r="M55" s="729" t="str">
        <f t="shared" ref="M55:M56" si="14">ROUND((I55-L55)*10000,0)&amp;"-bps"</f>
        <v>-90-bps</v>
      </c>
      <c r="N55" s="642">
        <f ca="1">'BS &amp; FCF'!CH66</f>
        <v>5.6503558362564078E-2</v>
      </c>
      <c r="O55" s="642">
        <v>0.1342781946358779</v>
      </c>
      <c r="P55" s="729" t="str">
        <f t="shared" ref="P55:P56" ca="1" si="15">ROUND((N55-O55)*10000,0)&amp;"-bps"</f>
        <v>-778-bps</v>
      </c>
      <c r="Q55" s="642">
        <f ca="1">'BS &amp; FCF'!CM66</f>
        <v>2.3724248306653924E-2</v>
      </c>
      <c r="R55" s="642">
        <v>0.13553472435248692</v>
      </c>
      <c r="S55" s="729" t="str">
        <f t="shared" ref="S55:S56" ca="1" si="16">ROUND((Q55-R55)*10000,0)&amp;"-bps"</f>
        <v>-1118-bps</v>
      </c>
    </row>
    <row r="56" spans="8:19" ht="15" customHeight="1" x14ac:dyDescent="0.25">
      <c r="H56" s="731" t="s">
        <v>361</v>
      </c>
      <c r="I56" s="644">
        <f>'BS &amp; FCF'!CC137</f>
        <v>0.17469128142284904</v>
      </c>
      <c r="J56" s="644"/>
      <c r="K56" s="644"/>
      <c r="L56" s="644">
        <v>0.16388296789717463</v>
      </c>
      <c r="M56" s="732" t="str">
        <f t="shared" si="14"/>
        <v>108-bps</v>
      </c>
      <c r="N56" s="644">
        <f ca="1">'BS &amp; FCF'!CH137</f>
        <v>0.1648292809273933</v>
      </c>
      <c r="O56" s="644">
        <v>0.19272879749887206</v>
      </c>
      <c r="P56" s="732" t="str">
        <f t="shared" ca="1" si="15"/>
        <v>-279-bps</v>
      </c>
      <c r="Q56" s="644">
        <f ca="1">'BS &amp; FCF'!CM137</f>
        <v>0.18421892951912897</v>
      </c>
      <c r="R56" s="644">
        <v>0.19938975926186872</v>
      </c>
      <c r="S56" s="732" t="str">
        <f t="shared" ca="1" si="16"/>
        <v>-152-bps</v>
      </c>
    </row>
    <row r="57" spans="8:19" ht="15" customHeight="1" x14ac:dyDescent="0.25">
      <c r="H57" s="728" t="s">
        <v>46</v>
      </c>
      <c r="I57" s="733">
        <f>I62/I63</f>
        <v>4.5251218782951188</v>
      </c>
      <c r="J57" s="733"/>
      <c r="K57" s="733"/>
      <c r="L57" s="733">
        <v>5.0970967404576095</v>
      </c>
      <c r="M57" s="734"/>
      <c r="N57" s="733">
        <f ca="1">N62/N63</f>
        <v>4.7758223114939167</v>
      </c>
      <c r="O57" s="733">
        <v>5.1718486516056981</v>
      </c>
      <c r="P57" s="734"/>
      <c r="Q57" s="733">
        <f ca="1">Q62/Q63</f>
        <v>3.8157231155409517</v>
      </c>
      <c r="R57" s="733">
        <v>4.4562478507985066</v>
      </c>
      <c r="S57" s="734"/>
    </row>
    <row r="58" spans="8:19" ht="15" customHeight="1" x14ac:dyDescent="0.25">
      <c r="H58" s="728" t="s">
        <v>481</v>
      </c>
      <c r="I58" s="733">
        <f>(I62-I64)/I63</f>
        <v>4.5251218782951188</v>
      </c>
      <c r="J58" s="733"/>
      <c r="K58" s="733"/>
      <c r="L58" s="733">
        <v>5.0970967404576095</v>
      </c>
      <c r="M58" s="734"/>
      <c r="N58" s="733">
        <f ca="1">(N62-N64)/N63</f>
        <v>4.7758223114939167</v>
      </c>
      <c r="O58" s="733">
        <v>4.9581820311928615</v>
      </c>
      <c r="P58" s="734"/>
      <c r="Q58" s="733">
        <f ca="1">(Q62-Q64)/Q63</f>
        <v>3.4589280478901929</v>
      </c>
      <c r="R58" s="733">
        <v>3.9173399239116726</v>
      </c>
      <c r="S58" s="734"/>
    </row>
    <row r="59" spans="8:19" ht="15" customHeight="1" x14ac:dyDescent="0.25">
      <c r="H59" s="730" t="s">
        <v>404</v>
      </c>
      <c r="I59" s="733">
        <f>I62/I65</f>
        <v>0.88789872214687926</v>
      </c>
      <c r="J59" s="733"/>
      <c r="K59" s="733"/>
      <c r="L59" s="733">
        <v>1.0703427439291244</v>
      </c>
      <c r="M59" s="735"/>
      <c r="N59" s="733">
        <f ca="1">N62/N65</f>
        <v>0.73224964496734501</v>
      </c>
      <c r="O59" s="733">
        <v>0.92192598421754224</v>
      </c>
      <c r="P59" s="735"/>
      <c r="Q59" s="733">
        <f ca="1">Q62/Q65</f>
        <v>0.65658415742353482</v>
      </c>
      <c r="R59" s="733">
        <v>0.82480173548625968</v>
      </c>
      <c r="S59" s="735"/>
    </row>
    <row r="60" spans="8:19" ht="15" customHeight="1" x14ac:dyDescent="0.25">
      <c r="H60" s="736" t="s">
        <v>328</v>
      </c>
      <c r="I60" s="737">
        <f ca="1">I62/I66</f>
        <v>0.9885221813635201</v>
      </c>
      <c r="J60" s="737"/>
      <c r="K60" s="737"/>
      <c r="L60" s="737">
        <v>1.1019751579225268</v>
      </c>
      <c r="M60" s="738"/>
      <c r="N60" s="737">
        <f ca="1">N62/N66</f>
        <v>0.74594206093915727</v>
      </c>
      <c r="O60" s="737">
        <v>0.95116571407037942</v>
      </c>
      <c r="P60" s="738"/>
      <c r="Q60" s="737">
        <f ca="1">Q62/Q66</f>
        <v>0.672586792753604</v>
      </c>
      <c r="R60" s="737">
        <v>0.84938626736294576</v>
      </c>
      <c r="S60" s="738"/>
    </row>
    <row r="61" spans="8:19" ht="15" customHeight="1" x14ac:dyDescent="0.25">
      <c r="L61" s="622">
        <v>0</v>
      </c>
      <c r="O61" s="622">
        <v>0</v>
      </c>
      <c r="R61" s="622">
        <v>0</v>
      </c>
    </row>
    <row r="62" spans="8:19" ht="15" customHeight="1" x14ac:dyDescent="0.25">
      <c r="H62" s="622" t="s">
        <v>482</v>
      </c>
      <c r="I62" s="622">
        <f>Valuation!B6</f>
        <v>20.68</v>
      </c>
      <c r="L62" s="622">
        <v>24.22</v>
      </c>
      <c r="N62" s="622">
        <f>I62</f>
        <v>20.68</v>
      </c>
      <c r="O62" s="622">
        <v>24.22</v>
      </c>
      <c r="Q62" s="622">
        <f>N62</f>
        <v>20.68</v>
      </c>
      <c r="R62" s="622">
        <v>24.22</v>
      </c>
    </row>
    <row r="63" spans="8:19" ht="15" customHeight="1" x14ac:dyDescent="0.25">
      <c r="H63" s="739" t="s">
        <v>15</v>
      </c>
      <c r="I63" s="740">
        <f>IS!CC51</f>
        <v>4.5700426543630197</v>
      </c>
      <c r="J63" s="740"/>
      <c r="K63" s="740"/>
      <c r="L63" s="740">
        <v>4.7517246058440641</v>
      </c>
      <c r="M63" s="741">
        <f t="shared" ref="M63" si="17">I63/L63-1</f>
        <v>-3.8234949739637036E-2</v>
      </c>
      <c r="N63" s="740">
        <f ca="1">IS!CH51</f>
        <v>4.3301443502681582</v>
      </c>
      <c r="O63" s="740">
        <v>4.6830450060599595</v>
      </c>
      <c r="P63" s="741">
        <f t="shared" ref="P63" ca="1" si="18">N63/O63-1</f>
        <v>-7.5357092518893221E-2</v>
      </c>
      <c r="Q63" s="740">
        <f ca="1">IS!CM51</f>
        <v>5.4196804573615438</v>
      </c>
      <c r="R63" s="740">
        <v>5.4350657348782931</v>
      </c>
      <c r="S63" s="741">
        <f t="shared" ref="S63" ca="1" si="19">Q63/R63-1</f>
        <v>-2.8307435948783377E-3</v>
      </c>
    </row>
    <row r="64" spans="8:19" ht="15" customHeight="1" x14ac:dyDescent="0.25">
      <c r="H64" s="742" t="s">
        <v>483</v>
      </c>
      <c r="I64" s="743">
        <v>0</v>
      </c>
      <c r="J64" s="743"/>
      <c r="K64" s="743"/>
      <c r="L64" s="744">
        <v>0</v>
      </c>
      <c r="M64" s="742"/>
      <c r="N64" s="743">
        <f>Valuation!C27</f>
        <v>0</v>
      </c>
      <c r="O64" s="743">
        <v>1.0006103996860427</v>
      </c>
      <c r="P64" s="742"/>
      <c r="Q64" s="743">
        <f ca="1">Valuation!D27</f>
        <v>1.9337152554298065</v>
      </c>
      <c r="R64" s="743">
        <v>2.9290000076769265</v>
      </c>
    </row>
    <row r="65" spans="8:18" ht="15" customHeight="1" x14ac:dyDescent="0.25">
      <c r="H65" s="739" t="s">
        <v>484</v>
      </c>
      <c r="I65" s="740">
        <f>'BS &amp; FCF'!CC135</f>
        <v>23.290944658639845</v>
      </c>
      <c r="J65" s="740"/>
      <c r="K65" s="740"/>
      <c r="L65" s="740">
        <v>22.628265700284683</v>
      </c>
      <c r="M65" s="739"/>
      <c r="N65" s="740">
        <f ca="1">'BS &amp; FCF'!CH135</f>
        <v>28.241734416849372</v>
      </c>
      <c r="O65" s="740">
        <v>26.271089452539965</v>
      </c>
      <c r="P65" s="739"/>
      <c r="Q65" s="740">
        <f ca="1">'BS &amp; FCF'!CM135</f>
        <v>31.496343258036003</v>
      </c>
      <c r="R65" s="740">
        <v>29.36463268438828</v>
      </c>
    </row>
    <row r="66" spans="8:18" ht="15" customHeight="1" x14ac:dyDescent="0.25">
      <c r="H66" s="742" t="s">
        <v>34</v>
      </c>
      <c r="I66" s="744">
        <f ca="1">'BS &amp; FCF'!CC147</f>
        <v>22.553641832019693</v>
      </c>
      <c r="J66" s="744"/>
      <c r="K66" s="744"/>
      <c r="L66" s="744">
        <v>21.978716875669136</v>
      </c>
      <c r="M66" s="742"/>
      <c r="N66" s="744">
        <f ca="1">'BS &amp; FCF'!CH147</f>
        <v>27.72333279338536</v>
      </c>
      <c r="O66" s="744">
        <v>25.463491420810289</v>
      </c>
      <c r="P66" s="742"/>
      <c r="Q66" s="744">
        <f ca="1">'BS &amp; FCF'!CM147</f>
        <v>30.746961169628449</v>
      </c>
      <c r="R66" s="744">
        <v>28.514706359916588</v>
      </c>
    </row>
  </sheetData>
  <mergeCells count="3">
    <mergeCell ref="I31:M31"/>
    <mergeCell ref="N31:P31"/>
    <mergeCell ref="Q31:S31"/>
  </mergeCells>
  <pageMargins left="0.7" right="0.7" top="0.75" bottom="0.75" header="0.3" footer="0.3"/>
  <headerFooter>
    <oddFooter>&amp;L_x000D_&amp;1#&amp;"Calibri"&amp;9&amp;K000000 Corporativo | Interno</oddFooter>
  </headerFooter>
  <ignoredErrors>
    <ignoredError sqref="L5:N14 L26:N27 L25 N25 L16:N24 L15 N15" formula="1"/>
    <ignoredError sqref="N54:S57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3A50-5CB1-4BEB-9CCD-C3B4B74CE5CE}">
  <dimension ref="B1:V27"/>
  <sheetViews>
    <sheetView showGridLines="0" workbookViewId="0">
      <selection activeCell="F2" sqref="F2"/>
    </sheetView>
  </sheetViews>
  <sheetFormatPr defaultRowHeight="14.5" x14ac:dyDescent="0.35"/>
  <cols>
    <col min="2" max="2" width="19.81640625" style="658" bestFit="1" customWidth="1"/>
    <col min="3" max="14" width="15.1796875" style="658" customWidth="1"/>
    <col min="15" max="15" width="22.54296875" style="658" bestFit="1" customWidth="1"/>
    <col min="16" max="16" width="15.1796875" style="658" customWidth="1"/>
  </cols>
  <sheetData>
    <row r="1" spans="2:22" x14ac:dyDescent="0.35">
      <c r="B1" s="657" t="s">
        <v>428</v>
      </c>
      <c r="C1" s="657" t="s">
        <v>429</v>
      </c>
      <c r="D1" s="657" t="s">
        <v>430</v>
      </c>
      <c r="E1" s="657" t="s">
        <v>431</v>
      </c>
      <c r="F1" s="657" t="s">
        <v>432</v>
      </c>
      <c r="G1" s="657" t="s">
        <v>433</v>
      </c>
      <c r="H1" s="657" t="s">
        <v>434</v>
      </c>
      <c r="I1" s="657" t="s">
        <v>435</v>
      </c>
      <c r="J1" s="657" t="s">
        <v>436</v>
      </c>
      <c r="K1" s="657" t="s">
        <v>437</v>
      </c>
      <c r="L1" s="657" t="s">
        <v>366</v>
      </c>
      <c r="M1" s="657" t="s">
        <v>438</v>
      </c>
      <c r="N1" s="657" t="s">
        <v>439</v>
      </c>
      <c r="O1" s="657" t="s">
        <v>440</v>
      </c>
    </row>
    <row r="2" spans="2:22" x14ac:dyDescent="0.35">
      <c r="B2" s="659">
        <v>156</v>
      </c>
      <c r="C2" s="659" t="s">
        <v>370</v>
      </c>
      <c r="D2" s="660" t="s">
        <v>333</v>
      </c>
      <c r="E2" s="659" t="s">
        <v>441</v>
      </c>
      <c r="F2" s="659">
        <f ca="1">Valuation!B16</f>
        <v>35</v>
      </c>
      <c r="G2" s="661">
        <v>46167</v>
      </c>
      <c r="H2" s="659"/>
      <c r="I2" s="659"/>
      <c r="J2" s="662"/>
      <c r="K2" s="663">
        <f>Valuation!B8</f>
        <v>3.499999999999992E-2</v>
      </c>
      <c r="L2" s="664">
        <f>Valuation!B15</f>
        <v>0.16262499999999996</v>
      </c>
      <c r="M2" s="659">
        <f>Valuation!B13</f>
        <v>1.25</v>
      </c>
      <c r="N2" s="659" t="s">
        <v>464</v>
      </c>
      <c r="O2" s="658">
        <f>Valuation!B58</f>
        <v>435757.45</v>
      </c>
    </row>
    <row r="3" spans="2:22" x14ac:dyDescent="0.35">
      <c r="L3" s="658" t="s">
        <v>442</v>
      </c>
    </row>
    <row r="4" spans="2:22" ht="23.5" customHeight="1" x14ac:dyDescent="0.35">
      <c r="B4" s="665" t="s">
        <v>443</v>
      </c>
      <c r="C4" s="666" t="s">
        <v>444</v>
      </c>
      <c r="D4" s="666" t="s">
        <v>445</v>
      </c>
      <c r="E4" s="666" t="s">
        <v>446</v>
      </c>
      <c r="F4" s="666" t="s">
        <v>447</v>
      </c>
      <c r="G4" s="666" t="s">
        <v>408</v>
      </c>
      <c r="H4" s="666" t="s">
        <v>409</v>
      </c>
      <c r="I4" s="666" t="s">
        <v>410</v>
      </c>
      <c r="J4" s="666" t="s">
        <v>448</v>
      </c>
      <c r="K4" s="666" t="s">
        <v>449</v>
      </c>
      <c r="L4" s="666" t="s">
        <v>465</v>
      </c>
      <c r="M4" s="667" t="s">
        <v>466</v>
      </c>
      <c r="N4" s="667" t="s">
        <v>467</v>
      </c>
      <c r="O4" s="667" t="s">
        <v>468</v>
      </c>
      <c r="P4" s="667" t="s">
        <v>469</v>
      </c>
      <c r="Q4" s="667" t="s">
        <v>470</v>
      </c>
      <c r="R4" s="667" t="s">
        <v>471</v>
      </c>
      <c r="S4" s="667" t="s">
        <v>472</v>
      </c>
      <c r="T4" s="667" t="s">
        <v>473</v>
      </c>
      <c r="U4" s="668"/>
      <c r="V4" s="668"/>
    </row>
    <row r="5" spans="2:22" ht="17.5" customHeight="1" x14ac:dyDescent="0.35">
      <c r="B5" s="669" t="s">
        <v>9</v>
      </c>
      <c r="C5" s="671">
        <f>IS!BI59</f>
        <v>4790833</v>
      </c>
      <c r="D5" s="671">
        <f>IS!BN59</f>
        <v>5412295</v>
      </c>
      <c r="E5" s="671">
        <f>IS!BS59</f>
        <v>6252699</v>
      </c>
      <c r="F5" s="671">
        <f>IS!BX59</f>
        <v>7965688</v>
      </c>
      <c r="G5" s="671">
        <f>IS!CC59</f>
        <v>9423494</v>
      </c>
      <c r="H5" s="671">
        <f>IS!CH59</f>
        <v>10023093.943465855</v>
      </c>
      <c r="I5" s="671">
        <f>IS!CM59</f>
        <v>11373758.445042023</v>
      </c>
      <c r="J5" s="671">
        <f>IS!CR59</f>
        <v>12683550.090385415</v>
      </c>
      <c r="K5" s="671">
        <f>IS!CW59</f>
        <v>13773747.610623904</v>
      </c>
      <c r="L5" s="671">
        <f>IS!DB59</f>
        <v>14754097.988621809</v>
      </c>
      <c r="M5" s="671">
        <f>IS!BY59</f>
        <v>1952744</v>
      </c>
      <c r="N5" s="671">
        <f>IS!BZ59</f>
        <v>2107130</v>
      </c>
      <c r="O5" s="671">
        <f>IS!CA59</f>
        <v>2128446</v>
      </c>
      <c r="P5" s="671">
        <f>IS!CB59</f>
        <v>3235174</v>
      </c>
      <c r="Q5" s="671">
        <f>IS!CD59</f>
        <v>2025033</v>
      </c>
      <c r="R5" s="671">
        <f>IS!CE59</f>
        <v>2480871</v>
      </c>
      <c r="S5" s="671">
        <f>IS!CF59</f>
        <v>2657052.940978297</v>
      </c>
      <c r="T5" s="671">
        <f>IS!CG59</f>
        <v>2860137.0024875589</v>
      </c>
    </row>
    <row r="6" spans="2:22" ht="17.5" customHeight="1" x14ac:dyDescent="0.35">
      <c r="B6" s="658" t="s">
        <v>450</v>
      </c>
      <c r="C6" s="671">
        <f t="shared" ref="C6:T6" si="0">C5</f>
        <v>4790833</v>
      </c>
      <c r="D6" s="671">
        <f t="shared" si="0"/>
        <v>5412295</v>
      </c>
      <c r="E6" s="671">
        <f t="shared" si="0"/>
        <v>6252699</v>
      </c>
      <c r="F6" s="671">
        <f t="shared" si="0"/>
        <v>7965688</v>
      </c>
      <c r="G6" s="671">
        <f t="shared" si="0"/>
        <v>9423494</v>
      </c>
      <c r="H6" s="671">
        <f t="shared" si="0"/>
        <v>10023093.943465855</v>
      </c>
      <c r="I6" s="671">
        <f t="shared" si="0"/>
        <v>11373758.445042023</v>
      </c>
      <c r="J6" s="671">
        <f t="shared" si="0"/>
        <v>12683550.090385415</v>
      </c>
      <c r="K6" s="671">
        <f t="shared" si="0"/>
        <v>13773747.610623904</v>
      </c>
      <c r="L6" s="671">
        <f t="shared" si="0"/>
        <v>14754097.988621809</v>
      </c>
      <c r="M6" s="671">
        <f t="shared" si="0"/>
        <v>1952744</v>
      </c>
      <c r="N6" s="671">
        <f t="shared" si="0"/>
        <v>2107130</v>
      </c>
      <c r="O6" s="671">
        <f t="shared" si="0"/>
        <v>2128446</v>
      </c>
      <c r="P6" s="671">
        <f t="shared" si="0"/>
        <v>3235174</v>
      </c>
      <c r="Q6" s="671">
        <f t="shared" si="0"/>
        <v>2025033</v>
      </c>
      <c r="R6" s="671">
        <f t="shared" si="0"/>
        <v>2480871</v>
      </c>
      <c r="S6" s="671">
        <f t="shared" si="0"/>
        <v>2657052.940978297</v>
      </c>
      <c r="T6" s="671">
        <f t="shared" si="0"/>
        <v>2860137.0024875589</v>
      </c>
    </row>
    <row r="7" spans="2:22" ht="17.5" customHeight="1" x14ac:dyDescent="0.35">
      <c r="B7" s="669" t="s">
        <v>215</v>
      </c>
      <c r="C7" s="672">
        <f>IS!BI65</f>
        <v>852191</v>
      </c>
      <c r="D7" s="672">
        <f>IS!BN65</f>
        <v>841491</v>
      </c>
      <c r="E7" s="672">
        <f>IS!BS65</f>
        <v>1069016</v>
      </c>
      <c r="F7" s="672">
        <f>IS!BX65</f>
        <v>1725965</v>
      </c>
      <c r="G7" s="672">
        <f>IS!CC65</f>
        <v>1775880</v>
      </c>
      <c r="H7" s="672">
        <f>IS!CH65</f>
        <v>1988419.9284499078</v>
      </c>
      <c r="I7" s="672">
        <f>IS!CM65</f>
        <v>2271194.1266425047</v>
      </c>
      <c r="J7" s="672">
        <f>IS!CR65</f>
        <v>2561116.5798353804</v>
      </c>
      <c r="K7" s="672">
        <f>IS!CW65</f>
        <v>2816986.8319877856</v>
      </c>
      <c r="L7" s="672">
        <f>IS!DB65</f>
        <v>3082508.7667217068</v>
      </c>
      <c r="M7" s="672">
        <f>IS!BY65</f>
        <v>333171</v>
      </c>
      <c r="N7" s="672">
        <f>IS!BZ65</f>
        <v>392064</v>
      </c>
      <c r="O7" s="672">
        <f>IS!CA65</f>
        <v>414661</v>
      </c>
      <c r="P7" s="672">
        <f>IS!CB65</f>
        <v>635984</v>
      </c>
      <c r="Q7" s="672">
        <f>IS!CD65</f>
        <v>365264</v>
      </c>
      <c r="R7" s="672">
        <f>IS!CE65</f>
        <v>511786</v>
      </c>
      <c r="S7" s="672">
        <f>IS!CF65</f>
        <v>521294.27345636179</v>
      </c>
      <c r="T7" s="672">
        <f>IS!CG65</f>
        <v>590075.65499354666</v>
      </c>
    </row>
    <row r="8" spans="2:22" ht="17.5" customHeight="1" x14ac:dyDescent="0.35">
      <c r="B8" s="658" t="s">
        <v>451</v>
      </c>
      <c r="C8" s="672">
        <f t="shared" ref="C8:T8" si="1">C7</f>
        <v>852191</v>
      </c>
      <c r="D8" s="672">
        <f t="shared" si="1"/>
        <v>841491</v>
      </c>
      <c r="E8" s="672">
        <f t="shared" si="1"/>
        <v>1069016</v>
      </c>
      <c r="F8" s="672">
        <f t="shared" si="1"/>
        <v>1725965</v>
      </c>
      <c r="G8" s="672">
        <f t="shared" si="1"/>
        <v>1775880</v>
      </c>
      <c r="H8" s="672">
        <f t="shared" si="1"/>
        <v>1988419.9284499078</v>
      </c>
      <c r="I8" s="672">
        <f t="shared" si="1"/>
        <v>2271194.1266425047</v>
      </c>
      <c r="J8" s="672">
        <f t="shared" si="1"/>
        <v>2561116.5798353804</v>
      </c>
      <c r="K8" s="672">
        <f t="shared" si="1"/>
        <v>2816986.8319877856</v>
      </c>
      <c r="L8" s="672">
        <f t="shared" si="1"/>
        <v>3082508.7667217068</v>
      </c>
      <c r="M8" s="672">
        <f t="shared" si="1"/>
        <v>333171</v>
      </c>
      <c r="N8" s="672">
        <f t="shared" si="1"/>
        <v>392064</v>
      </c>
      <c r="O8" s="672">
        <f t="shared" si="1"/>
        <v>414661</v>
      </c>
      <c r="P8" s="672">
        <f t="shared" si="1"/>
        <v>635984</v>
      </c>
      <c r="Q8" s="672">
        <f t="shared" si="1"/>
        <v>365264</v>
      </c>
      <c r="R8" s="672">
        <f t="shared" si="1"/>
        <v>511786</v>
      </c>
      <c r="S8" s="672">
        <f t="shared" si="1"/>
        <v>521294.27345636179</v>
      </c>
      <c r="T8" s="672">
        <f t="shared" si="1"/>
        <v>590075.65499354666</v>
      </c>
    </row>
    <row r="9" spans="2:22" ht="17.5" customHeight="1" x14ac:dyDescent="0.35">
      <c r="B9" s="669" t="s">
        <v>452</v>
      </c>
      <c r="C9" s="673">
        <f>IS!BI63</f>
        <v>812019</v>
      </c>
      <c r="D9" s="673">
        <f>IS!BN63</f>
        <v>778218</v>
      </c>
      <c r="E9" s="673">
        <f>IS!BS63</f>
        <v>978067</v>
      </c>
      <c r="F9" s="673">
        <f>IS!BX63</f>
        <v>1625906</v>
      </c>
      <c r="G9" s="673">
        <f>IS!CC63</f>
        <v>1643305</v>
      </c>
      <c r="H9" s="673">
        <f>IS!CH63</f>
        <v>1806801.1284448733</v>
      </c>
      <c r="I9" s="673">
        <f>IS!CM63</f>
        <v>2096076.6042647352</v>
      </c>
      <c r="J9" s="673">
        <f>IS!CR63</f>
        <v>2381396.6246959106</v>
      </c>
      <c r="K9" s="673">
        <f>IS!CW63</f>
        <v>2632543.4831054509</v>
      </c>
      <c r="L9" s="673">
        <f>IS!DB63</f>
        <v>2893217.884022953</v>
      </c>
      <c r="M9" s="673">
        <f>IS!BY63</f>
        <v>302899</v>
      </c>
      <c r="N9" s="673">
        <f>IS!BZ63</f>
        <v>368262</v>
      </c>
      <c r="O9" s="673">
        <f>IS!CA63</f>
        <v>386032</v>
      </c>
      <c r="P9" s="673">
        <f>IS!CB63</f>
        <v>586112</v>
      </c>
      <c r="Q9" s="673">
        <f>IS!CD63</f>
        <v>310681</v>
      </c>
      <c r="R9" s="673">
        <f>IS!CE63</f>
        <v>470620</v>
      </c>
      <c r="S9" s="673">
        <f>IS!CF63</f>
        <v>478498.60295515263</v>
      </c>
      <c r="T9" s="673">
        <f>IS!CG63</f>
        <v>547001.52548972121</v>
      </c>
    </row>
    <row r="10" spans="2:22" ht="17.5" customHeight="1" x14ac:dyDescent="0.35">
      <c r="B10" s="658" t="s">
        <v>453</v>
      </c>
      <c r="C10" s="673">
        <f t="shared" ref="C10:T10" si="2">C9</f>
        <v>812019</v>
      </c>
      <c r="D10" s="673">
        <f t="shared" si="2"/>
        <v>778218</v>
      </c>
      <c r="E10" s="673">
        <f t="shared" si="2"/>
        <v>978067</v>
      </c>
      <c r="F10" s="673">
        <f t="shared" si="2"/>
        <v>1625906</v>
      </c>
      <c r="G10" s="673">
        <f t="shared" si="2"/>
        <v>1643305</v>
      </c>
      <c r="H10" s="673">
        <f t="shared" si="2"/>
        <v>1806801.1284448733</v>
      </c>
      <c r="I10" s="673">
        <f t="shared" si="2"/>
        <v>2096076.6042647352</v>
      </c>
      <c r="J10" s="673">
        <f t="shared" si="2"/>
        <v>2381396.6246959106</v>
      </c>
      <c r="K10" s="673">
        <f t="shared" si="2"/>
        <v>2632543.4831054509</v>
      </c>
      <c r="L10" s="673">
        <f t="shared" si="2"/>
        <v>2893217.884022953</v>
      </c>
      <c r="M10" s="673">
        <f t="shared" si="2"/>
        <v>302899</v>
      </c>
      <c r="N10" s="673">
        <f t="shared" si="2"/>
        <v>368262</v>
      </c>
      <c r="O10" s="673">
        <f t="shared" si="2"/>
        <v>386032</v>
      </c>
      <c r="P10" s="673">
        <f t="shared" si="2"/>
        <v>586112</v>
      </c>
      <c r="Q10" s="673">
        <f t="shared" si="2"/>
        <v>310681</v>
      </c>
      <c r="R10" s="673">
        <f t="shared" si="2"/>
        <v>470620</v>
      </c>
      <c r="S10" s="673">
        <f t="shared" si="2"/>
        <v>478498.60295515263</v>
      </c>
      <c r="T10" s="673">
        <f t="shared" si="2"/>
        <v>547001.52548972121</v>
      </c>
    </row>
    <row r="11" spans="2:22" ht="17.5" customHeight="1" x14ac:dyDescent="0.35">
      <c r="B11" s="669" t="s">
        <v>95</v>
      </c>
      <c r="C11" s="673">
        <f>IS!BI73</f>
        <v>914355</v>
      </c>
      <c r="D11" s="673">
        <f>IS!BN73</f>
        <v>808880</v>
      </c>
      <c r="E11" s="673">
        <f>IS!BS73</f>
        <v>942090</v>
      </c>
      <c r="F11" s="673">
        <f>IS!BX73</f>
        <v>1740996</v>
      </c>
      <c r="G11" s="673">
        <f>IS!CC73</f>
        <v>2006756</v>
      </c>
      <c r="H11" s="673">
        <f ca="1">IS!CH73</f>
        <v>1886892.1730635199</v>
      </c>
      <c r="I11" s="673">
        <f ca="1">IS!CM73</f>
        <v>2361666.1359147001</v>
      </c>
      <c r="J11" s="673">
        <f ca="1">IS!CR73</f>
        <v>2621355.8945109192</v>
      </c>
      <c r="K11" s="673">
        <f ca="1">IS!CW73</f>
        <v>2822470.2357127955</v>
      </c>
      <c r="L11" s="673">
        <f ca="1">IS!DB73</f>
        <v>3107579.5540253255</v>
      </c>
      <c r="M11" s="673">
        <f>IS!BY73</f>
        <v>327632</v>
      </c>
      <c r="N11" s="673">
        <f>IS!BZ73</f>
        <v>387807</v>
      </c>
      <c r="O11" s="673">
        <f>IS!CA73</f>
        <v>609115</v>
      </c>
      <c r="P11" s="673">
        <f>IS!CB73</f>
        <v>682202</v>
      </c>
      <c r="Q11" s="673">
        <f>IS!CD73</f>
        <v>296776</v>
      </c>
      <c r="R11" s="673">
        <f>IS!CE73</f>
        <v>451606</v>
      </c>
      <c r="S11" s="673">
        <f ca="1">IS!CF73</f>
        <v>526589.59437053686</v>
      </c>
      <c r="T11" s="673">
        <f ca="1">IS!CG73</f>
        <v>611920.57869298302</v>
      </c>
    </row>
    <row r="12" spans="2:22" ht="21.65" customHeight="1" x14ac:dyDescent="0.35">
      <c r="B12" s="658" t="s">
        <v>454</v>
      </c>
      <c r="C12" s="673">
        <f>IS!BI74</f>
        <v>914355</v>
      </c>
      <c r="D12" s="673">
        <f>IS!BN74</f>
        <v>808880</v>
      </c>
      <c r="E12" s="673">
        <f>IS!BS74</f>
        <v>942090</v>
      </c>
      <c r="F12" s="673">
        <f>IS!BX74</f>
        <v>1648996</v>
      </c>
      <c r="G12" s="673">
        <f>IS!CC74</f>
        <v>1723756</v>
      </c>
      <c r="H12" s="673">
        <f ca="1">IS!CH74</f>
        <v>1886892.1730635199</v>
      </c>
      <c r="I12" s="673">
        <f ca="1">IS!CM74</f>
        <v>2361666.1359147001</v>
      </c>
      <c r="J12" s="673">
        <f ca="1">IS!CR74</f>
        <v>2621355.8945109192</v>
      </c>
      <c r="K12" s="673">
        <f ca="1">IS!CW74</f>
        <v>2822470.2357127955</v>
      </c>
      <c r="L12" s="673">
        <f ca="1">IS!DB74</f>
        <v>3107579.5540253255</v>
      </c>
      <c r="M12" s="673">
        <f>IS!BY74</f>
        <v>327632</v>
      </c>
      <c r="N12" s="673">
        <f>IS!BZ74</f>
        <v>387807</v>
      </c>
      <c r="O12" s="673">
        <f>IS!CA74</f>
        <v>396115</v>
      </c>
      <c r="P12" s="673">
        <f>IS!CB74</f>
        <v>612202</v>
      </c>
      <c r="Q12" s="673">
        <f>IS!CD74</f>
        <v>296776</v>
      </c>
      <c r="R12" s="673">
        <f>IS!CE74</f>
        <v>451606</v>
      </c>
      <c r="S12" s="673">
        <f ca="1">IS!CF74</f>
        <v>526589.59437053686</v>
      </c>
      <c r="T12" s="673">
        <f ca="1">IS!CG74</f>
        <v>611920.57869298302</v>
      </c>
    </row>
    <row r="13" spans="2:22" ht="17.5" customHeight="1" x14ac:dyDescent="0.35">
      <c r="B13" s="669" t="s">
        <v>455</v>
      </c>
      <c r="C13" s="674">
        <f>IS!BI71/IS!BI70</f>
        <v>-8.0131364077784026E-2</v>
      </c>
      <c r="D13" s="674">
        <f>IS!BN71/IS!BN70</f>
        <v>-0.12532904924125116</v>
      </c>
      <c r="E13" s="674">
        <f>IS!BS71/IS!BS70</f>
        <v>-0.12399749328757237</v>
      </c>
      <c r="F13" s="674">
        <f>IS!BX71/IS!BX70</f>
        <v>-8.4344561383718403E-2</v>
      </c>
      <c r="G13" s="674">
        <f>IS!CC71/IS!CC70</f>
        <v>-5.8191488525311925E-2</v>
      </c>
      <c r="H13" s="674">
        <f ca="1">IS!CH71/IS!CH70</f>
        <v>-8.8679676021525489E-2</v>
      </c>
      <c r="I13" s="674">
        <f ca="1">IS!CM71/IS!CM70</f>
        <v>-7.3670640337490406E-2</v>
      </c>
      <c r="J13" s="674">
        <f ca="1">IS!CR71/IS!CR70</f>
        <v>-7.3604464863637392E-2</v>
      </c>
      <c r="K13" s="674">
        <f ca="1">IS!CW71/IS!CW70</f>
        <v>-7.4470855245082498E-2</v>
      </c>
      <c r="L13" s="674">
        <f ca="1">IS!DB71/IS!DB70</f>
        <v>-7.3165993259396905E-2</v>
      </c>
      <c r="M13" s="674">
        <f>IS!BY71/IS!BY70</f>
        <v>-0.1008076024687017</v>
      </c>
      <c r="N13" s="674">
        <f>IS!BZ71/IS!BZ70</f>
        <v>-9.4060173697270474E-2</v>
      </c>
      <c r="O13" s="674">
        <f>IS!CA71/IS!CA70</f>
        <v>-7.5581717995189521E-2</v>
      </c>
      <c r="P13" s="674">
        <f>IS!CB71/IS!CB70</f>
        <v>2.018230875115404E-3</v>
      </c>
      <c r="Q13" s="674">
        <f>IS!CD71/IS!CD70</f>
        <v>-0.1245425876712029</v>
      </c>
      <c r="R13" s="674">
        <f>IS!CE71/IS!CE70</f>
        <v>-9.5821575541236076E-2</v>
      </c>
      <c r="S13" s="674">
        <f ca="1">IS!CF71/IS!CF70</f>
        <v>-7.7552020638303062E-2</v>
      </c>
      <c r="T13" s="674">
        <f ca="1">IS!CG71/IS!CG70</f>
        <v>-7.329429418070349E-2</v>
      </c>
    </row>
    <row r="14" spans="2:22" ht="17.5" customHeight="1" x14ac:dyDescent="0.35">
      <c r="B14" s="658" t="s">
        <v>456</v>
      </c>
      <c r="C14" s="671">
        <f>IS!BI55</f>
        <v>418060.97850000003</v>
      </c>
      <c r="D14" s="671">
        <f>IS!BN55</f>
        <v>217159.66805000001</v>
      </c>
      <c r="E14" s="671">
        <f>IS!BS55</f>
        <v>317108.92821000004</v>
      </c>
      <c r="F14" s="671">
        <f>IS!BX55</f>
        <v>223746.40400000001</v>
      </c>
      <c r="G14" s="671">
        <f>IS!CC55</f>
        <v>1391636.58027</v>
      </c>
      <c r="H14" s="671">
        <f>IS!CH55</f>
        <v>0</v>
      </c>
      <c r="I14" s="671">
        <f ca="1">IS!CM55</f>
        <v>943446.08653175994</v>
      </c>
      <c r="J14" s="671">
        <f ca="1">IS!CR55</f>
        <v>1889332.9087317602</v>
      </c>
      <c r="K14" s="671">
        <f ca="1">IS!CW55</f>
        <v>2097084.7156087356</v>
      </c>
      <c r="L14" s="671">
        <f ca="1">IS!DB55</f>
        <v>2257976.1885702363</v>
      </c>
      <c r="M14" s="671">
        <f>IS!BY55</f>
        <v>0</v>
      </c>
      <c r="N14" s="671">
        <f>IS!BZ55</f>
        <v>391636.58026999998</v>
      </c>
      <c r="O14" s="671">
        <f>IS!CA55</f>
        <v>0</v>
      </c>
      <c r="P14" s="671">
        <f>IS!CB55</f>
        <v>1000000</v>
      </c>
      <c r="Q14" s="671">
        <f>IS!CD55</f>
        <v>0</v>
      </c>
      <c r="R14" s="671">
        <f>IS!CE55</f>
        <v>0</v>
      </c>
      <c r="S14" s="671">
        <f>IS!CF55</f>
        <v>0</v>
      </c>
      <c r="T14" s="671">
        <f>IS!CG55</f>
        <v>0</v>
      </c>
    </row>
    <row r="15" spans="2:22" ht="17.5" customHeight="1" x14ac:dyDescent="0.35">
      <c r="B15" s="669" t="s">
        <v>457</v>
      </c>
      <c r="C15" s="671">
        <f>'BS &amp; FCF'!BI64</f>
        <v>445495</v>
      </c>
      <c r="D15" s="671">
        <f>'BS &amp; FCF'!BN64</f>
        <v>468163</v>
      </c>
      <c r="E15" s="671">
        <f>'BS &amp; FCF'!BS64</f>
        <v>610879</v>
      </c>
      <c r="F15" s="671">
        <f>'BS &amp; FCF'!BX64</f>
        <v>794680</v>
      </c>
      <c r="G15" s="671">
        <f>'BS &amp; FCF'!CC64</f>
        <v>1838365</v>
      </c>
      <c r="H15" s="671">
        <f ca="1">'BS &amp; FCF'!CH64</f>
        <v>952850.66727721132</v>
      </c>
      <c r="I15" s="671">
        <f ca="1">'BS &amp; FCF'!CM64</f>
        <v>540919.7994543314</v>
      </c>
      <c r="J15" s="671">
        <f ca="1">'BS &amp; FCF'!CR64</f>
        <v>883819.31035240926</v>
      </c>
      <c r="K15" s="671">
        <f ca="1">'BS &amp; FCF'!CW64</f>
        <v>788900.45900237933</v>
      </c>
      <c r="L15" s="671">
        <f ca="1">'BS &amp; FCF'!DB64</f>
        <v>350288.04987842403</v>
      </c>
      <c r="M15" s="671">
        <f>'BS &amp; FCF'!BY64</f>
        <v>692689</v>
      </c>
      <c r="N15" s="671">
        <f>'BS &amp; FCF'!BZ64</f>
        <v>1030502</v>
      </c>
      <c r="O15" s="671">
        <f>'BS &amp; FCF'!CA64</f>
        <v>652931</v>
      </c>
      <c r="P15" s="671">
        <f>'BS &amp; FCF'!CB64</f>
        <v>1838365</v>
      </c>
      <c r="Q15" s="671">
        <f>'BS &amp; FCF'!CD64</f>
        <v>1714053</v>
      </c>
      <c r="R15" s="671">
        <f>'BS &amp; FCF'!CE64</f>
        <v>1342574</v>
      </c>
      <c r="S15" s="671">
        <f ca="1">'BS &amp; FCF'!CF64</f>
        <v>1180998.5445335051</v>
      </c>
      <c r="T15" s="671">
        <f ca="1">'BS &amp; FCF'!CG64</f>
        <v>952850.66727721132</v>
      </c>
    </row>
    <row r="16" spans="2:22" ht="17.5" customHeight="1" x14ac:dyDescent="0.35">
      <c r="B16" s="658" t="s">
        <v>458</v>
      </c>
      <c r="C16" s="671">
        <f>'BS &amp; FCF'!BI65</f>
        <v>6801924</v>
      </c>
      <c r="D16" s="671">
        <f>'BS &amp; FCF'!BN65</f>
        <v>7699331</v>
      </c>
      <c r="E16" s="671">
        <f>'BS &amp; FCF'!BS65</f>
        <v>8499826</v>
      </c>
      <c r="F16" s="671">
        <f>'BS &amp; FCF'!BX65</f>
        <v>9949274</v>
      </c>
      <c r="G16" s="671">
        <f>'BS &amp; FCF'!CC65</f>
        <v>11466784</v>
      </c>
      <c r="H16" s="671">
        <f ca="1">'BS &amp; FCF'!CH65</f>
        <v>13655788.938567599</v>
      </c>
      <c r="I16" s="671">
        <f ca="1">'BS &amp; FCF'!CM65</f>
        <v>15160429.734393526</v>
      </c>
      <c r="J16" s="671">
        <f ca="1">'BS &amp; FCF'!CR65</f>
        <v>15980820.935347743</v>
      </c>
      <c r="K16" s="671">
        <f ca="1">'BS &amp; FCF'!CW65</f>
        <v>16760521.379558466</v>
      </c>
      <c r="L16" s="671">
        <f ca="1">'BS &amp; FCF'!DB65</f>
        <v>17604315.368265461</v>
      </c>
      <c r="M16" s="671">
        <f>'BS &amp; FCF'!BY65</f>
        <v>10089854</v>
      </c>
      <c r="N16" s="671">
        <f>'BS &amp; FCF'!BZ65</f>
        <v>10874868</v>
      </c>
      <c r="O16" s="671">
        <f>'BS &amp; FCF'!CA65</f>
        <v>11488949</v>
      </c>
      <c r="P16" s="671">
        <f>'BS &amp; FCF'!CB65</f>
        <v>11466784</v>
      </c>
      <c r="Q16" s="671">
        <f>'BS &amp; FCF'!CD65</f>
        <v>11927999</v>
      </c>
      <c r="R16" s="671">
        <f>'BS &amp; FCF'!CE65</f>
        <v>12451506</v>
      </c>
      <c r="S16" s="671">
        <f ca="1">'BS &amp; FCF'!CF65</f>
        <v>13013017.870649748</v>
      </c>
      <c r="T16" s="671">
        <f ca="1">'BS &amp; FCF'!CG65</f>
        <v>13655788.938567599</v>
      </c>
    </row>
    <row r="17" spans="2:20" ht="17.5" customHeight="1" x14ac:dyDescent="0.35">
      <c r="B17" s="669" t="s">
        <v>459</v>
      </c>
      <c r="C17" s="671">
        <f>'BS &amp; FCF'!BI81</f>
        <v>-109859</v>
      </c>
      <c r="D17" s="671">
        <f>'BS &amp; FCF'!BN81</f>
        <v>-423216</v>
      </c>
      <c r="E17" s="671">
        <f>'BS &amp; FCF'!BS81</f>
        <v>-274221</v>
      </c>
      <c r="F17" s="671">
        <f>'BS &amp; FCF'!BX81</f>
        <v>-760926</v>
      </c>
      <c r="G17" s="671">
        <f>'BS &amp; FCF'!CC81</f>
        <v>-603478</v>
      </c>
      <c r="H17" s="671">
        <f>'BS &amp; FCF'!CH81</f>
        <v>-426729.16386093677</v>
      </c>
      <c r="I17" s="671">
        <f>'BS &amp; FCF'!CM81</f>
        <v>-414131.93604043388</v>
      </c>
      <c r="J17" s="671">
        <f>'BS &amp; FCF'!CR81</f>
        <v>-424186.11614360218</v>
      </c>
      <c r="K17" s="671">
        <f>'BS &amp; FCF'!CW81</f>
        <v>-342100.78640968958</v>
      </c>
      <c r="L17" s="671">
        <f>'BS &amp; FCF'!DB81</f>
        <v>-193330.11565163548</v>
      </c>
      <c r="M17" s="671">
        <f>'BS &amp; FCF'!BY81</f>
        <v>32642</v>
      </c>
      <c r="N17" s="671">
        <f>'BS &amp; FCF'!BZ81</f>
        <v>-76279</v>
      </c>
      <c r="O17" s="671">
        <f>'BS &amp; FCF'!CA81</f>
        <v>-110726</v>
      </c>
      <c r="P17" s="671">
        <f>'BS &amp; FCF'!CB81</f>
        <v>-449115</v>
      </c>
      <c r="Q17" s="671">
        <f>'BS &amp; FCF'!CD81</f>
        <v>3062</v>
      </c>
      <c r="R17" s="671">
        <f>'BS &amp; FCF'!CE81</f>
        <v>-166754</v>
      </c>
      <c r="S17" s="671">
        <f>'BS &amp; FCF'!CF81</f>
        <v>-136583.57272827561</v>
      </c>
      <c r="T17" s="671">
        <f>'BS &amp; FCF'!CG81</f>
        <v>-126453.59113266115</v>
      </c>
    </row>
    <row r="18" spans="2:20" ht="17.5" customHeight="1" x14ac:dyDescent="0.35">
      <c r="B18" s="658" t="s">
        <v>35</v>
      </c>
      <c r="C18" s="671">
        <f>'BS &amp; FCF'!BI89</f>
        <v>229417</v>
      </c>
      <c r="D18" s="671">
        <f>'BS &amp; FCF'!BN89</f>
        <v>-91608</v>
      </c>
      <c r="E18" s="671">
        <f>'BS &amp; FCF'!BS89</f>
        <v>-153272</v>
      </c>
      <c r="F18" s="671">
        <f>'BS &amp; FCF'!BX89</f>
        <v>-246114</v>
      </c>
      <c r="G18" s="671">
        <f>'BS &amp; FCF'!CC89</f>
        <v>-276187</v>
      </c>
      <c r="H18" s="671">
        <f ca="1">'BS &amp; FCF'!CH89</f>
        <v>648135.20851773513</v>
      </c>
      <c r="I18" s="671">
        <f ca="1">'BS &amp; FCF'!CM89</f>
        <v>1139692.6691052176</v>
      </c>
      <c r="J18" s="671">
        <f ca="1">'BS &amp; FCF'!CR89</f>
        <v>1369490.4993166733</v>
      </c>
      <c r="K18" s="671">
        <f ca="1">'BS &amp; FCF'!CW89</f>
        <v>2122611.3988901163</v>
      </c>
      <c r="L18" s="671">
        <f ca="1">'BS &amp; FCF'!DB89</f>
        <v>2676617.7066002288</v>
      </c>
      <c r="M18" s="671">
        <f>'BS &amp; FCF'!BY89</f>
        <v>264754</v>
      </c>
      <c r="N18" s="671">
        <f>'BS &amp; FCF'!BZ89</f>
        <v>-779870</v>
      </c>
      <c r="O18" s="671">
        <f>'BS &amp; FCF'!CA89</f>
        <v>390614</v>
      </c>
      <c r="P18" s="671">
        <f>'BS &amp; FCF'!CB89</f>
        <v>-151685</v>
      </c>
      <c r="Q18" s="671">
        <f>'BS &amp; FCF'!CD89</f>
        <v>33484</v>
      </c>
      <c r="R18" s="671">
        <f>'BS &amp; FCF'!CE89</f>
        <v>329690</v>
      </c>
      <c r="S18" s="671">
        <f ca="1">'BS &amp; FCF'!CF89</f>
        <v>101793.70802314585</v>
      </c>
      <c r="T18" s="671">
        <f ca="1">'BS &amp; FCF'!CG89</f>
        <v>183167.50049458945</v>
      </c>
    </row>
    <row r="19" spans="2:20" ht="17.5" customHeight="1" x14ac:dyDescent="0.35">
      <c r="B19" s="669" t="s">
        <v>36</v>
      </c>
      <c r="C19" s="671">
        <f>'BS &amp; FCF'!BI90</f>
        <v>1007416</v>
      </c>
      <c r="D19" s="671">
        <f>'BS &amp; FCF'!BN90</f>
        <v>1253466</v>
      </c>
      <c r="E19" s="671">
        <f>'BS &amp; FCF'!BS90</f>
        <v>96829</v>
      </c>
      <c r="F19" s="671">
        <f>'BS &amp; FCF'!BX90</f>
        <v>830107</v>
      </c>
      <c r="G19" s="671">
        <f>'BS &amp; FCF'!CC90</f>
        <v>2579231</v>
      </c>
      <c r="H19" s="671">
        <f ca="1">'BS &amp; FCF'!CH90</f>
        <v>1085323.1252701916</v>
      </c>
      <c r="I19" s="671">
        <f ca="1">'BS &amp; FCF'!CM90</f>
        <v>1628275.4516820954</v>
      </c>
      <c r="J19" s="671">
        <f ca="1">'BS &amp; FCF'!CR90</f>
        <v>1786323.3669974422</v>
      </c>
      <c r="K19" s="671">
        <f ca="1">'BS &amp; FCF'!CW90</f>
        <v>2334916.920027114</v>
      </c>
      <c r="L19" s="671">
        <f ca="1">'BS &amp; FCF'!DB90</f>
        <v>3010187.9022528837</v>
      </c>
      <c r="M19" s="671">
        <f>'BS &amp; FCF'!BY90</f>
        <v>380700</v>
      </c>
      <c r="N19" s="671">
        <f>'BS &amp; FCF'!BZ90</f>
        <v>181437</v>
      </c>
      <c r="O19" s="671">
        <f>'BS &amp; FCF'!CA90</f>
        <v>985177</v>
      </c>
      <c r="P19" s="671">
        <f>'BS &amp; FCF'!CB90</f>
        <v>1031917</v>
      </c>
      <c r="Q19" s="671">
        <f>'BS &amp; FCF'!CD90</f>
        <v>40203</v>
      </c>
      <c r="R19" s="671">
        <f>'BS &amp; FCF'!CE90</f>
        <v>428347</v>
      </c>
      <c r="S19" s="671">
        <f ca="1">'BS &amp; FCF'!CF90</f>
        <v>288529.9328252307</v>
      </c>
      <c r="T19" s="671">
        <f ca="1">'BS &amp; FCF'!CG90</f>
        <v>328243.19244496088</v>
      </c>
    </row>
    <row r="20" spans="2:20" ht="17.5" customHeight="1" x14ac:dyDescent="0.35">
      <c r="B20" s="658" t="s">
        <v>93</v>
      </c>
      <c r="C20" s="671">
        <f>IS!BI43</f>
        <v>-102959</v>
      </c>
      <c r="D20" s="671">
        <f>IS!BN43</f>
        <v>-49711</v>
      </c>
      <c r="E20" s="671">
        <f>IS!BS43</f>
        <v>-163610</v>
      </c>
      <c r="F20" s="671">
        <f>IS!BX43</f>
        <v>-272056</v>
      </c>
      <c r="G20" s="671">
        <f>IS!CC43</f>
        <v>-389073</v>
      </c>
      <c r="H20" s="671">
        <f>IS!CH43</f>
        <v>-293050.39226745075</v>
      </c>
      <c r="I20" s="671">
        <f>IS!CM43</f>
        <v>-384180.09968822799</v>
      </c>
      <c r="J20" s="671">
        <f>IS!CR43</f>
        <v>-443671.4315820699</v>
      </c>
      <c r="K20" s="671">
        <f>IS!CW43</f>
        <v>-464207.38119122392</v>
      </c>
      <c r="L20" s="671">
        <f>IS!DB43</f>
        <v>-480867.8050942868</v>
      </c>
      <c r="M20" s="671">
        <f>IS!BY43</f>
        <v>-66181</v>
      </c>
      <c r="N20" s="671">
        <f>IS!BZ43</f>
        <v>-91196</v>
      </c>
      <c r="O20" s="671">
        <f>IS!CA43</f>
        <v>-73848</v>
      </c>
      <c r="P20" s="671">
        <f>IS!CB43</f>
        <v>-157848</v>
      </c>
      <c r="Q20" s="671">
        <f>IS!CD43</f>
        <v>-63283</v>
      </c>
      <c r="R20" s="671">
        <f>IS!CE43</f>
        <v>-67151</v>
      </c>
      <c r="S20" s="671">
        <f>IS!CF43</f>
        <v>-80216.875</v>
      </c>
      <c r="T20" s="671">
        <f>IS!CG43</f>
        <v>-82399.517267450734</v>
      </c>
    </row>
    <row r="21" spans="2:20" ht="17.5" customHeight="1" x14ac:dyDescent="0.35">
      <c r="B21" s="669" t="s">
        <v>191</v>
      </c>
      <c r="C21" s="671">
        <f>'BS &amp; FCF'!BI4</f>
        <v>13841170</v>
      </c>
      <c r="D21" s="671">
        <f>'BS &amp; FCF'!BN4</f>
        <v>16560139</v>
      </c>
      <c r="E21" s="671">
        <f>'BS &amp; FCF'!BS4</f>
        <v>17371200</v>
      </c>
      <c r="F21" s="671">
        <f>'BS &amp; FCF'!BX4</f>
        <v>21240962</v>
      </c>
      <c r="G21" s="671">
        <f>'BS &amp; FCF'!CC4</f>
        <v>26109817</v>
      </c>
      <c r="H21" s="671">
        <f ca="1">'BS &amp; FCF'!CH4</f>
        <v>29363750.638674825</v>
      </c>
      <c r="I21" s="671">
        <f ca="1">'BS &amp; FCF'!CM4</f>
        <v>31400852.281543594</v>
      </c>
      <c r="J21" s="671">
        <f ca="1">'BS &amp; FCF'!CR4</f>
        <v>32679271.058986437</v>
      </c>
      <c r="K21" s="671">
        <f ca="1">'BS &amp; FCF'!CW4</f>
        <v>33777222.390462108</v>
      </c>
      <c r="L21" s="671">
        <f ca="1">'BS &amp; FCF'!DB4</f>
        <v>34468016.796707585</v>
      </c>
      <c r="M21" s="671">
        <f>'BS &amp; FCF'!BY4</f>
        <v>21847715</v>
      </c>
      <c r="N21" s="671">
        <f>'BS &amp; FCF'!BZ4</f>
        <v>23414787</v>
      </c>
      <c r="O21" s="671">
        <f>'BS &amp; FCF'!CA4</f>
        <v>24950414</v>
      </c>
      <c r="P21" s="671">
        <f>'BS &amp; FCF'!CB4</f>
        <v>26109817</v>
      </c>
      <c r="Q21" s="671">
        <f>'BS &amp; FCF'!CD4</f>
        <v>26714090</v>
      </c>
      <c r="R21" s="671">
        <f>'BS &amp; FCF'!CE4</f>
        <v>27740895</v>
      </c>
      <c r="S21" s="671">
        <f ca="1">'BS &amp; FCF'!CF4</f>
        <v>28554505.850046538</v>
      </c>
      <c r="T21" s="671">
        <f ca="1">'BS &amp; FCF'!CG4</f>
        <v>29363750.638674825</v>
      </c>
    </row>
    <row r="22" spans="2:20" ht="17.5" customHeight="1" x14ac:dyDescent="0.35">
      <c r="B22" s="658" t="s">
        <v>77</v>
      </c>
      <c r="C22" s="671">
        <f>IS!BI16</f>
        <v>1665820</v>
      </c>
      <c r="D22" s="671">
        <f>IS!BN16</f>
        <v>1733962</v>
      </c>
      <c r="E22" s="671">
        <f>IS!BS16</f>
        <v>2043599</v>
      </c>
      <c r="F22" s="671">
        <f>IS!BX16</f>
        <v>2579865</v>
      </c>
      <c r="G22" s="671">
        <f>IS!CC16</f>
        <v>3069969</v>
      </c>
      <c r="H22" s="671">
        <f>IS!CH16</f>
        <v>3382522.3126193639</v>
      </c>
      <c r="I22" s="671">
        <f>IS!CM16</f>
        <v>3865509.6110095801</v>
      </c>
      <c r="J22" s="671">
        <f>IS!CR16</f>
        <v>4288385.2670638282</v>
      </c>
      <c r="K22" s="671">
        <f>IS!CW16</f>
        <v>4628106.3707804717</v>
      </c>
      <c r="L22" s="671">
        <f>IS!DB16</f>
        <v>4954231.7665006313</v>
      </c>
      <c r="M22" s="671">
        <f>IS!BY16</f>
        <v>634339</v>
      </c>
      <c r="N22" s="671">
        <f>IS!BZ16</f>
        <v>689836</v>
      </c>
      <c r="O22" s="671">
        <f>IS!CA16</f>
        <v>702414</v>
      </c>
      <c r="P22" s="671">
        <f>IS!CB16</f>
        <v>1043380</v>
      </c>
      <c r="Q22" s="671">
        <f>IS!CD16</f>
        <v>665926</v>
      </c>
      <c r="R22" s="671">
        <f>IS!CE16</f>
        <v>852919</v>
      </c>
      <c r="S22" s="671">
        <f>IS!CF16</f>
        <v>897745.20461378503</v>
      </c>
      <c r="T22" s="671">
        <f>IS!CG16</f>
        <v>965932.1080055784</v>
      </c>
    </row>
    <row r="23" spans="2:20" ht="17.5" customHeight="1" x14ac:dyDescent="0.35">
      <c r="B23" s="669" t="s">
        <v>460</v>
      </c>
      <c r="C23" s="671">
        <f>'BS &amp; FCF'!BI20</f>
        <v>2230109</v>
      </c>
      <c r="D23" s="671">
        <f>'BS &amp; FCF'!BN20</f>
        <v>2590052</v>
      </c>
      <c r="E23" s="671">
        <f>'BS &amp; FCF'!BS20</f>
        <v>2773324</v>
      </c>
      <c r="F23" s="671">
        <f>'BS &amp; FCF'!BX20</f>
        <v>3434191</v>
      </c>
      <c r="G23" s="671">
        <f>'BS &amp; FCF'!CC20</f>
        <v>3905094</v>
      </c>
      <c r="H23" s="671">
        <f>'BS &amp; FCF'!CH20</f>
        <v>4150204.3638559021</v>
      </c>
      <c r="I23" s="671">
        <f>'BS &amp; FCF'!CM20</f>
        <v>4389218.7775185667</v>
      </c>
      <c r="J23" s="671">
        <f>'BS &amp; FCF'!CR20</f>
        <v>4633684.9385226993</v>
      </c>
      <c r="K23" s="671">
        <f>'BS &amp; FCF'!CW20</f>
        <v>4791342.3760500541</v>
      </c>
      <c r="L23" s="671">
        <f>'BS &amp; FCF'!DB20</f>
        <v>4795381.6090029357</v>
      </c>
      <c r="M23" s="671">
        <f>'BS &amp; FCF'!BY20</f>
        <v>3371277</v>
      </c>
      <c r="N23" s="671">
        <f>'BS &amp; FCF'!BZ20</f>
        <v>3423754</v>
      </c>
      <c r="O23" s="671">
        <f>'BS &amp; FCF'!CA20</f>
        <v>3505851</v>
      </c>
      <c r="P23" s="671">
        <f>'BS &amp; FCF'!CB20</f>
        <v>3905094</v>
      </c>
      <c r="Q23" s="671">
        <f>'BS &amp; FCF'!CD20</f>
        <v>3847449</v>
      </c>
      <c r="R23" s="671">
        <f>'BS &amp; FCF'!CE20</f>
        <v>3973037</v>
      </c>
      <c r="S23" s="671">
        <f>'BS &amp; FCF'!CF20</f>
        <v>4066824.9022270665</v>
      </c>
      <c r="T23" s="671">
        <f>'BS &amp; FCF'!CG20</f>
        <v>4150204.3638559021</v>
      </c>
    </row>
    <row r="24" spans="2:20" ht="17.5" customHeight="1" x14ac:dyDescent="0.35">
      <c r="B24" s="658" t="s">
        <v>192</v>
      </c>
      <c r="C24" s="671">
        <f>'BS &amp; FCF'!BI5</f>
        <v>11611061</v>
      </c>
      <c r="D24" s="671">
        <f>'BS &amp; FCF'!BN5</f>
        <v>13970087</v>
      </c>
      <c r="E24" s="671">
        <f>'BS &amp; FCF'!BS5</f>
        <v>14597876</v>
      </c>
      <c r="F24" s="671">
        <f>'BS &amp; FCF'!BX5</f>
        <v>17806771</v>
      </c>
      <c r="G24" s="671">
        <f>'BS &amp; FCF'!CC5</f>
        <v>22204723</v>
      </c>
      <c r="H24" s="671">
        <f ca="1">'BS &amp; FCF'!CH5</f>
        <v>25213546.274818923</v>
      </c>
      <c r="I24" s="671">
        <f ca="1">'BS &amp; FCF'!CM5</f>
        <v>27011633.504025027</v>
      </c>
      <c r="J24" s="671">
        <f ca="1">'BS &amp; FCF'!CR5</f>
        <v>28045586.120463736</v>
      </c>
      <c r="K24" s="671">
        <f ca="1">'BS &amp; FCF'!CW5</f>
        <v>28985880.014412053</v>
      </c>
      <c r="L24" s="671">
        <f ca="1">'BS &amp; FCF'!DB5</f>
        <v>29672635.187704649</v>
      </c>
      <c r="M24" s="671">
        <f>'BS &amp; FCF'!BY5</f>
        <v>18476438</v>
      </c>
      <c r="N24" s="671">
        <f>'BS &amp; FCF'!BZ5</f>
        <v>19991033</v>
      </c>
      <c r="O24" s="671">
        <f>'BS &amp; FCF'!CA5</f>
        <v>21444563</v>
      </c>
      <c r="P24" s="671">
        <f>'BS &amp; FCF'!CB5</f>
        <v>22204723</v>
      </c>
      <c r="Q24" s="671">
        <f>'BS &amp; FCF'!CD5</f>
        <v>22866641</v>
      </c>
      <c r="R24" s="671">
        <f>'BS &amp; FCF'!CE5</f>
        <v>23767858</v>
      </c>
      <c r="S24" s="671">
        <f ca="1">'BS &amp; FCF'!CF5</f>
        <v>24487680.947819471</v>
      </c>
      <c r="T24" s="671">
        <f ca="1">'BS &amp; FCF'!CG5</f>
        <v>25213546.274818923</v>
      </c>
    </row>
    <row r="25" spans="2:20" ht="17.5" customHeight="1" x14ac:dyDescent="0.35">
      <c r="B25" s="669" t="s">
        <v>461</v>
      </c>
      <c r="C25" s="671">
        <f>'BS &amp; FCF'!BI6</f>
        <v>3298793</v>
      </c>
      <c r="D25" s="671">
        <f>'BS &amp; FCF'!BN6</f>
        <v>4615752</v>
      </c>
      <c r="E25" s="671">
        <f>'BS &amp; FCF'!BS6</f>
        <v>4602606</v>
      </c>
      <c r="F25" s="671">
        <f>'BS &amp; FCF'!BX6</f>
        <v>5309056</v>
      </c>
      <c r="G25" s="671">
        <f>'BS &amp; FCF'!CC6</f>
        <v>7007404</v>
      </c>
      <c r="H25" s="671">
        <f ca="1">'BS &amp; FCF'!CH6</f>
        <v>8394839.8907742705</v>
      </c>
      <c r="I25" s="671">
        <f ca="1">'BS &amp; FCF'!CM6</f>
        <v>9166090.0023675915</v>
      </c>
      <c r="J25" s="671">
        <f ca="1">'BS &amp; FCF'!CR6</f>
        <v>9151448.675808331</v>
      </c>
      <c r="K25" s="671">
        <f ca="1">'BS &amp; FCF'!CW6</f>
        <v>9443595.8043333739</v>
      </c>
      <c r="L25" s="671">
        <f ca="1">'BS &amp; FCF'!DB6</f>
        <v>10189998.141267924</v>
      </c>
      <c r="M25" s="671">
        <f>'BS &amp; FCF'!BY6</f>
        <v>5502704</v>
      </c>
      <c r="N25" s="671">
        <f>'BS &amp; FCF'!BZ6</f>
        <v>6081348</v>
      </c>
      <c r="O25" s="671">
        <f>'BS &amp; FCF'!CA6</f>
        <v>7071491</v>
      </c>
      <c r="P25" s="671">
        <f>'BS &amp; FCF'!CB6</f>
        <v>7007404</v>
      </c>
      <c r="Q25" s="671">
        <f>'BS &amp; FCF'!CD6</f>
        <v>7212046</v>
      </c>
      <c r="R25" s="671">
        <f>'BS &amp; FCF'!CE6</f>
        <v>7712294</v>
      </c>
      <c r="S25" s="671">
        <f ca="1">'BS &amp; FCF'!CF6</f>
        <v>8035746.209104442</v>
      </c>
      <c r="T25" s="671">
        <f ca="1">'BS &amp; FCF'!CG6</f>
        <v>8394839.8907742705</v>
      </c>
    </row>
    <row r="26" spans="2:20" ht="17.5" customHeight="1" x14ac:dyDescent="0.35">
      <c r="B26" s="658" t="s">
        <v>462</v>
      </c>
      <c r="C26" s="671">
        <f>'BS &amp; FCF'!BI27</f>
        <v>7039246</v>
      </c>
      <c r="D26" s="671">
        <f>'BS &amp; FCF'!BN27</f>
        <v>8860808</v>
      </c>
      <c r="E26" s="671">
        <f>'BS &amp; FCF'!BS27</f>
        <v>8871374</v>
      </c>
      <c r="F26" s="671">
        <f>'BS &amp; FCF'!BX27</f>
        <v>11291688</v>
      </c>
      <c r="G26" s="671">
        <f>'BS &amp; FCF'!CC27</f>
        <v>14643033</v>
      </c>
      <c r="H26" s="671">
        <f>'BS &amp; FCF'!CH27</f>
        <v>15707961.700107228</v>
      </c>
      <c r="I26" s="671">
        <f>'BS &amp; FCF'!CM27</f>
        <v>16240422.547150068</v>
      </c>
      <c r="J26" s="671">
        <f>'BS &amp; FCF'!CR27</f>
        <v>16698450.123638693</v>
      </c>
      <c r="K26" s="671">
        <f>'BS &amp; FCF'!CW27</f>
        <v>17016701.010903642</v>
      </c>
      <c r="L26" s="671">
        <f>'BS &amp; FCF'!DB27</f>
        <v>16863701.428442124</v>
      </c>
      <c r="M26" s="671">
        <f>'BS &amp; FCF'!BY27</f>
        <v>11757861</v>
      </c>
      <c r="N26" s="671">
        <f>'BS &amp; FCF'!BZ27</f>
        <v>12539919</v>
      </c>
      <c r="O26" s="671">
        <f>'BS &amp; FCF'!CA27</f>
        <v>13461465</v>
      </c>
      <c r="P26" s="671">
        <f>'BS &amp; FCF'!CB27</f>
        <v>14643033</v>
      </c>
      <c r="Q26" s="671">
        <f>'BS &amp; FCF'!CD27</f>
        <v>14786091</v>
      </c>
      <c r="R26" s="671">
        <f>'BS &amp; FCF'!CE27</f>
        <v>15289389</v>
      </c>
      <c r="S26" s="671">
        <f>'BS &amp; FCF'!CF27</f>
        <v>15541487.979396788</v>
      </c>
      <c r="T26" s="671">
        <f>'BS &amp; FCF'!CG27</f>
        <v>15707961.700107228</v>
      </c>
    </row>
    <row r="27" spans="2:20" ht="17.5" customHeight="1" thickBot="1" x14ac:dyDescent="0.4">
      <c r="B27" s="670" t="s">
        <v>463</v>
      </c>
    </row>
  </sheetData>
  <pageMargins left="0.7" right="0.7" top="0.75" bottom="0.75" header="0.3" footer="0.3"/>
  <headerFooter>
    <oddFooter>&amp;L_x000D_&amp;1#&amp;"Calibri"&amp;9&amp;K000000 Corporativo |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Macro</vt:lpstr>
      <vt:lpstr>IS</vt:lpstr>
      <vt:lpstr>BS &amp; FCF</vt:lpstr>
      <vt:lpstr>Operating</vt:lpstr>
      <vt:lpstr>Business lines</vt:lpstr>
      <vt:lpstr>Joint-Ventures</vt:lpstr>
      <vt:lpstr>Valuation</vt:lpstr>
      <vt:lpstr>SOTP</vt:lpstr>
      <vt:lpstr>Report Tables</vt:lpstr>
      <vt:lpstr>Mask-UploadModel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 Credendio F</dc:creator>
  <cp:lastModifiedBy>Elvis De Farias Credendio Filho</cp:lastModifiedBy>
  <dcterms:created xsi:type="dcterms:W3CDTF">2025-06-03T13:42:52Z</dcterms:created>
  <dcterms:modified xsi:type="dcterms:W3CDTF">2026-09-21T12:59:23Z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2025-09-26T00:15:47Z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c6cd67b4-b545-454a-a8c0-d5fdd705eb3a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